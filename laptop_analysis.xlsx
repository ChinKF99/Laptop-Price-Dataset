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khaix_foong_chin_intel_com/Documents/Desktop/Data Analyst Project/Amazon Laptop Price Dataset/"/>
    </mc:Choice>
  </mc:AlternateContent>
  <xr:revisionPtr revIDLastSave="307" documentId="11_F25DC773A252ABDACC1048C479DC61B45BDE58F2" xr6:coauthVersionLast="47" xr6:coauthVersionMax="47" xr10:uidLastSave="{080846EF-F481-46C2-9240-360F4E6B990C}"/>
  <bookViews>
    <workbookView xWindow="-120" yWindow="-120" windowWidth="29040" windowHeight="17520" activeTab="2" xr2:uid="{00000000-000D-0000-FFFF-FFFF00000000}"/>
  </bookViews>
  <sheets>
    <sheet name="Dashboard" sheetId="4" r:id="rId1"/>
    <sheet name="laptop_prices" sheetId="2" r:id="rId2"/>
    <sheet name="Median_Price_Analysis" sheetId="5" r:id="rId3"/>
  </sheets>
  <definedNames>
    <definedName name="_xlcn.WorksheetConnection_laptop_analysis.xlsxlaptop1" hidden="1">laptop[]</definedName>
    <definedName name="ExternalData_1" localSheetId="1" hidden="1">laptop_prices!$A$1:$Y$1276</definedName>
  </definedNames>
  <calcPr calcId="191029"/>
  <pivotCaches>
    <pivotCache cacheId="37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aptop" name="laptop" connection="WorksheetConnection_laptop_analysis.xlsx!laptop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X1101" i="2"/>
  <c r="X1102" i="2"/>
  <c r="X1103" i="2"/>
  <c r="X1104" i="2"/>
  <c r="X1105" i="2"/>
  <c r="X1106" i="2"/>
  <c r="X1107" i="2"/>
  <c r="X1108" i="2"/>
  <c r="X1109" i="2"/>
  <c r="X1110" i="2"/>
  <c r="X1111" i="2"/>
  <c r="X1112" i="2"/>
  <c r="X1113" i="2"/>
  <c r="X1114" i="2"/>
  <c r="X1115" i="2"/>
  <c r="X1116" i="2"/>
  <c r="X1117" i="2"/>
  <c r="X1118" i="2"/>
  <c r="X1119" i="2"/>
  <c r="X1120" i="2"/>
  <c r="X1121" i="2"/>
  <c r="X1122" i="2"/>
  <c r="X1123" i="2"/>
  <c r="X1124" i="2"/>
  <c r="X1125" i="2"/>
  <c r="X1126" i="2"/>
  <c r="X1127" i="2"/>
  <c r="X1128" i="2"/>
  <c r="X1129" i="2"/>
  <c r="X1130" i="2"/>
  <c r="X1131" i="2"/>
  <c r="X1132" i="2"/>
  <c r="X1133" i="2"/>
  <c r="X1134" i="2"/>
  <c r="X1135" i="2"/>
  <c r="X1136" i="2"/>
  <c r="X1137" i="2"/>
  <c r="X1138" i="2"/>
  <c r="X1139" i="2"/>
  <c r="X1140" i="2"/>
  <c r="X1141" i="2"/>
  <c r="X1142" i="2"/>
  <c r="X1143" i="2"/>
  <c r="X1144" i="2"/>
  <c r="X1145" i="2"/>
  <c r="X1146" i="2"/>
  <c r="X1147" i="2"/>
  <c r="X1148" i="2"/>
  <c r="X1149" i="2"/>
  <c r="X1150" i="2"/>
  <c r="X1151" i="2"/>
  <c r="X1152" i="2"/>
  <c r="X1153" i="2"/>
  <c r="X1154" i="2"/>
  <c r="X1155" i="2"/>
  <c r="X1156" i="2"/>
  <c r="X1157" i="2"/>
  <c r="X1158" i="2"/>
  <c r="X1159" i="2"/>
  <c r="X1160" i="2"/>
  <c r="X1161" i="2"/>
  <c r="X1162" i="2"/>
  <c r="X1163" i="2"/>
  <c r="X1164" i="2"/>
  <c r="X1165" i="2"/>
  <c r="X1166" i="2"/>
  <c r="X1167" i="2"/>
  <c r="X1168" i="2"/>
  <c r="X1169" i="2"/>
  <c r="X1170" i="2"/>
  <c r="X1171" i="2"/>
  <c r="X1172" i="2"/>
  <c r="X1173" i="2"/>
  <c r="X1174" i="2"/>
  <c r="X1175" i="2"/>
  <c r="X1176" i="2"/>
  <c r="X1177" i="2"/>
  <c r="X1178" i="2"/>
  <c r="X1179" i="2"/>
  <c r="X1180" i="2"/>
  <c r="X1181" i="2"/>
  <c r="X1182" i="2"/>
  <c r="X1183" i="2"/>
  <c r="X1184" i="2"/>
  <c r="X1185" i="2"/>
  <c r="X1186" i="2"/>
  <c r="X1187" i="2"/>
  <c r="X1188" i="2"/>
  <c r="X1189" i="2"/>
  <c r="X1190" i="2"/>
  <c r="X1191" i="2"/>
  <c r="X1192" i="2"/>
  <c r="X1193" i="2"/>
  <c r="X1194" i="2"/>
  <c r="X1195" i="2"/>
  <c r="X1196" i="2"/>
  <c r="X1197" i="2"/>
  <c r="X1198" i="2"/>
  <c r="X1199" i="2"/>
  <c r="X1200" i="2"/>
  <c r="X1201" i="2"/>
  <c r="X1202" i="2"/>
  <c r="X1203" i="2"/>
  <c r="X1204" i="2"/>
  <c r="X1205" i="2"/>
  <c r="X1206" i="2"/>
  <c r="X1207" i="2"/>
  <c r="X1208" i="2"/>
  <c r="X1209" i="2"/>
  <c r="X1210" i="2"/>
  <c r="X1211" i="2"/>
  <c r="X1212" i="2"/>
  <c r="X1213" i="2"/>
  <c r="X1214" i="2"/>
  <c r="X1215" i="2"/>
  <c r="X1216" i="2"/>
  <c r="X1217" i="2"/>
  <c r="X1218" i="2"/>
  <c r="X1219" i="2"/>
  <c r="X1220" i="2"/>
  <c r="X1221" i="2"/>
  <c r="X1222" i="2"/>
  <c r="X1223" i="2"/>
  <c r="X1224" i="2"/>
  <c r="X1225" i="2"/>
  <c r="X1226" i="2"/>
  <c r="X1227" i="2"/>
  <c r="X1228" i="2"/>
  <c r="X1229" i="2"/>
  <c r="X1230" i="2"/>
  <c r="X1231" i="2"/>
  <c r="X1232" i="2"/>
  <c r="X1233" i="2"/>
  <c r="X1234" i="2"/>
  <c r="X1235" i="2"/>
  <c r="X1236" i="2"/>
  <c r="X1237" i="2"/>
  <c r="X1238" i="2"/>
  <c r="X1239" i="2"/>
  <c r="X1240" i="2"/>
  <c r="X1241" i="2"/>
  <c r="X1242" i="2"/>
  <c r="X1243" i="2"/>
  <c r="X1244" i="2"/>
  <c r="X1245" i="2"/>
  <c r="X1246" i="2"/>
  <c r="X1247" i="2"/>
  <c r="X1248" i="2"/>
  <c r="X1249" i="2"/>
  <c r="X1250" i="2"/>
  <c r="X1251" i="2"/>
  <c r="X1252" i="2"/>
  <c r="X1253" i="2"/>
  <c r="X1254" i="2"/>
  <c r="X1255" i="2"/>
  <c r="X1256" i="2"/>
  <c r="X1257" i="2"/>
  <c r="X1258" i="2"/>
  <c r="X1259" i="2"/>
  <c r="X1260" i="2"/>
  <c r="X1261" i="2"/>
  <c r="X1262" i="2"/>
  <c r="X1263" i="2"/>
  <c r="X1264" i="2"/>
  <c r="X1265" i="2"/>
  <c r="X1266" i="2"/>
  <c r="X1267" i="2"/>
  <c r="X1268" i="2"/>
  <c r="X1269" i="2"/>
  <c r="X1270" i="2"/>
  <c r="X1271" i="2"/>
  <c r="X1272" i="2"/>
  <c r="X1273" i="2"/>
  <c r="X1274" i="2"/>
  <c r="X1275" i="2"/>
  <c r="X1276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U1100" i="2"/>
  <c r="U1101" i="2"/>
  <c r="U1102" i="2"/>
  <c r="U1103" i="2"/>
  <c r="U1104" i="2"/>
  <c r="U1105" i="2"/>
  <c r="U1106" i="2"/>
  <c r="U1107" i="2"/>
  <c r="U1108" i="2"/>
  <c r="U1109" i="2"/>
  <c r="U1110" i="2"/>
  <c r="U1111" i="2"/>
  <c r="U1112" i="2"/>
  <c r="U1113" i="2"/>
  <c r="U1114" i="2"/>
  <c r="U1115" i="2"/>
  <c r="U1116" i="2"/>
  <c r="U1117" i="2"/>
  <c r="U1118" i="2"/>
  <c r="U1119" i="2"/>
  <c r="U1120" i="2"/>
  <c r="U1121" i="2"/>
  <c r="U1122" i="2"/>
  <c r="U1123" i="2"/>
  <c r="U1124" i="2"/>
  <c r="U1125" i="2"/>
  <c r="U1126" i="2"/>
  <c r="U1127" i="2"/>
  <c r="U1128" i="2"/>
  <c r="U1129" i="2"/>
  <c r="U1130" i="2"/>
  <c r="U1131" i="2"/>
  <c r="U1132" i="2"/>
  <c r="U1133" i="2"/>
  <c r="U1134" i="2"/>
  <c r="U1135" i="2"/>
  <c r="U1136" i="2"/>
  <c r="U1137" i="2"/>
  <c r="U1138" i="2"/>
  <c r="U1139" i="2"/>
  <c r="U1140" i="2"/>
  <c r="U1141" i="2"/>
  <c r="U1142" i="2"/>
  <c r="U1143" i="2"/>
  <c r="U1144" i="2"/>
  <c r="U1145" i="2"/>
  <c r="U1146" i="2"/>
  <c r="U1147" i="2"/>
  <c r="U1148" i="2"/>
  <c r="U1149" i="2"/>
  <c r="U1150" i="2"/>
  <c r="U1151" i="2"/>
  <c r="U1152" i="2"/>
  <c r="U1153" i="2"/>
  <c r="U1154" i="2"/>
  <c r="U1155" i="2"/>
  <c r="U1156" i="2"/>
  <c r="U1157" i="2"/>
  <c r="U1158" i="2"/>
  <c r="U1159" i="2"/>
  <c r="U1160" i="2"/>
  <c r="U1161" i="2"/>
  <c r="U1162" i="2"/>
  <c r="U1163" i="2"/>
  <c r="U1164" i="2"/>
  <c r="U1165" i="2"/>
  <c r="U1166" i="2"/>
  <c r="U1167" i="2"/>
  <c r="U1168" i="2"/>
  <c r="U1169" i="2"/>
  <c r="U1170" i="2"/>
  <c r="U1171" i="2"/>
  <c r="U1172" i="2"/>
  <c r="U1173" i="2"/>
  <c r="U1174" i="2"/>
  <c r="U1175" i="2"/>
  <c r="U1176" i="2"/>
  <c r="U1177" i="2"/>
  <c r="U1178" i="2"/>
  <c r="U1179" i="2"/>
  <c r="U1180" i="2"/>
  <c r="U1181" i="2"/>
  <c r="U1182" i="2"/>
  <c r="U1183" i="2"/>
  <c r="U1184" i="2"/>
  <c r="U1185" i="2"/>
  <c r="U1186" i="2"/>
  <c r="U1187" i="2"/>
  <c r="U1188" i="2"/>
  <c r="U1189" i="2"/>
  <c r="U1190" i="2"/>
  <c r="U1191" i="2"/>
  <c r="U1192" i="2"/>
  <c r="U1193" i="2"/>
  <c r="U1194" i="2"/>
  <c r="U1195" i="2"/>
  <c r="U1196" i="2"/>
  <c r="U1197" i="2"/>
  <c r="U1198" i="2"/>
  <c r="U1199" i="2"/>
  <c r="U1200" i="2"/>
  <c r="U1201" i="2"/>
  <c r="U1202" i="2"/>
  <c r="U1203" i="2"/>
  <c r="U1204" i="2"/>
  <c r="U1205" i="2"/>
  <c r="U1206" i="2"/>
  <c r="U1207" i="2"/>
  <c r="U1208" i="2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38" i="2"/>
  <c r="U1239" i="2"/>
  <c r="U1240" i="2"/>
  <c r="U1241" i="2"/>
  <c r="U1242" i="2"/>
  <c r="U1243" i="2"/>
  <c r="U1244" i="2"/>
  <c r="U1245" i="2"/>
  <c r="U1246" i="2"/>
  <c r="U1247" i="2"/>
  <c r="U1248" i="2"/>
  <c r="U1249" i="2"/>
  <c r="U1250" i="2"/>
  <c r="U1251" i="2"/>
  <c r="U1252" i="2"/>
  <c r="U1253" i="2"/>
  <c r="U1254" i="2"/>
  <c r="U1255" i="2"/>
  <c r="U1256" i="2"/>
  <c r="U1257" i="2"/>
  <c r="U1258" i="2"/>
  <c r="U1259" i="2"/>
  <c r="U1260" i="2"/>
  <c r="U1261" i="2"/>
  <c r="U1262" i="2"/>
  <c r="U1263" i="2"/>
  <c r="U1264" i="2"/>
  <c r="U1265" i="2"/>
  <c r="U1266" i="2"/>
  <c r="U1267" i="2"/>
  <c r="U1268" i="2"/>
  <c r="U1269" i="2"/>
  <c r="U1270" i="2"/>
  <c r="U1271" i="2"/>
  <c r="U1272" i="2"/>
  <c r="U1273" i="2"/>
  <c r="U1274" i="2"/>
  <c r="U1275" i="2"/>
  <c r="U1276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29CE010-848C-4A20-BD63-E02E59BDBA26}" keepAlive="1" name="Query - laptop_prices" description="Connection to the 'laptop_prices' query in the workbook." type="5" refreshedVersion="8" background="1" saveData="1">
    <dbPr connection="Provider=Microsoft.Mashup.OleDb.1;Data Source=$Workbook$;Location=laptop_prices;Extended Properties=&quot;&quot;" command="SELECT * FROM [laptop_prices]"/>
  </connection>
  <connection id="2" xr16:uid="{E3C16716-7230-40F7-9A4C-99A6783A896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C25A70A6-9914-49B2-921C-639B4FF9FC2C}" name="WorksheetConnection_laptop_analysis.xlsx!laptop" type="102" refreshedVersion="8" minRefreshableVersion="5">
    <extLst>
      <ext xmlns:x15="http://schemas.microsoft.com/office/spreadsheetml/2010/11/main" uri="{DE250136-89BD-433C-8126-D09CA5730AF9}">
        <x15:connection id="laptop" autoDelete="1">
          <x15:rangePr sourceName="_xlcn.WorksheetConnection_laptop_analysis.xlsxlaptop1"/>
        </x15:connection>
      </ext>
    </extLst>
  </connection>
</connections>
</file>

<file path=xl/sharedStrings.xml><?xml version="1.0" encoding="utf-8"?>
<sst xmlns="http://schemas.openxmlformats.org/spreadsheetml/2006/main" count="16624" uniqueCount="897">
  <si>
    <t>Company</t>
  </si>
  <si>
    <t>Product</t>
  </si>
  <si>
    <t>TypeName</t>
  </si>
  <si>
    <t>Inches</t>
  </si>
  <si>
    <t>Ram</t>
  </si>
  <si>
    <t>OS</t>
  </si>
  <si>
    <t>Weight</t>
  </si>
  <si>
    <t>Price_euros</t>
  </si>
  <si>
    <t>Screen</t>
  </si>
  <si>
    <t>ScreenW</t>
  </si>
  <si>
    <t>ScreenH</t>
  </si>
  <si>
    <t>Touchscreen</t>
  </si>
  <si>
    <t>IPSpanel</t>
  </si>
  <si>
    <t>RetinaDisplay</t>
  </si>
  <si>
    <t>CPU_company</t>
  </si>
  <si>
    <t>CPU_freq</t>
  </si>
  <si>
    <t>CPU_model</t>
  </si>
  <si>
    <t>PrimaryStorage</t>
  </si>
  <si>
    <t>SecondaryStorage</t>
  </si>
  <si>
    <t>PrimaryStorageType</t>
  </si>
  <si>
    <t>SecondaryStorageType</t>
  </si>
  <si>
    <t>GPU_model</t>
  </si>
  <si>
    <t>Apple</t>
  </si>
  <si>
    <t>MacBook Pro</t>
  </si>
  <si>
    <t>Ultrabook</t>
  </si>
  <si>
    <t>macOS</t>
  </si>
  <si>
    <t>Standard</t>
  </si>
  <si>
    <t>No</t>
  </si>
  <si>
    <t>Yes</t>
  </si>
  <si>
    <t>Intel</t>
  </si>
  <si>
    <t>Core i5</t>
  </si>
  <si>
    <t>SSD</t>
  </si>
  <si>
    <t>Iris Plus Graphics 640</t>
  </si>
  <si>
    <t>Macbook Air</t>
  </si>
  <si>
    <t>Flash Storage</t>
  </si>
  <si>
    <t>HD Graphics 6000</t>
  </si>
  <si>
    <t>HP</t>
  </si>
  <si>
    <t>250 G6</t>
  </si>
  <si>
    <t>Notebook</t>
  </si>
  <si>
    <t>No OS</t>
  </si>
  <si>
    <t>Full HD</t>
  </si>
  <si>
    <t>Core i5 7200U</t>
  </si>
  <si>
    <t>HD Graphics 620</t>
  </si>
  <si>
    <t>Core i7</t>
  </si>
  <si>
    <t>Radeon Pro 455</t>
  </si>
  <si>
    <t>Iris Plus Graphics 650</t>
  </si>
  <si>
    <t>Acer</t>
  </si>
  <si>
    <t>Aspire 3</t>
  </si>
  <si>
    <t>Windows 10</t>
  </si>
  <si>
    <t>AMD</t>
  </si>
  <si>
    <t>A9-Series 9420</t>
  </si>
  <si>
    <t>HDD</t>
  </si>
  <si>
    <t>Radeon R5</t>
  </si>
  <si>
    <t>Mac OS X</t>
  </si>
  <si>
    <t>Iris Pro Graphics</t>
  </si>
  <si>
    <t>Asus</t>
  </si>
  <si>
    <t>ZenBook UX430UN</t>
  </si>
  <si>
    <t>Core i7 8550U</t>
  </si>
  <si>
    <t>GeForce MX150</t>
  </si>
  <si>
    <t>Swift 3</t>
  </si>
  <si>
    <t>Core i5 8250U</t>
  </si>
  <si>
    <t>UHD Graphics 620</t>
  </si>
  <si>
    <t>Core i3 6006U</t>
  </si>
  <si>
    <t>HD Graphics 520</t>
  </si>
  <si>
    <t>Radeon Pro 555</t>
  </si>
  <si>
    <t>Dell</t>
  </si>
  <si>
    <t>Inspiron 3567</t>
  </si>
  <si>
    <t>Radeon R5 M430</t>
  </si>
  <si>
    <t>MacBook 12"</t>
  </si>
  <si>
    <t>Core M m3</t>
  </si>
  <si>
    <t>HD Graphics 615</t>
  </si>
  <si>
    <t>Core i7 7500U</t>
  </si>
  <si>
    <t>Radeon Pro 560</t>
  </si>
  <si>
    <t>Lenovo</t>
  </si>
  <si>
    <t>IdeaPad 320-15IKB</t>
  </si>
  <si>
    <t>Core i3 7100U</t>
  </si>
  <si>
    <t>GeForce 940MX</t>
  </si>
  <si>
    <t>XPS 13</t>
  </si>
  <si>
    <t>Vivobook E200HA</t>
  </si>
  <si>
    <t>Netbook</t>
  </si>
  <si>
    <t>Atom x5-Z8350</t>
  </si>
  <si>
    <t>HD Graphics 400</t>
  </si>
  <si>
    <t>Legion Y520-15IKBN</t>
  </si>
  <si>
    <t>Gaming</t>
  </si>
  <si>
    <t>Core i5 7300HQ</t>
  </si>
  <si>
    <t>GeForce GTX 1050</t>
  </si>
  <si>
    <t>255 G6</t>
  </si>
  <si>
    <t>E-Series E2-9000e</t>
  </si>
  <si>
    <t>Radeon R2</t>
  </si>
  <si>
    <t>Inspiron 5379</t>
  </si>
  <si>
    <t>2 in 1 Convertible</t>
  </si>
  <si>
    <t>15-BS101nv (i7-8550U/8GB/256GB/FHD/W10)</t>
  </si>
  <si>
    <t>MacBook Air</t>
  </si>
  <si>
    <t>Inspiron 5570</t>
  </si>
  <si>
    <t>Radeon 530</t>
  </si>
  <si>
    <t>Latitude 5590</t>
  </si>
  <si>
    <t>Core i7 8650U</t>
  </si>
  <si>
    <t>ProBook 470</t>
  </si>
  <si>
    <t>GeForce 930MX</t>
  </si>
  <si>
    <t>Chuwi</t>
  </si>
  <si>
    <t>LapBook 15.6"</t>
  </si>
  <si>
    <t>Atom x5-Z8300</t>
  </si>
  <si>
    <t>HD Graphics</t>
  </si>
  <si>
    <t>E402WA-GA010T (E2-6110/2GB/32GB/W10)</t>
  </si>
  <si>
    <t>E-Series E2-6110</t>
  </si>
  <si>
    <t>17-ak001nv (A6-9220/4GB/500GB/Radeon</t>
  </si>
  <si>
    <t>A6-Series 9220</t>
  </si>
  <si>
    <t>Quad HD+</t>
  </si>
  <si>
    <t>IdeaPad 120S-14IAP</t>
  </si>
  <si>
    <t>Celeron Dual Core N3350</t>
  </si>
  <si>
    <t>HD Graphics 500</t>
  </si>
  <si>
    <t>Linux</t>
  </si>
  <si>
    <t>Core i3 7130U</t>
  </si>
  <si>
    <t>Inspiron 5770</t>
  </si>
  <si>
    <t>ProBook 450</t>
  </si>
  <si>
    <t xml:space="preserve">GeForce 930MX </t>
  </si>
  <si>
    <t>X540UA-DM186 (i3-6006U/4GB/1TB/FHD/Linux)</t>
  </si>
  <si>
    <t>Inspiron 7577</t>
  </si>
  <si>
    <t>Core i7 7700HQ</t>
  </si>
  <si>
    <t>GeForce GTX 1060</t>
  </si>
  <si>
    <t>X542UQ-GO005 (i5-7200U/8GB/1TB/GeForce</t>
  </si>
  <si>
    <t>Aspire A515-51G</t>
  </si>
  <si>
    <t>Inspiron 7773</t>
  </si>
  <si>
    <t>GeForce 150MX</t>
  </si>
  <si>
    <t>Iris Graphics 540</t>
  </si>
  <si>
    <t>IdeaPad 320-15ISK</t>
  </si>
  <si>
    <t>Rog Strix</t>
  </si>
  <si>
    <t>Ryzen 1700</t>
  </si>
  <si>
    <t>Radeon RX 580</t>
  </si>
  <si>
    <t>X751NV-TY001T (N4200/4GB/1TB/GeForce</t>
  </si>
  <si>
    <t>Pentium Quad Core N4200</t>
  </si>
  <si>
    <t>GeForce 920MX</t>
  </si>
  <si>
    <t>Yoga Book</t>
  </si>
  <si>
    <t>Android</t>
  </si>
  <si>
    <t>Atom x5-Z8550</t>
  </si>
  <si>
    <t>Radeon R4 Graphics</t>
  </si>
  <si>
    <t>ProBook 430</t>
  </si>
  <si>
    <t>Inspiron 3576</t>
  </si>
  <si>
    <t>Radeon 520</t>
  </si>
  <si>
    <t>15-bs002nv (i3-6006U/4GB/128GB/FHD/W10)</t>
  </si>
  <si>
    <t>VivoBook Max</t>
  </si>
  <si>
    <t>MSI</t>
  </si>
  <si>
    <t>GS73VR 7RG</t>
  </si>
  <si>
    <t>GeForce GTX 1070</t>
  </si>
  <si>
    <t>X541UA-DM1897 (i3-6006U/4GB/256GB/FHD/Linux)</t>
  </si>
  <si>
    <t>Vostro 5471</t>
  </si>
  <si>
    <t>IdeaPad 520S-14IKB</t>
  </si>
  <si>
    <t>UX410UA-GV350T (i5-8250U/8GB/256GB/FHD/W10)</t>
  </si>
  <si>
    <t>ZenBook Pro</t>
  </si>
  <si>
    <t>GeForce GTX 1050 Ti</t>
  </si>
  <si>
    <t>Stream 14-AX040wm</t>
  </si>
  <si>
    <t>Celeron Dual Core N3060</t>
  </si>
  <si>
    <t>V310-15ISK (i5-7200U/4GB/1TB/FHD/W10)</t>
  </si>
  <si>
    <t>FX753VE-GC093 (i7-7700HQ/12GB/1TB/GeForce</t>
  </si>
  <si>
    <t>Microsoft</t>
  </si>
  <si>
    <t>Surface Laptop</t>
  </si>
  <si>
    <t>Windows 10 S</t>
  </si>
  <si>
    <t>Inspiron 5370</t>
  </si>
  <si>
    <t>GL72M 7RDX</t>
  </si>
  <si>
    <t>Aspire E5-475</t>
  </si>
  <si>
    <t>FX503VD-E4022T (i7-7700HQ/8GB/1TB/GeForce</t>
  </si>
  <si>
    <t>IdeaPad 320-15IKBN</t>
  </si>
  <si>
    <t>Aspire A515-51G-32MX</t>
  </si>
  <si>
    <t>GeForce MX130</t>
  </si>
  <si>
    <t>ProBook 440</t>
  </si>
  <si>
    <t>IdeaPad 320-15AST</t>
  </si>
  <si>
    <t>R4 Graphics</t>
  </si>
  <si>
    <t>Pavilion 15-CK000nv</t>
  </si>
  <si>
    <t>GeForce GTX 940MX</t>
  </si>
  <si>
    <t>FX503VM-E4007T (i7-7700HQ/16GB/1TB</t>
  </si>
  <si>
    <t>FX550IK-DM018T (FX-9830P/8GB/1TB/Radeon</t>
  </si>
  <si>
    <t>FX 9830P</t>
  </si>
  <si>
    <t>Radeon RX 560</t>
  </si>
  <si>
    <t>Aspire 5</t>
  </si>
  <si>
    <t>Probook 430</t>
  </si>
  <si>
    <t>Zenbook UX430UA</t>
  </si>
  <si>
    <t>Spin 5</t>
  </si>
  <si>
    <t>X541UV-DM1439T (i3-7100U/6GB/256GB/GeForce</t>
  </si>
  <si>
    <t>GeForce 920M</t>
  </si>
  <si>
    <t>Omen 15-ce007nv</t>
  </si>
  <si>
    <t>15-bs017nv (i7-7500U/8GB/256GB/Radeon</t>
  </si>
  <si>
    <t>15-bw000nv (E2-9000e/4GB/500GB/Radeon</t>
  </si>
  <si>
    <t>Envy 13-ad009n</t>
  </si>
  <si>
    <t>Pavilion 14-BK001nv</t>
  </si>
  <si>
    <t>Ideapad 310-15ISK</t>
  </si>
  <si>
    <t>UX430UQ-GV209R (i7-7500U/8GB/256GB/GeForce</t>
  </si>
  <si>
    <t>GP62M 7REX</t>
  </si>
  <si>
    <t>Thinkpad T470</t>
  </si>
  <si>
    <t>VivoBook S15</t>
  </si>
  <si>
    <t>Core i7 7560U</t>
  </si>
  <si>
    <t>ThinkPad Yoga</t>
  </si>
  <si>
    <t>Probook 440</t>
  </si>
  <si>
    <t>Spectre x360</t>
  </si>
  <si>
    <t>Inspiron 7570</t>
  </si>
  <si>
    <t>X705UV-BX074T (i3-6006U/4GB/1TB/GeForce</t>
  </si>
  <si>
    <t>Spin 3</t>
  </si>
  <si>
    <t>GS63VR 7RG</t>
  </si>
  <si>
    <t>Probook 470</t>
  </si>
  <si>
    <t>E402WA-GA007T (E2-6110/4GB/64GB/W10</t>
  </si>
  <si>
    <t>E-Series 6110</t>
  </si>
  <si>
    <t>Inspiron 5567</t>
  </si>
  <si>
    <t>Radeon R7 M445</t>
  </si>
  <si>
    <t>Aspire A515-51G-37JS</t>
  </si>
  <si>
    <t>15-BS078nr (i7-7500U/8GB/1TB/W10)</t>
  </si>
  <si>
    <t>V110-15IAP (N3350/4GB/1TB/No</t>
  </si>
  <si>
    <t>FX753VD-GC086T (i5-7300HQ/8GB/1TB</t>
  </si>
  <si>
    <t>Envy 13-AD007nv</t>
  </si>
  <si>
    <t>ThinkPad E480</t>
  </si>
  <si>
    <t>Radeon RX 550</t>
  </si>
  <si>
    <t>GeForce GTX 1050M</t>
  </si>
  <si>
    <t>Toshiba</t>
  </si>
  <si>
    <t>Satellite Pro</t>
  </si>
  <si>
    <t>Core i5 6200U</t>
  </si>
  <si>
    <t>ZenBook UX430UA</t>
  </si>
  <si>
    <t>EliteBook Folio</t>
  </si>
  <si>
    <t>4K Ultra HD</t>
  </si>
  <si>
    <t>Core M 6Y75</t>
  </si>
  <si>
    <t>HD Graphics 515</t>
  </si>
  <si>
    <t>X541NA (N3350/4GB/1TB/FHD/W10)</t>
  </si>
  <si>
    <t>GE72MVR 7RG</t>
  </si>
  <si>
    <t>Aspire A315-51</t>
  </si>
  <si>
    <t>Inspiron 5577</t>
  </si>
  <si>
    <t>Inspiron 7567</t>
  </si>
  <si>
    <t>Hybrid</t>
  </si>
  <si>
    <t>V110-15IKB (i5-7200U/4GB/128GB/W10)</t>
  </si>
  <si>
    <t>GE73VR 7RE</t>
  </si>
  <si>
    <t>EliteBook 840</t>
  </si>
  <si>
    <t>Core i5 7500U</t>
  </si>
  <si>
    <t>15-BS103nv (i5-8250U/6GB/256GB/Radeon</t>
  </si>
  <si>
    <t>Yoga 520-14IKB</t>
  </si>
  <si>
    <t>ZenBook Flip</t>
  </si>
  <si>
    <t>Inspiron 5579</t>
  </si>
  <si>
    <t>X555BP-XX180T (A9-9420/4GB/1TB/Radeon</t>
  </si>
  <si>
    <t>Radeon R5 M420</t>
  </si>
  <si>
    <t>Aspire A517-51G</t>
  </si>
  <si>
    <t>Aspire A315-31</t>
  </si>
  <si>
    <t>GE63VR 7RE</t>
  </si>
  <si>
    <t>HD Graphics 505</t>
  </si>
  <si>
    <t>Huawei</t>
  </si>
  <si>
    <t>MateBook X</t>
  </si>
  <si>
    <t>17-bs001nv (i5-7200U/6GB/2TB/Radeon</t>
  </si>
  <si>
    <t>GT80S 6QF-074US</t>
  </si>
  <si>
    <t>Core i7 6920HQ</t>
  </si>
  <si>
    <t>GTX 980 SLI</t>
  </si>
  <si>
    <t>V310-15IKB (i5-7200U/8GB/1TB</t>
  </si>
  <si>
    <t>R17M-M1-70</t>
  </si>
  <si>
    <t>Yoga 920-13IKB</t>
  </si>
  <si>
    <t>Xiaomi</t>
  </si>
  <si>
    <t>Mi Notebook</t>
  </si>
  <si>
    <t>XPS 15</t>
  </si>
  <si>
    <t>Swift 7</t>
  </si>
  <si>
    <t>Core i5 7Y54</t>
  </si>
  <si>
    <t>Thinkpad Yoga</t>
  </si>
  <si>
    <t>Vero</t>
  </si>
  <si>
    <t>K147 (N3350/4GB/32GB/FHD/W10)</t>
  </si>
  <si>
    <t>IdeaPad 320-17IKBR</t>
  </si>
  <si>
    <t>Razer</t>
  </si>
  <si>
    <t>Blade Pro</t>
  </si>
  <si>
    <t>Core i7 7820HK</t>
  </si>
  <si>
    <t>GeForce GTX 1080</t>
  </si>
  <si>
    <t>Omen 17-W295</t>
  </si>
  <si>
    <t>V110-15ISK (i5-6200U/4GB/128GB/W10)</t>
  </si>
  <si>
    <t>Aspire E5-576G</t>
  </si>
  <si>
    <t>Legion Y720-15IKB</t>
  </si>
  <si>
    <t>Precision 7520</t>
  </si>
  <si>
    <t>Workstation</t>
  </si>
  <si>
    <t>Xeon E3-1505M V6</t>
  </si>
  <si>
    <t>Quadro M1200</t>
  </si>
  <si>
    <t>Aspire 7</t>
  </si>
  <si>
    <t>ROG GL703VD-GC028T</t>
  </si>
  <si>
    <t>15-bs018nq (i3-6006U/4GB/500GB/FHD/No</t>
  </si>
  <si>
    <t>IdeaPad 320-17IKB</t>
  </si>
  <si>
    <t>Latitude 5490</t>
  </si>
  <si>
    <t>Portege Z30-C-16L</t>
  </si>
  <si>
    <t>Core i7 6500U</t>
  </si>
  <si>
    <t>Alienware 17</t>
  </si>
  <si>
    <t>Vivobook X541UV-DM1217T</t>
  </si>
  <si>
    <t xml:space="preserve">GeForce 920MX </t>
  </si>
  <si>
    <t>K756UX-T4340T (i5-7200U/8GB/500GB</t>
  </si>
  <si>
    <t>GeForce GTX 950M</t>
  </si>
  <si>
    <t>ZBook 15u</t>
  </si>
  <si>
    <t xml:space="preserve">FirePro W4190M </t>
  </si>
  <si>
    <t>Pro P2540UA-XO0198T</t>
  </si>
  <si>
    <t>15-rb013nv (E2-9000e/4GB/500GB/W10)</t>
  </si>
  <si>
    <t>E-Series 9000e</t>
  </si>
  <si>
    <t>Vostro 5468</t>
  </si>
  <si>
    <t>Aspire R7</t>
  </si>
  <si>
    <t>X555QG-DM242T (A10-9620P/4GB/1TB</t>
  </si>
  <si>
    <t>A10-Series A10-9620P</t>
  </si>
  <si>
    <t>ROG G703VI-E5062T</t>
  </si>
  <si>
    <t>Nitro AN515-51</t>
  </si>
  <si>
    <t>VivoBook Pro</t>
  </si>
  <si>
    <t>F756UX-T4201D (i7-7500U/8GB/128GB</t>
  </si>
  <si>
    <t>Yoga 910-13IKB</t>
  </si>
  <si>
    <t>15-bs015dx (i5-7200U/8GB/1TB/W10)</t>
  </si>
  <si>
    <t>Rog G701VIK-BA060T</t>
  </si>
  <si>
    <t>ROG G752VSK-GC493T</t>
  </si>
  <si>
    <t>GeForce GTX 980M</t>
  </si>
  <si>
    <t>X505BP-BR019T (A9-9420/4GB/1TB/Radeon</t>
  </si>
  <si>
    <t>Vostro 5370</t>
  </si>
  <si>
    <t>15-BW094nd (A6-9220/8GB/128GB/W10)</t>
  </si>
  <si>
    <t>A6-Series A6-9220</t>
  </si>
  <si>
    <t>Envy 17-U275cl</t>
  </si>
  <si>
    <t>GT73EVR 7RE</t>
  </si>
  <si>
    <t>Yoga 720-15IKB</t>
  </si>
  <si>
    <t>Vostro 3568</t>
  </si>
  <si>
    <t>V330-15IKB (i7-8550U/8GB/256GB/FHD/W10)</t>
  </si>
  <si>
    <t>Iris Graphics 550</t>
  </si>
  <si>
    <t>ThinkPad X1</t>
  </si>
  <si>
    <t>Core i7 6600U</t>
  </si>
  <si>
    <t>GeForce 930M</t>
  </si>
  <si>
    <t>IdeaPad 320-17ISK</t>
  </si>
  <si>
    <t>Ideapad 320-15IKBN</t>
  </si>
  <si>
    <t>SP315-51 (i7-7500U/12GB/1TB/FHD/W10)</t>
  </si>
  <si>
    <t>Thinkpad T570</t>
  </si>
  <si>
    <t>HD Graphics 630</t>
  </si>
  <si>
    <t>Chromebook C910-C2ST</t>
  </si>
  <si>
    <t>Chrome OS</t>
  </si>
  <si>
    <t>Celeron Dual Core 3205U</t>
  </si>
  <si>
    <t>FX753VD-GC071T (i7-7700HQ/8GB/1TB/GeForce</t>
  </si>
  <si>
    <t>17-BS037cl (i3-6006U/8GB/1TB/W10)</t>
  </si>
  <si>
    <t>V330-15IKB (i5-8250U/8GB/256GB/FHD/W10)</t>
  </si>
  <si>
    <t>Aspire A715-71G</t>
  </si>
  <si>
    <t>Precision 7720</t>
  </si>
  <si>
    <t>Core i7 7820HQ</t>
  </si>
  <si>
    <t>IdeaPad 310-15ABR</t>
  </si>
  <si>
    <t>A10-Series 9600P</t>
  </si>
  <si>
    <t>Radeon R5 430</t>
  </si>
  <si>
    <t>ZenBook UX530UQ-PRO</t>
  </si>
  <si>
    <t>VivoBook S14</t>
  </si>
  <si>
    <t>Rog GL702VS-GC095T</t>
  </si>
  <si>
    <t>GeForce GTX 940M</t>
  </si>
  <si>
    <t>GL553VE-FY082T (i7-7700HQ/8GB/1TB</t>
  </si>
  <si>
    <t>IdeaPad 320-15IAP</t>
  </si>
  <si>
    <t>EliteBook x360</t>
  </si>
  <si>
    <t>Core i7 7600U</t>
  </si>
  <si>
    <t>IdeaPad 720S-13IKB</t>
  </si>
  <si>
    <t>GE63VR 7RF</t>
  </si>
  <si>
    <t>ES1-523-84K7 (A8-7410/8GB/256GB/FHD/W10)</t>
  </si>
  <si>
    <t>A8-Series 7410</t>
  </si>
  <si>
    <t>VivoBook Flip</t>
  </si>
  <si>
    <t>ThinkPad 13</t>
  </si>
  <si>
    <t>Celeron Dual Core 3855U</t>
  </si>
  <si>
    <t>HD Graphics 510</t>
  </si>
  <si>
    <t>ProBook 640</t>
  </si>
  <si>
    <t>TravelMate B</t>
  </si>
  <si>
    <t>Pentium Quad Core N3710</t>
  </si>
  <si>
    <t>HD Graphics 405</t>
  </si>
  <si>
    <t>Elitebook 840</t>
  </si>
  <si>
    <t>ZenBook UX410UA-GV183T</t>
  </si>
  <si>
    <t>A12-Series 9720P</t>
  </si>
  <si>
    <t>Radeon RX 540</t>
  </si>
  <si>
    <t>Aspire E5-575</t>
  </si>
  <si>
    <t>Elitebook 820</t>
  </si>
  <si>
    <t>GL72M 7REX</t>
  </si>
  <si>
    <t>UX510UX-CN269T (i7-7500U/8GB/256GB</t>
  </si>
  <si>
    <t>V310-15ISK (i3-6006U/4GB/1TB/FHD/W10)</t>
  </si>
  <si>
    <t>FX553VD-FY647T (i7-7700HQ/8GB/256GB/GeForce</t>
  </si>
  <si>
    <t>Core i5 7300U</t>
  </si>
  <si>
    <t>Elitebook 850</t>
  </si>
  <si>
    <t>X541NA (N3350/4GB/1TB/Linux)</t>
  </si>
  <si>
    <t>Inspiron 3552</t>
  </si>
  <si>
    <t>IdeaPad 320-15ABR</t>
  </si>
  <si>
    <t>Stream 14-AX001nv</t>
  </si>
  <si>
    <t>GP72MVR 7RFX</t>
  </si>
  <si>
    <t>Zbook 15</t>
  </si>
  <si>
    <t>Tecra A50-C-21G</t>
  </si>
  <si>
    <t>Latitude 7480</t>
  </si>
  <si>
    <t>Zenbook UX410UA-GV027T</t>
  </si>
  <si>
    <t>15-AY023na (N3710/8GB/2TB/W10)</t>
  </si>
  <si>
    <t>Elitebook 1040</t>
  </si>
  <si>
    <t>GeForce GT 940MX</t>
  </si>
  <si>
    <t>IdeaPad 110-17ACL</t>
  </si>
  <si>
    <t>15-bw003nv (A9-Series-9420/4GB/256GB/FHD/W10)</t>
  </si>
  <si>
    <t>Yoga 11e</t>
  </si>
  <si>
    <t>Celeron Quad Core N3450</t>
  </si>
  <si>
    <t>VivoBook E403NA</t>
  </si>
  <si>
    <t>Omen 17-w212nv</t>
  </si>
  <si>
    <t>V310-15ISK (i3-6006U/4GB/128GB/FHD/No</t>
  </si>
  <si>
    <t>ROG Strix</t>
  </si>
  <si>
    <t>IdeaPad 720S-14IKB</t>
  </si>
  <si>
    <t>Zenbook Flip</t>
  </si>
  <si>
    <t>Thinkpad X1</t>
  </si>
  <si>
    <t>Ideapad 510S-13IKB</t>
  </si>
  <si>
    <t>Precision 3510</t>
  </si>
  <si>
    <t>Core i5 6440HQ</t>
  </si>
  <si>
    <t>FirePro W5130M</t>
  </si>
  <si>
    <t>Precision 5520</t>
  </si>
  <si>
    <t>Core i7 6820HQ</t>
  </si>
  <si>
    <t>Rog GL753VD-GC042T</t>
  </si>
  <si>
    <t>Rog GL753VE-GC070T</t>
  </si>
  <si>
    <t>Leopard GP72M</t>
  </si>
  <si>
    <t>15-BW004nv (A9-9420/4GB/256GB/Radeon</t>
  </si>
  <si>
    <t>ThinkPad E580</t>
  </si>
  <si>
    <t>ThinkPad L470</t>
  </si>
  <si>
    <t>Precision M5520</t>
  </si>
  <si>
    <t>FX753VD-GC461T (i7-7700HQ/16GB/1TB</t>
  </si>
  <si>
    <t>GE73VR 7RF</t>
  </si>
  <si>
    <t>Zenbook 3</t>
  </si>
  <si>
    <t>Portege Z30-C-16P</t>
  </si>
  <si>
    <t>Lenovo IdeaPad</t>
  </si>
  <si>
    <t>ThinkPad P51</t>
  </si>
  <si>
    <t>Thinkpad T470p</t>
  </si>
  <si>
    <t>15-BS028nv (i3-6006U/4GB/1TB/Radeon</t>
  </si>
  <si>
    <t>Latitude 3380</t>
  </si>
  <si>
    <t>EliteBook 1040</t>
  </si>
  <si>
    <t>LapBook 12.3</t>
  </si>
  <si>
    <t>ProBook 650</t>
  </si>
  <si>
    <t>X542UQ-DM117 (i3-7100U/8GB/1TB/GeForce</t>
  </si>
  <si>
    <t>Latitude 5480</t>
  </si>
  <si>
    <t>Omen 17-w207nv</t>
  </si>
  <si>
    <t>Mediacom</t>
  </si>
  <si>
    <t>FlexBook Edge</t>
  </si>
  <si>
    <t>Samsung</t>
  </si>
  <si>
    <t>Chromebook 3</t>
  </si>
  <si>
    <t>Thinkpad 13</t>
  </si>
  <si>
    <t>IdeaPad 320s-14IKB</t>
  </si>
  <si>
    <t>Thinkpad P51</t>
  </si>
  <si>
    <t>Quadro M2200M</t>
  </si>
  <si>
    <t>Ryzen 1600</t>
  </si>
  <si>
    <t>15-ra044nv (N3060/4GB/500GB/W10)</t>
  </si>
  <si>
    <t>Google</t>
  </si>
  <si>
    <t>Pixelbook (Core</t>
  </si>
  <si>
    <t>Core i7 7Y75</t>
  </si>
  <si>
    <t>ThinkPad T470s</t>
  </si>
  <si>
    <t>Radeon R4</t>
  </si>
  <si>
    <t>ThinkPad X270</t>
  </si>
  <si>
    <t>Omen 15-AX205na</t>
  </si>
  <si>
    <t>Core i5 7440HQ</t>
  </si>
  <si>
    <t>Aspire ES1-572</t>
  </si>
  <si>
    <t>Precision 3520</t>
  </si>
  <si>
    <t>Quadro M620</t>
  </si>
  <si>
    <t>GV62 7RD-1686NL</t>
  </si>
  <si>
    <t>Core i7 7660U</t>
  </si>
  <si>
    <t>15-bs024nv (i5-7200U/8GB/128GB/W10)</t>
  </si>
  <si>
    <t>ThinkPad T470</t>
  </si>
  <si>
    <t>Inspiron 3168</t>
  </si>
  <si>
    <t>Core M m3-7Y30</t>
  </si>
  <si>
    <t>17-BS092ND (i3-6006U/8GB/256GB/W10)</t>
  </si>
  <si>
    <t>Pro P2540UA-AB51</t>
  </si>
  <si>
    <t>IdeaPad 510s-14IKB</t>
  </si>
  <si>
    <t>Radeon R7 M460</t>
  </si>
  <si>
    <t>X541NA-PD1003Y (N4200/4GB/500GB/W10)</t>
  </si>
  <si>
    <t>Omen 17-an006nv</t>
  </si>
  <si>
    <t>Thinkpad T460s</t>
  </si>
  <si>
    <t>Core i5 7Y57</t>
  </si>
  <si>
    <t>Latitude 7390</t>
  </si>
  <si>
    <t>Core i7 6700HQ</t>
  </si>
  <si>
    <t>HD Graphics 530</t>
  </si>
  <si>
    <t>Latitude E5470</t>
  </si>
  <si>
    <t>Core i3 6100U</t>
  </si>
  <si>
    <t>Portege X30-D-10J</t>
  </si>
  <si>
    <t>Lapbook 15,6</t>
  </si>
  <si>
    <t>ThinkPad E570</t>
  </si>
  <si>
    <t>Thinkpad X270</t>
  </si>
  <si>
    <t>Zenbook UX390UA</t>
  </si>
  <si>
    <t>Thinkpad E570</t>
  </si>
  <si>
    <t>Portege X30-D-10L</t>
  </si>
  <si>
    <t>A10-Series 9620P</t>
  </si>
  <si>
    <t>Rog G752VL-UH71T</t>
  </si>
  <si>
    <t>GeForce GTX 965M</t>
  </si>
  <si>
    <t>Thinkpad X260</t>
  </si>
  <si>
    <t>Ideapad 520-15IKBR</t>
  </si>
  <si>
    <t>ThinkPad L570</t>
  </si>
  <si>
    <t>VivoBook E201NA</t>
  </si>
  <si>
    <t>15-BS026nv (i5-7200U/8GB/256GB/Radeon</t>
  </si>
  <si>
    <t>IdeaPad 320-14IAP</t>
  </si>
  <si>
    <t>Chromebook N23</t>
  </si>
  <si>
    <t>ZenBook UX510UX-CN211T</t>
  </si>
  <si>
    <t>Aspire A515-51G-59QF</t>
  </si>
  <si>
    <t>Envy 13-AB002nv</t>
  </si>
  <si>
    <t>Vostro 5568</t>
  </si>
  <si>
    <t>VivoBook E12</t>
  </si>
  <si>
    <t>15-bs190od (i5-8250U/4GB/1TB/W10)</t>
  </si>
  <si>
    <t>ROG Zephyrus</t>
  </si>
  <si>
    <t>GeForce GTX1080</t>
  </si>
  <si>
    <t>Probook 450</t>
  </si>
  <si>
    <t>FX753VE-GC155T (i7-7700HQ/16GB/1TB</t>
  </si>
  <si>
    <t>GeForce GTX1050 Ti</t>
  </si>
  <si>
    <t>Spectre X360</t>
  </si>
  <si>
    <t>Windows 7</t>
  </si>
  <si>
    <t>Latitude 5580</t>
  </si>
  <si>
    <t>Zenbook UX510UW-FI095T</t>
  </si>
  <si>
    <t>GeForce GTX 960M</t>
  </si>
  <si>
    <t>SmartBook Edge</t>
  </si>
  <si>
    <t>Omen 15-ce006nv</t>
  </si>
  <si>
    <t>Thinkpad E470</t>
  </si>
  <si>
    <t>Envy 13-AB020nr</t>
  </si>
  <si>
    <t>VivoBook X540YA-XX519T</t>
  </si>
  <si>
    <t>E-Series 7110</t>
  </si>
  <si>
    <t>Radeon R2 Graphics</t>
  </si>
  <si>
    <t>ThinkPad E470</t>
  </si>
  <si>
    <t>V310-15ISK (i5-6200U/4GB/1TB/FHD/No</t>
  </si>
  <si>
    <t>ThinkPad T570</t>
  </si>
  <si>
    <t>17-X047na (i3-6006U/8GB/1TB/W10)</t>
  </si>
  <si>
    <t>A541NA-GO342 (N3350/4GB/500GB/Linux)</t>
  </si>
  <si>
    <t>SmartBook 130</t>
  </si>
  <si>
    <t>15-bw007nv (A10-9620P/6GB/128GB/Radeon</t>
  </si>
  <si>
    <t>Spin SP111-31</t>
  </si>
  <si>
    <t>V330-15IKB (i3-7130U/4GB/128GB/FHD/W10)</t>
  </si>
  <si>
    <t>EliteBook 1030</t>
  </si>
  <si>
    <t>Thinkpad P71</t>
  </si>
  <si>
    <t>Quadro M620M</t>
  </si>
  <si>
    <t>FX553VD-DM627T (i5-7300HQ/8GB/1TB</t>
  </si>
  <si>
    <t>Fujitsu</t>
  </si>
  <si>
    <t>Lifebook A557</t>
  </si>
  <si>
    <t>ZBook 17</t>
  </si>
  <si>
    <t>14-am079na (N3710/8GB/2TB/W10)</t>
  </si>
  <si>
    <t>15-cd005nv (A9-9420/6GB/256GB/Radeon</t>
  </si>
  <si>
    <t>A9-Series A9-9420</t>
  </si>
  <si>
    <t>V330-15IKB (i5-8250U/4GB/500GB/FHD/W10)</t>
  </si>
  <si>
    <t>SmartBook 141</t>
  </si>
  <si>
    <t>Tecra X40-D-10H</t>
  </si>
  <si>
    <t>IdeaPad Y910-17ISK</t>
  </si>
  <si>
    <t>Core i7 6820HK</t>
  </si>
  <si>
    <t>GT73VR Titan</t>
  </si>
  <si>
    <t>Chromebook 11</t>
  </si>
  <si>
    <t>GT80S 6QE</t>
  </si>
  <si>
    <t>Omen 17-AN010nv</t>
  </si>
  <si>
    <t>Ideapad 320-15IKBR</t>
  </si>
  <si>
    <t>TP501UA-CJ131T (i5-7200U/8GB/1TB/W10)</t>
  </si>
  <si>
    <t>Inspiron 3179</t>
  </si>
  <si>
    <t>Core M 7Y30</t>
  </si>
  <si>
    <t>Notebook Odyssey</t>
  </si>
  <si>
    <t>V320-17ISK (i3-6006U/4GB/500GB/FHD/No</t>
  </si>
  <si>
    <t>IdeaPad 110-15ISK</t>
  </si>
  <si>
    <t>Latitude 5289</t>
  </si>
  <si>
    <t>EliteBook 850</t>
  </si>
  <si>
    <t>Aspire 1</t>
  </si>
  <si>
    <t>Laptop MSI</t>
  </si>
  <si>
    <t>GeForce GTX 970M</t>
  </si>
  <si>
    <t>GS63VR 7RF</t>
  </si>
  <si>
    <t>Tecra Z50-C-144</t>
  </si>
  <si>
    <t>IdeaPad 310-15IKB</t>
  </si>
  <si>
    <t>Swift SF114-31-P5HY</t>
  </si>
  <si>
    <t>Xeon E3-1535M v6</t>
  </si>
  <si>
    <t>Inspiron 7559</t>
  </si>
  <si>
    <t>GeForce GTX 960&lt;U+039C&gt;</t>
  </si>
  <si>
    <t>FX753VD-GC007T (i7-7700HQ/8GB/1TB</t>
  </si>
  <si>
    <t>GT62VR 7RE</t>
  </si>
  <si>
    <t>CB5-132T-C9KK (N3160/4GB/32GB/Chrome</t>
  </si>
  <si>
    <t>Celeron Quad Core N3160</t>
  </si>
  <si>
    <t>LifeBook A557</t>
  </si>
  <si>
    <t>SmartBook 140</t>
  </si>
  <si>
    <t>Q304UA-BHI5T11 (i5-7200U/6GB/1TB/FHD/W10)</t>
  </si>
  <si>
    <t>ZenBook 3</t>
  </si>
  <si>
    <t>V330-15IKB (i5-8250U/4GB/256GB/FHD/W10)</t>
  </si>
  <si>
    <t>Ideapad 320-15ISK</t>
  </si>
  <si>
    <t>X541NA-GO414T (N3350/8GB/1TB/W10)</t>
  </si>
  <si>
    <t>IdeaPad 100S-14IBR</t>
  </si>
  <si>
    <t>17-AK091ND (A9-9420/8GB/1TB/W10)</t>
  </si>
  <si>
    <t>ROG GL553VE-FY022</t>
  </si>
  <si>
    <t>Extensa EX2540</t>
  </si>
  <si>
    <t>Graphics 620</t>
  </si>
  <si>
    <t>Portege Z30-C-16J</t>
  </si>
  <si>
    <t>ROG G701VI</t>
  </si>
  <si>
    <t>A715-71G-59DH (i5-7300HQ/8GB/1TB/GeForce</t>
  </si>
  <si>
    <t>GL62M 7REX</t>
  </si>
  <si>
    <t>Tecra A50-D-11M</t>
  </si>
  <si>
    <t>IdeaPad Y700-15ISK</t>
  </si>
  <si>
    <t>GeForce GTX 960</t>
  </si>
  <si>
    <t>Latitude E7470</t>
  </si>
  <si>
    <t>Core i5 6300U</t>
  </si>
  <si>
    <t>Ideapad 320-15IAP</t>
  </si>
  <si>
    <t>15-ay047nv (i3-6006U/6GB/1TB/Radeon</t>
  </si>
  <si>
    <t>GP72VR Leopard</t>
  </si>
  <si>
    <t>Latitude 3580</t>
  </si>
  <si>
    <t>15-bs012nv (i7-7500U/8GB/1TB/Radeon</t>
  </si>
  <si>
    <t>Tecra Z50-D-10E</t>
  </si>
  <si>
    <t>V310-15ISK (i5-7200U/8GB/1TB</t>
  </si>
  <si>
    <t>Yoga 720-13IKB</t>
  </si>
  <si>
    <t>E-Series E2-9000</t>
  </si>
  <si>
    <t>Pavilion X360</t>
  </si>
  <si>
    <t>GP62 7RDX</t>
  </si>
  <si>
    <t>Chromebook X360</t>
  </si>
  <si>
    <t>LG</t>
  </si>
  <si>
    <t>Gram 15Z975</t>
  </si>
  <si>
    <t>Aspire VX5-591G</t>
  </si>
  <si>
    <t>GV62M 7RD</t>
  </si>
  <si>
    <t>L502NA-GO052T (N3350/4GB/128GB/W10)</t>
  </si>
  <si>
    <t>Alienware 15</t>
  </si>
  <si>
    <t>17-bs000nv I3</t>
  </si>
  <si>
    <t>Radeon R5 520</t>
  </si>
  <si>
    <t>Yoga 730</t>
  </si>
  <si>
    <t>17-Y002nv (A10-9600P/6GB/2TB/Radeon</t>
  </si>
  <si>
    <t>Radeon R7 M440</t>
  </si>
  <si>
    <t>V110-15ISK (3855U/4GB/500GB/W10)</t>
  </si>
  <si>
    <t>Chromebook 14</t>
  </si>
  <si>
    <t>IdeaPad 520s-14IKB</t>
  </si>
  <si>
    <t>TravelMate B117-M</t>
  </si>
  <si>
    <t>Celeron Dual Core N3050</t>
  </si>
  <si>
    <t>Chromebook Flip</t>
  </si>
  <si>
    <t>Core M M3-6Y30</t>
  </si>
  <si>
    <t>Portege Z30T-C-133</t>
  </si>
  <si>
    <t>15-bs011nv (i7-7500U/4GB/500GB/Radeon</t>
  </si>
  <si>
    <t>Radeon R7</t>
  </si>
  <si>
    <t>V310-15IKB (i5-7200U/4GB/1TB/FHD/W10)</t>
  </si>
  <si>
    <t>V310-15ISK (i3-6006U/4GB/500GB/No</t>
  </si>
  <si>
    <t>ThinkPad P51s</t>
  </si>
  <si>
    <t>Quadro M520M</t>
  </si>
  <si>
    <t>Thinkpad T460p</t>
  </si>
  <si>
    <t>Core i5 6300HQ</t>
  </si>
  <si>
    <t>17-ak002nv (A10-9620P/6GB/2TB/Radeon</t>
  </si>
  <si>
    <t>110-15ACL (A6-7310/4GB/500GB/W10)</t>
  </si>
  <si>
    <t>A6-Series 7310</t>
  </si>
  <si>
    <t>Smartbook 142</t>
  </si>
  <si>
    <t>Atom Z8350</t>
  </si>
  <si>
    <t>V310-15IKB (i5-7200U/4GB/1TB/No</t>
  </si>
  <si>
    <t>Inspiron 5378</t>
  </si>
  <si>
    <t>15-BW037na (A9-9420/4GB/1TB/Radeon</t>
  </si>
  <si>
    <t>Predator 17</t>
  </si>
  <si>
    <t>15-BW091ND (A9-9420/6GB/1TB</t>
  </si>
  <si>
    <t>Extensa EX2540-58KR</t>
  </si>
  <si>
    <t>V310-15IKB (i7-7500U/4GB/1TB/FHD/W10)</t>
  </si>
  <si>
    <t>ZBook 15</t>
  </si>
  <si>
    <t>Quadro M2200</t>
  </si>
  <si>
    <t>Inspiron 7560</t>
  </si>
  <si>
    <t>Tecra X40-D-10G</t>
  </si>
  <si>
    <t>Flex 5</t>
  </si>
  <si>
    <t>Thinkpad P51s</t>
  </si>
  <si>
    <t>Notebook 9</t>
  </si>
  <si>
    <t>Zbook 17</t>
  </si>
  <si>
    <t>Xeon E3-1535M v5</t>
  </si>
  <si>
    <t>Quadro M2000M</t>
  </si>
  <si>
    <t>N23 (N3060/4GB/128GB/W10)</t>
  </si>
  <si>
    <t>X550VX-XX015D (i5-6300HQ/4GB/1TB/GeForce</t>
  </si>
  <si>
    <t>Thinkpad T460</t>
  </si>
  <si>
    <t>Pro P2540UA-XO0192R</t>
  </si>
  <si>
    <t>Yoga 900-13ISK</t>
  </si>
  <si>
    <t>Core i5 6260U</t>
  </si>
  <si>
    <t>HD Graphics 540</t>
  </si>
  <si>
    <t>15-cb003na (i5-7300HQ/8GB/1TB</t>
  </si>
  <si>
    <t>Quadro M1000M</t>
  </si>
  <si>
    <t>Latitude 7280</t>
  </si>
  <si>
    <t>Zenbook UX330UA-AH5Q</t>
  </si>
  <si>
    <t>TravelMate P238-M</t>
  </si>
  <si>
    <t>X751NV-TY001 (N4200/4GB/1TB/GeForce</t>
  </si>
  <si>
    <t>Radeon 540</t>
  </si>
  <si>
    <t>Tecra A40-C-1E5</t>
  </si>
  <si>
    <t>EliteBook 820</t>
  </si>
  <si>
    <t>Q524UQ-BHI7T15 (i7-7500U/12GB/2TB/GeForce</t>
  </si>
  <si>
    <t>Thinkpad P50</t>
  </si>
  <si>
    <t>Vivobook Max</t>
  </si>
  <si>
    <t>Pentium Dual Core N4200</t>
  </si>
  <si>
    <t>GeForce GTX 1070M</t>
  </si>
  <si>
    <t>Rog G752VS-BA171T</t>
  </si>
  <si>
    <t>Tecra Z40-C-161</t>
  </si>
  <si>
    <t>IdeaPad 110-15IBR</t>
  </si>
  <si>
    <t>Celeron Quad Core N3710</t>
  </si>
  <si>
    <t>GS43VR 7RE</t>
  </si>
  <si>
    <t>GL62M (i5-7300HQ/8GB/1TB</t>
  </si>
  <si>
    <t>Predator G9-793</t>
  </si>
  <si>
    <t>FX502VM-DM560T (i7-7700HQ/8GB/1TB</t>
  </si>
  <si>
    <t>GeForce GTX1060</t>
  </si>
  <si>
    <t>K146 (N3350/4GB/32GB/W10)</t>
  </si>
  <si>
    <t>Yoga 510-15IKB</t>
  </si>
  <si>
    <t>Core M</t>
  </si>
  <si>
    <t>HD Graphics 5300</t>
  </si>
  <si>
    <t>R417NA-RS01 (N3350/4GB/32GB/W10)</t>
  </si>
  <si>
    <t>Radeon R5 M420X</t>
  </si>
  <si>
    <t>Pro P2540UA-XS51</t>
  </si>
  <si>
    <t>Latitude 3180</t>
  </si>
  <si>
    <t>15-ba043na (A12-9700P/8GB/2TB/W10)</t>
  </si>
  <si>
    <t>A12-Series 9700P</t>
  </si>
  <si>
    <t>Radeon R7 Graphics</t>
  </si>
  <si>
    <t>Omen 17-an012dx</t>
  </si>
  <si>
    <t>Thinkpad T470s</t>
  </si>
  <si>
    <t>Blade Stealth</t>
  </si>
  <si>
    <t>Latitude 3480</t>
  </si>
  <si>
    <t>V110-15ISK (i3-6006U/4GB/500GB/W10)</t>
  </si>
  <si>
    <t>Tecra X40-D-10Z</t>
  </si>
  <si>
    <t>GL62M 7RD</t>
  </si>
  <si>
    <t>Pentium Dual Core 4405U</t>
  </si>
  <si>
    <t>GeForce 920</t>
  </si>
  <si>
    <t>Rog GL702VS-BA023T</t>
  </si>
  <si>
    <t>N42-20 Chromebook</t>
  </si>
  <si>
    <t>R558UA-DM966T (i5-7200U/8GB/128GB/FHD/W10)</t>
  </si>
  <si>
    <t>Rog GL702VM-GC017T</t>
  </si>
  <si>
    <t>ZenBook UX310UQ-GL026T</t>
  </si>
  <si>
    <t>GeForce 940M</t>
  </si>
  <si>
    <t>Rog GL502VM-DS74</t>
  </si>
  <si>
    <t>Inspiron 5767</t>
  </si>
  <si>
    <t>ThinkPad T470p</t>
  </si>
  <si>
    <t>K556UR-DM621T (i7-7500U/8GB/256GB/GeForce</t>
  </si>
  <si>
    <t>GeForce GTX 930MX</t>
  </si>
  <si>
    <t>X541NA (N4200/4GB/1TB/W10)</t>
  </si>
  <si>
    <t>Inspiron 5368</t>
  </si>
  <si>
    <t>Radeon R7 M465</t>
  </si>
  <si>
    <t>Portege X30-D-10X</t>
  </si>
  <si>
    <t>PortÃ©gÃ© Z30-C-188</t>
  </si>
  <si>
    <t>TMX349-G2-M-50FS (i5-7200U/8GB/256GB/FHD/W10)</t>
  </si>
  <si>
    <t>Tecra A50-D-11D</t>
  </si>
  <si>
    <t>X541NA-GO121 (N4200/4GB/1TB/Linux)</t>
  </si>
  <si>
    <t>Pavilion x360</t>
  </si>
  <si>
    <t>VivoBook L402NA</t>
  </si>
  <si>
    <t>IdeaPad 510-15ISK</t>
  </si>
  <si>
    <t>Rog GL753VD-GC082T</t>
  </si>
  <si>
    <t>Chromebook C731-C78G</t>
  </si>
  <si>
    <t>A4-Series 7210</t>
  </si>
  <si>
    <t>Radeon R3</t>
  </si>
  <si>
    <t>Probook 640</t>
  </si>
  <si>
    <t>Envy x360</t>
  </si>
  <si>
    <t>GS73VR Stealth</t>
  </si>
  <si>
    <t>Portege X30-D-10V</t>
  </si>
  <si>
    <t>GeForce GTX 1050Ti</t>
  </si>
  <si>
    <t>G701VO-IH74K (i7-6820HK/32GB/2x</t>
  </si>
  <si>
    <t>Gram 15Z970</t>
  </si>
  <si>
    <t>Chromebook CB5-571-C1DZ</t>
  </si>
  <si>
    <t>Gram 14Z970</t>
  </si>
  <si>
    <t>Elitebook Folio</t>
  </si>
  <si>
    <t>IdeaPad 510-15IKB</t>
  </si>
  <si>
    <t>GE72VR 6RF</t>
  </si>
  <si>
    <t>Radeon R7 M365X</t>
  </si>
  <si>
    <t>Envy 13-AB077cl</t>
  </si>
  <si>
    <t>Tecra Z50-C-140</t>
  </si>
  <si>
    <t>Probook 650</t>
  </si>
  <si>
    <t>Core i7 6560U</t>
  </si>
  <si>
    <t>Tecra Z40-C-12X</t>
  </si>
  <si>
    <t>GP62M Leopard</t>
  </si>
  <si>
    <t>Omen 17-W006na</t>
  </si>
  <si>
    <t>X751SV-TY001T (N3710/4GB/1TB/GeForce</t>
  </si>
  <si>
    <t>TravelMate P259-G2</t>
  </si>
  <si>
    <t>Tecra A50-C-1ZV</t>
  </si>
  <si>
    <t>Yoga 700-11ISK</t>
  </si>
  <si>
    <t>Core M m7-6Y75</t>
  </si>
  <si>
    <t>IdeaPad Y700-15ACZ</t>
  </si>
  <si>
    <t>FX 8800P</t>
  </si>
  <si>
    <t>Radeon R9 M385</t>
  </si>
  <si>
    <t>Insprion 5767</t>
  </si>
  <si>
    <t>ZBook Studio</t>
  </si>
  <si>
    <t>Portege Z30-C-1CW</t>
  </si>
  <si>
    <t>Core M M7-6Y75</t>
  </si>
  <si>
    <t>ProBook x360</t>
  </si>
  <si>
    <t>Chromebook C738T-C2EJ</t>
  </si>
  <si>
    <t>Portege Z30-C-16Z</t>
  </si>
  <si>
    <t>Aspire F5-573G-510L</t>
  </si>
  <si>
    <t>Portege X20W-D-10V</t>
  </si>
  <si>
    <t>Tecra A40-C-1DF</t>
  </si>
  <si>
    <t>ThinkPad T460</t>
  </si>
  <si>
    <t>Q534UX-BHI7T19 (i7-7500U/16GB/2TB</t>
  </si>
  <si>
    <t>15-bs053od (i7-7500U/6GB/1TB/W10)</t>
  </si>
  <si>
    <t>Rog GL753VE-DS74</t>
  </si>
  <si>
    <t>Inspiron 7579</t>
  </si>
  <si>
    <t>Portege Z30-C-1CV</t>
  </si>
  <si>
    <t>LifeBook A556</t>
  </si>
  <si>
    <t>Tecra A40-C-1KF</t>
  </si>
  <si>
    <t xml:space="preserve">HD Graphics 620 </t>
  </si>
  <si>
    <t>15-bs005nv (i3-6006U/4GB/1TB</t>
  </si>
  <si>
    <t>V110-15IAP (N3350/4GB/128GB/No</t>
  </si>
  <si>
    <t>ThinkPad T560</t>
  </si>
  <si>
    <t>ZenBook UX310UA-FB485T</t>
  </si>
  <si>
    <t>Spectre 13-V111dx</t>
  </si>
  <si>
    <t>Aspire ES1-533</t>
  </si>
  <si>
    <t>Rog GL553VE-DS74</t>
  </si>
  <si>
    <t>Nitro 5</t>
  </si>
  <si>
    <t>ENVY -</t>
  </si>
  <si>
    <t>Portege Z30-C-16H</t>
  </si>
  <si>
    <t>Portege A30-C-1CZ</t>
  </si>
  <si>
    <t>ThinkPad P70</t>
  </si>
  <si>
    <t>Quadro 3000M</t>
  </si>
  <si>
    <t>Tecra Z40-C-12Z</t>
  </si>
  <si>
    <t>Inspiron 5568</t>
  </si>
  <si>
    <t>PortÃ©gÃ© Z30-C-16K</t>
  </si>
  <si>
    <t>Spectre 13-V100nv</t>
  </si>
  <si>
    <t>Latitude E5570</t>
  </si>
  <si>
    <t>Tecra Z40-C-136</t>
  </si>
  <si>
    <t>Yoga 500-15ISK</t>
  </si>
  <si>
    <t>V142 (X5-Z8350/2GB/32GB/W10)</t>
  </si>
  <si>
    <t>Atom X5-Z8350</t>
  </si>
  <si>
    <t>Tecra A50-C-218</t>
  </si>
  <si>
    <t>Thinkpad L560</t>
  </si>
  <si>
    <t>GT72S Dominator</t>
  </si>
  <si>
    <t>IdeaPad Y900-17ISK</t>
  </si>
  <si>
    <t>Chromebook C202SA</t>
  </si>
  <si>
    <t>Noteb Pav</t>
  </si>
  <si>
    <t>Inspiron 5578</t>
  </si>
  <si>
    <t>250 G5</t>
  </si>
  <si>
    <t>Aspire ES1-523</t>
  </si>
  <si>
    <t>Inspiron 7378</t>
  </si>
  <si>
    <t>GT62VR 6RD</t>
  </si>
  <si>
    <t>Rog G752VL-GC088D</t>
  </si>
  <si>
    <t>GS63VR 6RF</t>
  </si>
  <si>
    <t>ROG G701VO</t>
  </si>
  <si>
    <t xml:space="preserve">GeForce GTX 980 </t>
  </si>
  <si>
    <t>Latitude 3570</t>
  </si>
  <si>
    <t>IdeaPad 300-17ISK</t>
  </si>
  <si>
    <t>Radeon R5 M330</t>
  </si>
  <si>
    <t>Ideapad 700-15ISK</t>
  </si>
  <si>
    <t>GT72VR Dominator</t>
  </si>
  <si>
    <t>V110-15ISK (i5-6200U/4GB/500GB/W10)</t>
  </si>
  <si>
    <t>Yoga 900S-12ISK</t>
  </si>
  <si>
    <t>FirePro W4190M</t>
  </si>
  <si>
    <t>Chromebook 13</t>
  </si>
  <si>
    <t>Pentium Dual Core 4405Y</t>
  </si>
  <si>
    <t>Pentium Quad Core N3700</t>
  </si>
  <si>
    <t>Rog GL702VM-GC354T</t>
  </si>
  <si>
    <t>Aspire F5-573G</t>
  </si>
  <si>
    <t>GS70 Stealth</t>
  </si>
  <si>
    <t>G752VY-GC162T (i7-6700HQ/16GB/1TB</t>
  </si>
  <si>
    <t>Latitude E5270</t>
  </si>
  <si>
    <t>Chromebook 15</t>
  </si>
  <si>
    <t>FirePro W6150M</t>
  </si>
  <si>
    <t>GE72 Apache</t>
  </si>
  <si>
    <t>15-bw011nv (A6-9220/4GB/1TB/FHD/W10)</t>
  </si>
  <si>
    <t>Rog GL552VW-CN470T</t>
  </si>
  <si>
    <t>Core M 6Y54</t>
  </si>
  <si>
    <t>Vostro 3559</t>
  </si>
  <si>
    <t>Radeon R5 M315</t>
  </si>
  <si>
    <t>V110-15ISK (i3-6006U/4GB/128GB/W10)</t>
  </si>
  <si>
    <t>Spectre Pro</t>
  </si>
  <si>
    <t>Portege X30-D-10K</t>
  </si>
  <si>
    <t>Rog GL752VW-T4308T</t>
  </si>
  <si>
    <t>V131 (X5-Z8350/4GB/32GB/FHD/W10)</t>
  </si>
  <si>
    <t>Omen -</t>
  </si>
  <si>
    <t>15-bs078cl (i7-7500U/8GB/2TB/W10)</t>
  </si>
  <si>
    <t>ThinkPad P40</t>
  </si>
  <si>
    <t>Quadro M500M</t>
  </si>
  <si>
    <t>L403NA-GA013TS (N3350/4GB/32GB/W10)</t>
  </si>
  <si>
    <t>IdeaPad 500-15ISK</t>
  </si>
  <si>
    <t>Radeon R7 M360</t>
  </si>
  <si>
    <t>Quadro M3000M</t>
  </si>
  <si>
    <t>GP62M 7RDX</t>
  </si>
  <si>
    <t>V110-15ISK (i3-6006U/4GB/1TB/No</t>
  </si>
  <si>
    <t>15-BA015wm (E2-7110/4GB/500GB/W10)</t>
  </si>
  <si>
    <t>B51-80 (i5-6200U/8GB/1TB/Radeon</t>
  </si>
  <si>
    <t>GeForce 960M</t>
  </si>
  <si>
    <t>15-bw002nv (A6-9220/4GB/256GB/Radeon</t>
  </si>
  <si>
    <t>GP72M 7REX</t>
  </si>
  <si>
    <t>ThinkPad T460s</t>
  </si>
  <si>
    <t>B51-80 (i5-6200U/8GB/1008GB/Radeon</t>
  </si>
  <si>
    <t>GS40 Phantom</t>
  </si>
  <si>
    <t>Pavilion 15-cb003nv</t>
  </si>
  <si>
    <t>IdeaPad 310-15ISK</t>
  </si>
  <si>
    <t>250 G4</t>
  </si>
  <si>
    <t>320-15ISK (i3-6006U/4GB/1TB/GeForce</t>
  </si>
  <si>
    <t>Stream 14-AX000nv</t>
  </si>
  <si>
    <t>PL60 7RD</t>
  </si>
  <si>
    <t>X553SA-XX021T (N3050/4GB/500GB/W10)</t>
  </si>
  <si>
    <t>V110-15ISK (i5-6200U/4GB/500GB/No</t>
  </si>
  <si>
    <t>UX410UA-GV097T (i3-7100U/4GB/256GB/FHD/W10)</t>
  </si>
  <si>
    <t>B51-80 (i7-6500U/4GB/1008GB/FHD/W7)</t>
  </si>
  <si>
    <t>GS60 Ghost</t>
  </si>
  <si>
    <t>Pavilion 15-BC000nv</t>
  </si>
  <si>
    <t>Rog GL552VW-DM201T</t>
  </si>
  <si>
    <t>Chromebook Plus</t>
  </si>
  <si>
    <t>Cortex A72&amp;A53</t>
  </si>
  <si>
    <t>Mali T860 MP4</t>
  </si>
  <si>
    <t>Pavilion Power</t>
  </si>
  <si>
    <t>V110-15ISK (i3-6006U/4GB/1TB/Radeon</t>
  </si>
  <si>
    <t>Rog G752VY-GC229T</t>
  </si>
  <si>
    <t>GS73VR 7RF</t>
  </si>
  <si>
    <t>FX502VM-DM105T (i7-6700HQ/8GB/1TB/GeForce</t>
  </si>
  <si>
    <t>15-bs025nv (i5-7200U/8GB/256GB/W10)</t>
  </si>
  <si>
    <t>E-Series 9000</t>
  </si>
  <si>
    <t>Aspire E5-774G</t>
  </si>
  <si>
    <t>FX502VM-AS73 (i7-7700HQ/16GB/1TB</t>
  </si>
  <si>
    <t>C740-C9QX (3205U/2GB/32GB/Chrome</t>
  </si>
  <si>
    <t>E5 774G</t>
  </si>
  <si>
    <t>SP714-51 (i7-7Y75/8GB/256GB/FHD/W10)</t>
  </si>
  <si>
    <t>Thinkpad T560</t>
  </si>
  <si>
    <t>GP62MVR 6RF</t>
  </si>
  <si>
    <t>15-bw009nv (A12-9720P/6GB/1TB/Radeon</t>
  </si>
  <si>
    <t>Latitude E7270</t>
  </si>
  <si>
    <t>X540SA-RBPDN09 (N3710/4GB/1TB/W10)</t>
  </si>
  <si>
    <t>GL62M 7RDX</t>
  </si>
  <si>
    <t>GE72VR Apache</t>
  </si>
  <si>
    <t>15-bs023nv (i3-6006U/4GB/1TB/FHD/W10)</t>
  </si>
  <si>
    <t>GL62 6QF</t>
  </si>
  <si>
    <t>ZenBook UX310UA-WB71</t>
  </si>
  <si>
    <t>Inspiron 7779</t>
  </si>
  <si>
    <t>Rog GL553VE-FY052T</t>
  </si>
  <si>
    <t>Rog GL502VS</t>
  </si>
  <si>
    <t>V510-15IKB (i5-7200U/8GB/256GB/FHD/No</t>
  </si>
  <si>
    <t>ThinkPad L460</t>
  </si>
  <si>
    <t>X541NA-GO020T (N3350/4GB/1TB/W10)</t>
  </si>
  <si>
    <t>Rog G752VT-GC073T</t>
  </si>
  <si>
    <t>B51-80 (i7-6500U/8GB/1008GB/Radeon</t>
  </si>
  <si>
    <t>GE62 Apache</t>
  </si>
  <si>
    <t>Yoga 500-14IBD</t>
  </si>
  <si>
    <t>ZenBook UX305CA-UBM1</t>
  </si>
  <si>
    <t>Core M 6Y30</t>
  </si>
  <si>
    <t>Aspire ES1-531</t>
  </si>
  <si>
    <t>Pavilion 15-AW003nv</t>
  </si>
  <si>
    <t>A9-Series 9410</t>
  </si>
  <si>
    <t>Stream 11-Y000na</t>
  </si>
  <si>
    <t>X556UJ-XO044T (i7-6500U/4GB/500GB/GeForce</t>
  </si>
  <si>
    <t>Yoga 500-14ISK</t>
  </si>
  <si>
    <t>15-AC110nv (i7-6500U/6GB/1TB/Radeon</t>
  </si>
  <si>
    <t>X553SA-XX031T (N3050/4GB/500GB/W10)</t>
  </si>
  <si>
    <t>Total_Storage</t>
  </si>
  <si>
    <t>CPU_Combined</t>
  </si>
  <si>
    <t>Storage_Type_Combined</t>
  </si>
  <si>
    <t>Row Labels</t>
  </si>
  <si>
    <t>Grand Total</t>
  </si>
  <si>
    <t>Brand</t>
  </si>
  <si>
    <t>Budget</t>
  </si>
  <si>
    <t>Median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</si>
</sst>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1" fillId="0" borderId="0" xfId="0" applyFont="1" applyAlignme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[laptop_analysis.xlsx]Median_Price_Analysis!price_analysis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Which</a:t>
            </a:r>
            <a:r>
              <a:rPr lang="en-US" baseline="0"/>
              <a:t> Brand has the highestmedian price for laptop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Median_Price_Analysis!$B$1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Median_Price_Analysis!$A$2:$A$21</c:f>
              <c:strCache>
                <c:ptCount val="19"/>
                <c:pt idx="0">
                  <c:v>Vero</c:v>
                </c:pt>
                <c:pt idx="1">
                  <c:v>Chuwi</c:v>
                </c:pt>
                <c:pt idx="2">
                  <c:v>Mediacom</c:v>
                </c:pt>
                <c:pt idx="3">
                  <c:v>Acer</c:v>
                </c:pt>
                <c:pt idx="4">
                  <c:v>Fujitsu</c:v>
                </c:pt>
                <c:pt idx="5">
                  <c:v>Lenovo</c:v>
                </c:pt>
                <c:pt idx="6">
                  <c:v>HP</c:v>
                </c:pt>
                <c:pt idx="7">
                  <c:v>Dell</c:v>
                </c:pt>
                <c:pt idx="8">
                  <c:v>Asus</c:v>
                </c:pt>
                <c:pt idx="9">
                  <c:v>Xiaomi</c:v>
                </c:pt>
                <c:pt idx="10">
                  <c:v>Toshiba</c:v>
                </c:pt>
                <c:pt idx="11">
                  <c:v>Apple</c:v>
                </c:pt>
                <c:pt idx="12">
                  <c:v>Huawei</c:v>
                </c:pt>
                <c:pt idx="13">
                  <c:v>Google</c:v>
                </c:pt>
                <c:pt idx="14">
                  <c:v>Microsoft</c:v>
                </c:pt>
                <c:pt idx="15">
                  <c:v>MSI</c:v>
                </c:pt>
                <c:pt idx="16">
                  <c:v>Samsung</c:v>
                </c:pt>
                <c:pt idx="17">
                  <c:v>LG</c:v>
                </c:pt>
                <c:pt idx="18">
                  <c:v>Razer</c:v>
                </c:pt>
              </c:strCache>
            </c:strRef>
          </c:cat>
          <c:val>
            <c:numRef>
              <c:f>Median_Price_Analysis!$B$2:$B$21</c:f>
              <c:numCache>
                <c:formatCode>[$$-409]#,##0</c:formatCode>
                <c:ptCount val="19"/>
                <c:pt idx="0">
                  <c:v>206.85000000000002</c:v>
                </c:pt>
                <c:pt idx="1">
                  <c:v>248.9</c:v>
                </c:pt>
                <c:pt idx="2">
                  <c:v>265</c:v>
                </c:pt>
                <c:pt idx="3">
                  <c:v>572</c:v>
                </c:pt>
                <c:pt idx="4">
                  <c:v>739</c:v>
                </c:pt>
                <c:pt idx="5">
                  <c:v>899</c:v>
                </c:pt>
                <c:pt idx="6">
                  <c:v>979</c:v>
                </c:pt>
                <c:pt idx="7">
                  <c:v>999</c:v>
                </c:pt>
                <c:pt idx="8">
                  <c:v>1049.45</c:v>
                </c:pt>
                <c:pt idx="9">
                  <c:v>1099.45</c:v>
                </c:pt>
                <c:pt idx="10">
                  <c:v>1211.5</c:v>
                </c:pt>
                <c:pt idx="11">
                  <c:v>1339.69</c:v>
                </c:pt>
                <c:pt idx="12">
                  <c:v>1424</c:v>
                </c:pt>
                <c:pt idx="13">
                  <c:v>1559</c:v>
                </c:pt>
                <c:pt idx="14">
                  <c:v>1569.5</c:v>
                </c:pt>
                <c:pt idx="15">
                  <c:v>1599</c:v>
                </c:pt>
                <c:pt idx="16">
                  <c:v>1649</c:v>
                </c:pt>
                <c:pt idx="17">
                  <c:v>2099</c:v>
                </c:pt>
                <c:pt idx="18">
                  <c:v>2899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4265-8400-2729AD06C4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607091584"/>
        <c:axId val="607083904"/>
      </c:barChart>
      <c:catAx>
        <c:axId val="6070915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Company</a:t>
                </a:r>
                <a:r>
                  <a:rPr lang="en-MY" baseline="0"/>
                  <a:t> Brand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083904"/>
        <c:crosses val="autoZero"/>
        <c:auto val="1"/>
        <c:lblAlgn val="ctr"/>
        <c:lblOffset val="100"/>
        <c:noMultiLvlLbl val="0"/>
      </c:catAx>
      <c:valAx>
        <c:axId val="60708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Price</a:t>
                </a:r>
                <a:r>
                  <a:rPr lang="en-MY" baseline="0"/>
                  <a:t> ($)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09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</xdr:row>
      <xdr:rowOff>57150</xdr:rowOff>
    </xdr:from>
    <xdr:to>
      <xdr:col>3</xdr:col>
      <xdr:colOff>581025</xdr:colOff>
      <xdr:row>7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DBC3B9D-F1C1-34F0-A92D-C1372E90995E}"/>
            </a:ext>
          </a:extLst>
        </xdr:cNvPr>
        <xdr:cNvSpPr txBox="1"/>
      </xdr:nvSpPr>
      <xdr:spPr>
        <a:xfrm>
          <a:off x="647700" y="1009650"/>
          <a:ext cx="1762125" cy="438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MY" sz="1100"/>
        </a:p>
      </xdr:txBody>
    </xdr:sp>
    <xdr:clientData/>
  </xdr:twoCellAnchor>
  <xdr:twoCellAnchor>
    <xdr:from>
      <xdr:col>5</xdr:col>
      <xdr:colOff>28575</xdr:colOff>
      <xdr:row>5</xdr:row>
      <xdr:rowOff>38100</xdr:rowOff>
    </xdr:from>
    <xdr:to>
      <xdr:col>7</xdr:col>
      <xdr:colOff>571500</xdr:colOff>
      <xdr:row>7</xdr:row>
      <xdr:rowOff>95250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D6BD6CA-D10E-458E-82BC-DA26DCE2DFAE}"/>
            </a:ext>
          </a:extLst>
        </xdr:cNvPr>
        <xdr:cNvSpPr txBox="1"/>
      </xdr:nvSpPr>
      <xdr:spPr>
        <a:xfrm>
          <a:off x="3076575" y="990600"/>
          <a:ext cx="1762125" cy="438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MY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342899</xdr:colOff>
      <xdr:row>0</xdr:row>
      <xdr:rowOff>166686</xdr:rowOff>
    </xdr:from>
    <xdr:to>
      <xdr:col>15</xdr:col>
      <xdr:colOff>552450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65D616-C0F3-E21C-29E6-6BD152DD5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hin, KhaiX Foong" refreshedDate="46045.678788888887" backgroundQuery="1" createdVersion="8" refreshedVersion="8" minRefreshableVersion="3" recordCount="0" supportSubquery="1" supportAdvancedDrill="1" xr:uid="{4F9AB9DF-2358-449C-888B-FF0086564A8A}">
  <cacheSource type="external" connectionId="2"/>
  <cacheFields count="2">
    <cacheField name="[Measures].[Median for price]" caption="Median for price" numFmtId="0" hierarchy="25" level="32767"/>
    <cacheField name="[laptop].[Company].[Company]" caption="Company" numFmtId="0" level="1">
      <sharedItems count="19">
        <s v="Acer"/>
        <s v="Apple"/>
        <s v="Asus"/>
        <s v="Chuwi"/>
        <s v="Dell"/>
        <s v="Fujitsu"/>
        <s v="Google"/>
        <s v="HP"/>
        <s v="Huawei"/>
        <s v="Lenovo"/>
        <s v="LG"/>
        <s v="Mediacom"/>
        <s v="Microsoft"/>
        <s v="MSI"/>
        <s v="Razer"/>
        <s v="Samsung"/>
        <s v="Toshiba"/>
        <s v="Vero"/>
        <s v="Xiaomi"/>
      </sharedItems>
    </cacheField>
  </cacheFields>
  <cacheHierarchies count="28">
    <cacheHierarchy uniqueName="[laptop].[Company]" caption="Company" attribute="1" defaultMemberUniqueName="[laptop].[Company].[All]" allUniqueName="[laptop].[Company].[All]" dimensionUniqueName="[laptop]" displayFolder="" count="2" memberValueDatatype="130" unbalanced="0">
      <fieldsUsage count="2">
        <fieldUsage x="-1"/>
        <fieldUsage x="1"/>
      </fieldsUsage>
    </cacheHierarchy>
    <cacheHierarchy uniqueName="[laptop].[Product]" caption="Product" attribute="1" defaultMemberUniqueName="[laptop].[Product].[All]" allUniqueName="[laptop].[Product].[All]" dimensionUniqueName="[laptop]" displayFolder="" count="2" memberValueDatatype="130" unbalanced="0"/>
    <cacheHierarchy uniqueName="[laptop].[TypeName]" caption="TypeName" attribute="1" defaultMemberUniqueName="[laptop].[TypeName].[All]" allUniqueName="[laptop].[TypeName].[All]" dimensionUniqueName="[laptop]" displayFolder="" count="0" memberValueDatatype="130" unbalanced="0"/>
    <cacheHierarchy uniqueName="[laptop].[Inches]" caption="Inches" attribute="1" defaultMemberUniqueName="[laptop].[Inches].[All]" allUniqueName="[laptop].[Inches].[All]" dimensionUniqueName="[laptop]" displayFolder="" count="0" memberValueDatatype="5" unbalanced="0"/>
    <cacheHierarchy uniqueName="[laptop].[Ram]" caption="Ram" attribute="1" defaultMemberUniqueName="[laptop].[Ram].[All]" allUniqueName="[laptop].[Ram].[All]" dimensionUniqueName="[laptop]" displayFolder="" count="0" memberValueDatatype="20" unbalanced="0"/>
    <cacheHierarchy uniqueName="[laptop].[OS]" caption="OS" attribute="1" defaultMemberUniqueName="[laptop].[OS].[All]" allUniqueName="[laptop].[OS].[All]" dimensionUniqueName="[laptop]" displayFolder="" count="0" memberValueDatatype="130" unbalanced="0"/>
    <cacheHierarchy uniqueName="[laptop].[Weight]" caption="Weight" attribute="1" defaultMemberUniqueName="[laptop].[Weight].[All]" allUniqueName="[laptop].[Weight].[All]" dimensionUniqueName="[laptop]" displayFolder="" count="0" memberValueDatatype="5" unbalanced="0"/>
    <cacheHierarchy uniqueName="[laptop].[Price_euros]" caption="Price_euros" attribute="1" defaultMemberUniqueName="[laptop].[Price_euros].[All]" allUniqueName="[laptop].[Price_euros].[All]" dimensionUniqueName="[laptop]" displayFolder="" count="0" memberValueDatatype="5" unbalanced="0"/>
    <cacheHierarchy uniqueName="[laptop].[Screen]" caption="Screen" attribute="1" defaultMemberUniqueName="[laptop].[Screen].[All]" allUniqueName="[laptop].[Screen].[All]" dimensionUniqueName="[laptop]" displayFolder="" count="0" memberValueDatatype="130" unbalanced="0"/>
    <cacheHierarchy uniqueName="[laptop].[ScreenW]" caption="ScreenW" attribute="1" defaultMemberUniqueName="[laptop].[ScreenW].[All]" allUniqueName="[laptop].[ScreenW].[All]" dimensionUniqueName="[laptop]" displayFolder="" count="0" memberValueDatatype="20" unbalanced="0"/>
    <cacheHierarchy uniqueName="[laptop].[ScreenH]" caption="ScreenH" attribute="1" defaultMemberUniqueName="[laptop].[ScreenH].[All]" allUniqueName="[laptop].[ScreenH].[All]" dimensionUniqueName="[laptop]" displayFolder="" count="0" memberValueDatatype="20" unbalanced="0"/>
    <cacheHierarchy uniqueName="[laptop].[Touchscreen]" caption="Touchscreen" attribute="1" defaultMemberUniqueName="[laptop].[Touchscreen].[All]" allUniqueName="[laptop].[Touchscreen].[All]" dimensionUniqueName="[laptop]" displayFolder="" count="0" memberValueDatatype="130" unbalanced="0"/>
    <cacheHierarchy uniqueName="[laptop].[IPSpanel]" caption="IPSpanel" attribute="1" defaultMemberUniqueName="[laptop].[IPSpanel].[All]" allUniqueName="[laptop].[IPSpanel].[All]" dimensionUniqueName="[laptop]" displayFolder="" count="0" memberValueDatatype="130" unbalanced="0"/>
    <cacheHierarchy uniqueName="[laptop].[RetinaDisplay]" caption="RetinaDisplay" attribute="1" defaultMemberUniqueName="[laptop].[RetinaDisplay].[All]" allUniqueName="[laptop].[RetinaDisplay].[All]" dimensionUniqueName="[laptop]" displayFolder="" count="0" memberValueDatatype="130" unbalanced="0"/>
    <cacheHierarchy uniqueName="[laptop].[CPU_company]" caption="CPU_company" attribute="1" defaultMemberUniqueName="[laptop].[CPU_company].[All]" allUniqueName="[laptop].[CPU_company].[All]" dimensionUniqueName="[laptop]" displayFolder="" count="0" memberValueDatatype="130" unbalanced="0"/>
    <cacheHierarchy uniqueName="[laptop].[CPU_freq]" caption="CPU_freq" attribute="1" defaultMemberUniqueName="[laptop].[CPU_freq].[All]" allUniqueName="[laptop].[CPU_freq].[All]" dimensionUniqueName="[laptop]" displayFolder="" count="0" memberValueDatatype="5" unbalanced="0"/>
    <cacheHierarchy uniqueName="[laptop].[CPU_model]" caption="CPU_model" attribute="1" defaultMemberUniqueName="[laptop].[CPU_model].[All]" allUniqueName="[laptop].[CPU_model].[All]" dimensionUniqueName="[laptop]" displayFolder="" count="0" memberValueDatatype="130" unbalanced="0"/>
    <cacheHierarchy uniqueName="[laptop].[CPU_Combined]" caption="CPU_Combined" attribute="1" defaultMemberUniqueName="[laptop].[CPU_Combined].[All]" allUniqueName="[laptop].[CPU_Combined].[All]" dimensionUniqueName="[laptop]" displayFolder="" count="0" memberValueDatatype="130" unbalanced="0"/>
    <cacheHierarchy uniqueName="[laptop].[PrimaryStorage]" caption="PrimaryStorage" attribute="1" defaultMemberUniqueName="[laptop].[PrimaryStorage].[All]" allUniqueName="[laptop].[PrimaryStorage].[All]" dimensionUniqueName="[laptop]" displayFolder="" count="0" memberValueDatatype="20" unbalanced="0"/>
    <cacheHierarchy uniqueName="[laptop].[SecondaryStorage]" caption="SecondaryStorage" attribute="1" defaultMemberUniqueName="[laptop].[SecondaryStorage].[All]" allUniqueName="[laptop].[SecondaryStorage].[All]" dimensionUniqueName="[laptop]" displayFolder="" count="0" memberValueDatatype="20" unbalanced="0"/>
    <cacheHierarchy uniqueName="[laptop].[Total_Storage]" caption="Total_Storage" attribute="1" defaultMemberUniqueName="[laptop].[Total_Storage].[All]" allUniqueName="[laptop].[Total_Storage].[All]" dimensionUniqueName="[laptop]" displayFolder="" count="0" memberValueDatatype="20" unbalanced="0"/>
    <cacheHierarchy uniqueName="[laptop].[PrimaryStorageType]" caption="PrimaryStorageType" attribute="1" defaultMemberUniqueName="[laptop].[PrimaryStorageType].[All]" allUniqueName="[laptop].[PrimaryStorageType].[All]" dimensionUniqueName="[laptop]" displayFolder="" count="0" memberValueDatatype="130" unbalanced="0"/>
    <cacheHierarchy uniqueName="[laptop].[SecondaryStorageType]" caption="SecondaryStorageType" attribute="1" defaultMemberUniqueName="[laptop].[SecondaryStorageType].[All]" allUniqueName="[laptop].[SecondaryStorageType].[All]" dimensionUniqueName="[laptop]" displayFolder="" count="0" memberValueDatatype="130" unbalanced="0"/>
    <cacheHierarchy uniqueName="[laptop].[Storage_Type_Combined]" caption="Storage_Type_Combined" attribute="1" defaultMemberUniqueName="[laptop].[Storage_Type_Combined].[All]" allUniqueName="[laptop].[Storage_Type_Combined].[All]" dimensionUniqueName="[laptop]" displayFolder="" count="0" memberValueDatatype="130" unbalanced="0"/>
    <cacheHierarchy uniqueName="[laptop].[GPU_model]" caption="GPU_model" attribute="1" defaultMemberUniqueName="[laptop].[GPU_model].[All]" allUniqueName="[laptop].[GPU_model].[All]" dimensionUniqueName="[laptop]" displayFolder="" count="0" memberValueDatatype="130" unbalanced="0"/>
    <cacheHierarchy uniqueName="[Measures].[Median for price]" caption="Median for price" measure="1" displayFolder="" measureGroup="laptop" count="0" oneField="1">
      <fieldsUsage count="1">
        <fieldUsage x="0"/>
      </fieldsUsage>
    </cacheHierarchy>
    <cacheHierarchy uniqueName="[Measures].[__XL_Count laptop]" caption="__XL_Count laptop" measure="1" displayFolder="" measureGroup="laptop" count="0" hidden="1"/>
    <cacheHierarchy uniqueName="[Measures].[__No measures defined]" caption="__No measures defined" measure="1" displayFolder="" count="0" hidden="1"/>
  </cacheHierarchies>
  <kpis count="0"/>
  <dimensions count="2">
    <dimension name="laptop" uniqueName="[laptop]" caption="laptop"/>
    <dimension measure="1" name="Measures" uniqueName="[Measures]" caption="Measures"/>
  </dimensions>
  <measureGroups count="1">
    <measureGroup name="laptop" caption="laptop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D594C3-6F69-4C50-8905-32B236D4BF4A}" name="price_analysis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B21" firstHeaderRow="1" firstDataRow="1" firstDataCol="1"/>
  <pivotFields count="2">
    <pivotField dataField="1" subtotalTop="0" showAll="0" defaultSubtotal="0"/>
    <pivotField name="Brand" axis="axisRow" allDrilled="1" subtotalTop="0" showAll="0" sortType="a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20">
    <i>
      <x v="17"/>
    </i>
    <i>
      <x v="3"/>
    </i>
    <i>
      <x v="11"/>
    </i>
    <i>
      <x/>
    </i>
    <i>
      <x v="5"/>
    </i>
    <i>
      <x v="9"/>
    </i>
    <i>
      <x v="7"/>
    </i>
    <i>
      <x v="4"/>
    </i>
    <i>
      <x v="2"/>
    </i>
    <i>
      <x v="18"/>
    </i>
    <i>
      <x v="16"/>
    </i>
    <i>
      <x v="1"/>
    </i>
    <i>
      <x v="8"/>
    </i>
    <i>
      <x v="6"/>
    </i>
    <i>
      <x v="12"/>
    </i>
    <i>
      <x v="13"/>
    </i>
    <i>
      <x v="15"/>
    </i>
    <i>
      <x v="10"/>
    </i>
    <i>
      <x v="14"/>
    </i>
    <i t="grand">
      <x/>
    </i>
  </rowItems>
  <colItems count="1">
    <i/>
  </colItems>
  <dataFields count="1">
    <dataField name="Median Price" fld="0" subtotal="count" baseField="1" baseItem="14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Median Price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aptop_analysis.xlsx!laptop">
        <x15:activeTabTopLevelEntity name="[lapto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196EEB-82BF-4DCB-9961-AADF01646041}" autoFormatId="16" applyNumberFormats="0" applyBorderFormats="0" applyFontFormats="0" applyPatternFormats="0" applyAlignmentFormats="0" applyWidthHeightFormats="0">
  <queryTableRefresh nextId="26">
    <queryTableFields count="25">
      <queryTableField id="1" name="Company" tableColumnId="1"/>
      <queryTableField id="2" name="Product" tableColumnId="2"/>
      <queryTableField id="3" name="TypeName" tableColumnId="3"/>
      <queryTableField id="4" name="Inches" tableColumnId="4"/>
      <queryTableField id="5" name="Ram" tableColumnId="5"/>
      <queryTableField id="6" name="OS" tableColumnId="6"/>
      <queryTableField id="7" name="Weight" tableColumnId="7"/>
      <queryTableField id="8" name="Price_euros" tableColumnId="8"/>
      <queryTableField id="9" name="Screen" tableColumnId="9"/>
      <queryTableField id="10" name="ScreenW" tableColumnId="10"/>
      <queryTableField id="11" name="ScreenH" tableColumnId="11"/>
      <queryTableField id="12" name="Touchscreen" tableColumnId="12"/>
      <queryTableField id="13" name="IPSpanel" tableColumnId="13"/>
      <queryTableField id="14" name="RetinaDisplay" tableColumnId="14"/>
      <queryTableField id="15" name="CPU_company" tableColumnId="15"/>
      <queryTableField id="16" name="CPU_freq" tableColumnId="16"/>
      <queryTableField id="17" name="CPU_model" tableColumnId="17"/>
      <queryTableField id="23" dataBound="0" tableColumnId="23"/>
      <queryTableField id="18" name="PrimaryStorage" tableColumnId="18"/>
      <queryTableField id="19" name="SecondaryStorage" tableColumnId="19"/>
      <queryTableField id="24" dataBound="0" tableColumnId="24"/>
      <queryTableField id="20" name="PrimaryStorageType" tableColumnId="20"/>
      <queryTableField id="21" name="SecondaryStorageType" tableColumnId="21"/>
      <queryTableField id="25" dataBound="0" tableColumnId="25"/>
      <queryTableField id="22" name="GPU_model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AE5D0D-938A-4055-A9A2-B4C4DAF851CD}" name="laptop" displayName="laptop" ref="A1:Y1276" tableType="queryTable" totalsRowShown="0">
  <autoFilter ref="A1:Y1276" xr:uid="{D2AE5D0D-938A-4055-A9A2-B4C4DAF851CD}"/>
  <tableColumns count="25">
    <tableColumn id="1" xr3:uid="{6C455AA5-CDC1-4C74-B6EA-6AE96B190D1A}" uniqueName="1" name="Company" queryTableFieldId="1" dataDxfId="15"/>
    <tableColumn id="2" xr3:uid="{51C0C374-8428-45C4-AD12-F7945BDA01AB}" uniqueName="2" name="Product" queryTableFieldId="2" dataDxfId="14"/>
    <tableColumn id="3" xr3:uid="{09BF5439-89AA-4FE3-B066-74CEE4E992BE}" uniqueName="3" name="TypeName" queryTableFieldId="3" dataDxfId="13"/>
    <tableColumn id="4" xr3:uid="{072BB9C0-D747-4ACA-8E40-834C3472AA5B}" uniqueName="4" name="Inches" queryTableFieldId="4"/>
    <tableColumn id="5" xr3:uid="{03C36CC3-3B4E-4498-9999-A0D82E0528D7}" uniqueName="5" name="Ram" queryTableFieldId="5"/>
    <tableColumn id="6" xr3:uid="{1C1E7DF3-F4CA-4C2F-A27F-BF8B5B1DE3BE}" uniqueName="6" name="OS" queryTableFieldId="6" dataDxfId="12"/>
    <tableColumn id="7" xr3:uid="{34647D34-535A-4DEC-89D4-851DF0094F6E}" uniqueName="7" name="Weight" queryTableFieldId="7"/>
    <tableColumn id="8" xr3:uid="{2241AC88-EA43-4878-84A7-A93EF9CE7922}" uniqueName="8" name="Price_euros" queryTableFieldId="8"/>
    <tableColumn id="9" xr3:uid="{547B30E9-47E8-4D58-9A6D-358045B4D038}" uniqueName="9" name="Screen" queryTableFieldId="9" dataDxfId="11"/>
    <tableColumn id="10" xr3:uid="{0F4B6075-4D72-4B2B-858F-EE2AF3CA361A}" uniqueName="10" name="ScreenW" queryTableFieldId="10"/>
    <tableColumn id="11" xr3:uid="{3AA201A0-9F09-45B9-ADEF-57300BDDEFF3}" uniqueName="11" name="ScreenH" queryTableFieldId="11"/>
    <tableColumn id="12" xr3:uid="{690C8092-5E70-421F-B021-4CE6928DB9B8}" uniqueName="12" name="Touchscreen" queryTableFieldId="12" dataDxfId="10"/>
    <tableColumn id="13" xr3:uid="{CB57DCFE-FB15-42D4-90C5-6D518CE229F9}" uniqueName="13" name="IPSpanel" queryTableFieldId="13" dataDxfId="9"/>
    <tableColumn id="14" xr3:uid="{3A7AC8D9-36BC-4E0E-A99D-E6B02BC5D214}" uniqueName="14" name="RetinaDisplay" queryTableFieldId="14" dataDxfId="8"/>
    <tableColumn id="15" xr3:uid="{53DB6262-835C-4B0D-B7C1-D3E718A42F97}" uniqueName="15" name="CPU_company" queryTableFieldId="15" dataDxfId="7"/>
    <tableColumn id="16" xr3:uid="{20FA01E8-694A-4DF7-9D9E-EED5D4A6047B}" uniqueName="16" name="CPU_freq" queryTableFieldId="16"/>
    <tableColumn id="17" xr3:uid="{7CD10A08-25EB-45B7-905A-7B847A4C6DCD}" uniqueName="17" name="CPU_model" queryTableFieldId="17" dataDxfId="6"/>
    <tableColumn id="23" xr3:uid="{535E8F83-920A-44F2-977E-B6A09AA74671}" uniqueName="23" name="CPU_Combined" queryTableFieldId="23" dataDxfId="5">
      <calculatedColumnFormula>_xlfn.CONCAT(laptop[[#This Row],[CPU_company]]," ",laptop[[#This Row],[CPU_model]])</calculatedColumnFormula>
    </tableColumn>
    <tableColumn id="18" xr3:uid="{9E74C990-8808-4BD4-A358-AD3E76A91631}" uniqueName="18" name="PrimaryStorage" queryTableFieldId="18"/>
    <tableColumn id="19" xr3:uid="{75E518E5-1AB9-405C-A8BC-3FC8DE8CD149}" uniqueName="19" name="SecondaryStorage" queryTableFieldId="19"/>
    <tableColumn id="24" xr3:uid="{E3795B58-A457-4B47-AA74-27E689AB33F9}" uniqueName="24" name="Total_Storage" queryTableFieldId="24" dataDxfId="1">
      <calculatedColumnFormula>laptop[[#This Row],[PrimaryStorage]]+laptop[[#This Row],[SecondaryStorage]]</calculatedColumnFormula>
    </tableColumn>
    <tableColumn id="20" xr3:uid="{9B5A2900-6F3F-47EF-A4B5-4524F550F150}" uniqueName="20" name="PrimaryStorageType" queryTableFieldId="20" dataDxfId="4"/>
    <tableColumn id="21" xr3:uid="{B48716F0-0075-4E05-8A50-2753F0336416}" uniqueName="21" name="SecondaryStorageType" queryTableFieldId="21" dataDxfId="3"/>
    <tableColumn id="25" xr3:uid="{00190817-31AC-4651-8DC9-76E18C39BA9E}" uniqueName="25" name="Storage_Type_Combined" queryTableFieldId="25" dataDxfId="0">
      <calculatedColumnFormula>IF(laptop[[#This Row],[PrimaryStorageType]]=laptop[[#This Row],[SecondaryStorageType]],laptop[[#This Row],[PrimaryStorageType]],"SSD &amp; HDD")</calculatedColumnFormula>
    </tableColumn>
    <tableColumn id="22" xr3:uid="{2B8CE4C9-1FC7-49DE-8434-3C897556ABA2}" uniqueName="22" name="GPU_model" queryTableFieldId="22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81B7-3DD8-4877-9503-B73F10842FA5}">
  <dimension ref="B5:L5"/>
  <sheetViews>
    <sheetView showRowColHeaders="0" workbookViewId="0">
      <selection activeCell="I19" sqref="I19"/>
    </sheetView>
  </sheetViews>
  <sheetFormatPr defaultRowHeight="15" x14ac:dyDescent="0.25"/>
  <sheetData>
    <row r="5" spans="2:12" x14ac:dyDescent="0.25">
      <c r="B5" s="6" t="s">
        <v>894</v>
      </c>
      <c r="C5" s="6"/>
      <c r="D5" s="6"/>
      <c r="F5" s="6" t="s">
        <v>895</v>
      </c>
      <c r="G5" s="6"/>
      <c r="H5" s="6"/>
      <c r="J5" s="5"/>
      <c r="K5" s="5"/>
      <c r="L5" s="5"/>
    </row>
  </sheetData>
  <mergeCells count="2">
    <mergeCell ref="B5:D5"/>
    <mergeCell ref="F5:H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0C78A-2A2D-4924-A725-CE6CBED5F683}">
  <dimension ref="A1:Y1276"/>
  <sheetViews>
    <sheetView workbookViewId="0">
      <selection activeCell="B5" sqref="B5"/>
    </sheetView>
  </sheetViews>
  <sheetFormatPr defaultRowHeight="15" x14ac:dyDescent="0.25"/>
  <cols>
    <col min="1" max="1" width="11.5703125" bestFit="1" customWidth="1"/>
    <col min="2" max="2" width="48.42578125" bestFit="1" customWidth="1"/>
    <col min="3" max="3" width="16.5703125" bestFit="1" customWidth="1"/>
    <col min="4" max="4" width="9" bestFit="1" customWidth="1"/>
    <col min="5" max="5" width="7.140625" bestFit="1" customWidth="1"/>
    <col min="6" max="6" width="13.28515625" bestFit="1" customWidth="1"/>
    <col min="7" max="7" width="9.85546875" bestFit="1" customWidth="1"/>
    <col min="8" max="8" width="13.7109375" bestFit="1" customWidth="1"/>
    <col min="9" max="9" width="10.85546875" bestFit="1" customWidth="1"/>
    <col min="10" max="10" width="11.28515625" bestFit="1" customWidth="1"/>
    <col min="11" max="11" width="10.5703125" bestFit="1" customWidth="1"/>
    <col min="12" max="12" width="14.42578125" bestFit="1" customWidth="1"/>
    <col min="13" max="13" width="11" bestFit="1" customWidth="1"/>
    <col min="14" max="14" width="15.5703125" bestFit="1" customWidth="1"/>
    <col min="15" max="15" width="16.140625" hidden="1" customWidth="1"/>
    <col min="16" max="16" width="11.7109375" bestFit="1" customWidth="1"/>
    <col min="17" max="17" width="24.5703125" hidden="1" customWidth="1"/>
    <col min="18" max="18" width="29.28515625" bestFit="1" customWidth="1"/>
    <col min="19" max="19" width="17" hidden="1" customWidth="1"/>
    <col min="20" max="20" width="19.28515625" hidden="1" customWidth="1"/>
    <col min="21" max="21" width="19.28515625" customWidth="1"/>
    <col min="22" max="22" width="21.42578125" hidden="1" customWidth="1"/>
    <col min="23" max="23" width="23.85546875" hidden="1" customWidth="1"/>
    <col min="24" max="24" width="25.85546875" bestFit="1" customWidth="1"/>
    <col min="25" max="25" width="24.42578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890</v>
      </c>
      <c r="S1" t="s">
        <v>17</v>
      </c>
      <c r="T1" t="s">
        <v>18</v>
      </c>
      <c r="U1" t="s">
        <v>889</v>
      </c>
      <c r="V1" t="s">
        <v>19</v>
      </c>
      <c r="W1" t="s">
        <v>20</v>
      </c>
      <c r="X1" t="s">
        <v>891</v>
      </c>
      <c r="Y1" t="s">
        <v>21</v>
      </c>
    </row>
    <row r="2" spans="1:25" x14ac:dyDescent="0.25">
      <c r="A2" s="1" t="s">
        <v>22</v>
      </c>
      <c r="B2" s="1" t="s">
        <v>23</v>
      </c>
      <c r="C2" s="1" t="s">
        <v>24</v>
      </c>
      <c r="D2">
        <v>13.3</v>
      </c>
      <c r="E2">
        <v>8</v>
      </c>
      <c r="F2" s="1" t="s">
        <v>25</v>
      </c>
      <c r="G2">
        <v>1.37</v>
      </c>
      <c r="H2">
        <v>1339.69</v>
      </c>
      <c r="I2" s="1" t="s">
        <v>26</v>
      </c>
      <c r="J2">
        <v>2560</v>
      </c>
      <c r="K2">
        <v>1600</v>
      </c>
      <c r="L2" s="1" t="s">
        <v>27</v>
      </c>
      <c r="M2" s="1" t="s">
        <v>28</v>
      </c>
      <c r="N2" s="1" t="s">
        <v>28</v>
      </c>
      <c r="O2" s="1" t="s">
        <v>29</v>
      </c>
      <c r="P2">
        <v>2.2999999999999998</v>
      </c>
      <c r="Q2" s="1" t="s">
        <v>30</v>
      </c>
      <c r="R2" s="1" t="str">
        <f>_xlfn.CONCAT(laptop[[#This Row],[CPU_company]]," ",laptop[[#This Row],[CPU_model]])</f>
        <v>Intel Core i5</v>
      </c>
      <c r="S2">
        <v>128</v>
      </c>
      <c r="T2">
        <v>0</v>
      </c>
      <c r="U2">
        <f>laptop[[#This Row],[PrimaryStorage]]+laptop[[#This Row],[SecondaryStorage]]</f>
        <v>128</v>
      </c>
      <c r="V2" s="1" t="s">
        <v>31</v>
      </c>
      <c r="W2" s="1" t="s">
        <v>27</v>
      </c>
      <c r="X2" s="1" t="str">
        <f>IF(laptop[[#This Row],[PrimaryStorageType]]=laptop[[#This Row],[SecondaryStorageType]],laptop[[#This Row],[PrimaryStorageType]],"SSD &amp; HDD")</f>
        <v>SSD &amp; HDD</v>
      </c>
      <c r="Y2" s="1" t="s">
        <v>32</v>
      </c>
    </row>
    <row r="3" spans="1:25" x14ac:dyDescent="0.25">
      <c r="A3" s="1" t="s">
        <v>22</v>
      </c>
      <c r="B3" s="1" t="s">
        <v>33</v>
      </c>
      <c r="C3" s="1" t="s">
        <v>24</v>
      </c>
      <c r="D3">
        <v>13.3</v>
      </c>
      <c r="E3">
        <v>8</v>
      </c>
      <c r="F3" s="1" t="s">
        <v>25</v>
      </c>
      <c r="G3">
        <v>1.34</v>
      </c>
      <c r="H3">
        <v>898.94</v>
      </c>
      <c r="I3" s="1" t="s">
        <v>26</v>
      </c>
      <c r="J3">
        <v>1440</v>
      </c>
      <c r="K3">
        <v>900</v>
      </c>
      <c r="L3" s="1" t="s">
        <v>27</v>
      </c>
      <c r="M3" s="1" t="s">
        <v>27</v>
      </c>
      <c r="N3" s="1" t="s">
        <v>27</v>
      </c>
      <c r="O3" s="1" t="s">
        <v>29</v>
      </c>
      <c r="P3">
        <v>1.8</v>
      </c>
      <c r="Q3" s="1" t="s">
        <v>30</v>
      </c>
      <c r="R3" s="1" t="str">
        <f>_xlfn.CONCAT(laptop[[#This Row],[CPU_company]]," ",laptop[[#This Row],[CPU_model]])</f>
        <v>Intel Core i5</v>
      </c>
      <c r="S3">
        <v>128</v>
      </c>
      <c r="T3">
        <v>0</v>
      </c>
      <c r="U3">
        <f>laptop[[#This Row],[PrimaryStorage]]+laptop[[#This Row],[SecondaryStorage]]</f>
        <v>128</v>
      </c>
      <c r="V3" s="1" t="s">
        <v>34</v>
      </c>
      <c r="W3" s="1" t="s">
        <v>27</v>
      </c>
      <c r="X3" s="1" t="str">
        <f>IF(laptop[[#This Row],[PrimaryStorageType]]=laptop[[#This Row],[SecondaryStorageType]],laptop[[#This Row],[PrimaryStorageType]],"SSD &amp; HDD")</f>
        <v>SSD &amp; HDD</v>
      </c>
      <c r="Y3" s="1" t="s">
        <v>35</v>
      </c>
    </row>
    <row r="4" spans="1:25" x14ac:dyDescent="0.25">
      <c r="A4" s="1" t="s">
        <v>36</v>
      </c>
      <c r="B4" s="1" t="s">
        <v>37</v>
      </c>
      <c r="C4" s="1" t="s">
        <v>38</v>
      </c>
      <c r="D4">
        <v>15.6</v>
      </c>
      <c r="E4">
        <v>8</v>
      </c>
      <c r="F4" s="1" t="s">
        <v>39</v>
      </c>
      <c r="G4">
        <v>1.86</v>
      </c>
      <c r="H4">
        <v>575</v>
      </c>
      <c r="I4" s="1" t="s">
        <v>40</v>
      </c>
      <c r="J4">
        <v>1920</v>
      </c>
      <c r="K4">
        <v>1080</v>
      </c>
      <c r="L4" s="1" t="s">
        <v>27</v>
      </c>
      <c r="M4" s="1" t="s">
        <v>27</v>
      </c>
      <c r="N4" s="1" t="s">
        <v>27</v>
      </c>
      <c r="O4" s="1" t="s">
        <v>29</v>
      </c>
      <c r="P4">
        <v>2.5</v>
      </c>
      <c r="Q4" s="1" t="s">
        <v>41</v>
      </c>
      <c r="R4" s="1" t="str">
        <f>_xlfn.CONCAT(laptop[[#This Row],[CPU_company]]," ",laptop[[#This Row],[CPU_model]])</f>
        <v>Intel Core i5 7200U</v>
      </c>
      <c r="S4">
        <v>256</v>
      </c>
      <c r="T4">
        <v>0</v>
      </c>
      <c r="U4">
        <f>laptop[[#This Row],[PrimaryStorage]]+laptop[[#This Row],[SecondaryStorage]]</f>
        <v>256</v>
      </c>
      <c r="V4" s="1" t="s">
        <v>31</v>
      </c>
      <c r="W4" s="1" t="s">
        <v>27</v>
      </c>
      <c r="X4" s="1" t="str">
        <f>IF(laptop[[#This Row],[PrimaryStorageType]]=laptop[[#This Row],[SecondaryStorageType]],laptop[[#This Row],[PrimaryStorageType]],"SSD &amp; HDD")</f>
        <v>SSD &amp; HDD</v>
      </c>
      <c r="Y4" s="1" t="s">
        <v>42</v>
      </c>
    </row>
    <row r="5" spans="1:25" x14ac:dyDescent="0.25">
      <c r="A5" s="1" t="s">
        <v>22</v>
      </c>
      <c r="B5" s="1" t="s">
        <v>23</v>
      </c>
      <c r="C5" s="1" t="s">
        <v>24</v>
      </c>
      <c r="D5">
        <v>15.4</v>
      </c>
      <c r="E5">
        <v>16</v>
      </c>
      <c r="F5" s="1" t="s">
        <v>25</v>
      </c>
      <c r="G5">
        <v>1.83</v>
      </c>
      <c r="H5">
        <v>2537.4499999999998</v>
      </c>
      <c r="I5" s="1" t="s">
        <v>26</v>
      </c>
      <c r="J5">
        <v>2880</v>
      </c>
      <c r="K5">
        <v>1800</v>
      </c>
      <c r="L5" s="1" t="s">
        <v>27</v>
      </c>
      <c r="M5" s="1" t="s">
        <v>28</v>
      </c>
      <c r="N5" s="1" t="s">
        <v>28</v>
      </c>
      <c r="O5" s="1" t="s">
        <v>29</v>
      </c>
      <c r="P5">
        <v>2.7</v>
      </c>
      <c r="Q5" s="1" t="s">
        <v>43</v>
      </c>
      <c r="R5" s="1" t="str">
        <f>_xlfn.CONCAT(laptop[[#This Row],[CPU_company]]," ",laptop[[#This Row],[CPU_model]])</f>
        <v>Intel Core i7</v>
      </c>
      <c r="S5">
        <v>512</v>
      </c>
      <c r="T5">
        <v>0</v>
      </c>
      <c r="U5">
        <f>laptop[[#This Row],[PrimaryStorage]]+laptop[[#This Row],[SecondaryStorage]]</f>
        <v>512</v>
      </c>
      <c r="V5" s="1" t="s">
        <v>31</v>
      </c>
      <c r="W5" s="1" t="s">
        <v>27</v>
      </c>
      <c r="X5" s="1" t="str">
        <f>IF(laptop[[#This Row],[PrimaryStorageType]]=laptop[[#This Row],[SecondaryStorageType]],laptop[[#This Row],[PrimaryStorageType]],"SSD &amp; HDD")</f>
        <v>SSD &amp; HDD</v>
      </c>
      <c r="Y5" s="1" t="s">
        <v>44</v>
      </c>
    </row>
    <row r="6" spans="1:25" x14ac:dyDescent="0.25">
      <c r="A6" s="1" t="s">
        <v>22</v>
      </c>
      <c r="B6" s="1" t="s">
        <v>23</v>
      </c>
      <c r="C6" s="1" t="s">
        <v>24</v>
      </c>
      <c r="D6">
        <v>13.3</v>
      </c>
      <c r="E6">
        <v>8</v>
      </c>
      <c r="F6" s="1" t="s">
        <v>25</v>
      </c>
      <c r="G6">
        <v>1.37</v>
      </c>
      <c r="H6">
        <v>1803.6</v>
      </c>
      <c r="I6" s="1" t="s">
        <v>26</v>
      </c>
      <c r="J6">
        <v>2560</v>
      </c>
      <c r="K6">
        <v>1600</v>
      </c>
      <c r="L6" s="1" t="s">
        <v>27</v>
      </c>
      <c r="M6" s="1" t="s">
        <v>28</v>
      </c>
      <c r="N6" s="1" t="s">
        <v>28</v>
      </c>
      <c r="O6" s="1" t="s">
        <v>29</v>
      </c>
      <c r="P6">
        <v>3.1</v>
      </c>
      <c r="Q6" s="1" t="s">
        <v>30</v>
      </c>
      <c r="R6" s="1" t="str">
        <f>_xlfn.CONCAT(laptop[[#This Row],[CPU_company]]," ",laptop[[#This Row],[CPU_model]])</f>
        <v>Intel Core i5</v>
      </c>
      <c r="S6">
        <v>256</v>
      </c>
      <c r="T6">
        <v>0</v>
      </c>
      <c r="U6">
        <f>laptop[[#This Row],[PrimaryStorage]]+laptop[[#This Row],[SecondaryStorage]]</f>
        <v>256</v>
      </c>
      <c r="V6" s="1" t="s">
        <v>31</v>
      </c>
      <c r="W6" s="1" t="s">
        <v>27</v>
      </c>
      <c r="X6" s="1" t="str">
        <f>IF(laptop[[#This Row],[PrimaryStorageType]]=laptop[[#This Row],[SecondaryStorageType]],laptop[[#This Row],[PrimaryStorageType]],"SSD &amp; HDD")</f>
        <v>SSD &amp; HDD</v>
      </c>
      <c r="Y6" s="1" t="s">
        <v>45</v>
      </c>
    </row>
    <row r="7" spans="1:25" x14ac:dyDescent="0.25">
      <c r="A7" s="1" t="s">
        <v>46</v>
      </c>
      <c r="B7" s="1" t="s">
        <v>47</v>
      </c>
      <c r="C7" s="1" t="s">
        <v>38</v>
      </c>
      <c r="D7">
        <v>15.6</v>
      </c>
      <c r="E7">
        <v>4</v>
      </c>
      <c r="F7" s="1" t="s">
        <v>48</v>
      </c>
      <c r="G7">
        <v>2.1</v>
      </c>
      <c r="H7">
        <v>400</v>
      </c>
      <c r="I7" s="1" t="s">
        <v>26</v>
      </c>
      <c r="J7">
        <v>1366</v>
      </c>
      <c r="K7">
        <v>768</v>
      </c>
      <c r="L7" s="1" t="s">
        <v>27</v>
      </c>
      <c r="M7" s="1" t="s">
        <v>27</v>
      </c>
      <c r="N7" s="1" t="s">
        <v>27</v>
      </c>
      <c r="O7" s="1" t="s">
        <v>49</v>
      </c>
      <c r="P7">
        <v>3</v>
      </c>
      <c r="Q7" s="1" t="s">
        <v>50</v>
      </c>
      <c r="R7" s="1" t="str">
        <f>_xlfn.CONCAT(laptop[[#This Row],[CPU_company]]," ",laptop[[#This Row],[CPU_model]])</f>
        <v>AMD A9-Series 9420</v>
      </c>
      <c r="S7">
        <v>500</v>
      </c>
      <c r="T7">
        <v>0</v>
      </c>
      <c r="U7">
        <f>laptop[[#This Row],[PrimaryStorage]]+laptop[[#This Row],[SecondaryStorage]]</f>
        <v>500</v>
      </c>
      <c r="V7" s="1" t="s">
        <v>51</v>
      </c>
      <c r="W7" s="1" t="s">
        <v>27</v>
      </c>
      <c r="X7" s="1" t="str">
        <f>IF(laptop[[#This Row],[PrimaryStorageType]]=laptop[[#This Row],[SecondaryStorageType]],laptop[[#This Row],[PrimaryStorageType]],"SSD &amp; HDD")</f>
        <v>SSD &amp; HDD</v>
      </c>
      <c r="Y7" s="1" t="s">
        <v>52</v>
      </c>
    </row>
    <row r="8" spans="1:25" x14ac:dyDescent="0.25">
      <c r="A8" s="1" t="s">
        <v>22</v>
      </c>
      <c r="B8" s="1" t="s">
        <v>23</v>
      </c>
      <c r="C8" s="1" t="s">
        <v>24</v>
      </c>
      <c r="D8">
        <v>15.4</v>
      </c>
      <c r="E8">
        <v>16</v>
      </c>
      <c r="F8" s="1" t="s">
        <v>53</v>
      </c>
      <c r="G8">
        <v>2.04</v>
      </c>
      <c r="H8">
        <v>2139.9699999999998</v>
      </c>
      <c r="I8" s="1" t="s">
        <v>26</v>
      </c>
      <c r="J8">
        <v>2880</v>
      </c>
      <c r="K8">
        <v>1800</v>
      </c>
      <c r="L8" s="1" t="s">
        <v>27</v>
      </c>
      <c r="M8" s="1" t="s">
        <v>28</v>
      </c>
      <c r="N8" s="1" t="s">
        <v>28</v>
      </c>
      <c r="O8" s="1" t="s">
        <v>29</v>
      </c>
      <c r="P8">
        <v>2.2000000000000002</v>
      </c>
      <c r="Q8" s="1" t="s">
        <v>43</v>
      </c>
      <c r="R8" s="1" t="str">
        <f>_xlfn.CONCAT(laptop[[#This Row],[CPU_company]]," ",laptop[[#This Row],[CPU_model]])</f>
        <v>Intel Core i7</v>
      </c>
      <c r="S8">
        <v>256</v>
      </c>
      <c r="T8">
        <v>0</v>
      </c>
      <c r="U8">
        <f>laptop[[#This Row],[PrimaryStorage]]+laptop[[#This Row],[SecondaryStorage]]</f>
        <v>256</v>
      </c>
      <c r="V8" s="1" t="s">
        <v>34</v>
      </c>
      <c r="W8" s="1" t="s">
        <v>27</v>
      </c>
      <c r="X8" s="1" t="str">
        <f>IF(laptop[[#This Row],[PrimaryStorageType]]=laptop[[#This Row],[SecondaryStorageType]],laptop[[#This Row],[PrimaryStorageType]],"SSD &amp; HDD")</f>
        <v>SSD &amp; HDD</v>
      </c>
      <c r="Y8" s="1" t="s">
        <v>54</v>
      </c>
    </row>
    <row r="9" spans="1:25" x14ac:dyDescent="0.25">
      <c r="A9" s="1" t="s">
        <v>22</v>
      </c>
      <c r="B9" s="1" t="s">
        <v>33</v>
      </c>
      <c r="C9" s="1" t="s">
        <v>24</v>
      </c>
      <c r="D9">
        <v>13.3</v>
      </c>
      <c r="E9">
        <v>8</v>
      </c>
      <c r="F9" s="1" t="s">
        <v>25</v>
      </c>
      <c r="G9">
        <v>1.34</v>
      </c>
      <c r="H9">
        <v>1158.7</v>
      </c>
      <c r="I9" s="1" t="s">
        <v>26</v>
      </c>
      <c r="J9">
        <v>1440</v>
      </c>
      <c r="K9">
        <v>900</v>
      </c>
      <c r="L9" s="1" t="s">
        <v>27</v>
      </c>
      <c r="M9" s="1" t="s">
        <v>27</v>
      </c>
      <c r="N9" s="1" t="s">
        <v>27</v>
      </c>
      <c r="O9" s="1" t="s">
        <v>29</v>
      </c>
      <c r="P9">
        <v>1.8</v>
      </c>
      <c r="Q9" s="1" t="s">
        <v>30</v>
      </c>
      <c r="R9" s="1" t="str">
        <f>_xlfn.CONCAT(laptop[[#This Row],[CPU_company]]," ",laptop[[#This Row],[CPU_model]])</f>
        <v>Intel Core i5</v>
      </c>
      <c r="S9">
        <v>256</v>
      </c>
      <c r="T9">
        <v>0</v>
      </c>
      <c r="U9">
        <f>laptop[[#This Row],[PrimaryStorage]]+laptop[[#This Row],[SecondaryStorage]]</f>
        <v>256</v>
      </c>
      <c r="V9" s="1" t="s">
        <v>34</v>
      </c>
      <c r="W9" s="1" t="s">
        <v>27</v>
      </c>
      <c r="X9" s="1" t="str">
        <f>IF(laptop[[#This Row],[PrimaryStorageType]]=laptop[[#This Row],[SecondaryStorageType]],laptop[[#This Row],[PrimaryStorageType]],"SSD &amp; HDD")</f>
        <v>SSD &amp; HDD</v>
      </c>
      <c r="Y9" s="1" t="s">
        <v>35</v>
      </c>
    </row>
    <row r="10" spans="1:25" x14ac:dyDescent="0.25">
      <c r="A10" s="1" t="s">
        <v>55</v>
      </c>
      <c r="B10" s="1" t="s">
        <v>56</v>
      </c>
      <c r="C10" s="1" t="s">
        <v>24</v>
      </c>
      <c r="D10">
        <v>14</v>
      </c>
      <c r="E10">
        <v>16</v>
      </c>
      <c r="F10" s="1" t="s">
        <v>48</v>
      </c>
      <c r="G10">
        <v>1.3</v>
      </c>
      <c r="H10">
        <v>1495</v>
      </c>
      <c r="I10" s="1" t="s">
        <v>40</v>
      </c>
      <c r="J10">
        <v>1920</v>
      </c>
      <c r="K10">
        <v>1080</v>
      </c>
      <c r="L10" s="1" t="s">
        <v>27</v>
      </c>
      <c r="M10" s="1" t="s">
        <v>27</v>
      </c>
      <c r="N10" s="1" t="s">
        <v>27</v>
      </c>
      <c r="O10" s="1" t="s">
        <v>29</v>
      </c>
      <c r="P10">
        <v>1.8</v>
      </c>
      <c r="Q10" s="1" t="s">
        <v>57</v>
      </c>
      <c r="R10" s="1" t="str">
        <f>_xlfn.CONCAT(laptop[[#This Row],[CPU_company]]," ",laptop[[#This Row],[CPU_model]])</f>
        <v>Intel Core i7 8550U</v>
      </c>
      <c r="S10">
        <v>512</v>
      </c>
      <c r="T10">
        <v>0</v>
      </c>
      <c r="U10">
        <f>laptop[[#This Row],[PrimaryStorage]]+laptop[[#This Row],[SecondaryStorage]]</f>
        <v>512</v>
      </c>
      <c r="V10" s="1" t="s">
        <v>31</v>
      </c>
      <c r="W10" s="1" t="s">
        <v>27</v>
      </c>
      <c r="X10" s="1" t="str">
        <f>IF(laptop[[#This Row],[PrimaryStorageType]]=laptop[[#This Row],[SecondaryStorageType]],laptop[[#This Row],[PrimaryStorageType]],"SSD &amp; HDD")</f>
        <v>SSD &amp; HDD</v>
      </c>
      <c r="Y10" s="1" t="s">
        <v>58</v>
      </c>
    </row>
    <row r="11" spans="1:25" x14ac:dyDescent="0.25">
      <c r="A11" s="1" t="s">
        <v>46</v>
      </c>
      <c r="B11" s="1" t="s">
        <v>59</v>
      </c>
      <c r="C11" s="1" t="s">
        <v>24</v>
      </c>
      <c r="D11">
        <v>14</v>
      </c>
      <c r="E11">
        <v>8</v>
      </c>
      <c r="F11" s="1" t="s">
        <v>48</v>
      </c>
      <c r="G11">
        <v>1.6</v>
      </c>
      <c r="H11">
        <v>770</v>
      </c>
      <c r="I11" s="1" t="s">
        <v>40</v>
      </c>
      <c r="J11">
        <v>1920</v>
      </c>
      <c r="K11">
        <v>1080</v>
      </c>
      <c r="L11" s="1" t="s">
        <v>27</v>
      </c>
      <c r="M11" s="1" t="s">
        <v>28</v>
      </c>
      <c r="N11" s="1" t="s">
        <v>27</v>
      </c>
      <c r="O11" s="1" t="s">
        <v>29</v>
      </c>
      <c r="P11">
        <v>1.6</v>
      </c>
      <c r="Q11" s="1" t="s">
        <v>60</v>
      </c>
      <c r="R11" s="1" t="str">
        <f>_xlfn.CONCAT(laptop[[#This Row],[CPU_company]]," ",laptop[[#This Row],[CPU_model]])</f>
        <v>Intel Core i5 8250U</v>
      </c>
      <c r="S11">
        <v>256</v>
      </c>
      <c r="T11">
        <v>0</v>
      </c>
      <c r="U11">
        <f>laptop[[#This Row],[PrimaryStorage]]+laptop[[#This Row],[SecondaryStorage]]</f>
        <v>256</v>
      </c>
      <c r="V11" s="1" t="s">
        <v>31</v>
      </c>
      <c r="W11" s="1" t="s">
        <v>27</v>
      </c>
      <c r="X11" s="1" t="str">
        <f>IF(laptop[[#This Row],[PrimaryStorageType]]=laptop[[#This Row],[SecondaryStorageType]],laptop[[#This Row],[PrimaryStorageType]],"SSD &amp; HDD")</f>
        <v>SSD &amp; HDD</v>
      </c>
      <c r="Y11" s="1" t="s">
        <v>61</v>
      </c>
    </row>
    <row r="12" spans="1:25" x14ac:dyDescent="0.25">
      <c r="A12" s="1" t="s">
        <v>36</v>
      </c>
      <c r="B12" s="1" t="s">
        <v>37</v>
      </c>
      <c r="C12" s="1" t="s">
        <v>38</v>
      </c>
      <c r="D12">
        <v>15.6</v>
      </c>
      <c r="E12">
        <v>4</v>
      </c>
      <c r="F12" s="1" t="s">
        <v>39</v>
      </c>
      <c r="G12">
        <v>1.86</v>
      </c>
      <c r="H12">
        <v>393.9</v>
      </c>
      <c r="I12" s="1" t="s">
        <v>26</v>
      </c>
      <c r="J12">
        <v>1366</v>
      </c>
      <c r="K12">
        <v>768</v>
      </c>
      <c r="L12" s="1" t="s">
        <v>27</v>
      </c>
      <c r="M12" s="1" t="s">
        <v>27</v>
      </c>
      <c r="N12" s="1" t="s">
        <v>27</v>
      </c>
      <c r="O12" s="1" t="s">
        <v>29</v>
      </c>
      <c r="P12">
        <v>2.5</v>
      </c>
      <c r="Q12" s="1" t="s">
        <v>41</v>
      </c>
      <c r="R12" s="1" t="str">
        <f>_xlfn.CONCAT(laptop[[#This Row],[CPU_company]]," ",laptop[[#This Row],[CPU_model]])</f>
        <v>Intel Core i5 7200U</v>
      </c>
      <c r="S12">
        <v>500</v>
      </c>
      <c r="T12">
        <v>0</v>
      </c>
      <c r="U12">
        <f>laptop[[#This Row],[PrimaryStorage]]+laptop[[#This Row],[SecondaryStorage]]</f>
        <v>500</v>
      </c>
      <c r="V12" s="1" t="s">
        <v>51</v>
      </c>
      <c r="W12" s="1" t="s">
        <v>27</v>
      </c>
      <c r="X12" s="1" t="str">
        <f>IF(laptop[[#This Row],[PrimaryStorageType]]=laptop[[#This Row],[SecondaryStorageType]],laptop[[#This Row],[PrimaryStorageType]],"SSD &amp; HDD")</f>
        <v>SSD &amp; HDD</v>
      </c>
      <c r="Y12" s="1" t="s">
        <v>42</v>
      </c>
    </row>
    <row r="13" spans="1:25" x14ac:dyDescent="0.25">
      <c r="A13" s="1" t="s">
        <v>36</v>
      </c>
      <c r="B13" s="1" t="s">
        <v>37</v>
      </c>
      <c r="C13" s="1" t="s">
        <v>38</v>
      </c>
      <c r="D13">
        <v>15.6</v>
      </c>
      <c r="E13">
        <v>4</v>
      </c>
      <c r="F13" s="1" t="s">
        <v>39</v>
      </c>
      <c r="G13">
        <v>1.86</v>
      </c>
      <c r="H13">
        <v>344.99</v>
      </c>
      <c r="I13" s="1" t="s">
        <v>40</v>
      </c>
      <c r="J13">
        <v>1920</v>
      </c>
      <c r="K13">
        <v>1080</v>
      </c>
      <c r="L13" s="1" t="s">
        <v>27</v>
      </c>
      <c r="M13" s="1" t="s">
        <v>27</v>
      </c>
      <c r="N13" s="1" t="s">
        <v>27</v>
      </c>
      <c r="O13" s="1" t="s">
        <v>29</v>
      </c>
      <c r="P13">
        <v>2</v>
      </c>
      <c r="Q13" s="1" t="s">
        <v>62</v>
      </c>
      <c r="R13" s="1" t="str">
        <f>_xlfn.CONCAT(laptop[[#This Row],[CPU_company]]," ",laptop[[#This Row],[CPU_model]])</f>
        <v>Intel Core i3 6006U</v>
      </c>
      <c r="S13">
        <v>500</v>
      </c>
      <c r="T13">
        <v>0</v>
      </c>
      <c r="U13">
        <f>laptop[[#This Row],[PrimaryStorage]]+laptop[[#This Row],[SecondaryStorage]]</f>
        <v>500</v>
      </c>
      <c r="V13" s="1" t="s">
        <v>51</v>
      </c>
      <c r="W13" s="1" t="s">
        <v>27</v>
      </c>
      <c r="X13" s="1" t="str">
        <f>IF(laptop[[#This Row],[PrimaryStorageType]]=laptop[[#This Row],[SecondaryStorageType]],laptop[[#This Row],[PrimaryStorageType]],"SSD &amp; HDD")</f>
        <v>SSD &amp; HDD</v>
      </c>
      <c r="Y13" s="1" t="s">
        <v>63</v>
      </c>
    </row>
    <row r="14" spans="1:25" x14ac:dyDescent="0.25">
      <c r="A14" s="1" t="s">
        <v>22</v>
      </c>
      <c r="B14" s="1" t="s">
        <v>23</v>
      </c>
      <c r="C14" s="1" t="s">
        <v>24</v>
      </c>
      <c r="D14">
        <v>15.4</v>
      </c>
      <c r="E14">
        <v>16</v>
      </c>
      <c r="F14" s="1" t="s">
        <v>25</v>
      </c>
      <c r="G14">
        <v>1.83</v>
      </c>
      <c r="H14">
        <v>2439.9699999999998</v>
      </c>
      <c r="I14" s="1" t="s">
        <v>26</v>
      </c>
      <c r="J14">
        <v>2880</v>
      </c>
      <c r="K14">
        <v>1800</v>
      </c>
      <c r="L14" s="1" t="s">
        <v>27</v>
      </c>
      <c r="M14" s="1" t="s">
        <v>28</v>
      </c>
      <c r="N14" s="1" t="s">
        <v>28</v>
      </c>
      <c r="O14" s="1" t="s">
        <v>29</v>
      </c>
      <c r="P14">
        <v>2.8</v>
      </c>
      <c r="Q14" s="1" t="s">
        <v>43</v>
      </c>
      <c r="R14" s="1" t="str">
        <f>_xlfn.CONCAT(laptop[[#This Row],[CPU_company]]," ",laptop[[#This Row],[CPU_model]])</f>
        <v>Intel Core i7</v>
      </c>
      <c r="S14">
        <v>256</v>
      </c>
      <c r="T14">
        <v>0</v>
      </c>
      <c r="U14">
        <f>laptop[[#This Row],[PrimaryStorage]]+laptop[[#This Row],[SecondaryStorage]]</f>
        <v>256</v>
      </c>
      <c r="V14" s="1" t="s">
        <v>31</v>
      </c>
      <c r="W14" s="1" t="s">
        <v>27</v>
      </c>
      <c r="X14" s="1" t="str">
        <f>IF(laptop[[#This Row],[PrimaryStorageType]]=laptop[[#This Row],[SecondaryStorageType]],laptop[[#This Row],[PrimaryStorageType]],"SSD &amp; HDD")</f>
        <v>SSD &amp; HDD</v>
      </c>
      <c r="Y14" s="1" t="s">
        <v>64</v>
      </c>
    </row>
    <row r="15" spans="1:25" x14ac:dyDescent="0.25">
      <c r="A15" s="1" t="s">
        <v>65</v>
      </c>
      <c r="B15" s="1" t="s">
        <v>66</v>
      </c>
      <c r="C15" s="1" t="s">
        <v>38</v>
      </c>
      <c r="D15">
        <v>15.6</v>
      </c>
      <c r="E15">
        <v>4</v>
      </c>
      <c r="F15" s="1" t="s">
        <v>48</v>
      </c>
      <c r="G15">
        <v>2.2000000000000002</v>
      </c>
      <c r="H15">
        <v>498.9</v>
      </c>
      <c r="I15" s="1" t="s">
        <v>40</v>
      </c>
      <c r="J15">
        <v>1920</v>
      </c>
      <c r="K15">
        <v>1080</v>
      </c>
      <c r="L15" s="1" t="s">
        <v>27</v>
      </c>
      <c r="M15" s="1" t="s">
        <v>27</v>
      </c>
      <c r="N15" s="1" t="s">
        <v>27</v>
      </c>
      <c r="O15" s="1" t="s">
        <v>29</v>
      </c>
      <c r="P15">
        <v>2</v>
      </c>
      <c r="Q15" s="1" t="s">
        <v>62</v>
      </c>
      <c r="R15" s="1" t="str">
        <f>_xlfn.CONCAT(laptop[[#This Row],[CPU_company]]," ",laptop[[#This Row],[CPU_model]])</f>
        <v>Intel Core i3 6006U</v>
      </c>
      <c r="S15">
        <v>256</v>
      </c>
      <c r="T15">
        <v>0</v>
      </c>
      <c r="U15">
        <f>laptop[[#This Row],[PrimaryStorage]]+laptop[[#This Row],[SecondaryStorage]]</f>
        <v>256</v>
      </c>
      <c r="V15" s="1" t="s">
        <v>31</v>
      </c>
      <c r="W15" s="1" t="s">
        <v>27</v>
      </c>
      <c r="X15" s="1" t="str">
        <f>IF(laptop[[#This Row],[PrimaryStorageType]]=laptop[[#This Row],[SecondaryStorageType]],laptop[[#This Row],[PrimaryStorageType]],"SSD &amp; HDD")</f>
        <v>SSD &amp; HDD</v>
      </c>
      <c r="Y15" s="1" t="s">
        <v>67</v>
      </c>
    </row>
    <row r="16" spans="1:25" x14ac:dyDescent="0.25">
      <c r="A16" s="1" t="s">
        <v>22</v>
      </c>
      <c r="B16" s="1" t="s">
        <v>68</v>
      </c>
      <c r="C16" s="1" t="s">
        <v>24</v>
      </c>
      <c r="D16">
        <v>12</v>
      </c>
      <c r="E16">
        <v>8</v>
      </c>
      <c r="F16" s="1" t="s">
        <v>25</v>
      </c>
      <c r="G16">
        <v>0.92</v>
      </c>
      <c r="H16">
        <v>1262.4000000000001</v>
      </c>
      <c r="I16" s="1" t="s">
        <v>26</v>
      </c>
      <c r="J16">
        <v>2304</v>
      </c>
      <c r="K16">
        <v>1440</v>
      </c>
      <c r="L16" s="1" t="s">
        <v>27</v>
      </c>
      <c r="M16" s="1" t="s">
        <v>28</v>
      </c>
      <c r="N16" s="1" t="s">
        <v>28</v>
      </c>
      <c r="O16" s="1" t="s">
        <v>29</v>
      </c>
      <c r="P16">
        <v>1.2</v>
      </c>
      <c r="Q16" s="1" t="s">
        <v>69</v>
      </c>
      <c r="R16" s="1" t="str">
        <f>_xlfn.CONCAT(laptop[[#This Row],[CPU_company]]," ",laptop[[#This Row],[CPU_model]])</f>
        <v>Intel Core M m3</v>
      </c>
      <c r="S16">
        <v>256</v>
      </c>
      <c r="T16">
        <v>0</v>
      </c>
      <c r="U16">
        <f>laptop[[#This Row],[PrimaryStorage]]+laptop[[#This Row],[SecondaryStorage]]</f>
        <v>256</v>
      </c>
      <c r="V16" s="1" t="s">
        <v>31</v>
      </c>
      <c r="W16" s="1" t="s">
        <v>27</v>
      </c>
      <c r="X16" s="1" t="str">
        <f>IF(laptop[[#This Row],[PrimaryStorageType]]=laptop[[#This Row],[SecondaryStorageType]],laptop[[#This Row],[PrimaryStorageType]],"SSD &amp; HDD")</f>
        <v>SSD &amp; HDD</v>
      </c>
      <c r="Y16" s="1" t="s">
        <v>70</v>
      </c>
    </row>
    <row r="17" spans="1:25" x14ac:dyDescent="0.25">
      <c r="A17" s="1" t="s">
        <v>22</v>
      </c>
      <c r="B17" s="1" t="s">
        <v>23</v>
      </c>
      <c r="C17" s="1" t="s">
        <v>24</v>
      </c>
      <c r="D17">
        <v>13.3</v>
      </c>
      <c r="E17">
        <v>8</v>
      </c>
      <c r="F17" s="1" t="s">
        <v>25</v>
      </c>
      <c r="G17">
        <v>1.37</v>
      </c>
      <c r="H17">
        <v>1518.55</v>
      </c>
      <c r="I17" s="1" t="s">
        <v>26</v>
      </c>
      <c r="J17">
        <v>2560</v>
      </c>
      <c r="K17">
        <v>1600</v>
      </c>
      <c r="L17" s="1" t="s">
        <v>27</v>
      </c>
      <c r="M17" s="1" t="s">
        <v>28</v>
      </c>
      <c r="N17" s="1" t="s">
        <v>28</v>
      </c>
      <c r="O17" s="1" t="s">
        <v>29</v>
      </c>
      <c r="P17">
        <v>2.2999999999999998</v>
      </c>
      <c r="Q17" s="1" t="s">
        <v>30</v>
      </c>
      <c r="R17" s="1" t="str">
        <f>_xlfn.CONCAT(laptop[[#This Row],[CPU_company]]," ",laptop[[#This Row],[CPU_model]])</f>
        <v>Intel Core i5</v>
      </c>
      <c r="S17">
        <v>256</v>
      </c>
      <c r="T17">
        <v>0</v>
      </c>
      <c r="U17">
        <f>laptop[[#This Row],[PrimaryStorage]]+laptop[[#This Row],[SecondaryStorage]]</f>
        <v>256</v>
      </c>
      <c r="V17" s="1" t="s">
        <v>31</v>
      </c>
      <c r="W17" s="1" t="s">
        <v>27</v>
      </c>
      <c r="X17" s="1" t="str">
        <f>IF(laptop[[#This Row],[PrimaryStorageType]]=laptop[[#This Row],[SecondaryStorageType]],laptop[[#This Row],[PrimaryStorageType]],"SSD &amp; HDD")</f>
        <v>SSD &amp; HDD</v>
      </c>
      <c r="Y17" s="1" t="s">
        <v>32</v>
      </c>
    </row>
    <row r="18" spans="1:25" x14ac:dyDescent="0.25">
      <c r="A18" s="1" t="s">
        <v>65</v>
      </c>
      <c r="B18" s="1" t="s">
        <v>66</v>
      </c>
      <c r="C18" s="1" t="s">
        <v>38</v>
      </c>
      <c r="D18">
        <v>15.6</v>
      </c>
      <c r="E18">
        <v>8</v>
      </c>
      <c r="F18" s="1" t="s">
        <v>48</v>
      </c>
      <c r="G18">
        <v>2.2000000000000002</v>
      </c>
      <c r="H18">
        <v>745</v>
      </c>
      <c r="I18" s="1" t="s">
        <v>40</v>
      </c>
      <c r="J18">
        <v>1920</v>
      </c>
      <c r="K18">
        <v>1080</v>
      </c>
      <c r="L18" s="1" t="s">
        <v>27</v>
      </c>
      <c r="M18" s="1" t="s">
        <v>27</v>
      </c>
      <c r="N18" s="1" t="s">
        <v>27</v>
      </c>
      <c r="O18" s="1" t="s">
        <v>29</v>
      </c>
      <c r="P18">
        <v>2.7</v>
      </c>
      <c r="Q18" s="1" t="s">
        <v>71</v>
      </c>
      <c r="R18" s="1" t="str">
        <f>_xlfn.CONCAT(laptop[[#This Row],[CPU_company]]," ",laptop[[#This Row],[CPU_model]])</f>
        <v>Intel Core i7 7500U</v>
      </c>
      <c r="S18">
        <v>256</v>
      </c>
      <c r="T18">
        <v>0</v>
      </c>
      <c r="U18">
        <f>laptop[[#This Row],[PrimaryStorage]]+laptop[[#This Row],[SecondaryStorage]]</f>
        <v>256</v>
      </c>
      <c r="V18" s="1" t="s">
        <v>31</v>
      </c>
      <c r="W18" s="1" t="s">
        <v>27</v>
      </c>
      <c r="X18" s="1" t="str">
        <f>IF(laptop[[#This Row],[PrimaryStorageType]]=laptop[[#This Row],[SecondaryStorageType]],laptop[[#This Row],[PrimaryStorageType]],"SSD &amp; HDD")</f>
        <v>SSD &amp; HDD</v>
      </c>
      <c r="Y18" s="1" t="s">
        <v>67</v>
      </c>
    </row>
    <row r="19" spans="1:25" x14ac:dyDescent="0.25">
      <c r="A19" s="1" t="s">
        <v>22</v>
      </c>
      <c r="B19" s="1" t="s">
        <v>23</v>
      </c>
      <c r="C19" s="1" t="s">
        <v>24</v>
      </c>
      <c r="D19">
        <v>15.4</v>
      </c>
      <c r="E19">
        <v>16</v>
      </c>
      <c r="F19" s="1" t="s">
        <v>25</v>
      </c>
      <c r="G19">
        <v>1.83</v>
      </c>
      <c r="H19">
        <v>2858</v>
      </c>
      <c r="I19" s="1" t="s">
        <v>26</v>
      </c>
      <c r="J19">
        <v>2880</v>
      </c>
      <c r="K19">
        <v>1800</v>
      </c>
      <c r="L19" s="1" t="s">
        <v>27</v>
      </c>
      <c r="M19" s="1" t="s">
        <v>28</v>
      </c>
      <c r="N19" s="1" t="s">
        <v>28</v>
      </c>
      <c r="O19" s="1" t="s">
        <v>29</v>
      </c>
      <c r="P19">
        <v>2.9</v>
      </c>
      <c r="Q19" s="1" t="s">
        <v>43</v>
      </c>
      <c r="R19" s="1" t="str">
        <f>_xlfn.CONCAT(laptop[[#This Row],[CPU_company]]," ",laptop[[#This Row],[CPU_model]])</f>
        <v>Intel Core i7</v>
      </c>
      <c r="S19">
        <v>512</v>
      </c>
      <c r="T19">
        <v>0</v>
      </c>
      <c r="U19">
        <f>laptop[[#This Row],[PrimaryStorage]]+laptop[[#This Row],[SecondaryStorage]]</f>
        <v>512</v>
      </c>
      <c r="V19" s="1" t="s">
        <v>31</v>
      </c>
      <c r="W19" s="1" t="s">
        <v>27</v>
      </c>
      <c r="X19" s="1" t="str">
        <f>IF(laptop[[#This Row],[PrimaryStorageType]]=laptop[[#This Row],[SecondaryStorageType]],laptop[[#This Row],[PrimaryStorageType]],"SSD &amp; HDD")</f>
        <v>SSD &amp; HDD</v>
      </c>
      <c r="Y19" s="1" t="s">
        <v>72</v>
      </c>
    </row>
    <row r="20" spans="1:25" x14ac:dyDescent="0.25">
      <c r="A20" s="1" t="s">
        <v>73</v>
      </c>
      <c r="B20" s="1" t="s">
        <v>74</v>
      </c>
      <c r="C20" s="1" t="s">
        <v>38</v>
      </c>
      <c r="D20">
        <v>15.6</v>
      </c>
      <c r="E20">
        <v>8</v>
      </c>
      <c r="F20" s="1" t="s">
        <v>39</v>
      </c>
      <c r="G20">
        <v>2.2000000000000002</v>
      </c>
      <c r="H20">
        <v>499</v>
      </c>
      <c r="I20" s="1" t="s">
        <v>40</v>
      </c>
      <c r="J20">
        <v>1920</v>
      </c>
      <c r="K20">
        <v>1080</v>
      </c>
      <c r="L20" s="1" t="s">
        <v>27</v>
      </c>
      <c r="M20" s="1" t="s">
        <v>27</v>
      </c>
      <c r="N20" s="1" t="s">
        <v>27</v>
      </c>
      <c r="O20" s="1" t="s">
        <v>29</v>
      </c>
      <c r="P20">
        <v>2.4</v>
      </c>
      <c r="Q20" s="1" t="s">
        <v>75</v>
      </c>
      <c r="R20" s="1" t="str">
        <f>_xlfn.CONCAT(laptop[[#This Row],[CPU_company]]," ",laptop[[#This Row],[CPU_model]])</f>
        <v>Intel Core i3 7100U</v>
      </c>
      <c r="S20">
        <v>1024</v>
      </c>
      <c r="T20">
        <v>0</v>
      </c>
      <c r="U20">
        <f>laptop[[#This Row],[PrimaryStorage]]+laptop[[#This Row],[SecondaryStorage]]</f>
        <v>1024</v>
      </c>
      <c r="V20" s="1" t="s">
        <v>51</v>
      </c>
      <c r="W20" s="1" t="s">
        <v>27</v>
      </c>
      <c r="X20" s="1" t="str">
        <f>IF(laptop[[#This Row],[PrimaryStorageType]]=laptop[[#This Row],[SecondaryStorageType]],laptop[[#This Row],[PrimaryStorageType]],"SSD &amp; HDD")</f>
        <v>SSD &amp; HDD</v>
      </c>
      <c r="Y20" s="1" t="s">
        <v>76</v>
      </c>
    </row>
    <row r="21" spans="1:25" x14ac:dyDescent="0.25">
      <c r="A21" s="1" t="s">
        <v>65</v>
      </c>
      <c r="B21" s="1" t="s">
        <v>77</v>
      </c>
      <c r="C21" s="1" t="s">
        <v>24</v>
      </c>
      <c r="D21">
        <v>13.3</v>
      </c>
      <c r="E21">
        <v>8</v>
      </c>
      <c r="F21" s="1" t="s">
        <v>48</v>
      </c>
      <c r="G21">
        <v>1.22</v>
      </c>
      <c r="H21">
        <v>979</v>
      </c>
      <c r="I21" s="1" t="s">
        <v>40</v>
      </c>
      <c r="J21">
        <v>1920</v>
      </c>
      <c r="K21">
        <v>1080</v>
      </c>
      <c r="L21" s="1" t="s">
        <v>28</v>
      </c>
      <c r="M21" s="1" t="s">
        <v>28</v>
      </c>
      <c r="N21" s="1" t="s">
        <v>27</v>
      </c>
      <c r="O21" s="1" t="s">
        <v>29</v>
      </c>
      <c r="P21">
        <v>1.6</v>
      </c>
      <c r="Q21" s="1" t="s">
        <v>60</v>
      </c>
      <c r="R21" s="1" t="str">
        <f>_xlfn.CONCAT(laptop[[#This Row],[CPU_company]]," ",laptop[[#This Row],[CPU_model]])</f>
        <v>Intel Core i5 8250U</v>
      </c>
      <c r="S21">
        <v>128</v>
      </c>
      <c r="T21">
        <v>0</v>
      </c>
      <c r="U21">
        <f>laptop[[#This Row],[PrimaryStorage]]+laptop[[#This Row],[SecondaryStorage]]</f>
        <v>128</v>
      </c>
      <c r="V21" s="1" t="s">
        <v>31</v>
      </c>
      <c r="W21" s="1" t="s">
        <v>27</v>
      </c>
      <c r="X21" s="1" t="str">
        <f>IF(laptop[[#This Row],[PrimaryStorageType]]=laptop[[#This Row],[SecondaryStorageType]],laptop[[#This Row],[PrimaryStorageType]],"SSD &amp; HDD")</f>
        <v>SSD &amp; HDD</v>
      </c>
      <c r="Y21" s="1" t="s">
        <v>61</v>
      </c>
    </row>
    <row r="22" spans="1:25" x14ac:dyDescent="0.25">
      <c r="A22" s="1" t="s">
        <v>55</v>
      </c>
      <c r="B22" s="1" t="s">
        <v>78</v>
      </c>
      <c r="C22" s="1" t="s">
        <v>79</v>
      </c>
      <c r="D22">
        <v>11.6</v>
      </c>
      <c r="E22">
        <v>2</v>
      </c>
      <c r="F22" s="1" t="s">
        <v>48</v>
      </c>
      <c r="G22">
        <v>0.98</v>
      </c>
      <c r="H22">
        <v>191.9</v>
      </c>
      <c r="I22" s="1" t="s">
        <v>26</v>
      </c>
      <c r="J22">
        <v>1366</v>
      </c>
      <c r="K22">
        <v>768</v>
      </c>
      <c r="L22" s="1" t="s">
        <v>27</v>
      </c>
      <c r="M22" s="1" t="s">
        <v>27</v>
      </c>
      <c r="N22" s="1" t="s">
        <v>27</v>
      </c>
      <c r="O22" s="1" t="s">
        <v>29</v>
      </c>
      <c r="P22">
        <v>1.44</v>
      </c>
      <c r="Q22" s="1" t="s">
        <v>80</v>
      </c>
      <c r="R22" s="1" t="str">
        <f>_xlfn.CONCAT(laptop[[#This Row],[CPU_company]]," ",laptop[[#This Row],[CPU_model]])</f>
        <v>Intel Atom x5-Z8350</v>
      </c>
      <c r="S22">
        <v>32</v>
      </c>
      <c r="T22">
        <v>0</v>
      </c>
      <c r="U22">
        <f>laptop[[#This Row],[PrimaryStorage]]+laptop[[#This Row],[SecondaryStorage]]</f>
        <v>32</v>
      </c>
      <c r="V22" s="1" t="s">
        <v>34</v>
      </c>
      <c r="W22" s="1" t="s">
        <v>27</v>
      </c>
      <c r="X22" s="1" t="str">
        <f>IF(laptop[[#This Row],[PrimaryStorageType]]=laptop[[#This Row],[SecondaryStorageType]],laptop[[#This Row],[PrimaryStorageType]],"SSD &amp; HDD")</f>
        <v>SSD &amp; HDD</v>
      </c>
      <c r="Y22" s="1" t="s">
        <v>81</v>
      </c>
    </row>
    <row r="23" spans="1:25" x14ac:dyDescent="0.25">
      <c r="A23" s="1" t="s">
        <v>73</v>
      </c>
      <c r="B23" s="1" t="s">
        <v>82</v>
      </c>
      <c r="C23" s="1" t="s">
        <v>83</v>
      </c>
      <c r="D23">
        <v>15.6</v>
      </c>
      <c r="E23">
        <v>8</v>
      </c>
      <c r="F23" s="1" t="s">
        <v>48</v>
      </c>
      <c r="G23">
        <v>2.5</v>
      </c>
      <c r="H23">
        <v>999</v>
      </c>
      <c r="I23" s="1" t="s">
        <v>40</v>
      </c>
      <c r="J23">
        <v>1920</v>
      </c>
      <c r="K23">
        <v>1080</v>
      </c>
      <c r="L23" s="1" t="s">
        <v>27</v>
      </c>
      <c r="M23" s="1" t="s">
        <v>28</v>
      </c>
      <c r="N23" s="1" t="s">
        <v>27</v>
      </c>
      <c r="O23" s="1" t="s">
        <v>29</v>
      </c>
      <c r="P23">
        <v>2.5</v>
      </c>
      <c r="Q23" s="1" t="s">
        <v>84</v>
      </c>
      <c r="R23" s="1" t="str">
        <f>_xlfn.CONCAT(laptop[[#This Row],[CPU_company]]," ",laptop[[#This Row],[CPU_model]])</f>
        <v>Intel Core i5 7300HQ</v>
      </c>
      <c r="S23">
        <v>128</v>
      </c>
      <c r="T23">
        <v>1024</v>
      </c>
      <c r="U23">
        <f>laptop[[#This Row],[PrimaryStorage]]+laptop[[#This Row],[SecondaryStorage]]</f>
        <v>1152</v>
      </c>
      <c r="V23" s="1" t="s">
        <v>31</v>
      </c>
      <c r="W23" s="1" t="s">
        <v>51</v>
      </c>
      <c r="X23" s="1" t="str">
        <f>IF(laptop[[#This Row],[PrimaryStorageType]]=laptop[[#This Row],[SecondaryStorageType]],laptop[[#This Row],[PrimaryStorageType]],"SSD &amp; HDD")</f>
        <v>SSD &amp; HDD</v>
      </c>
      <c r="Y23" s="1" t="s">
        <v>85</v>
      </c>
    </row>
    <row r="24" spans="1:25" x14ac:dyDescent="0.25">
      <c r="A24" s="1" t="s">
        <v>36</v>
      </c>
      <c r="B24" s="1" t="s">
        <v>86</v>
      </c>
      <c r="C24" s="1" t="s">
        <v>38</v>
      </c>
      <c r="D24">
        <v>15.6</v>
      </c>
      <c r="E24">
        <v>4</v>
      </c>
      <c r="F24" s="1" t="s">
        <v>39</v>
      </c>
      <c r="G24">
        <v>1.86</v>
      </c>
      <c r="H24">
        <v>258</v>
      </c>
      <c r="I24" s="1" t="s">
        <v>26</v>
      </c>
      <c r="J24">
        <v>1366</v>
      </c>
      <c r="K24">
        <v>768</v>
      </c>
      <c r="L24" s="1" t="s">
        <v>27</v>
      </c>
      <c r="M24" s="1" t="s">
        <v>27</v>
      </c>
      <c r="N24" s="1" t="s">
        <v>27</v>
      </c>
      <c r="O24" s="1" t="s">
        <v>49</v>
      </c>
      <c r="P24">
        <v>1.5</v>
      </c>
      <c r="Q24" s="1" t="s">
        <v>87</v>
      </c>
      <c r="R24" s="1" t="str">
        <f>_xlfn.CONCAT(laptop[[#This Row],[CPU_company]]," ",laptop[[#This Row],[CPU_model]])</f>
        <v>AMD E-Series E2-9000e</v>
      </c>
      <c r="S24">
        <v>500</v>
      </c>
      <c r="T24">
        <v>0</v>
      </c>
      <c r="U24">
        <f>laptop[[#This Row],[PrimaryStorage]]+laptop[[#This Row],[SecondaryStorage]]</f>
        <v>500</v>
      </c>
      <c r="V24" s="1" t="s">
        <v>51</v>
      </c>
      <c r="W24" s="1" t="s">
        <v>27</v>
      </c>
      <c r="X24" s="1" t="str">
        <f>IF(laptop[[#This Row],[PrimaryStorageType]]=laptop[[#This Row],[SecondaryStorageType]],laptop[[#This Row],[PrimaryStorageType]],"SSD &amp; HDD")</f>
        <v>SSD &amp; HDD</v>
      </c>
      <c r="Y24" s="1" t="s">
        <v>88</v>
      </c>
    </row>
    <row r="25" spans="1:25" x14ac:dyDescent="0.25">
      <c r="A25" s="1" t="s">
        <v>65</v>
      </c>
      <c r="B25" s="1" t="s">
        <v>89</v>
      </c>
      <c r="C25" s="1" t="s">
        <v>90</v>
      </c>
      <c r="D25">
        <v>13.3</v>
      </c>
      <c r="E25">
        <v>8</v>
      </c>
      <c r="F25" s="1" t="s">
        <v>48</v>
      </c>
      <c r="G25">
        <v>1.62</v>
      </c>
      <c r="H25">
        <v>819</v>
      </c>
      <c r="I25" s="1" t="s">
        <v>40</v>
      </c>
      <c r="J25">
        <v>1920</v>
      </c>
      <c r="K25">
        <v>1080</v>
      </c>
      <c r="L25" s="1" t="s">
        <v>28</v>
      </c>
      <c r="M25" s="1" t="s">
        <v>27</v>
      </c>
      <c r="N25" s="1" t="s">
        <v>27</v>
      </c>
      <c r="O25" s="1" t="s">
        <v>29</v>
      </c>
      <c r="P25">
        <v>1.6</v>
      </c>
      <c r="Q25" s="1" t="s">
        <v>60</v>
      </c>
      <c r="R25" s="1" t="str">
        <f>_xlfn.CONCAT(laptop[[#This Row],[CPU_company]]," ",laptop[[#This Row],[CPU_model]])</f>
        <v>Intel Core i5 8250U</v>
      </c>
      <c r="S25">
        <v>256</v>
      </c>
      <c r="T25">
        <v>0</v>
      </c>
      <c r="U25">
        <f>laptop[[#This Row],[PrimaryStorage]]+laptop[[#This Row],[SecondaryStorage]]</f>
        <v>256</v>
      </c>
      <c r="V25" s="1" t="s">
        <v>31</v>
      </c>
      <c r="W25" s="1" t="s">
        <v>27</v>
      </c>
      <c r="X25" s="1" t="str">
        <f>IF(laptop[[#This Row],[PrimaryStorageType]]=laptop[[#This Row],[SecondaryStorageType]],laptop[[#This Row],[PrimaryStorageType]],"SSD &amp; HDD")</f>
        <v>SSD &amp; HDD</v>
      </c>
      <c r="Y25" s="1" t="s">
        <v>61</v>
      </c>
    </row>
    <row r="26" spans="1:25" x14ac:dyDescent="0.25">
      <c r="A26" s="1" t="s">
        <v>36</v>
      </c>
      <c r="B26" s="1" t="s">
        <v>91</v>
      </c>
      <c r="C26" s="1" t="s">
        <v>24</v>
      </c>
      <c r="D26">
        <v>15.6</v>
      </c>
      <c r="E26">
        <v>8</v>
      </c>
      <c r="F26" s="1" t="s">
        <v>48</v>
      </c>
      <c r="G26">
        <v>1.91</v>
      </c>
      <c r="H26">
        <v>659</v>
      </c>
      <c r="I26" s="1" t="s">
        <v>40</v>
      </c>
      <c r="J26">
        <v>1920</v>
      </c>
      <c r="K26">
        <v>1080</v>
      </c>
      <c r="L26" s="1" t="s">
        <v>27</v>
      </c>
      <c r="M26" s="1" t="s">
        <v>27</v>
      </c>
      <c r="N26" s="1" t="s">
        <v>27</v>
      </c>
      <c r="O26" s="1" t="s">
        <v>29</v>
      </c>
      <c r="P26">
        <v>1.8</v>
      </c>
      <c r="Q26" s="1" t="s">
        <v>57</v>
      </c>
      <c r="R26" s="1" t="str">
        <f>_xlfn.CONCAT(laptop[[#This Row],[CPU_company]]," ",laptop[[#This Row],[CPU_model]])</f>
        <v>Intel Core i7 8550U</v>
      </c>
      <c r="S26">
        <v>256</v>
      </c>
      <c r="T26">
        <v>0</v>
      </c>
      <c r="U26">
        <f>laptop[[#This Row],[PrimaryStorage]]+laptop[[#This Row],[SecondaryStorage]]</f>
        <v>256</v>
      </c>
      <c r="V26" s="1" t="s">
        <v>31</v>
      </c>
      <c r="W26" s="1" t="s">
        <v>27</v>
      </c>
      <c r="X26" s="1" t="str">
        <f>IF(laptop[[#This Row],[PrimaryStorageType]]=laptop[[#This Row],[SecondaryStorageType]],laptop[[#This Row],[PrimaryStorageType]],"SSD &amp; HDD")</f>
        <v>SSD &amp; HDD</v>
      </c>
      <c r="Y26" s="1" t="s">
        <v>42</v>
      </c>
    </row>
    <row r="27" spans="1:25" x14ac:dyDescent="0.25">
      <c r="A27" s="1" t="s">
        <v>65</v>
      </c>
      <c r="B27" s="1" t="s">
        <v>66</v>
      </c>
      <c r="C27" s="1" t="s">
        <v>38</v>
      </c>
      <c r="D27">
        <v>15.6</v>
      </c>
      <c r="E27">
        <v>4</v>
      </c>
      <c r="F27" s="1" t="s">
        <v>48</v>
      </c>
      <c r="G27">
        <v>2.2999999999999998</v>
      </c>
      <c r="H27">
        <v>418.64</v>
      </c>
      <c r="I27" s="1" t="s">
        <v>26</v>
      </c>
      <c r="J27">
        <v>1366</v>
      </c>
      <c r="K27">
        <v>768</v>
      </c>
      <c r="L27" s="1" t="s">
        <v>27</v>
      </c>
      <c r="M27" s="1" t="s">
        <v>27</v>
      </c>
      <c r="N27" s="1" t="s">
        <v>27</v>
      </c>
      <c r="O27" s="1" t="s">
        <v>29</v>
      </c>
      <c r="P27">
        <v>2</v>
      </c>
      <c r="Q27" s="1" t="s">
        <v>62</v>
      </c>
      <c r="R27" s="1" t="str">
        <f>_xlfn.CONCAT(laptop[[#This Row],[CPU_company]]," ",laptop[[#This Row],[CPU_model]])</f>
        <v>Intel Core i3 6006U</v>
      </c>
      <c r="S27">
        <v>1024</v>
      </c>
      <c r="T27">
        <v>0</v>
      </c>
      <c r="U27">
        <f>laptop[[#This Row],[PrimaryStorage]]+laptop[[#This Row],[SecondaryStorage]]</f>
        <v>1024</v>
      </c>
      <c r="V27" s="1" t="s">
        <v>51</v>
      </c>
      <c r="W27" s="1" t="s">
        <v>27</v>
      </c>
      <c r="X27" s="1" t="str">
        <f>IF(laptop[[#This Row],[PrimaryStorageType]]=laptop[[#This Row],[SecondaryStorageType]],laptop[[#This Row],[PrimaryStorageType]],"SSD &amp; HDD")</f>
        <v>SSD &amp; HDD</v>
      </c>
      <c r="Y27" s="1" t="s">
        <v>63</v>
      </c>
    </row>
    <row r="28" spans="1:25" x14ac:dyDescent="0.25">
      <c r="A28" s="1" t="s">
        <v>22</v>
      </c>
      <c r="B28" s="1" t="s">
        <v>92</v>
      </c>
      <c r="C28" s="1" t="s">
        <v>24</v>
      </c>
      <c r="D28">
        <v>13.3</v>
      </c>
      <c r="E28">
        <v>8</v>
      </c>
      <c r="F28" s="1" t="s">
        <v>53</v>
      </c>
      <c r="G28">
        <v>1.35</v>
      </c>
      <c r="H28">
        <v>1099</v>
      </c>
      <c r="I28" s="1" t="s">
        <v>26</v>
      </c>
      <c r="J28">
        <v>1440</v>
      </c>
      <c r="K28">
        <v>900</v>
      </c>
      <c r="L28" s="1" t="s">
        <v>27</v>
      </c>
      <c r="M28" s="1" t="s">
        <v>27</v>
      </c>
      <c r="N28" s="1" t="s">
        <v>27</v>
      </c>
      <c r="O28" s="1" t="s">
        <v>29</v>
      </c>
      <c r="P28">
        <v>1.6</v>
      </c>
      <c r="Q28" s="1" t="s">
        <v>30</v>
      </c>
      <c r="R28" s="1" t="str">
        <f>_xlfn.CONCAT(laptop[[#This Row],[CPU_company]]," ",laptop[[#This Row],[CPU_model]])</f>
        <v>Intel Core i5</v>
      </c>
      <c r="S28">
        <v>128</v>
      </c>
      <c r="T28">
        <v>0</v>
      </c>
      <c r="U28">
        <f>laptop[[#This Row],[PrimaryStorage]]+laptop[[#This Row],[SecondaryStorage]]</f>
        <v>128</v>
      </c>
      <c r="V28" s="1" t="s">
        <v>34</v>
      </c>
      <c r="W28" s="1" t="s">
        <v>27</v>
      </c>
      <c r="X28" s="1" t="str">
        <f>IF(laptop[[#This Row],[PrimaryStorageType]]=laptop[[#This Row],[SecondaryStorageType]],laptop[[#This Row],[PrimaryStorageType]],"SSD &amp; HDD")</f>
        <v>SSD &amp; HDD</v>
      </c>
      <c r="Y28" s="1" t="s">
        <v>35</v>
      </c>
    </row>
    <row r="29" spans="1:25" x14ac:dyDescent="0.25">
      <c r="A29" s="1" t="s">
        <v>65</v>
      </c>
      <c r="B29" s="1" t="s">
        <v>93</v>
      </c>
      <c r="C29" s="1" t="s">
        <v>38</v>
      </c>
      <c r="D29">
        <v>15.6</v>
      </c>
      <c r="E29">
        <v>8</v>
      </c>
      <c r="F29" s="1" t="s">
        <v>48</v>
      </c>
      <c r="G29">
        <v>2.2000000000000002</v>
      </c>
      <c r="H29">
        <v>800</v>
      </c>
      <c r="I29" s="1" t="s">
        <v>40</v>
      </c>
      <c r="J29">
        <v>1920</v>
      </c>
      <c r="K29">
        <v>1080</v>
      </c>
      <c r="L29" s="1" t="s">
        <v>27</v>
      </c>
      <c r="M29" s="1" t="s">
        <v>27</v>
      </c>
      <c r="N29" s="1" t="s">
        <v>27</v>
      </c>
      <c r="O29" s="1" t="s">
        <v>29</v>
      </c>
      <c r="P29">
        <v>1.6</v>
      </c>
      <c r="Q29" s="1" t="s">
        <v>60</v>
      </c>
      <c r="R29" s="1" t="str">
        <f>_xlfn.CONCAT(laptop[[#This Row],[CPU_company]]," ",laptop[[#This Row],[CPU_model]])</f>
        <v>Intel Core i5 8250U</v>
      </c>
      <c r="S29">
        <v>256</v>
      </c>
      <c r="T29">
        <v>0</v>
      </c>
      <c r="U29">
        <f>laptop[[#This Row],[PrimaryStorage]]+laptop[[#This Row],[SecondaryStorage]]</f>
        <v>256</v>
      </c>
      <c r="V29" s="1" t="s">
        <v>31</v>
      </c>
      <c r="W29" s="1" t="s">
        <v>27</v>
      </c>
      <c r="X29" s="1" t="str">
        <f>IF(laptop[[#This Row],[PrimaryStorageType]]=laptop[[#This Row],[SecondaryStorageType]],laptop[[#This Row],[PrimaryStorageType]],"SSD &amp; HDD")</f>
        <v>SSD &amp; HDD</v>
      </c>
      <c r="Y29" s="1" t="s">
        <v>94</v>
      </c>
    </row>
    <row r="30" spans="1:25" x14ac:dyDescent="0.25">
      <c r="A30" s="1" t="s">
        <v>65</v>
      </c>
      <c r="B30" s="1" t="s">
        <v>95</v>
      </c>
      <c r="C30" s="1" t="s">
        <v>24</v>
      </c>
      <c r="D30">
        <v>15.6</v>
      </c>
      <c r="E30">
        <v>8</v>
      </c>
      <c r="F30" s="1" t="s">
        <v>48</v>
      </c>
      <c r="G30">
        <v>1.88</v>
      </c>
      <c r="H30">
        <v>1298</v>
      </c>
      <c r="I30" s="1" t="s">
        <v>40</v>
      </c>
      <c r="J30">
        <v>1920</v>
      </c>
      <c r="K30">
        <v>1080</v>
      </c>
      <c r="L30" s="1" t="s">
        <v>27</v>
      </c>
      <c r="M30" s="1" t="s">
        <v>27</v>
      </c>
      <c r="N30" s="1" t="s">
        <v>27</v>
      </c>
      <c r="O30" s="1" t="s">
        <v>29</v>
      </c>
      <c r="P30">
        <v>1.9</v>
      </c>
      <c r="Q30" s="1" t="s">
        <v>96</v>
      </c>
      <c r="R30" s="1" t="str">
        <f>_xlfn.CONCAT(laptop[[#This Row],[CPU_company]]," ",laptop[[#This Row],[CPU_model]])</f>
        <v>Intel Core i7 8650U</v>
      </c>
      <c r="S30">
        <v>256</v>
      </c>
      <c r="T30">
        <v>256</v>
      </c>
      <c r="U30">
        <f>laptop[[#This Row],[PrimaryStorage]]+laptop[[#This Row],[SecondaryStorage]]</f>
        <v>512</v>
      </c>
      <c r="V30" s="1" t="s">
        <v>31</v>
      </c>
      <c r="W30" s="1" t="s">
        <v>31</v>
      </c>
      <c r="X30" s="1" t="str">
        <f>IF(laptop[[#This Row],[PrimaryStorageType]]=laptop[[#This Row],[SecondaryStorageType]],laptop[[#This Row],[PrimaryStorageType]],"SSD &amp; HDD")</f>
        <v>SSD</v>
      </c>
      <c r="Y30" s="1" t="s">
        <v>61</v>
      </c>
    </row>
    <row r="31" spans="1:25" x14ac:dyDescent="0.25">
      <c r="A31" s="1" t="s">
        <v>36</v>
      </c>
      <c r="B31" s="1" t="s">
        <v>97</v>
      </c>
      <c r="C31" s="1" t="s">
        <v>38</v>
      </c>
      <c r="D31">
        <v>17.3</v>
      </c>
      <c r="E31">
        <v>8</v>
      </c>
      <c r="F31" s="1" t="s">
        <v>48</v>
      </c>
      <c r="G31">
        <v>2.5</v>
      </c>
      <c r="H31">
        <v>896</v>
      </c>
      <c r="I31" s="1" t="s">
        <v>40</v>
      </c>
      <c r="J31">
        <v>1920</v>
      </c>
      <c r="K31">
        <v>1080</v>
      </c>
      <c r="L31" s="1" t="s">
        <v>27</v>
      </c>
      <c r="M31" s="1" t="s">
        <v>27</v>
      </c>
      <c r="N31" s="1" t="s">
        <v>27</v>
      </c>
      <c r="O31" s="1" t="s">
        <v>29</v>
      </c>
      <c r="P31">
        <v>1.6</v>
      </c>
      <c r="Q31" s="1" t="s">
        <v>60</v>
      </c>
      <c r="R31" s="1" t="str">
        <f>_xlfn.CONCAT(laptop[[#This Row],[CPU_company]]," ",laptop[[#This Row],[CPU_model]])</f>
        <v>Intel Core i5 8250U</v>
      </c>
      <c r="S31">
        <v>1024</v>
      </c>
      <c r="T31">
        <v>0</v>
      </c>
      <c r="U31">
        <f>laptop[[#This Row],[PrimaryStorage]]+laptop[[#This Row],[SecondaryStorage]]</f>
        <v>1024</v>
      </c>
      <c r="V31" s="1" t="s">
        <v>51</v>
      </c>
      <c r="W31" s="1" t="s">
        <v>27</v>
      </c>
      <c r="X31" s="1" t="str">
        <f>IF(laptop[[#This Row],[PrimaryStorageType]]=laptop[[#This Row],[SecondaryStorageType]],laptop[[#This Row],[PrimaryStorageType]],"SSD &amp; HDD")</f>
        <v>SSD &amp; HDD</v>
      </c>
      <c r="Y31" s="1" t="s">
        <v>98</v>
      </c>
    </row>
    <row r="32" spans="1:25" x14ac:dyDescent="0.25">
      <c r="A32" s="1" t="s">
        <v>99</v>
      </c>
      <c r="B32" s="1" t="s">
        <v>100</v>
      </c>
      <c r="C32" s="1" t="s">
        <v>38</v>
      </c>
      <c r="D32">
        <v>15.6</v>
      </c>
      <c r="E32">
        <v>4</v>
      </c>
      <c r="F32" s="1" t="s">
        <v>48</v>
      </c>
      <c r="G32">
        <v>1.89</v>
      </c>
      <c r="H32">
        <v>244.99</v>
      </c>
      <c r="I32" s="1" t="s">
        <v>40</v>
      </c>
      <c r="J32">
        <v>1920</v>
      </c>
      <c r="K32">
        <v>1080</v>
      </c>
      <c r="L32" s="1" t="s">
        <v>27</v>
      </c>
      <c r="M32" s="1" t="s">
        <v>27</v>
      </c>
      <c r="N32" s="1" t="s">
        <v>27</v>
      </c>
      <c r="O32" s="1" t="s">
        <v>29</v>
      </c>
      <c r="P32">
        <v>1.44</v>
      </c>
      <c r="Q32" s="1" t="s">
        <v>101</v>
      </c>
      <c r="R32" s="1" t="str">
        <f>_xlfn.CONCAT(laptop[[#This Row],[CPU_company]]," ",laptop[[#This Row],[CPU_model]])</f>
        <v>Intel Atom x5-Z8300</v>
      </c>
      <c r="S32">
        <v>64</v>
      </c>
      <c r="T32">
        <v>0</v>
      </c>
      <c r="U32">
        <f>laptop[[#This Row],[PrimaryStorage]]+laptop[[#This Row],[SecondaryStorage]]</f>
        <v>64</v>
      </c>
      <c r="V32" s="1" t="s">
        <v>34</v>
      </c>
      <c r="W32" s="1" t="s">
        <v>27</v>
      </c>
      <c r="X32" s="1" t="str">
        <f>IF(laptop[[#This Row],[PrimaryStorageType]]=laptop[[#This Row],[SecondaryStorageType]],laptop[[#This Row],[PrimaryStorageType]],"SSD &amp; HDD")</f>
        <v>SSD &amp; HDD</v>
      </c>
      <c r="Y32" s="1" t="s">
        <v>102</v>
      </c>
    </row>
    <row r="33" spans="1:25" x14ac:dyDescent="0.25">
      <c r="A33" s="1" t="s">
        <v>55</v>
      </c>
      <c r="B33" s="1" t="s">
        <v>103</v>
      </c>
      <c r="C33" s="1" t="s">
        <v>38</v>
      </c>
      <c r="D33">
        <v>14</v>
      </c>
      <c r="E33">
        <v>2</v>
      </c>
      <c r="F33" s="1" t="s">
        <v>48</v>
      </c>
      <c r="G33">
        <v>1.65</v>
      </c>
      <c r="H33">
        <v>199</v>
      </c>
      <c r="I33" s="1" t="s">
        <v>26</v>
      </c>
      <c r="J33">
        <v>1366</v>
      </c>
      <c r="K33">
        <v>768</v>
      </c>
      <c r="L33" s="1" t="s">
        <v>27</v>
      </c>
      <c r="M33" s="1" t="s">
        <v>27</v>
      </c>
      <c r="N33" s="1" t="s">
        <v>27</v>
      </c>
      <c r="O33" s="1" t="s">
        <v>49</v>
      </c>
      <c r="P33">
        <v>1.5</v>
      </c>
      <c r="Q33" s="1" t="s">
        <v>104</v>
      </c>
      <c r="R33" s="1" t="str">
        <f>_xlfn.CONCAT(laptop[[#This Row],[CPU_company]]," ",laptop[[#This Row],[CPU_model]])</f>
        <v>AMD E-Series E2-6110</v>
      </c>
      <c r="S33">
        <v>32</v>
      </c>
      <c r="T33">
        <v>0</v>
      </c>
      <c r="U33">
        <f>laptop[[#This Row],[PrimaryStorage]]+laptop[[#This Row],[SecondaryStorage]]</f>
        <v>32</v>
      </c>
      <c r="V33" s="1" t="s">
        <v>34</v>
      </c>
      <c r="W33" s="1" t="s">
        <v>27</v>
      </c>
      <c r="X33" s="1" t="str">
        <f>IF(laptop[[#This Row],[PrimaryStorageType]]=laptop[[#This Row],[SecondaryStorageType]],laptop[[#This Row],[PrimaryStorageType]],"SSD &amp; HDD")</f>
        <v>SSD &amp; HDD</v>
      </c>
      <c r="Y33" s="1" t="s">
        <v>88</v>
      </c>
    </row>
    <row r="34" spans="1:25" x14ac:dyDescent="0.25">
      <c r="A34" s="1" t="s">
        <v>36</v>
      </c>
      <c r="B34" s="1" t="s">
        <v>105</v>
      </c>
      <c r="C34" s="1" t="s">
        <v>38</v>
      </c>
      <c r="D34">
        <v>17.3</v>
      </c>
      <c r="E34">
        <v>4</v>
      </c>
      <c r="F34" s="1" t="s">
        <v>48</v>
      </c>
      <c r="G34">
        <v>2.71</v>
      </c>
      <c r="H34">
        <v>439</v>
      </c>
      <c r="I34" s="1" t="s">
        <v>40</v>
      </c>
      <c r="J34">
        <v>1920</v>
      </c>
      <c r="K34">
        <v>1080</v>
      </c>
      <c r="L34" s="1" t="s">
        <v>27</v>
      </c>
      <c r="M34" s="1" t="s">
        <v>27</v>
      </c>
      <c r="N34" s="1" t="s">
        <v>27</v>
      </c>
      <c r="O34" s="1" t="s">
        <v>49</v>
      </c>
      <c r="P34">
        <v>2.5</v>
      </c>
      <c r="Q34" s="1" t="s">
        <v>106</v>
      </c>
      <c r="R34" s="1" t="str">
        <f>_xlfn.CONCAT(laptop[[#This Row],[CPU_company]]," ",laptop[[#This Row],[CPU_model]])</f>
        <v>AMD A6-Series 9220</v>
      </c>
      <c r="S34">
        <v>500</v>
      </c>
      <c r="T34">
        <v>0</v>
      </c>
      <c r="U34">
        <f>laptop[[#This Row],[PrimaryStorage]]+laptop[[#This Row],[SecondaryStorage]]</f>
        <v>500</v>
      </c>
      <c r="V34" s="1" t="s">
        <v>51</v>
      </c>
      <c r="W34" s="1" t="s">
        <v>27</v>
      </c>
      <c r="X34" s="1" t="str">
        <f>IF(laptop[[#This Row],[PrimaryStorageType]]=laptop[[#This Row],[SecondaryStorageType]],laptop[[#This Row],[PrimaryStorageType]],"SSD &amp; HDD")</f>
        <v>SSD &amp; HDD</v>
      </c>
      <c r="Y34" s="1" t="s">
        <v>94</v>
      </c>
    </row>
    <row r="35" spans="1:25" x14ac:dyDescent="0.25">
      <c r="A35" s="1" t="s">
        <v>65</v>
      </c>
      <c r="B35" s="1" t="s">
        <v>77</v>
      </c>
      <c r="C35" s="1" t="s">
        <v>24</v>
      </c>
      <c r="D35">
        <v>13.3</v>
      </c>
      <c r="E35">
        <v>16</v>
      </c>
      <c r="F35" s="1" t="s">
        <v>48</v>
      </c>
      <c r="G35">
        <v>1.2</v>
      </c>
      <c r="H35">
        <v>1869</v>
      </c>
      <c r="I35" s="1" t="s">
        <v>107</v>
      </c>
      <c r="J35">
        <v>3200</v>
      </c>
      <c r="K35">
        <v>1800</v>
      </c>
      <c r="L35" s="1" t="s">
        <v>28</v>
      </c>
      <c r="M35" s="1" t="s">
        <v>27</v>
      </c>
      <c r="N35" s="1" t="s">
        <v>27</v>
      </c>
      <c r="O35" s="1" t="s">
        <v>29</v>
      </c>
      <c r="P35">
        <v>1.8</v>
      </c>
      <c r="Q35" s="1" t="s">
        <v>57</v>
      </c>
      <c r="R35" s="1" t="str">
        <f>_xlfn.CONCAT(laptop[[#This Row],[CPU_company]]," ",laptop[[#This Row],[CPU_model]])</f>
        <v>Intel Core i7 8550U</v>
      </c>
      <c r="S35">
        <v>512</v>
      </c>
      <c r="T35">
        <v>0</v>
      </c>
      <c r="U35">
        <f>laptop[[#This Row],[PrimaryStorage]]+laptop[[#This Row],[SecondaryStorage]]</f>
        <v>512</v>
      </c>
      <c r="V35" s="1" t="s">
        <v>31</v>
      </c>
      <c r="W35" s="1" t="s">
        <v>27</v>
      </c>
      <c r="X35" s="1" t="str">
        <f>IF(laptop[[#This Row],[PrimaryStorageType]]=laptop[[#This Row],[SecondaryStorageType]],laptop[[#This Row],[PrimaryStorageType]],"SSD &amp; HDD")</f>
        <v>SSD &amp; HDD</v>
      </c>
      <c r="Y35" s="1" t="s">
        <v>61</v>
      </c>
    </row>
    <row r="36" spans="1:25" x14ac:dyDescent="0.25">
      <c r="A36" s="1" t="s">
        <v>22</v>
      </c>
      <c r="B36" s="1" t="s">
        <v>92</v>
      </c>
      <c r="C36" s="1" t="s">
        <v>24</v>
      </c>
      <c r="D36">
        <v>13.3</v>
      </c>
      <c r="E36">
        <v>8</v>
      </c>
      <c r="F36" s="1" t="s">
        <v>53</v>
      </c>
      <c r="G36">
        <v>1.35</v>
      </c>
      <c r="H36">
        <v>998</v>
      </c>
      <c r="I36" s="1" t="s">
        <v>26</v>
      </c>
      <c r="J36">
        <v>1440</v>
      </c>
      <c r="K36">
        <v>900</v>
      </c>
      <c r="L36" s="1" t="s">
        <v>27</v>
      </c>
      <c r="M36" s="1" t="s">
        <v>27</v>
      </c>
      <c r="N36" s="1" t="s">
        <v>27</v>
      </c>
      <c r="O36" s="1" t="s">
        <v>29</v>
      </c>
      <c r="P36">
        <v>1.6</v>
      </c>
      <c r="Q36" s="1" t="s">
        <v>30</v>
      </c>
      <c r="R36" s="1" t="str">
        <f>_xlfn.CONCAT(laptop[[#This Row],[CPU_company]]," ",laptop[[#This Row],[CPU_model]])</f>
        <v>Intel Core i5</v>
      </c>
      <c r="S36">
        <v>256</v>
      </c>
      <c r="T36">
        <v>0</v>
      </c>
      <c r="U36">
        <f>laptop[[#This Row],[PrimaryStorage]]+laptop[[#This Row],[SecondaryStorage]]</f>
        <v>256</v>
      </c>
      <c r="V36" s="1" t="s">
        <v>34</v>
      </c>
      <c r="W36" s="1" t="s">
        <v>27</v>
      </c>
      <c r="X36" s="1" t="str">
        <f>IF(laptop[[#This Row],[PrimaryStorageType]]=laptop[[#This Row],[SecondaryStorageType]],laptop[[#This Row],[PrimaryStorageType]],"SSD &amp; HDD")</f>
        <v>SSD &amp; HDD</v>
      </c>
      <c r="Y36" s="1" t="s">
        <v>35</v>
      </c>
    </row>
    <row r="37" spans="1:25" x14ac:dyDescent="0.25">
      <c r="A37" s="1" t="s">
        <v>73</v>
      </c>
      <c r="B37" s="1" t="s">
        <v>108</v>
      </c>
      <c r="C37" s="1" t="s">
        <v>38</v>
      </c>
      <c r="D37">
        <v>14</v>
      </c>
      <c r="E37">
        <v>4</v>
      </c>
      <c r="F37" s="1" t="s">
        <v>48</v>
      </c>
      <c r="G37">
        <v>1.44</v>
      </c>
      <c r="H37">
        <v>249</v>
      </c>
      <c r="I37" s="1" t="s">
        <v>26</v>
      </c>
      <c r="J37">
        <v>1366</v>
      </c>
      <c r="K37">
        <v>768</v>
      </c>
      <c r="L37" s="1" t="s">
        <v>27</v>
      </c>
      <c r="M37" s="1" t="s">
        <v>27</v>
      </c>
      <c r="N37" s="1" t="s">
        <v>27</v>
      </c>
      <c r="O37" s="1" t="s">
        <v>29</v>
      </c>
      <c r="P37">
        <v>1.1000000000000001</v>
      </c>
      <c r="Q37" s="1" t="s">
        <v>109</v>
      </c>
      <c r="R37" s="1" t="str">
        <f>_xlfn.CONCAT(laptop[[#This Row],[CPU_company]]," ",laptop[[#This Row],[CPU_model]])</f>
        <v>Intel Celeron Dual Core N3350</v>
      </c>
      <c r="S37">
        <v>64</v>
      </c>
      <c r="T37">
        <v>0</v>
      </c>
      <c r="U37">
        <f>laptop[[#This Row],[PrimaryStorage]]+laptop[[#This Row],[SecondaryStorage]]</f>
        <v>64</v>
      </c>
      <c r="V37" s="1" t="s">
        <v>34</v>
      </c>
      <c r="W37" s="1" t="s">
        <v>27</v>
      </c>
      <c r="X37" s="1" t="str">
        <f>IF(laptop[[#This Row],[PrimaryStorageType]]=laptop[[#This Row],[SecondaryStorageType]],laptop[[#This Row],[PrimaryStorageType]],"SSD &amp; HDD")</f>
        <v>SSD &amp; HDD</v>
      </c>
      <c r="Y37" s="1" t="s">
        <v>110</v>
      </c>
    </row>
    <row r="38" spans="1:25" x14ac:dyDescent="0.25">
      <c r="A38" s="1" t="s">
        <v>46</v>
      </c>
      <c r="B38" s="1" t="s">
        <v>47</v>
      </c>
      <c r="C38" s="1" t="s">
        <v>38</v>
      </c>
      <c r="D38">
        <v>15.6</v>
      </c>
      <c r="E38">
        <v>4</v>
      </c>
      <c r="F38" s="1" t="s">
        <v>111</v>
      </c>
      <c r="G38">
        <v>2.1</v>
      </c>
      <c r="H38">
        <v>367</v>
      </c>
      <c r="I38" s="1" t="s">
        <v>26</v>
      </c>
      <c r="J38">
        <v>1366</v>
      </c>
      <c r="K38">
        <v>768</v>
      </c>
      <c r="L38" s="1" t="s">
        <v>27</v>
      </c>
      <c r="M38" s="1" t="s">
        <v>27</v>
      </c>
      <c r="N38" s="1" t="s">
        <v>27</v>
      </c>
      <c r="O38" s="1" t="s">
        <v>29</v>
      </c>
      <c r="P38">
        <v>2.7</v>
      </c>
      <c r="Q38" s="1" t="s">
        <v>112</v>
      </c>
      <c r="R38" s="1" t="str">
        <f>_xlfn.CONCAT(laptop[[#This Row],[CPU_company]]," ",laptop[[#This Row],[CPU_model]])</f>
        <v>Intel Core i3 7130U</v>
      </c>
      <c r="S38">
        <v>1024</v>
      </c>
      <c r="T38">
        <v>0</v>
      </c>
      <c r="U38">
        <f>laptop[[#This Row],[PrimaryStorage]]+laptop[[#This Row],[SecondaryStorage]]</f>
        <v>1024</v>
      </c>
      <c r="V38" s="1" t="s">
        <v>51</v>
      </c>
      <c r="W38" s="1" t="s">
        <v>27</v>
      </c>
      <c r="X38" s="1" t="str">
        <f>IF(laptop[[#This Row],[PrimaryStorageType]]=laptop[[#This Row],[SecondaryStorageType]],laptop[[#This Row],[PrimaryStorageType]],"SSD &amp; HDD")</f>
        <v>SSD &amp; HDD</v>
      </c>
      <c r="Y38" s="1" t="s">
        <v>42</v>
      </c>
    </row>
    <row r="39" spans="1:25" x14ac:dyDescent="0.25">
      <c r="A39" s="1" t="s">
        <v>65</v>
      </c>
      <c r="B39" s="1" t="s">
        <v>113</v>
      </c>
      <c r="C39" s="1" t="s">
        <v>38</v>
      </c>
      <c r="D39">
        <v>17.3</v>
      </c>
      <c r="E39">
        <v>8</v>
      </c>
      <c r="F39" s="1" t="s">
        <v>48</v>
      </c>
      <c r="G39">
        <v>2.8</v>
      </c>
      <c r="H39">
        <v>979</v>
      </c>
      <c r="I39" s="1" t="s">
        <v>40</v>
      </c>
      <c r="J39">
        <v>1920</v>
      </c>
      <c r="K39">
        <v>1080</v>
      </c>
      <c r="L39" s="1" t="s">
        <v>27</v>
      </c>
      <c r="M39" s="1" t="s">
        <v>28</v>
      </c>
      <c r="N39" s="1" t="s">
        <v>27</v>
      </c>
      <c r="O39" s="1" t="s">
        <v>29</v>
      </c>
      <c r="P39">
        <v>1.6</v>
      </c>
      <c r="Q39" s="1" t="s">
        <v>60</v>
      </c>
      <c r="R39" s="1" t="str">
        <f>_xlfn.CONCAT(laptop[[#This Row],[CPU_company]]," ",laptop[[#This Row],[CPU_model]])</f>
        <v>Intel Core i5 8250U</v>
      </c>
      <c r="S39">
        <v>128</v>
      </c>
      <c r="T39">
        <v>1024</v>
      </c>
      <c r="U39">
        <f>laptop[[#This Row],[PrimaryStorage]]+laptop[[#This Row],[SecondaryStorage]]</f>
        <v>1152</v>
      </c>
      <c r="V39" s="1" t="s">
        <v>31</v>
      </c>
      <c r="W39" s="1" t="s">
        <v>51</v>
      </c>
      <c r="X39" s="1" t="str">
        <f>IF(laptop[[#This Row],[PrimaryStorageType]]=laptop[[#This Row],[SecondaryStorageType]],laptop[[#This Row],[PrimaryStorageType]],"SSD &amp; HDD")</f>
        <v>SSD &amp; HDD</v>
      </c>
      <c r="Y39" s="1" t="s">
        <v>94</v>
      </c>
    </row>
    <row r="40" spans="1:25" x14ac:dyDescent="0.25">
      <c r="A40" s="1" t="s">
        <v>36</v>
      </c>
      <c r="B40" s="1" t="s">
        <v>37</v>
      </c>
      <c r="C40" s="1" t="s">
        <v>38</v>
      </c>
      <c r="D40">
        <v>15.6</v>
      </c>
      <c r="E40">
        <v>4</v>
      </c>
      <c r="F40" s="1" t="s">
        <v>48</v>
      </c>
      <c r="G40">
        <v>1.86</v>
      </c>
      <c r="H40">
        <v>488.69</v>
      </c>
      <c r="I40" s="1" t="s">
        <v>26</v>
      </c>
      <c r="J40">
        <v>1366</v>
      </c>
      <c r="K40">
        <v>768</v>
      </c>
      <c r="L40" s="1" t="s">
        <v>27</v>
      </c>
      <c r="M40" s="1" t="s">
        <v>27</v>
      </c>
      <c r="N40" s="1" t="s">
        <v>27</v>
      </c>
      <c r="O40" s="1" t="s">
        <v>29</v>
      </c>
      <c r="P40">
        <v>2.5</v>
      </c>
      <c r="Q40" s="1" t="s">
        <v>41</v>
      </c>
      <c r="R40" s="1" t="str">
        <f>_xlfn.CONCAT(laptop[[#This Row],[CPU_company]]," ",laptop[[#This Row],[CPU_model]])</f>
        <v>Intel Core i5 7200U</v>
      </c>
      <c r="S40">
        <v>1024</v>
      </c>
      <c r="T40">
        <v>0</v>
      </c>
      <c r="U40">
        <f>laptop[[#This Row],[PrimaryStorage]]+laptop[[#This Row],[SecondaryStorage]]</f>
        <v>1024</v>
      </c>
      <c r="V40" s="1" t="s">
        <v>51</v>
      </c>
      <c r="W40" s="1" t="s">
        <v>27</v>
      </c>
      <c r="X40" s="1" t="str">
        <f>IF(laptop[[#This Row],[PrimaryStorageType]]=laptop[[#This Row],[SecondaryStorageType]],laptop[[#This Row],[PrimaryStorageType]],"SSD &amp; HDD")</f>
        <v>SSD &amp; HDD</v>
      </c>
      <c r="Y40" s="1" t="s">
        <v>42</v>
      </c>
    </row>
    <row r="41" spans="1:25" x14ac:dyDescent="0.25">
      <c r="A41" s="1" t="s">
        <v>36</v>
      </c>
      <c r="B41" s="1" t="s">
        <v>114</v>
      </c>
      <c r="C41" s="1" t="s">
        <v>38</v>
      </c>
      <c r="D41">
        <v>15.6</v>
      </c>
      <c r="E41">
        <v>8</v>
      </c>
      <c r="F41" s="1" t="s">
        <v>48</v>
      </c>
      <c r="G41">
        <v>2.1</v>
      </c>
      <c r="H41">
        <v>879</v>
      </c>
      <c r="I41" s="1" t="s">
        <v>40</v>
      </c>
      <c r="J41">
        <v>1920</v>
      </c>
      <c r="K41">
        <v>1080</v>
      </c>
      <c r="L41" s="1" t="s">
        <v>27</v>
      </c>
      <c r="M41" s="1" t="s">
        <v>27</v>
      </c>
      <c r="N41" s="1" t="s">
        <v>27</v>
      </c>
      <c r="O41" s="1" t="s">
        <v>29</v>
      </c>
      <c r="P41">
        <v>1.6</v>
      </c>
      <c r="Q41" s="1" t="s">
        <v>60</v>
      </c>
      <c r="R41" s="1" t="str">
        <f>_xlfn.CONCAT(laptop[[#This Row],[CPU_company]]," ",laptop[[#This Row],[CPU_model]])</f>
        <v>Intel Core i5 8250U</v>
      </c>
      <c r="S41">
        <v>256</v>
      </c>
      <c r="T41">
        <v>0</v>
      </c>
      <c r="U41">
        <f>laptop[[#This Row],[PrimaryStorage]]+laptop[[#This Row],[SecondaryStorage]]</f>
        <v>256</v>
      </c>
      <c r="V41" s="1" t="s">
        <v>31</v>
      </c>
      <c r="W41" s="1" t="s">
        <v>27</v>
      </c>
      <c r="X41" s="1" t="str">
        <f>IF(laptop[[#This Row],[PrimaryStorageType]]=laptop[[#This Row],[SecondaryStorageType]],laptop[[#This Row],[PrimaryStorageType]],"SSD &amp; HDD")</f>
        <v>SSD &amp; HDD</v>
      </c>
      <c r="Y41" s="1" t="s">
        <v>115</v>
      </c>
    </row>
    <row r="42" spans="1:25" x14ac:dyDescent="0.25">
      <c r="A42" s="1" t="s">
        <v>55</v>
      </c>
      <c r="B42" s="1" t="s">
        <v>116</v>
      </c>
      <c r="C42" s="1" t="s">
        <v>38</v>
      </c>
      <c r="D42">
        <v>15.6</v>
      </c>
      <c r="E42">
        <v>4</v>
      </c>
      <c r="F42" s="1" t="s">
        <v>111</v>
      </c>
      <c r="G42">
        <v>2</v>
      </c>
      <c r="H42">
        <v>389</v>
      </c>
      <c r="I42" s="1" t="s">
        <v>40</v>
      </c>
      <c r="J42">
        <v>1920</v>
      </c>
      <c r="K42">
        <v>1080</v>
      </c>
      <c r="L42" s="1" t="s">
        <v>27</v>
      </c>
      <c r="M42" s="1" t="s">
        <v>27</v>
      </c>
      <c r="N42" s="1" t="s">
        <v>27</v>
      </c>
      <c r="O42" s="1" t="s">
        <v>29</v>
      </c>
      <c r="P42">
        <v>2</v>
      </c>
      <c r="Q42" s="1" t="s">
        <v>62</v>
      </c>
      <c r="R42" s="1" t="str">
        <f>_xlfn.CONCAT(laptop[[#This Row],[CPU_company]]," ",laptop[[#This Row],[CPU_model]])</f>
        <v>Intel Core i3 6006U</v>
      </c>
      <c r="S42">
        <v>1024</v>
      </c>
      <c r="T42">
        <v>0</v>
      </c>
      <c r="U42">
        <f>laptop[[#This Row],[PrimaryStorage]]+laptop[[#This Row],[SecondaryStorage]]</f>
        <v>1024</v>
      </c>
      <c r="V42" s="1" t="s">
        <v>51</v>
      </c>
      <c r="W42" s="1" t="s">
        <v>27</v>
      </c>
      <c r="X42" s="1" t="str">
        <f>IF(laptop[[#This Row],[PrimaryStorageType]]=laptop[[#This Row],[SecondaryStorageType]],laptop[[#This Row],[PrimaryStorageType]],"SSD &amp; HDD")</f>
        <v>SSD &amp; HDD</v>
      </c>
      <c r="Y42" s="1" t="s">
        <v>42</v>
      </c>
    </row>
    <row r="43" spans="1:25" x14ac:dyDescent="0.25">
      <c r="A43" s="1" t="s">
        <v>65</v>
      </c>
      <c r="B43" s="1" t="s">
        <v>117</v>
      </c>
      <c r="C43" s="1" t="s">
        <v>83</v>
      </c>
      <c r="D43">
        <v>15.6</v>
      </c>
      <c r="E43">
        <v>16</v>
      </c>
      <c r="F43" s="1" t="s">
        <v>48</v>
      </c>
      <c r="G43">
        <v>2.65</v>
      </c>
      <c r="H43">
        <v>1499</v>
      </c>
      <c r="I43" s="1" t="s">
        <v>40</v>
      </c>
      <c r="J43">
        <v>1920</v>
      </c>
      <c r="K43">
        <v>1080</v>
      </c>
      <c r="L43" s="1" t="s">
        <v>27</v>
      </c>
      <c r="M43" s="1" t="s">
        <v>28</v>
      </c>
      <c r="N43" s="1" t="s">
        <v>27</v>
      </c>
      <c r="O43" s="1" t="s">
        <v>29</v>
      </c>
      <c r="P43">
        <v>2.8</v>
      </c>
      <c r="Q43" s="1" t="s">
        <v>118</v>
      </c>
      <c r="R43" s="1" t="str">
        <f>_xlfn.CONCAT(laptop[[#This Row],[CPU_company]]," ",laptop[[#This Row],[CPU_model]])</f>
        <v>Intel Core i7 7700HQ</v>
      </c>
      <c r="S43">
        <v>256</v>
      </c>
      <c r="T43">
        <v>1024</v>
      </c>
      <c r="U43">
        <f>laptop[[#This Row],[PrimaryStorage]]+laptop[[#This Row],[SecondaryStorage]]</f>
        <v>1280</v>
      </c>
      <c r="V43" s="1" t="s">
        <v>31</v>
      </c>
      <c r="W43" s="1" t="s">
        <v>51</v>
      </c>
      <c r="X43" s="1" t="str">
        <f>IF(laptop[[#This Row],[PrimaryStorageType]]=laptop[[#This Row],[SecondaryStorageType]],laptop[[#This Row],[PrimaryStorageType]],"SSD &amp; HDD")</f>
        <v>SSD &amp; HDD</v>
      </c>
      <c r="Y43" s="1" t="s">
        <v>119</v>
      </c>
    </row>
    <row r="44" spans="1:25" x14ac:dyDescent="0.25">
      <c r="A44" s="1" t="s">
        <v>55</v>
      </c>
      <c r="B44" s="1" t="s">
        <v>120</v>
      </c>
      <c r="C44" s="1" t="s">
        <v>38</v>
      </c>
      <c r="D44">
        <v>15.6</v>
      </c>
      <c r="E44">
        <v>8</v>
      </c>
      <c r="F44" s="1" t="s">
        <v>111</v>
      </c>
      <c r="G44">
        <v>2.2999999999999998</v>
      </c>
      <c r="H44">
        <v>522.99</v>
      </c>
      <c r="I44" s="1" t="s">
        <v>26</v>
      </c>
      <c r="J44">
        <v>1366</v>
      </c>
      <c r="K44">
        <v>768</v>
      </c>
      <c r="L44" s="1" t="s">
        <v>27</v>
      </c>
      <c r="M44" s="1" t="s">
        <v>27</v>
      </c>
      <c r="N44" s="1" t="s">
        <v>27</v>
      </c>
      <c r="O44" s="1" t="s">
        <v>29</v>
      </c>
      <c r="P44">
        <v>2.5</v>
      </c>
      <c r="Q44" s="1" t="s">
        <v>41</v>
      </c>
      <c r="R44" s="1" t="str">
        <f>_xlfn.CONCAT(laptop[[#This Row],[CPU_company]]," ",laptop[[#This Row],[CPU_model]])</f>
        <v>Intel Core i5 7200U</v>
      </c>
      <c r="S44">
        <v>1024</v>
      </c>
      <c r="T44">
        <v>0</v>
      </c>
      <c r="U44">
        <f>laptop[[#This Row],[PrimaryStorage]]+laptop[[#This Row],[SecondaryStorage]]</f>
        <v>1024</v>
      </c>
      <c r="V44" s="1" t="s">
        <v>51</v>
      </c>
      <c r="W44" s="1" t="s">
        <v>27</v>
      </c>
      <c r="X44" s="1" t="str">
        <f>IF(laptop[[#This Row],[PrimaryStorageType]]=laptop[[#This Row],[SecondaryStorageType]],laptop[[#This Row],[PrimaryStorageType]],"SSD &amp; HDD")</f>
        <v>SSD &amp; HDD</v>
      </c>
      <c r="Y44" s="1" t="s">
        <v>76</v>
      </c>
    </row>
    <row r="45" spans="1:25" x14ac:dyDescent="0.25">
      <c r="A45" s="1" t="s">
        <v>46</v>
      </c>
      <c r="B45" s="1" t="s">
        <v>121</v>
      </c>
      <c r="C45" s="1" t="s">
        <v>38</v>
      </c>
      <c r="D45">
        <v>15.6</v>
      </c>
      <c r="E45">
        <v>4</v>
      </c>
      <c r="F45" s="1" t="s">
        <v>48</v>
      </c>
      <c r="G45">
        <v>2.2000000000000002</v>
      </c>
      <c r="H45">
        <v>682</v>
      </c>
      <c r="I45" s="1" t="s">
        <v>40</v>
      </c>
      <c r="J45">
        <v>1920</v>
      </c>
      <c r="K45">
        <v>1080</v>
      </c>
      <c r="L45" s="1" t="s">
        <v>27</v>
      </c>
      <c r="M45" s="1" t="s">
        <v>28</v>
      </c>
      <c r="N45" s="1" t="s">
        <v>27</v>
      </c>
      <c r="O45" s="1" t="s">
        <v>29</v>
      </c>
      <c r="P45">
        <v>1.6</v>
      </c>
      <c r="Q45" s="1" t="s">
        <v>60</v>
      </c>
      <c r="R45" s="1" t="str">
        <f>_xlfn.CONCAT(laptop[[#This Row],[CPU_company]]," ",laptop[[#This Row],[CPU_model]])</f>
        <v>Intel Core i5 8250U</v>
      </c>
      <c r="S45">
        <v>256</v>
      </c>
      <c r="T45">
        <v>0</v>
      </c>
      <c r="U45">
        <f>laptop[[#This Row],[PrimaryStorage]]+laptop[[#This Row],[SecondaryStorage]]</f>
        <v>256</v>
      </c>
      <c r="V45" s="1" t="s">
        <v>31</v>
      </c>
      <c r="W45" s="1" t="s">
        <v>27</v>
      </c>
      <c r="X45" s="1" t="str">
        <f>IF(laptop[[#This Row],[PrimaryStorageType]]=laptop[[#This Row],[SecondaryStorageType]],laptop[[#This Row],[PrimaryStorageType]],"SSD &amp; HDD")</f>
        <v>SSD &amp; HDD</v>
      </c>
      <c r="Y45" s="1" t="s">
        <v>61</v>
      </c>
    </row>
    <row r="46" spans="1:25" x14ac:dyDescent="0.25">
      <c r="A46" s="1" t="s">
        <v>65</v>
      </c>
      <c r="B46" s="1" t="s">
        <v>122</v>
      </c>
      <c r="C46" s="1" t="s">
        <v>90</v>
      </c>
      <c r="D46">
        <v>17.3</v>
      </c>
      <c r="E46">
        <v>12</v>
      </c>
      <c r="F46" s="1" t="s">
        <v>48</v>
      </c>
      <c r="G46">
        <v>2.77</v>
      </c>
      <c r="H46">
        <v>999</v>
      </c>
      <c r="I46" s="1" t="s">
        <v>40</v>
      </c>
      <c r="J46">
        <v>1920</v>
      </c>
      <c r="K46">
        <v>1080</v>
      </c>
      <c r="L46" s="1" t="s">
        <v>28</v>
      </c>
      <c r="M46" s="1" t="s">
        <v>27</v>
      </c>
      <c r="N46" s="1" t="s">
        <v>27</v>
      </c>
      <c r="O46" s="1" t="s">
        <v>29</v>
      </c>
      <c r="P46">
        <v>1.6</v>
      </c>
      <c r="Q46" s="1" t="s">
        <v>60</v>
      </c>
      <c r="R46" s="1" t="str">
        <f>_xlfn.CONCAT(laptop[[#This Row],[CPU_company]]," ",laptop[[#This Row],[CPU_model]])</f>
        <v>Intel Core i5 8250U</v>
      </c>
      <c r="S46">
        <v>1024</v>
      </c>
      <c r="T46">
        <v>0</v>
      </c>
      <c r="U46">
        <f>laptop[[#This Row],[PrimaryStorage]]+laptop[[#This Row],[SecondaryStorage]]</f>
        <v>1024</v>
      </c>
      <c r="V46" s="1" t="s">
        <v>51</v>
      </c>
      <c r="W46" s="1" t="s">
        <v>27</v>
      </c>
      <c r="X46" s="1" t="str">
        <f>IF(laptop[[#This Row],[PrimaryStorageType]]=laptop[[#This Row],[SecondaryStorageType]],laptop[[#This Row],[PrimaryStorageType]],"SSD &amp; HDD")</f>
        <v>SSD &amp; HDD</v>
      </c>
      <c r="Y46" s="1" t="s">
        <v>123</v>
      </c>
    </row>
    <row r="47" spans="1:25" x14ac:dyDescent="0.25">
      <c r="A47" s="1" t="s">
        <v>22</v>
      </c>
      <c r="B47" s="1" t="s">
        <v>23</v>
      </c>
      <c r="C47" s="1" t="s">
        <v>24</v>
      </c>
      <c r="D47">
        <v>13.3</v>
      </c>
      <c r="E47">
        <v>8</v>
      </c>
      <c r="F47" s="1" t="s">
        <v>25</v>
      </c>
      <c r="G47">
        <v>1.37</v>
      </c>
      <c r="H47">
        <v>1419</v>
      </c>
      <c r="I47" s="1" t="s">
        <v>26</v>
      </c>
      <c r="J47">
        <v>2560</v>
      </c>
      <c r="K47">
        <v>1600</v>
      </c>
      <c r="L47" s="1" t="s">
        <v>27</v>
      </c>
      <c r="M47" s="1" t="s">
        <v>28</v>
      </c>
      <c r="N47" s="1" t="s">
        <v>28</v>
      </c>
      <c r="O47" s="1" t="s">
        <v>29</v>
      </c>
      <c r="P47">
        <v>2</v>
      </c>
      <c r="Q47" s="1" t="s">
        <v>30</v>
      </c>
      <c r="R47" s="1" t="str">
        <f>_xlfn.CONCAT(laptop[[#This Row],[CPU_company]]," ",laptop[[#This Row],[CPU_model]])</f>
        <v>Intel Core i5</v>
      </c>
      <c r="S47">
        <v>256</v>
      </c>
      <c r="T47">
        <v>0</v>
      </c>
      <c r="U47">
        <f>laptop[[#This Row],[PrimaryStorage]]+laptop[[#This Row],[SecondaryStorage]]</f>
        <v>256</v>
      </c>
      <c r="V47" s="1" t="s">
        <v>31</v>
      </c>
      <c r="W47" s="1" t="s">
        <v>27</v>
      </c>
      <c r="X47" s="1" t="str">
        <f>IF(laptop[[#This Row],[PrimaryStorageType]]=laptop[[#This Row],[SecondaryStorageType]],laptop[[#This Row],[PrimaryStorageType]],"SSD &amp; HDD")</f>
        <v>SSD &amp; HDD</v>
      </c>
      <c r="Y47" s="1" t="s">
        <v>124</v>
      </c>
    </row>
    <row r="48" spans="1:25" x14ac:dyDescent="0.25">
      <c r="A48" s="1" t="s">
        <v>73</v>
      </c>
      <c r="B48" s="1" t="s">
        <v>125</v>
      </c>
      <c r="C48" s="1" t="s">
        <v>38</v>
      </c>
      <c r="D48">
        <v>15.6</v>
      </c>
      <c r="E48">
        <v>4</v>
      </c>
      <c r="F48" s="1" t="s">
        <v>39</v>
      </c>
      <c r="G48">
        <v>2.2000000000000002</v>
      </c>
      <c r="H48">
        <v>369</v>
      </c>
      <c r="I48" s="1" t="s">
        <v>26</v>
      </c>
      <c r="J48">
        <v>1366</v>
      </c>
      <c r="K48">
        <v>768</v>
      </c>
      <c r="L48" s="1" t="s">
        <v>27</v>
      </c>
      <c r="M48" s="1" t="s">
        <v>27</v>
      </c>
      <c r="N48" s="1" t="s">
        <v>27</v>
      </c>
      <c r="O48" s="1" t="s">
        <v>29</v>
      </c>
      <c r="P48">
        <v>2</v>
      </c>
      <c r="Q48" s="1" t="s">
        <v>62</v>
      </c>
      <c r="R48" s="1" t="str">
        <f>_xlfn.CONCAT(laptop[[#This Row],[CPU_company]]," ",laptop[[#This Row],[CPU_model]])</f>
        <v>Intel Core i3 6006U</v>
      </c>
      <c r="S48">
        <v>128</v>
      </c>
      <c r="T48">
        <v>0</v>
      </c>
      <c r="U48">
        <f>laptop[[#This Row],[PrimaryStorage]]+laptop[[#This Row],[SecondaryStorage]]</f>
        <v>128</v>
      </c>
      <c r="V48" s="1" t="s">
        <v>31</v>
      </c>
      <c r="W48" s="1" t="s">
        <v>27</v>
      </c>
      <c r="X48" s="1" t="str">
        <f>IF(laptop[[#This Row],[PrimaryStorageType]]=laptop[[#This Row],[SecondaryStorageType]],laptop[[#This Row],[PrimaryStorageType]],"SSD &amp; HDD")</f>
        <v>SSD &amp; HDD</v>
      </c>
      <c r="Y48" s="1" t="s">
        <v>63</v>
      </c>
    </row>
    <row r="49" spans="1:25" x14ac:dyDescent="0.25">
      <c r="A49" s="1" t="s">
        <v>55</v>
      </c>
      <c r="B49" s="1" t="s">
        <v>126</v>
      </c>
      <c r="C49" s="1" t="s">
        <v>83</v>
      </c>
      <c r="D49">
        <v>17.3</v>
      </c>
      <c r="E49">
        <v>8</v>
      </c>
      <c r="F49" s="1" t="s">
        <v>48</v>
      </c>
      <c r="G49">
        <v>3.2</v>
      </c>
      <c r="H49">
        <v>1299</v>
      </c>
      <c r="I49" s="1" t="s">
        <v>40</v>
      </c>
      <c r="J49">
        <v>1920</v>
      </c>
      <c r="K49">
        <v>1080</v>
      </c>
      <c r="L49" s="1" t="s">
        <v>27</v>
      </c>
      <c r="M49" s="1" t="s">
        <v>27</v>
      </c>
      <c r="N49" s="1" t="s">
        <v>27</v>
      </c>
      <c r="O49" s="1" t="s">
        <v>49</v>
      </c>
      <c r="P49">
        <v>3</v>
      </c>
      <c r="Q49" s="1" t="s">
        <v>127</v>
      </c>
      <c r="R49" s="1" t="str">
        <f>_xlfn.CONCAT(laptop[[#This Row],[CPU_company]]," ",laptop[[#This Row],[CPU_model]])</f>
        <v>AMD Ryzen 1700</v>
      </c>
      <c r="S49">
        <v>256</v>
      </c>
      <c r="T49">
        <v>1024</v>
      </c>
      <c r="U49">
        <f>laptop[[#This Row],[PrimaryStorage]]+laptop[[#This Row],[SecondaryStorage]]</f>
        <v>1280</v>
      </c>
      <c r="V49" s="1" t="s">
        <v>31</v>
      </c>
      <c r="W49" s="1" t="s">
        <v>51</v>
      </c>
      <c r="X49" s="1" t="str">
        <f>IF(laptop[[#This Row],[PrimaryStorageType]]=laptop[[#This Row],[SecondaryStorageType]],laptop[[#This Row],[PrimaryStorageType]],"SSD &amp; HDD")</f>
        <v>SSD &amp; HDD</v>
      </c>
      <c r="Y49" s="1" t="s">
        <v>128</v>
      </c>
    </row>
    <row r="50" spans="1:25" x14ac:dyDescent="0.25">
      <c r="A50" s="1" t="s">
        <v>65</v>
      </c>
      <c r="B50" s="1" t="s">
        <v>66</v>
      </c>
      <c r="C50" s="1" t="s">
        <v>38</v>
      </c>
      <c r="D50">
        <v>15.6</v>
      </c>
      <c r="E50">
        <v>4</v>
      </c>
      <c r="F50" s="1" t="s">
        <v>48</v>
      </c>
      <c r="G50">
        <v>2.2999999999999998</v>
      </c>
      <c r="H50">
        <v>639</v>
      </c>
      <c r="I50" s="1" t="s">
        <v>40</v>
      </c>
      <c r="J50">
        <v>1920</v>
      </c>
      <c r="K50">
        <v>1080</v>
      </c>
      <c r="L50" s="1" t="s">
        <v>27</v>
      </c>
      <c r="M50" s="1" t="s">
        <v>27</v>
      </c>
      <c r="N50" s="1" t="s">
        <v>27</v>
      </c>
      <c r="O50" s="1" t="s">
        <v>29</v>
      </c>
      <c r="P50">
        <v>2.5</v>
      </c>
      <c r="Q50" s="1" t="s">
        <v>41</v>
      </c>
      <c r="R50" s="1" t="str">
        <f>_xlfn.CONCAT(laptop[[#This Row],[CPU_company]]," ",laptop[[#This Row],[CPU_model]])</f>
        <v>Intel Core i5 7200U</v>
      </c>
      <c r="S50">
        <v>256</v>
      </c>
      <c r="T50">
        <v>0</v>
      </c>
      <c r="U50">
        <f>laptop[[#This Row],[PrimaryStorage]]+laptop[[#This Row],[SecondaryStorage]]</f>
        <v>256</v>
      </c>
      <c r="V50" s="1" t="s">
        <v>31</v>
      </c>
      <c r="W50" s="1" t="s">
        <v>27</v>
      </c>
      <c r="X50" s="1" t="str">
        <f>IF(laptop[[#This Row],[PrimaryStorageType]]=laptop[[#This Row],[SecondaryStorageType]],laptop[[#This Row],[PrimaryStorageType]],"SSD &amp; HDD")</f>
        <v>SSD &amp; HDD</v>
      </c>
      <c r="Y50" s="1" t="s">
        <v>67</v>
      </c>
    </row>
    <row r="51" spans="1:25" x14ac:dyDescent="0.25">
      <c r="A51" s="1" t="s">
        <v>55</v>
      </c>
      <c r="B51" s="1" t="s">
        <v>129</v>
      </c>
      <c r="C51" s="1" t="s">
        <v>38</v>
      </c>
      <c r="D51">
        <v>17.3</v>
      </c>
      <c r="E51">
        <v>4</v>
      </c>
      <c r="F51" s="1" t="s">
        <v>48</v>
      </c>
      <c r="G51">
        <v>2.8</v>
      </c>
      <c r="H51">
        <v>466</v>
      </c>
      <c r="I51" s="1" t="s">
        <v>26</v>
      </c>
      <c r="J51">
        <v>1366</v>
      </c>
      <c r="K51">
        <v>768</v>
      </c>
      <c r="L51" s="1" t="s">
        <v>27</v>
      </c>
      <c r="M51" s="1" t="s">
        <v>27</v>
      </c>
      <c r="N51" s="1" t="s">
        <v>27</v>
      </c>
      <c r="O51" s="1" t="s">
        <v>29</v>
      </c>
      <c r="P51">
        <v>1.1000000000000001</v>
      </c>
      <c r="Q51" s="1" t="s">
        <v>130</v>
      </c>
      <c r="R51" s="1" t="str">
        <f>_xlfn.CONCAT(laptop[[#This Row],[CPU_company]]," ",laptop[[#This Row],[CPU_model]])</f>
        <v>Intel Pentium Quad Core N4200</v>
      </c>
      <c r="S51">
        <v>1024</v>
      </c>
      <c r="T51">
        <v>0</v>
      </c>
      <c r="U51">
        <f>laptop[[#This Row],[PrimaryStorage]]+laptop[[#This Row],[SecondaryStorage]]</f>
        <v>1024</v>
      </c>
      <c r="V51" s="1" t="s">
        <v>51</v>
      </c>
      <c r="W51" s="1" t="s">
        <v>27</v>
      </c>
      <c r="X51" s="1" t="str">
        <f>IF(laptop[[#This Row],[PrimaryStorageType]]=laptop[[#This Row],[SecondaryStorageType]],laptop[[#This Row],[PrimaryStorageType]],"SSD &amp; HDD")</f>
        <v>SSD &amp; HDD</v>
      </c>
      <c r="Y51" s="1" t="s">
        <v>131</v>
      </c>
    </row>
    <row r="52" spans="1:25" x14ac:dyDescent="0.25">
      <c r="A52" s="1" t="s">
        <v>73</v>
      </c>
      <c r="B52" s="1" t="s">
        <v>132</v>
      </c>
      <c r="C52" s="1" t="s">
        <v>90</v>
      </c>
      <c r="D52">
        <v>10.1</v>
      </c>
      <c r="E52">
        <v>4</v>
      </c>
      <c r="F52" s="1" t="s">
        <v>133</v>
      </c>
      <c r="G52">
        <v>0.69</v>
      </c>
      <c r="H52">
        <v>319</v>
      </c>
      <c r="I52" s="1" t="s">
        <v>26</v>
      </c>
      <c r="J52">
        <v>1920</v>
      </c>
      <c r="K52">
        <v>1200</v>
      </c>
      <c r="L52" s="1" t="s">
        <v>28</v>
      </c>
      <c r="M52" s="1" t="s">
        <v>28</v>
      </c>
      <c r="N52" s="1" t="s">
        <v>27</v>
      </c>
      <c r="O52" s="1" t="s">
        <v>29</v>
      </c>
      <c r="P52">
        <v>1.44</v>
      </c>
      <c r="Q52" s="1" t="s">
        <v>134</v>
      </c>
      <c r="R52" s="1" t="str">
        <f>_xlfn.CONCAT(laptop[[#This Row],[CPU_company]]," ",laptop[[#This Row],[CPU_model]])</f>
        <v>Intel Atom x5-Z8550</v>
      </c>
      <c r="S52">
        <v>64</v>
      </c>
      <c r="T52">
        <v>0</v>
      </c>
      <c r="U52">
        <f>laptop[[#This Row],[PrimaryStorage]]+laptop[[#This Row],[SecondaryStorage]]</f>
        <v>64</v>
      </c>
      <c r="V52" s="1" t="s">
        <v>34</v>
      </c>
      <c r="W52" s="1" t="s">
        <v>27</v>
      </c>
      <c r="X52" s="1" t="str">
        <f>IF(laptop[[#This Row],[PrimaryStorageType]]=laptop[[#This Row],[SecondaryStorageType]],laptop[[#This Row],[PrimaryStorageType]],"SSD &amp; HDD")</f>
        <v>SSD &amp; HDD</v>
      </c>
      <c r="Y52" s="1" t="s">
        <v>81</v>
      </c>
    </row>
    <row r="53" spans="1:25" x14ac:dyDescent="0.25">
      <c r="A53" s="1" t="s">
        <v>46</v>
      </c>
      <c r="B53" s="1" t="s">
        <v>121</v>
      </c>
      <c r="C53" s="1" t="s">
        <v>38</v>
      </c>
      <c r="D53">
        <v>15.6</v>
      </c>
      <c r="E53">
        <v>8</v>
      </c>
      <c r="F53" s="1" t="s">
        <v>48</v>
      </c>
      <c r="G53">
        <v>2.2000000000000002</v>
      </c>
      <c r="H53">
        <v>841</v>
      </c>
      <c r="I53" s="1" t="s">
        <v>40</v>
      </c>
      <c r="J53">
        <v>1920</v>
      </c>
      <c r="K53">
        <v>1080</v>
      </c>
      <c r="L53" s="1" t="s">
        <v>27</v>
      </c>
      <c r="M53" s="1" t="s">
        <v>28</v>
      </c>
      <c r="N53" s="1" t="s">
        <v>27</v>
      </c>
      <c r="O53" s="1" t="s">
        <v>29</v>
      </c>
      <c r="P53">
        <v>1.8</v>
      </c>
      <c r="Q53" s="1" t="s">
        <v>57</v>
      </c>
      <c r="R53" s="1" t="str">
        <f>_xlfn.CONCAT(laptop[[#This Row],[CPU_company]]," ",laptop[[#This Row],[CPU_model]])</f>
        <v>Intel Core i7 8550U</v>
      </c>
      <c r="S53">
        <v>256</v>
      </c>
      <c r="T53">
        <v>0</v>
      </c>
      <c r="U53">
        <f>laptop[[#This Row],[PrimaryStorage]]+laptop[[#This Row],[SecondaryStorage]]</f>
        <v>256</v>
      </c>
      <c r="V53" s="1" t="s">
        <v>31</v>
      </c>
      <c r="W53" s="1" t="s">
        <v>27</v>
      </c>
      <c r="X53" s="1" t="str">
        <f>IF(laptop[[#This Row],[PrimaryStorageType]]=laptop[[#This Row],[SecondaryStorageType]],laptop[[#This Row],[PrimaryStorageType]],"SSD &amp; HDD")</f>
        <v>SSD &amp; HDD</v>
      </c>
      <c r="Y53" s="1" t="s">
        <v>58</v>
      </c>
    </row>
    <row r="54" spans="1:25" x14ac:dyDescent="0.25">
      <c r="A54" s="1" t="s">
        <v>36</v>
      </c>
      <c r="B54" s="1" t="s">
        <v>86</v>
      </c>
      <c r="C54" s="1" t="s">
        <v>38</v>
      </c>
      <c r="D54">
        <v>15.6</v>
      </c>
      <c r="E54">
        <v>4</v>
      </c>
      <c r="F54" s="1" t="s">
        <v>48</v>
      </c>
      <c r="G54">
        <v>1.86</v>
      </c>
      <c r="H54">
        <v>398.49</v>
      </c>
      <c r="I54" s="1" t="s">
        <v>40</v>
      </c>
      <c r="J54">
        <v>1920</v>
      </c>
      <c r="K54">
        <v>1080</v>
      </c>
      <c r="L54" s="1" t="s">
        <v>27</v>
      </c>
      <c r="M54" s="1" t="s">
        <v>27</v>
      </c>
      <c r="N54" s="1" t="s">
        <v>27</v>
      </c>
      <c r="O54" s="1" t="s">
        <v>49</v>
      </c>
      <c r="P54">
        <v>2.5</v>
      </c>
      <c r="Q54" s="1" t="s">
        <v>106</v>
      </c>
      <c r="R54" s="1" t="str">
        <f>_xlfn.CONCAT(laptop[[#This Row],[CPU_company]]," ",laptop[[#This Row],[CPU_model]])</f>
        <v>AMD A6-Series 9220</v>
      </c>
      <c r="S54">
        <v>256</v>
      </c>
      <c r="T54">
        <v>0</v>
      </c>
      <c r="U54">
        <f>laptop[[#This Row],[PrimaryStorage]]+laptop[[#This Row],[SecondaryStorage]]</f>
        <v>256</v>
      </c>
      <c r="V54" s="1" t="s">
        <v>31</v>
      </c>
      <c r="W54" s="1" t="s">
        <v>27</v>
      </c>
      <c r="X54" s="1" t="str">
        <f>IF(laptop[[#This Row],[PrimaryStorageType]]=laptop[[#This Row],[SecondaryStorageType]],laptop[[#This Row],[PrimaryStorageType]],"SSD &amp; HDD")</f>
        <v>SSD &amp; HDD</v>
      </c>
      <c r="Y54" s="1" t="s">
        <v>135</v>
      </c>
    </row>
    <row r="55" spans="1:25" x14ac:dyDescent="0.25">
      <c r="A55" s="1" t="s">
        <v>36</v>
      </c>
      <c r="B55" s="1" t="s">
        <v>136</v>
      </c>
      <c r="C55" s="1" t="s">
        <v>38</v>
      </c>
      <c r="D55">
        <v>13.3</v>
      </c>
      <c r="E55">
        <v>8</v>
      </c>
      <c r="F55" s="1" t="s">
        <v>48</v>
      </c>
      <c r="G55">
        <v>1.49</v>
      </c>
      <c r="H55">
        <v>1103</v>
      </c>
      <c r="I55" s="1" t="s">
        <v>40</v>
      </c>
      <c r="J55">
        <v>1920</v>
      </c>
      <c r="K55">
        <v>1080</v>
      </c>
      <c r="L55" s="1" t="s">
        <v>27</v>
      </c>
      <c r="M55" s="1" t="s">
        <v>27</v>
      </c>
      <c r="N55" s="1" t="s">
        <v>27</v>
      </c>
      <c r="O55" s="1" t="s">
        <v>29</v>
      </c>
      <c r="P55">
        <v>1.8</v>
      </c>
      <c r="Q55" s="1" t="s">
        <v>57</v>
      </c>
      <c r="R55" s="1" t="str">
        <f>_xlfn.CONCAT(laptop[[#This Row],[CPU_company]]," ",laptop[[#This Row],[CPU_model]])</f>
        <v>Intel Core i7 8550U</v>
      </c>
      <c r="S55">
        <v>512</v>
      </c>
      <c r="T55">
        <v>0</v>
      </c>
      <c r="U55">
        <f>laptop[[#This Row],[PrimaryStorage]]+laptop[[#This Row],[SecondaryStorage]]</f>
        <v>512</v>
      </c>
      <c r="V55" s="1" t="s">
        <v>31</v>
      </c>
      <c r="W55" s="1" t="s">
        <v>27</v>
      </c>
      <c r="X55" s="1" t="str">
        <f>IF(laptop[[#This Row],[PrimaryStorageType]]=laptop[[#This Row],[SecondaryStorageType]],laptop[[#This Row],[PrimaryStorageType]],"SSD &amp; HDD")</f>
        <v>SSD &amp; HDD</v>
      </c>
      <c r="Y55" s="1" t="s">
        <v>61</v>
      </c>
    </row>
    <row r="56" spans="1:25" x14ac:dyDescent="0.25">
      <c r="A56" s="1" t="s">
        <v>46</v>
      </c>
      <c r="B56" s="1" t="s">
        <v>47</v>
      </c>
      <c r="C56" s="1" t="s">
        <v>38</v>
      </c>
      <c r="D56">
        <v>15.6</v>
      </c>
      <c r="E56">
        <v>4</v>
      </c>
      <c r="F56" s="1" t="s">
        <v>48</v>
      </c>
      <c r="G56">
        <v>2.4</v>
      </c>
      <c r="H56">
        <v>384</v>
      </c>
      <c r="I56" s="1" t="s">
        <v>26</v>
      </c>
      <c r="J56">
        <v>1366</v>
      </c>
      <c r="K56">
        <v>768</v>
      </c>
      <c r="L56" s="1" t="s">
        <v>27</v>
      </c>
      <c r="M56" s="1" t="s">
        <v>27</v>
      </c>
      <c r="N56" s="1" t="s">
        <v>27</v>
      </c>
      <c r="O56" s="1" t="s">
        <v>29</v>
      </c>
      <c r="P56">
        <v>2.4</v>
      </c>
      <c r="Q56" s="1" t="s">
        <v>75</v>
      </c>
      <c r="R56" s="1" t="str">
        <f>_xlfn.CONCAT(laptop[[#This Row],[CPU_company]]," ",laptop[[#This Row],[CPU_model]])</f>
        <v>Intel Core i3 7100U</v>
      </c>
      <c r="S56">
        <v>1024</v>
      </c>
      <c r="T56">
        <v>0</v>
      </c>
      <c r="U56">
        <f>laptop[[#This Row],[PrimaryStorage]]+laptop[[#This Row],[SecondaryStorage]]</f>
        <v>1024</v>
      </c>
      <c r="V56" s="1" t="s">
        <v>51</v>
      </c>
      <c r="W56" s="1" t="s">
        <v>27</v>
      </c>
      <c r="X56" s="1" t="str">
        <f>IF(laptop[[#This Row],[PrimaryStorageType]]=laptop[[#This Row],[SecondaryStorageType]],laptop[[#This Row],[PrimaryStorageType]],"SSD &amp; HDD")</f>
        <v>SSD &amp; HDD</v>
      </c>
      <c r="Y56" s="1" t="s">
        <v>42</v>
      </c>
    </row>
    <row r="57" spans="1:25" x14ac:dyDescent="0.25">
      <c r="A57" s="1" t="s">
        <v>65</v>
      </c>
      <c r="B57" s="1" t="s">
        <v>137</v>
      </c>
      <c r="C57" s="1" t="s">
        <v>38</v>
      </c>
      <c r="D57">
        <v>15.6</v>
      </c>
      <c r="E57">
        <v>8</v>
      </c>
      <c r="F57" s="1" t="s">
        <v>48</v>
      </c>
      <c r="G57">
        <v>2.13</v>
      </c>
      <c r="H57">
        <v>767.8</v>
      </c>
      <c r="I57" s="1" t="s">
        <v>40</v>
      </c>
      <c r="J57">
        <v>1920</v>
      </c>
      <c r="K57">
        <v>1080</v>
      </c>
      <c r="L57" s="1" t="s">
        <v>27</v>
      </c>
      <c r="M57" s="1" t="s">
        <v>27</v>
      </c>
      <c r="N57" s="1" t="s">
        <v>27</v>
      </c>
      <c r="O57" s="1" t="s">
        <v>29</v>
      </c>
      <c r="P57">
        <v>1.8</v>
      </c>
      <c r="Q57" s="1" t="s">
        <v>57</v>
      </c>
      <c r="R57" s="1" t="str">
        <f>_xlfn.CONCAT(laptop[[#This Row],[CPU_company]]," ",laptop[[#This Row],[CPU_model]])</f>
        <v>Intel Core i7 8550U</v>
      </c>
      <c r="S57">
        <v>256</v>
      </c>
      <c r="T57">
        <v>0</v>
      </c>
      <c r="U57">
        <f>laptop[[#This Row],[PrimaryStorage]]+laptop[[#This Row],[SecondaryStorage]]</f>
        <v>256</v>
      </c>
      <c r="V57" s="1" t="s">
        <v>31</v>
      </c>
      <c r="W57" s="1" t="s">
        <v>27</v>
      </c>
      <c r="X57" s="1" t="str">
        <f>IF(laptop[[#This Row],[PrimaryStorageType]]=laptop[[#This Row],[SecondaryStorageType]],laptop[[#This Row],[PrimaryStorageType]],"SSD &amp; HDD")</f>
        <v>SSD &amp; HDD</v>
      </c>
      <c r="Y57" s="1" t="s">
        <v>138</v>
      </c>
    </row>
    <row r="58" spans="1:25" x14ac:dyDescent="0.25">
      <c r="A58" s="1" t="s">
        <v>36</v>
      </c>
      <c r="B58" s="1" t="s">
        <v>139</v>
      </c>
      <c r="C58" s="1" t="s">
        <v>38</v>
      </c>
      <c r="D58">
        <v>15.6</v>
      </c>
      <c r="E58">
        <v>4</v>
      </c>
      <c r="F58" s="1" t="s">
        <v>48</v>
      </c>
      <c r="G58">
        <v>1.91</v>
      </c>
      <c r="H58">
        <v>439</v>
      </c>
      <c r="I58" s="1" t="s">
        <v>40</v>
      </c>
      <c r="J58">
        <v>1920</v>
      </c>
      <c r="K58">
        <v>1080</v>
      </c>
      <c r="L58" s="1" t="s">
        <v>27</v>
      </c>
      <c r="M58" s="1" t="s">
        <v>27</v>
      </c>
      <c r="N58" s="1" t="s">
        <v>27</v>
      </c>
      <c r="O58" s="1" t="s">
        <v>29</v>
      </c>
      <c r="P58">
        <v>2</v>
      </c>
      <c r="Q58" s="1" t="s">
        <v>62</v>
      </c>
      <c r="R58" s="1" t="str">
        <f>_xlfn.CONCAT(laptop[[#This Row],[CPU_company]]," ",laptop[[#This Row],[CPU_model]])</f>
        <v>Intel Core i3 6006U</v>
      </c>
      <c r="S58">
        <v>128</v>
      </c>
      <c r="T58">
        <v>0</v>
      </c>
      <c r="U58">
        <f>laptop[[#This Row],[PrimaryStorage]]+laptop[[#This Row],[SecondaryStorage]]</f>
        <v>128</v>
      </c>
      <c r="V58" s="1" t="s">
        <v>31</v>
      </c>
      <c r="W58" s="1" t="s">
        <v>27</v>
      </c>
      <c r="X58" s="1" t="str">
        <f>IF(laptop[[#This Row],[PrimaryStorageType]]=laptop[[#This Row],[SecondaryStorageType]],laptop[[#This Row],[PrimaryStorageType]],"SSD &amp; HDD")</f>
        <v>SSD &amp; HDD</v>
      </c>
      <c r="Y58" s="1" t="s">
        <v>63</v>
      </c>
    </row>
    <row r="59" spans="1:25" x14ac:dyDescent="0.25">
      <c r="A59" s="1" t="s">
        <v>55</v>
      </c>
      <c r="B59" s="1" t="s">
        <v>140</v>
      </c>
      <c r="C59" s="1" t="s">
        <v>38</v>
      </c>
      <c r="D59">
        <v>15.6</v>
      </c>
      <c r="E59">
        <v>4</v>
      </c>
      <c r="F59" s="1" t="s">
        <v>48</v>
      </c>
      <c r="G59">
        <v>2</v>
      </c>
      <c r="H59">
        <v>586.19000000000005</v>
      </c>
      <c r="I59" s="1" t="s">
        <v>26</v>
      </c>
      <c r="J59">
        <v>1366</v>
      </c>
      <c r="K59">
        <v>768</v>
      </c>
      <c r="L59" s="1" t="s">
        <v>27</v>
      </c>
      <c r="M59" s="1" t="s">
        <v>27</v>
      </c>
      <c r="N59" s="1" t="s">
        <v>27</v>
      </c>
      <c r="O59" s="1" t="s">
        <v>29</v>
      </c>
      <c r="P59">
        <v>2.5</v>
      </c>
      <c r="Q59" s="1" t="s">
        <v>41</v>
      </c>
      <c r="R59" s="1" t="str">
        <f>_xlfn.CONCAT(laptop[[#This Row],[CPU_company]]," ",laptop[[#This Row],[CPU_model]])</f>
        <v>Intel Core i5 7200U</v>
      </c>
      <c r="S59">
        <v>256</v>
      </c>
      <c r="T59">
        <v>0</v>
      </c>
      <c r="U59">
        <f>laptop[[#This Row],[PrimaryStorage]]+laptop[[#This Row],[SecondaryStorage]]</f>
        <v>256</v>
      </c>
      <c r="V59" s="1" t="s">
        <v>31</v>
      </c>
      <c r="W59" s="1" t="s">
        <v>27</v>
      </c>
      <c r="X59" s="1" t="str">
        <f>IF(laptop[[#This Row],[PrimaryStorageType]]=laptop[[#This Row],[SecondaryStorageType]],laptop[[#This Row],[PrimaryStorageType]],"SSD &amp; HDD")</f>
        <v>SSD &amp; HDD</v>
      </c>
      <c r="Y59" s="1" t="s">
        <v>42</v>
      </c>
    </row>
    <row r="60" spans="1:25" x14ac:dyDescent="0.25">
      <c r="A60" s="1" t="s">
        <v>141</v>
      </c>
      <c r="B60" s="1" t="s">
        <v>142</v>
      </c>
      <c r="C60" s="1" t="s">
        <v>83</v>
      </c>
      <c r="D60">
        <v>17.3</v>
      </c>
      <c r="E60">
        <v>16</v>
      </c>
      <c r="F60" s="1" t="s">
        <v>48</v>
      </c>
      <c r="G60">
        <v>2.4300000000000002</v>
      </c>
      <c r="H60">
        <v>2449</v>
      </c>
      <c r="I60" s="1" t="s">
        <v>40</v>
      </c>
      <c r="J60">
        <v>1920</v>
      </c>
      <c r="K60">
        <v>1080</v>
      </c>
      <c r="L60" s="1" t="s">
        <v>27</v>
      </c>
      <c r="M60" s="1" t="s">
        <v>27</v>
      </c>
      <c r="N60" s="1" t="s">
        <v>27</v>
      </c>
      <c r="O60" s="1" t="s">
        <v>29</v>
      </c>
      <c r="P60">
        <v>2.8</v>
      </c>
      <c r="Q60" s="1" t="s">
        <v>118</v>
      </c>
      <c r="R60" s="1" t="str">
        <f>_xlfn.CONCAT(laptop[[#This Row],[CPU_company]]," ",laptop[[#This Row],[CPU_model]])</f>
        <v>Intel Core i7 7700HQ</v>
      </c>
      <c r="S60">
        <v>256</v>
      </c>
      <c r="T60">
        <v>2048</v>
      </c>
      <c r="U60">
        <f>laptop[[#This Row],[PrimaryStorage]]+laptop[[#This Row],[SecondaryStorage]]</f>
        <v>2304</v>
      </c>
      <c r="V60" s="1" t="s">
        <v>31</v>
      </c>
      <c r="W60" s="1" t="s">
        <v>51</v>
      </c>
      <c r="X60" s="1" t="str">
        <f>IF(laptop[[#This Row],[PrimaryStorageType]]=laptop[[#This Row],[SecondaryStorageType]],laptop[[#This Row],[PrimaryStorageType]],"SSD &amp; HDD")</f>
        <v>SSD &amp; HDD</v>
      </c>
      <c r="Y60" s="1" t="s">
        <v>143</v>
      </c>
    </row>
    <row r="61" spans="1:25" x14ac:dyDescent="0.25">
      <c r="A61" s="1" t="s">
        <v>55</v>
      </c>
      <c r="B61" s="1" t="s">
        <v>144</v>
      </c>
      <c r="C61" s="1" t="s">
        <v>38</v>
      </c>
      <c r="D61">
        <v>15.6</v>
      </c>
      <c r="E61">
        <v>4</v>
      </c>
      <c r="F61" s="1" t="s">
        <v>111</v>
      </c>
      <c r="G61">
        <v>2</v>
      </c>
      <c r="H61">
        <v>415</v>
      </c>
      <c r="I61" s="1" t="s">
        <v>40</v>
      </c>
      <c r="J61">
        <v>1920</v>
      </c>
      <c r="K61">
        <v>1080</v>
      </c>
      <c r="L61" s="1" t="s">
        <v>27</v>
      </c>
      <c r="M61" s="1" t="s">
        <v>27</v>
      </c>
      <c r="N61" s="1" t="s">
        <v>27</v>
      </c>
      <c r="O61" s="1" t="s">
        <v>29</v>
      </c>
      <c r="P61">
        <v>2</v>
      </c>
      <c r="Q61" s="1" t="s">
        <v>62</v>
      </c>
      <c r="R61" s="1" t="str">
        <f>_xlfn.CONCAT(laptop[[#This Row],[CPU_company]]," ",laptop[[#This Row],[CPU_model]])</f>
        <v>Intel Core i3 6006U</v>
      </c>
      <c r="S61">
        <v>256</v>
      </c>
      <c r="T61">
        <v>0</v>
      </c>
      <c r="U61">
        <f>laptop[[#This Row],[PrimaryStorage]]+laptop[[#This Row],[SecondaryStorage]]</f>
        <v>256</v>
      </c>
      <c r="V61" s="1" t="s">
        <v>31</v>
      </c>
      <c r="W61" s="1" t="s">
        <v>27</v>
      </c>
      <c r="X61" s="1" t="str">
        <f>IF(laptop[[#This Row],[PrimaryStorageType]]=laptop[[#This Row],[SecondaryStorageType]],laptop[[#This Row],[PrimaryStorageType]],"SSD &amp; HDD")</f>
        <v>SSD &amp; HDD</v>
      </c>
      <c r="Y61" s="1" t="s">
        <v>63</v>
      </c>
    </row>
    <row r="62" spans="1:25" x14ac:dyDescent="0.25">
      <c r="A62" s="1" t="s">
        <v>65</v>
      </c>
      <c r="B62" s="1" t="s">
        <v>113</v>
      </c>
      <c r="C62" s="1" t="s">
        <v>38</v>
      </c>
      <c r="D62">
        <v>17.3</v>
      </c>
      <c r="E62">
        <v>16</v>
      </c>
      <c r="F62" s="1" t="s">
        <v>48</v>
      </c>
      <c r="G62">
        <v>2.8</v>
      </c>
      <c r="H62">
        <v>1299</v>
      </c>
      <c r="I62" s="1" t="s">
        <v>40</v>
      </c>
      <c r="J62">
        <v>1920</v>
      </c>
      <c r="K62">
        <v>1080</v>
      </c>
      <c r="L62" s="1" t="s">
        <v>27</v>
      </c>
      <c r="M62" s="1" t="s">
        <v>27</v>
      </c>
      <c r="N62" s="1" t="s">
        <v>27</v>
      </c>
      <c r="O62" s="1" t="s">
        <v>29</v>
      </c>
      <c r="P62">
        <v>1.8</v>
      </c>
      <c r="Q62" s="1" t="s">
        <v>57</v>
      </c>
      <c r="R62" s="1" t="str">
        <f>_xlfn.CONCAT(laptop[[#This Row],[CPU_company]]," ",laptop[[#This Row],[CPU_model]])</f>
        <v>Intel Core i7 8550U</v>
      </c>
      <c r="S62">
        <v>256</v>
      </c>
      <c r="T62">
        <v>2048</v>
      </c>
      <c r="U62">
        <f>laptop[[#This Row],[PrimaryStorage]]+laptop[[#This Row],[SecondaryStorage]]</f>
        <v>2304</v>
      </c>
      <c r="V62" s="1" t="s">
        <v>31</v>
      </c>
      <c r="W62" s="1" t="s">
        <v>51</v>
      </c>
      <c r="X62" s="1" t="str">
        <f>IF(laptop[[#This Row],[PrimaryStorageType]]=laptop[[#This Row],[SecondaryStorageType]],laptop[[#This Row],[PrimaryStorageType]],"SSD &amp; HDD")</f>
        <v>SSD &amp; HDD</v>
      </c>
      <c r="Y62" s="1" t="s">
        <v>94</v>
      </c>
    </row>
    <row r="63" spans="1:25" x14ac:dyDescent="0.25">
      <c r="A63" s="1" t="s">
        <v>65</v>
      </c>
      <c r="B63" s="1" t="s">
        <v>145</v>
      </c>
      <c r="C63" s="1" t="s">
        <v>24</v>
      </c>
      <c r="D63">
        <v>14</v>
      </c>
      <c r="E63">
        <v>8</v>
      </c>
      <c r="F63" s="1" t="s">
        <v>48</v>
      </c>
      <c r="G63">
        <v>1.7</v>
      </c>
      <c r="H63">
        <v>879</v>
      </c>
      <c r="I63" s="1" t="s">
        <v>40</v>
      </c>
      <c r="J63">
        <v>1920</v>
      </c>
      <c r="K63">
        <v>1080</v>
      </c>
      <c r="L63" s="1" t="s">
        <v>27</v>
      </c>
      <c r="M63" s="1" t="s">
        <v>27</v>
      </c>
      <c r="N63" s="1" t="s">
        <v>27</v>
      </c>
      <c r="O63" s="1" t="s">
        <v>29</v>
      </c>
      <c r="P63">
        <v>1.6</v>
      </c>
      <c r="Q63" s="1" t="s">
        <v>60</v>
      </c>
      <c r="R63" s="1" t="str">
        <f>_xlfn.CONCAT(laptop[[#This Row],[CPU_company]]," ",laptop[[#This Row],[CPU_model]])</f>
        <v>Intel Core i5 8250U</v>
      </c>
      <c r="S63">
        <v>256</v>
      </c>
      <c r="T63">
        <v>0</v>
      </c>
      <c r="U63">
        <f>laptop[[#This Row],[PrimaryStorage]]+laptop[[#This Row],[SecondaryStorage]]</f>
        <v>256</v>
      </c>
      <c r="V63" s="1" t="s">
        <v>31</v>
      </c>
      <c r="W63" s="1" t="s">
        <v>27</v>
      </c>
      <c r="X63" s="1" t="str">
        <f>IF(laptop[[#This Row],[PrimaryStorageType]]=laptop[[#This Row],[SecondaryStorageType]],laptop[[#This Row],[PrimaryStorageType]],"SSD &amp; HDD")</f>
        <v>SSD &amp; HDD</v>
      </c>
      <c r="Y63" s="1" t="s">
        <v>61</v>
      </c>
    </row>
    <row r="64" spans="1:25" x14ac:dyDescent="0.25">
      <c r="A64" s="1" t="s">
        <v>73</v>
      </c>
      <c r="B64" s="1" t="s">
        <v>146</v>
      </c>
      <c r="C64" s="1" t="s">
        <v>38</v>
      </c>
      <c r="D64">
        <v>14</v>
      </c>
      <c r="E64">
        <v>8</v>
      </c>
      <c r="F64" s="1" t="s">
        <v>39</v>
      </c>
      <c r="G64">
        <v>1.7</v>
      </c>
      <c r="H64">
        <v>599</v>
      </c>
      <c r="I64" s="1" t="s">
        <v>40</v>
      </c>
      <c r="J64">
        <v>1920</v>
      </c>
      <c r="K64">
        <v>1080</v>
      </c>
      <c r="L64" s="1" t="s">
        <v>27</v>
      </c>
      <c r="M64" s="1" t="s">
        <v>28</v>
      </c>
      <c r="N64" s="1" t="s">
        <v>27</v>
      </c>
      <c r="O64" s="1" t="s">
        <v>29</v>
      </c>
      <c r="P64">
        <v>2.7</v>
      </c>
      <c r="Q64" s="1" t="s">
        <v>112</v>
      </c>
      <c r="R64" s="1" t="str">
        <f>_xlfn.CONCAT(laptop[[#This Row],[CPU_company]]," ",laptop[[#This Row],[CPU_model]])</f>
        <v>Intel Core i3 7130U</v>
      </c>
      <c r="S64">
        <v>256</v>
      </c>
      <c r="T64">
        <v>0</v>
      </c>
      <c r="U64">
        <f>laptop[[#This Row],[PrimaryStorage]]+laptop[[#This Row],[SecondaryStorage]]</f>
        <v>256</v>
      </c>
      <c r="V64" s="1" t="s">
        <v>31</v>
      </c>
      <c r="W64" s="1" t="s">
        <v>27</v>
      </c>
      <c r="X64" s="1" t="str">
        <f>IF(laptop[[#This Row],[PrimaryStorageType]]=laptop[[#This Row],[SecondaryStorageType]],laptop[[#This Row],[PrimaryStorageType]],"SSD &amp; HDD")</f>
        <v>SSD &amp; HDD</v>
      </c>
      <c r="Y64" s="1" t="s">
        <v>42</v>
      </c>
    </row>
    <row r="65" spans="1:25" x14ac:dyDescent="0.25">
      <c r="A65" s="1" t="s">
        <v>55</v>
      </c>
      <c r="B65" s="1" t="s">
        <v>147</v>
      </c>
      <c r="C65" s="1" t="s">
        <v>38</v>
      </c>
      <c r="D65">
        <v>14</v>
      </c>
      <c r="E65">
        <v>8</v>
      </c>
      <c r="F65" s="1" t="s">
        <v>48</v>
      </c>
      <c r="G65">
        <v>1.4</v>
      </c>
      <c r="H65">
        <v>941</v>
      </c>
      <c r="I65" s="1" t="s">
        <v>40</v>
      </c>
      <c r="J65">
        <v>1920</v>
      </c>
      <c r="K65">
        <v>1080</v>
      </c>
      <c r="L65" s="1" t="s">
        <v>27</v>
      </c>
      <c r="M65" s="1" t="s">
        <v>27</v>
      </c>
      <c r="N65" s="1" t="s">
        <v>27</v>
      </c>
      <c r="O65" s="1" t="s">
        <v>29</v>
      </c>
      <c r="P65">
        <v>1.6</v>
      </c>
      <c r="Q65" s="1" t="s">
        <v>60</v>
      </c>
      <c r="R65" s="1" t="str">
        <f>_xlfn.CONCAT(laptop[[#This Row],[CPU_company]]," ",laptop[[#This Row],[CPU_model]])</f>
        <v>Intel Core i5 8250U</v>
      </c>
      <c r="S65">
        <v>256</v>
      </c>
      <c r="T65">
        <v>0</v>
      </c>
      <c r="U65">
        <f>laptop[[#This Row],[PrimaryStorage]]+laptop[[#This Row],[SecondaryStorage]]</f>
        <v>256</v>
      </c>
      <c r="V65" s="1" t="s">
        <v>31</v>
      </c>
      <c r="W65" s="1" t="s">
        <v>27</v>
      </c>
      <c r="X65" s="1" t="str">
        <f>IF(laptop[[#This Row],[PrimaryStorageType]]=laptop[[#This Row],[SecondaryStorageType]],laptop[[#This Row],[PrimaryStorageType]],"SSD &amp; HDD")</f>
        <v>SSD &amp; HDD</v>
      </c>
      <c r="Y65" s="1" t="s">
        <v>61</v>
      </c>
    </row>
    <row r="66" spans="1:25" x14ac:dyDescent="0.25">
      <c r="A66" s="1" t="s">
        <v>36</v>
      </c>
      <c r="B66" s="1" t="s">
        <v>37</v>
      </c>
      <c r="C66" s="1" t="s">
        <v>38</v>
      </c>
      <c r="D66">
        <v>15.6</v>
      </c>
      <c r="E66">
        <v>8</v>
      </c>
      <c r="F66" s="1" t="s">
        <v>48</v>
      </c>
      <c r="G66">
        <v>1.86</v>
      </c>
      <c r="H66">
        <v>690</v>
      </c>
      <c r="I66" s="1" t="s">
        <v>40</v>
      </c>
      <c r="J66">
        <v>1920</v>
      </c>
      <c r="K66">
        <v>1080</v>
      </c>
      <c r="L66" s="1" t="s">
        <v>27</v>
      </c>
      <c r="M66" s="1" t="s">
        <v>27</v>
      </c>
      <c r="N66" s="1" t="s">
        <v>27</v>
      </c>
      <c r="O66" s="1" t="s">
        <v>29</v>
      </c>
      <c r="P66">
        <v>2.5</v>
      </c>
      <c r="Q66" s="1" t="s">
        <v>41</v>
      </c>
      <c r="R66" s="1" t="str">
        <f>_xlfn.CONCAT(laptop[[#This Row],[CPU_company]]," ",laptop[[#This Row],[CPU_model]])</f>
        <v>Intel Core i5 7200U</v>
      </c>
      <c r="S66">
        <v>256</v>
      </c>
      <c r="T66">
        <v>0</v>
      </c>
      <c r="U66">
        <f>laptop[[#This Row],[PrimaryStorage]]+laptop[[#This Row],[SecondaryStorage]]</f>
        <v>256</v>
      </c>
      <c r="V66" s="1" t="s">
        <v>31</v>
      </c>
      <c r="W66" s="1" t="s">
        <v>27</v>
      </c>
      <c r="X66" s="1" t="str">
        <f>IF(laptop[[#This Row],[PrimaryStorageType]]=laptop[[#This Row],[SecondaryStorageType]],laptop[[#This Row],[PrimaryStorageType]],"SSD &amp; HDD")</f>
        <v>SSD &amp; HDD</v>
      </c>
      <c r="Y66" s="1" t="s">
        <v>42</v>
      </c>
    </row>
    <row r="67" spans="1:25" x14ac:dyDescent="0.25">
      <c r="A67" s="1" t="s">
        <v>55</v>
      </c>
      <c r="B67" s="1" t="s">
        <v>148</v>
      </c>
      <c r="C67" s="1" t="s">
        <v>24</v>
      </c>
      <c r="D67">
        <v>15.6</v>
      </c>
      <c r="E67">
        <v>16</v>
      </c>
      <c r="F67" s="1" t="s">
        <v>48</v>
      </c>
      <c r="G67">
        <v>1.8</v>
      </c>
      <c r="H67">
        <v>1983</v>
      </c>
      <c r="I67" s="1" t="s">
        <v>40</v>
      </c>
      <c r="J67">
        <v>1920</v>
      </c>
      <c r="K67">
        <v>1080</v>
      </c>
      <c r="L67" s="1" t="s">
        <v>27</v>
      </c>
      <c r="M67" s="1" t="s">
        <v>27</v>
      </c>
      <c r="N67" s="1" t="s">
        <v>27</v>
      </c>
      <c r="O67" s="1" t="s">
        <v>29</v>
      </c>
      <c r="P67">
        <v>2.8</v>
      </c>
      <c r="Q67" s="1" t="s">
        <v>118</v>
      </c>
      <c r="R67" s="1" t="str">
        <f>_xlfn.CONCAT(laptop[[#This Row],[CPU_company]]," ",laptop[[#This Row],[CPU_model]])</f>
        <v>Intel Core i7 7700HQ</v>
      </c>
      <c r="S67">
        <v>512</v>
      </c>
      <c r="T67">
        <v>0</v>
      </c>
      <c r="U67">
        <f>laptop[[#This Row],[PrimaryStorage]]+laptop[[#This Row],[SecondaryStorage]]</f>
        <v>512</v>
      </c>
      <c r="V67" s="1" t="s">
        <v>31</v>
      </c>
      <c r="W67" s="1" t="s">
        <v>27</v>
      </c>
      <c r="X67" s="1" t="str">
        <f>IF(laptop[[#This Row],[PrimaryStorageType]]=laptop[[#This Row],[SecondaryStorageType]],laptop[[#This Row],[PrimaryStorageType]],"SSD &amp; HDD")</f>
        <v>SSD &amp; HDD</v>
      </c>
      <c r="Y67" s="1" t="s">
        <v>149</v>
      </c>
    </row>
    <row r="68" spans="1:25" x14ac:dyDescent="0.25">
      <c r="A68" s="1" t="s">
        <v>36</v>
      </c>
      <c r="B68" s="1" t="s">
        <v>37</v>
      </c>
      <c r="C68" s="1" t="s">
        <v>38</v>
      </c>
      <c r="D68">
        <v>15.6</v>
      </c>
      <c r="E68">
        <v>4</v>
      </c>
      <c r="F68" s="1" t="s">
        <v>48</v>
      </c>
      <c r="G68">
        <v>1.86</v>
      </c>
      <c r="H68">
        <v>438.69</v>
      </c>
      <c r="I68" s="1" t="s">
        <v>26</v>
      </c>
      <c r="J68">
        <v>1366</v>
      </c>
      <c r="K68">
        <v>768</v>
      </c>
      <c r="L68" s="1" t="s">
        <v>27</v>
      </c>
      <c r="M68" s="1" t="s">
        <v>27</v>
      </c>
      <c r="N68" s="1" t="s">
        <v>27</v>
      </c>
      <c r="O68" s="1" t="s">
        <v>29</v>
      </c>
      <c r="P68">
        <v>2</v>
      </c>
      <c r="Q68" s="1" t="s">
        <v>62</v>
      </c>
      <c r="R68" s="1" t="str">
        <f>_xlfn.CONCAT(laptop[[#This Row],[CPU_company]]," ",laptop[[#This Row],[CPU_model]])</f>
        <v>Intel Core i3 6006U</v>
      </c>
      <c r="S68">
        <v>500</v>
      </c>
      <c r="T68">
        <v>0</v>
      </c>
      <c r="U68">
        <f>laptop[[#This Row],[PrimaryStorage]]+laptop[[#This Row],[SecondaryStorage]]</f>
        <v>500</v>
      </c>
      <c r="V68" s="1" t="s">
        <v>51</v>
      </c>
      <c r="W68" s="1" t="s">
        <v>27</v>
      </c>
      <c r="X68" s="1" t="str">
        <f>IF(laptop[[#This Row],[PrimaryStorageType]]=laptop[[#This Row],[SecondaryStorageType]],laptop[[#This Row],[PrimaryStorageType]],"SSD &amp; HDD")</f>
        <v>SSD &amp; HDD</v>
      </c>
      <c r="Y68" s="1" t="s">
        <v>138</v>
      </c>
    </row>
    <row r="69" spans="1:25" x14ac:dyDescent="0.25">
      <c r="A69" s="1" t="s">
        <v>36</v>
      </c>
      <c r="B69" s="1" t="s">
        <v>150</v>
      </c>
      <c r="C69" s="1" t="s">
        <v>38</v>
      </c>
      <c r="D69">
        <v>14</v>
      </c>
      <c r="E69">
        <v>4</v>
      </c>
      <c r="F69" s="1" t="s">
        <v>48</v>
      </c>
      <c r="G69">
        <v>1.44</v>
      </c>
      <c r="H69">
        <v>229</v>
      </c>
      <c r="I69" s="1" t="s">
        <v>26</v>
      </c>
      <c r="J69">
        <v>1366</v>
      </c>
      <c r="K69">
        <v>768</v>
      </c>
      <c r="L69" s="1" t="s">
        <v>27</v>
      </c>
      <c r="M69" s="1" t="s">
        <v>27</v>
      </c>
      <c r="N69" s="1" t="s">
        <v>27</v>
      </c>
      <c r="O69" s="1" t="s">
        <v>29</v>
      </c>
      <c r="P69">
        <v>1.6</v>
      </c>
      <c r="Q69" s="1" t="s">
        <v>151</v>
      </c>
      <c r="R69" s="1" t="str">
        <f>_xlfn.CONCAT(laptop[[#This Row],[CPU_company]]," ",laptop[[#This Row],[CPU_model]])</f>
        <v>Intel Celeron Dual Core N3060</v>
      </c>
      <c r="S69">
        <v>32</v>
      </c>
      <c r="T69">
        <v>0</v>
      </c>
      <c r="U69">
        <f>laptop[[#This Row],[PrimaryStorage]]+laptop[[#This Row],[SecondaryStorage]]</f>
        <v>32</v>
      </c>
      <c r="V69" s="1" t="s">
        <v>31</v>
      </c>
      <c r="W69" s="1" t="s">
        <v>27</v>
      </c>
      <c r="X69" s="1" t="str">
        <f>IF(laptop[[#This Row],[PrimaryStorageType]]=laptop[[#This Row],[SecondaryStorageType]],laptop[[#This Row],[PrimaryStorageType]],"SSD &amp; HDD")</f>
        <v>SSD &amp; HDD</v>
      </c>
      <c r="Y69" s="1" t="s">
        <v>81</v>
      </c>
    </row>
    <row r="70" spans="1:25" x14ac:dyDescent="0.25">
      <c r="A70" s="1" t="s">
        <v>73</v>
      </c>
      <c r="B70" s="1" t="s">
        <v>152</v>
      </c>
      <c r="C70" s="1" t="s">
        <v>38</v>
      </c>
      <c r="D70">
        <v>15.6</v>
      </c>
      <c r="E70">
        <v>4</v>
      </c>
      <c r="F70" s="1" t="s">
        <v>48</v>
      </c>
      <c r="G70">
        <v>1.9</v>
      </c>
      <c r="H70">
        <v>549</v>
      </c>
      <c r="I70" s="1" t="s">
        <v>40</v>
      </c>
      <c r="J70">
        <v>1920</v>
      </c>
      <c r="K70">
        <v>1080</v>
      </c>
      <c r="L70" s="1" t="s">
        <v>27</v>
      </c>
      <c r="M70" s="1" t="s">
        <v>27</v>
      </c>
      <c r="N70" s="1" t="s">
        <v>27</v>
      </c>
      <c r="O70" s="1" t="s">
        <v>29</v>
      </c>
      <c r="P70">
        <v>2.5</v>
      </c>
      <c r="Q70" s="1" t="s">
        <v>41</v>
      </c>
      <c r="R70" s="1" t="str">
        <f>_xlfn.CONCAT(laptop[[#This Row],[CPU_company]]," ",laptop[[#This Row],[CPU_model]])</f>
        <v>Intel Core i5 7200U</v>
      </c>
      <c r="S70">
        <v>1024</v>
      </c>
      <c r="T70">
        <v>0</v>
      </c>
      <c r="U70">
        <f>laptop[[#This Row],[PrimaryStorage]]+laptop[[#This Row],[SecondaryStorage]]</f>
        <v>1024</v>
      </c>
      <c r="V70" s="1" t="s">
        <v>51</v>
      </c>
      <c r="W70" s="1" t="s">
        <v>27</v>
      </c>
      <c r="X70" s="1" t="str">
        <f>IF(laptop[[#This Row],[PrimaryStorageType]]=laptop[[#This Row],[SecondaryStorageType]],laptop[[#This Row],[PrimaryStorageType]],"SSD &amp; HDD")</f>
        <v>SSD &amp; HDD</v>
      </c>
      <c r="Y70" s="1" t="s">
        <v>42</v>
      </c>
    </row>
    <row r="71" spans="1:25" x14ac:dyDescent="0.25">
      <c r="A71" s="1" t="s">
        <v>55</v>
      </c>
      <c r="B71" s="1" t="s">
        <v>153</v>
      </c>
      <c r="C71" s="1" t="s">
        <v>83</v>
      </c>
      <c r="D71">
        <v>17.3</v>
      </c>
      <c r="E71">
        <v>12</v>
      </c>
      <c r="F71" s="1" t="s">
        <v>111</v>
      </c>
      <c r="G71">
        <v>3</v>
      </c>
      <c r="H71">
        <v>949</v>
      </c>
      <c r="I71" s="1" t="s">
        <v>40</v>
      </c>
      <c r="J71">
        <v>1920</v>
      </c>
      <c r="K71">
        <v>1080</v>
      </c>
      <c r="L71" s="1" t="s">
        <v>27</v>
      </c>
      <c r="M71" s="1" t="s">
        <v>27</v>
      </c>
      <c r="N71" s="1" t="s">
        <v>27</v>
      </c>
      <c r="O71" s="1" t="s">
        <v>29</v>
      </c>
      <c r="P71">
        <v>2.8</v>
      </c>
      <c r="Q71" s="1" t="s">
        <v>118</v>
      </c>
      <c r="R71" s="1" t="str">
        <f>_xlfn.CONCAT(laptop[[#This Row],[CPU_company]]," ",laptop[[#This Row],[CPU_model]])</f>
        <v>Intel Core i7 7700HQ</v>
      </c>
      <c r="S71">
        <v>1024</v>
      </c>
      <c r="T71">
        <v>0</v>
      </c>
      <c r="U71">
        <f>laptop[[#This Row],[PrimaryStorage]]+laptop[[#This Row],[SecondaryStorage]]</f>
        <v>1024</v>
      </c>
      <c r="V71" s="1" t="s">
        <v>51</v>
      </c>
      <c r="W71" s="1" t="s">
        <v>27</v>
      </c>
      <c r="X71" s="1" t="str">
        <f>IF(laptop[[#This Row],[PrimaryStorageType]]=laptop[[#This Row],[SecondaryStorageType]],laptop[[#This Row],[PrimaryStorageType]],"SSD &amp; HDD")</f>
        <v>SSD &amp; HDD</v>
      </c>
      <c r="Y71" s="1" t="s">
        <v>149</v>
      </c>
    </row>
    <row r="72" spans="1:25" x14ac:dyDescent="0.25">
      <c r="A72" s="1" t="s">
        <v>154</v>
      </c>
      <c r="B72" s="1" t="s">
        <v>155</v>
      </c>
      <c r="C72" s="1" t="s">
        <v>24</v>
      </c>
      <c r="D72">
        <v>13.5</v>
      </c>
      <c r="E72">
        <v>4</v>
      </c>
      <c r="F72" s="1" t="s">
        <v>156</v>
      </c>
      <c r="G72">
        <v>1.252</v>
      </c>
      <c r="H72">
        <v>1089</v>
      </c>
      <c r="I72" s="1" t="s">
        <v>26</v>
      </c>
      <c r="J72">
        <v>2256</v>
      </c>
      <c r="K72">
        <v>1504</v>
      </c>
      <c r="L72" s="1" t="s">
        <v>28</v>
      </c>
      <c r="M72" s="1" t="s">
        <v>27</v>
      </c>
      <c r="N72" s="1" t="s">
        <v>27</v>
      </c>
      <c r="O72" s="1" t="s">
        <v>29</v>
      </c>
      <c r="P72">
        <v>2.5</v>
      </c>
      <c r="Q72" s="1" t="s">
        <v>41</v>
      </c>
      <c r="R72" s="1" t="str">
        <f>_xlfn.CONCAT(laptop[[#This Row],[CPU_company]]," ",laptop[[#This Row],[CPU_model]])</f>
        <v>Intel Core i5 7200U</v>
      </c>
      <c r="S72">
        <v>128</v>
      </c>
      <c r="T72">
        <v>0</v>
      </c>
      <c r="U72">
        <f>laptop[[#This Row],[PrimaryStorage]]+laptop[[#This Row],[SecondaryStorage]]</f>
        <v>128</v>
      </c>
      <c r="V72" s="1" t="s">
        <v>31</v>
      </c>
      <c r="W72" s="1" t="s">
        <v>27</v>
      </c>
      <c r="X72" s="1" t="str">
        <f>IF(laptop[[#This Row],[PrimaryStorageType]]=laptop[[#This Row],[SecondaryStorageType]],laptop[[#This Row],[PrimaryStorageType]],"SSD &amp; HDD")</f>
        <v>SSD &amp; HDD</v>
      </c>
      <c r="Y72" s="1" t="s">
        <v>42</v>
      </c>
    </row>
    <row r="73" spans="1:25" x14ac:dyDescent="0.25">
      <c r="A73" s="1" t="s">
        <v>65</v>
      </c>
      <c r="B73" s="1" t="s">
        <v>157</v>
      </c>
      <c r="C73" s="1" t="s">
        <v>24</v>
      </c>
      <c r="D73">
        <v>13.3</v>
      </c>
      <c r="E73">
        <v>8</v>
      </c>
      <c r="F73" s="1" t="s">
        <v>48</v>
      </c>
      <c r="G73">
        <v>1.4</v>
      </c>
      <c r="H73">
        <v>955</v>
      </c>
      <c r="I73" s="1" t="s">
        <v>40</v>
      </c>
      <c r="J73">
        <v>1920</v>
      </c>
      <c r="K73">
        <v>1080</v>
      </c>
      <c r="L73" s="1" t="s">
        <v>27</v>
      </c>
      <c r="M73" s="1" t="s">
        <v>28</v>
      </c>
      <c r="N73" s="1" t="s">
        <v>27</v>
      </c>
      <c r="O73" s="1" t="s">
        <v>29</v>
      </c>
      <c r="P73">
        <v>1.8</v>
      </c>
      <c r="Q73" s="1" t="s">
        <v>57</v>
      </c>
      <c r="R73" s="1" t="str">
        <f>_xlfn.CONCAT(laptop[[#This Row],[CPU_company]]," ",laptop[[#This Row],[CPU_model]])</f>
        <v>Intel Core i7 8550U</v>
      </c>
      <c r="S73">
        <v>256</v>
      </c>
      <c r="T73">
        <v>0</v>
      </c>
      <c r="U73">
        <f>laptop[[#This Row],[PrimaryStorage]]+laptop[[#This Row],[SecondaryStorage]]</f>
        <v>256</v>
      </c>
      <c r="V73" s="1" t="s">
        <v>31</v>
      </c>
      <c r="W73" s="1" t="s">
        <v>27</v>
      </c>
      <c r="X73" s="1" t="str">
        <f>IF(laptop[[#This Row],[PrimaryStorageType]]=laptop[[#This Row],[SecondaryStorageType]],laptop[[#This Row],[PrimaryStorageType]],"SSD &amp; HDD")</f>
        <v>SSD &amp; HDD</v>
      </c>
      <c r="Y73" s="1" t="s">
        <v>94</v>
      </c>
    </row>
    <row r="74" spans="1:25" x14ac:dyDescent="0.25">
      <c r="A74" s="1" t="s">
        <v>65</v>
      </c>
      <c r="B74" s="1" t="s">
        <v>93</v>
      </c>
      <c r="C74" s="1" t="s">
        <v>38</v>
      </c>
      <c r="D74">
        <v>15.6</v>
      </c>
      <c r="E74">
        <v>8</v>
      </c>
      <c r="F74" s="1" t="s">
        <v>48</v>
      </c>
      <c r="G74">
        <v>2.2000000000000002</v>
      </c>
      <c r="H74">
        <v>870</v>
      </c>
      <c r="I74" s="1" t="s">
        <v>40</v>
      </c>
      <c r="J74">
        <v>1920</v>
      </c>
      <c r="K74">
        <v>1080</v>
      </c>
      <c r="L74" s="1" t="s">
        <v>27</v>
      </c>
      <c r="M74" s="1" t="s">
        <v>27</v>
      </c>
      <c r="N74" s="1" t="s">
        <v>27</v>
      </c>
      <c r="O74" s="1" t="s">
        <v>29</v>
      </c>
      <c r="P74">
        <v>1.8</v>
      </c>
      <c r="Q74" s="1" t="s">
        <v>57</v>
      </c>
      <c r="R74" s="1" t="str">
        <f>_xlfn.CONCAT(laptop[[#This Row],[CPU_company]]," ",laptop[[#This Row],[CPU_model]])</f>
        <v>Intel Core i7 8550U</v>
      </c>
      <c r="S74">
        <v>256</v>
      </c>
      <c r="T74">
        <v>0</v>
      </c>
      <c r="U74">
        <f>laptop[[#This Row],[PrimaryStorage]]+laptop[[#This Row],[SecondaryStorage]]</f>
        <v>256</v>
      </c>
      <c r="V74" s="1" t="s">
        <v>31</v>
      </c>
      <c r="W74" s="1" t="s">
        <v>27</v>
      </c>
      <c r="X74" s="1" t="str">
        <f>IF(laptop[[#This Row],[PrimaryStorageType]]=laptop[[#This Row],[SecondaryStorageType]],laptop[[#This Row],[PrimaryStorageType]],"SSD &amp; HDD")</f>
        <v>SSD &amp; HDD</v>
      </c>
      <c r="Y74" s="1" t="s">
        <v>94</v>
      </c>
    </row>
    <row r="75" spans="1:25" x14ac:dyDescent="0.25">
      <c r="A75" s="1" t="s">
        <v>141</v>
      </c>
      <c r="B75" s="1" t="s">
        <v>158</v>
      </c>
      <c r="C75" s="1" t="s">
        <v>83</v>
      </c>
      <c r="D75">
        <v>17.3</v>
      </c>
      <c r="E75">
        <v>8</v>
      </c>
      <c r="F75" s="1" t="s">
        <v>48</v>
      </c>
      <c r="G75">
        <v>2.7</v>
      </c>
      <c r="H75">
        <v>1095</v>
      </c>
      <c r="I75" s="1" t="s">
        <v>40</v>
      </c>
      <c r="J75">
        <v>1920</v>
      </c>
      <c r="K75">
        <v>1080</v>
      </c>
      <c r="L75" s="1" t="s">
        <v>27</v>
      </c>
      <c r="M75" s="1" t="s">
        <v>27</v>
      </c>
      <c r="N75" s="1" t="s">
        <v>27</v>
      </c>
      <c r="O75" s="1" t="s">
        <v>29</v>
      </c>
      <c r="P75">
        <v>2.5</v>
      </c>
      <c r="Q75" s="1" t="s">
        <v>84</v>
      </c>
      <c r="R75" s="1" t="str">
        <f>_xlfn.CONCAT(laptop[[#This Row],[CPU_company]]," ",laptop[[#This Row],[CPU_model]])</f>
        <v>Intel Core i5 7300HQ</v>
      </c>
      <c r="S75">
        <v>128</v>
      </c>
      <c r="T75">
        <v>1024</v>
      </c>
      <c r="U75">
        <f>laptop[[#This Row],[PrimaryStorage]]+laptop[[#This Row],[SecondaryStorage]]</f>
        <v>1152</v>
      </c>
      <c r="V75" s="1" t="s">
        <v>31</v>
      </c>
      <c r="W75" s="1" t="s">
        <v>51</v>
      </c>
      <c r="X75" s="1" t="str">
        <f>IF(laptop[[#This Row],[PrimaryStorageType]]=laptop[[#This Row],[SecondaryStorageType]],laptop[[#This Row],[PrimaryStorageType]],"SSD &amp; HDD")</f>
        <v>SSD &amp; HDD</v>
      </c>
      <c r="Y75" s="1" t="s">
        <v>85</v>
      </c>
    </row>
    <row r="76" spans="1:25" x14ac:dyDescent="0.25">
      <c r="A76" s="1" t="s">
        <v>46</v>
      </c>
      <c r="B76" s="1" t="s">
        <v>159</v>
      </c>
      <c r="C76" s="1" t="s">
        <v>38</v>
      </c>
      <c r="D76">
        <v>14</v>
      </c>
      <c r="E76">
        <v>8</v>
      </c>
      <c r="F76" s="1" t="s">
        <v>48</v>
      </c>
      <c r="G76">
        <v>2.1</v>
      </c>
      <c r="H76">
        <v>389</v>
      </c>
      <c r="I76" s="1" t="s">
        <v>26</v>
      </c>
      <c r="J76">
        <v>1366</v>
      </c>
      <c r="K76">
        <v>768</v>
      </c>
      <c r="L76" s="1" t="s">
        <v>27</v>
      </c>
      <c r="M76" s="1" t="s">
        <v>27</v>
      </c>
      <c r="N76" s="1" t="s">
        <v>27</v>
      </c>
      <c r="O76" s="1" t="s">
        <v>29</v>
      </c>
      <c r="P76">
        <v>2</v>
      </c>
      <c r="Q76" s="1" t="s">
        <v>62</v>
      </c>
      <c r="R76" s="1" t="str">
        <f>_xlfn.CONCAT(laptop[[#This Row],[CPU_company]]," ",laptop[[#This Row],[CPU_model]])</f>
        <v>Intel Core i3 6006U</v>
      </c>
      <c r="S76">
        <v>1024</v>
      </c>
      <c r="T76">
        <v>0</v>
      </c>
      <c r="U76">
        <f>laptop[[#This Row],[PrimaryStorage]]+laptop[[#This Row],[SecondaryStorage]]</f>
        <v>1024</v>
      </c>
      <c r="V76" s="1" t="s">
        <v>51</v>
      </c>
      <c r="W76" s="1" t="s">
        <v>27</v>
      </c>
      <c r="X76" s="1" t="str">
        <f>IF(laptop[[#This Row],[PrimaryStorageType]]=laptop[[#This Row],[SecondaryStorageType]],laptop[[#This Row],[PrimaryStorageType]],"SSD &amp; HDD")</f>
        <v>SSD &amp; HDD</v>
      </c>
      <c r="Y76" s="1" t="s">
        <v>63</v>
      </c>
    </row>
    <row r="77" spans="1:25" x14ac:dyDescent="0.25">
      <c r="A77" s="1" t="s">
        <v>55</v>
      </c>
      <c r="B77" s="1" t="s">
        <v>160</v>
      </c>
      <c r="C77" s="1" t="s">
        <v>83</v>
      </c>
      <c r="D77">
        <v>15.6</v>
      </c>
      <c r="E77">
        <v>8</v>
      </c>
      <c r="F77" s="1" t="s">
        <v>48</v>
      </c>
      <c r="G77">
        <v>2.2000000000000002</v>
      </c>
      <c r="H77">
        <v>949</v>
      </c>
      <c r="I77" s="1" t="s">
        <v>40</v>
      </c>
      <c r="J77">
        <v>1920</v>
      </c>
      <c r="K77">
        <v>1080</v>
      </c>
      <c r="L77" s="1" t="s">
        <v>27</v>
      </c>
      <c r="M77" s="1" t="s">
        <v>27</v>
      </c>
      <c r="N77" s="1" t="s">
        <v>27</v>
      </c>
      <c r="O77" s="1" t="s">
        <v>29</v>
      </c>
      <c r="P77">
        <v>2.8</v>
      </c>
      <c r="Q77" s="1" t="s">
        <v>118</v>
      </c>
      <c r="R77" s="1" t="str">
        <f>_xlfn.CONCAT(laptop[[#This Row],[CPU_company]]," ",laptop[[#This Row],[CPU_model]])</f>
        <v>Intel Core i7 7700HQ</v>
      </c>
      <c r="S77">
        <v>1024</v>
      </c>
      <c r="T77">
        <v>0</v>
      </c>
      <c r="U77">
        <f>laptop[[#This Row],[PrimaryStorage]]+laptop[[#This Row],[SecondaryStorage]]</f>
        <v>1024</v>
      </c>
      <c r="V77" s="1" t="s">
        <v>51</v>
      </c>
      <c r="W77" s="1" t="s">
        <v>27</v>
      </c>
      <c r="X77" s="1" t="str">
        <f>IF(laptop[[#This Row],[PrimaryStorageType]]=laptop[[#This Row],[SecondaryStorageType]],laptop[[#This Row],[PrimaryStorageType]],"SSD &amp; HDD")</f>
        <v>SSD &amp; HDD</v>
      </c>
      <c r="Y77" s="1" t="s">
        <v>85</v>
      </c>
    </row>
    <row r="78" spans="1:25" x14ac:dyDescent="0.25">
      <c r="A78" s="1" t="s">
        <v>73</v>
      </c>
      <c r="B78" s="1" t="s">
        <v>161</v>
      </c>
      <c r="C78" s="1" t="s">
        <v>38</v>
      </c>
      <c r="D78">
        <v>15.6</v>
      </c>
      <c r="E78">
        <v>8</v>
      </c>
      <c r="F78" s="1" t="s">
        <v>39</v>
      </c>
      <c r="G78">
        <v>2.2000000000000002</v>
      </c>
      <c r="H78">
        <v>519</v>
      </c>
      <c r="I78" s="1" t="s">
        <v>40</v>
      </c>
      <c r="J78">
        <v>1920</v>
      </c>
      <c r="K78">
        <v>1080</v>
      </c>
      <c r="L78" s="1" t="s">
        <v>27</v>
      </c>
      <c r="M78" s="1" t="s">
        <v>27</v>
      </c>
      <c r="N78" s="1" t="s">
        <v>27</v>
      </c>
      <c r="O78" s="1" t="s">
        <v>29</v>
      </c>
      <c r="P78">
        <v>2.5</v>
      </c>
      <c r="Q78" s="1" t="s">
        <v>41</v>
      </c>
      <c r="R78" s="1" t="str">
        <f>_xlfn.CONCAT(laptop[[#This Row],[CPU_company]]," ",laptop[[#This Row],[CPU_model]])</f>
        <v>Intel Core i5 7200U</v>
      </c>
      <c r="S78">
        <v>2048</v>
      </c>
      <c r="T78">
        <v>0</v>
      </c>
      <c r="U78">
        <f>laptop[[#This Row],[PrimaryStorage]]+laptop[[#This Row],[SecondaryStorage]]</f>
        <v>2048</v>
      </c>
      <c r="V78" s="1" t="s">
        <v>51</v>
      </c>
      <c r="W78" s="1" t="s">
        <v>27</v>
      </c>
      <c r="X78" s="1" t="str">
        <f>IF(laptop[[#This Row],[PrimaryStorageType]]=laptop[[#This Row],[SecondaryStorageType]],laptop[[#This Row],[PrimaryStorageType]],"SSD &amp; HDD")</f>
        <v>SSD &amp; HDD</v>
      </c>
      <c r="Y78" s="1" t="s">
        <v>42</v>
      </c>
    </row>
    <row r="79" spans="1:25" x14ac:dyDescent="0.25">
      <c r="A79" s="1" t="s">
        <v>65</v>
      </c>
      <c r="B79" s="1" t="s">
        <v>93</v>
      </c>
      <c r="C79" s="1" t="s">
        <v>38</v>
      </c>
      <c r="D79">
        <v>15.6</v>
      </c>
      <c r="E79">
        <v>8</v>
      </c>
      <c r="F79" s="1" t="s">
        <v>48</v>
      </c>
      <c r="G79">
        <v>2.02</v>
      </c>
      <c r="H79">
        <v>855</v>
      </c>
      <c r="I79" s="1" t="s">
        <v>40</v>
      </c>
      <c r="J79">
        <v>1920</v>
      </c>
      <c r="K79">
        <v>1080</v>
      </c>
      <c r="L79" s="1" t="s">
        <v>27</v>
      </c>
      <c r="M79" s="1" t="s">
        <v>27</v>
      </c>
      <c r="N79" s="1" t="s">
        <v>27</v>
      </c>
      <c r="O79" s="1" t="s">
        <v>29</v>
      </c>
      <c r="P79">
        <v>1.8</v>
      </c>
      <c r="Q79" s="1" t="s">
        <v>57</v>
      </c>
      <c r="R79" s="1" t="str">
        <f>_xlfn.CONCAT(laptop[[#This Row],[CPU_company]]," ",laptop[[#This Row],[CPU_model]])</f>
        <v>Intel Core i7 8550U</v>
      </c>
      <c r="S79">
        <v>128</v>
      </c>
      <c r="T79">
        <v>1024</v>
      </c>
      <c r="U79">
        <f>laptop[[#This Row],[PrimaryStorage]]+laptop[[#This Row],[SecondaryStorage]]</f>
        <v>1152</v>
      </c>
      <c r="V79" s="1" t="s">
        <v>31</v>
      </c>
      <c r="W79" s="1" t="s">
        <v>51</v>
      </c>
      <c r="X79" s="1" t="str">
        <f>IF(laptop[[#This Row],[PrimaryStorageType]]=laptop[[#This Row],[SecondaryStorageType]],laptop[[#This Row],[PrimaryStorageType]],"SSD &amp; HDD")</f>
        <v>SSD &amp; HDD</v>
      </c>
      <c r="Y79" s="1" t="s">
        <v>61</v>
      </c>
    </row>
    <row r="80" spans="1:25" x14ac:dyDescent="0.25">
      <c r="A80" s="1" t="s">
        <v>46</v>
      </c>
      <c r="B80" s="1" t="s">
        <v>162</v>
      </c>
      <c r="C80" s="1" t="s">
        <v>38</v>
      </c>
      <c r="D80">
        <v>15.6</v>
      </c>
      <c r="E80">
        <v>4</v>
      </c>
      <c r="F80" s="1" t="s">
        <v>48</v>
      </c>
      <c r="G80">
        <v>2.2000000000000002</v>
      </c>
      <c r="H80">
        <v>530</v>
      </c>
      <c r="I80" s="1" t="s">
        <v>40</v>
      </c>
      <c r="J80">
        <v>1920</v>
      </c>
      <c r="K80">
        <v>1080</v>
      </c>
      <c r="L80" s="1" t="s">
        <v>27</v>
      </c>
      <c r="M80" s="1" t="s">
        <v>27</v>
      </c>
      <c r="N80" s="1" t="s">
        <v>27</v>
      </c>
      <c r="O80" s="1" t="s">
        <v>29</v>
      </c>
      <c r="P80">
        <v>2.7</v>
      </c>
      <c r="Q80" s="1" t="s">
        <v>112</v>
      </c>
      <c r="R80" s="1" t="str">
        <f>_xlfn.CONCAT(laptop[[#This Row],[CPU_company]]," ",laptop[[#This Row],[CPU_model]])</f>
        <v>Intel Core i3 7130U</v>
      </c>
      <c r="S80">
        <v>1024</v>
      </c>
      <c r="T80">
        <v>0</v>
      </c>
      <c r="U80">
        <f>laptop[[#This Row],[PrimaryStorage]]+laptop[[#This Row],[SecondaryStorage]]</f>
        <v>1024</v>
      </c>
      <c r="V80" s="1" t="s">
        <v>51</v>
      </c>
      <c r="W80" s="1" t="s">
        <v>27</v>
      </c>
      <c r="X80" s="1" t="str">
        <f>IF(laptop[[#This Row],[PrimaryStorageType]]=laptop[[#This Row],[SecondaryStorageType]],laptop[[#This Row],[PrimaryStorageType]],"SSD &amp; HDD")</f>
        <v>SSD &amp; HDD</v>
      </c>
      <c r="Y80" s="1" t="s">
        <v>163</v>
      </c>
    </row>
    <row r="81" spans="1:25" x14ac:dyDescent="0.25">
      <c r="A81" s="1" t="s">
        <v>36</v>
      </c>
      <c r="B81" s="1" t="s">
        <v>97</v>
      </c>
      <c r="C81" s="1" t="s">
        <v>38</v>
      </c>
      <c r="D81">
        <v>17.3</v>
      </c>
      <c r="E81">
        <v>8</v>
      </c>
      <c r="F81" s="1" t="s">
        <v>48</v>
      </c>
      <c r="G81">
        <v>2.5</v>
      </c>
      <c r="H81">
        <v>977</v>
      </c>
      <c r="I81" s="1" t="s">
        <v>40</v>
      </c>
      <c r="J81">
        <v>1920</v>
      </c>
      <c r="K81">
        <v>1080</v>
      </c>
      <c r="L81" s="1" t="s">
        <v>27</v>
      </c>
      <c r="M81" s="1" t="s">
        <v>27</v>
      </c>
      <c r="N81" s="1" t="s">
        <v>27</v>
      </c>
      <c r="O81" s="1" t="s">
        <v>29</v>
      </c>
      <c r="P81">
        <v>1.6</v>
      </c>
      <c r="Q81" s="1" t="s">
        <v>60</v>
      </c>
      <c r="R81" s="1" t="str">
        <f>_xlfn.CONCAT(laptop[[#This Row],[CPU_company]]," ",laptop[[#This Row],[CPU_model]])</f>
        <v>Intel Core i5 8250U</v>
      </c>
      <c r="S81">
        <v>128</v>
      </c>
      <c r="T81">
        <v>1024</v>
      </c>
      <c r="U81">
        <f>laptop[[#This Row],[PrimaryStorage]]+laptop[[#This Row],[SecondaryStorage]]</f>
        <v>1152</v>
      </c>
      <c r="V81" s="1" t="s">
        <v>31</v>
      </c>
      <c r="W81" s="1" t="s">
        <v>51</v>
      </c>
      <c r="X81" s="1" t="str">
        <f>IF(laptop[[#This Row],[PrimaryStorageType]]=laptop[[#This Row],[SecondaryStorageType]],laptop[[#This Row],[PrimaryStorageType]],"SSD &amp; HDD")</f>
        <v>SSD &amp; HDD</v>
      </c>
      <c r="Y81" s="1" t="s">
        <v>98</v>
      </c>
    </row>
    <row r="82" spans="1:25" x14ac:dyDescent="0.25">
      <c r="A82" s="1" t="s">
        <v>65</v>
      </c>
      <c r="B82" s="1" t="s">
        <v>95</v>
      </c>
      <c r="C82" s="1" t="s">
        <v>24</v>
      </c>
      <c r="D82">
        <v>15.6</v>
      </c>
      <c r="E82">
        <v>8</v>
      </c>
      <c r="F82" s="1" t="s">
        <v>48</v>
      </c>
      <c r="G82">
        <v>1.88</v>
      </c>
      <c r="H82">
        <v>1096.1600000000001</v>
      </c>
      <c r="I82" s="1" t="s">
        <v>40</v>
      </c>
      <c r="J82">
        <v>1920</v>
      </c>
      <c r="K82">
        <v>1080</v>
      </c>
      <c r="L82" s="1" t="s">
        <v>27</v>
      </c>
      <c r="M82" s="1" t="s">
        <v>28</v>
      </c>
      <c r="N82" s="1" t="s">
        <v>27</v>
      </c>
      <c r="O82" s="1" t="s">
        <v>29</v>
      </c>
      <c r="P82">
        <v>1.6</v>
      </c>
      <c r="Q82" s="1" t="s">
        <v>60</v>
      </c>
      <c r="R82" s="1" t="str">
        <f>_xlfn.CONCAT(laptop[[#This Row],[CPU_company]]," ",laptop[[#This Row],[CPU_model]])</f>
        <v>Intel Core i5 8250U</v>
      </c>
      <c r="S82">
        <v>256</v>
      </c>
      <c r="T82">
        <v>0</v>
      </c>
      <c r="U82">
        <f>laptop[[#This Row],[PrimaryStorage]]+laptop[[#This Row],[SecondaryStorage]]</f>
        <v>256</v>
      </c>
      <c r="V82" s="1" t="s">
        <v>31</v>
      </c>
      <c r="W82" s="1" t="s">
        <v>27</v>
      </c>
      <c r="X82" s="1" t="str">
        <f>IF(laptop[[#This Row],[PrimaryStorageType]]=laptop[[#This Row],[SecondaryStorageType]],laptop[[#This Row],[PrimaryStorageType]],"SSD &amp; HDD")</f>
        <v>SSD &amp; HDD</v>
      </c>
      <c r="Y82" s="1" t="s">
        <v>61</v>
      </c>
    </row>
    <row r="83" spans="1:25" x14ac:dyDescent="0.25">
      <c r="A83" s="1" t="s">
        <v>22</v>
      </c>
      <c r="B83" s="1" t="s">
        <v>68</v>
      </c>
      <c r="C83" s="1" t="s">
        <v>24</v>
      </c>
      <c r="D83">
        <v>12</v>
      </c>
      <c r="E83">
        <v>8</v>
      </c>
      <c r="F83" s="1" t="s">
        <v>25</v>
      </c>
      <c r="G83">
        <v>0.92</v>
      </c>
      <c r="H83">
        <v>1510</v>
      </c>
      <c r="I83" s="1" t="s">
        <v>26</v>
      </c>
      <c r="J83">
        <v>2304</v>
      </c>
      <c r="K83">
        <v>1440</v>
      </c>
      <c r="L83" s="1" t="s">
        <v>27</v>
      </c>
      <c r="M83" s="1" t="s">
        <v>28</v>
      </c>
      <c r="N83" s="1" t="s">
        <v>28</v>
      </c>
      <c r="O83" s="1" t="s">
        <v>29</v>
      </c>
      <c r="P83">
        <v>1.3</v>
      </c>
      <c r="Q83" s="1" t="s">
        <v>30</v>
      </c>
      <c r="R83" s="1" t="str">
        <f>_xlfn.CONCAT(laptop[[#This Row],[CPU_company]]," ",laptop[[#This Row],[CPU_model]])</f>
        <v>Intel Core i5</v>
      </c>
      <c r="S83">
        <v>512</v>
      </c>
      <c r="T83">
        <v>0</v>
      </c>
      <c r="U83">
        <f>laptop[[#This Row],[PrimaryStorage]]+laptop[[#This Row],[SecondaryStorage]]</f>
        <v>512</v>
      </c>
      <c r="V83" s="1" t="s">
        <v>31</v>
      </c>
      <c r="W83" s="1" t="s">
        <v>27</v>
      </c>
      <c r="X83" s="1" t="str">
        <f>IF(laptop[[#This Row],[PrimaryStorageType]]=laptop[[#This Row],[SecondaryStorageType]],laptop[[#This Row],[PrimaryStorageType]],"SSD &amp; HDD")</f>
        <v>SSD &amp; HDD</v>
      </c>
      <c r="Y83" s="1" t="s">
        <v>70</v>
      </c>
    </row>
    <row r="84" spans="1:25" x14ac:dyDescent="0.25">
      <c r="A84" s="1" t="s">
        <v>36</v>
      </c>
      <c r="B84" s="1" t="s">
        <v>164</v>
      </c>
      <c r="C84" s="1" t="s">
        <v>38</v>
      </c>
      <c r="D84">
        <v>14</v>
      </c>
      <c r="E84">
        <v>8</v>
      </c>
      <c r="F84" s="1" t="s">
        <v>48</v>
      </c>
      <c r="G84">
        <v>1.63</v>
      </c>
      <c r="H84">
        <v>860</v>
      </c>
      <c r="I84" s="1" t="s">
        <v>40</v>
      </c>
      <c r="J84">
        <v>1920</v>
      </c>
      <c r="K84">
        <v>1080</v>
      </c>
      <c r="L84" s="1" t="s">
        <v>27</v>
      </c>
      <c r="M84" s="1" t="s">
        <v>27</v>
      </c>
      <c r="N84" s="1" t="s">
        <v>27</v>
      </c>
      <c r="O84" s="1" t="s">
        <v>29</v>
      </c>
      <c r="P84">
        <v>1.6</v>
      </c>
      <c r="Q84" s="1" t="s">
        <v>60</v>
      </c>
      <c r="R84" s="1" t="str">
        <f>_xlfn.CONCAT(laptop[[#This Row],[CPU_company]]," ",laptop[[#This Row],[CPU_model]])</f>
        <v>Intel Core i5 8250U</v>
      </c>
      <c r="S84">
        <v>256</v>
      </c>
      <c r="T84">
        <v>0</v>
      </c>
      <c r="U84">
        <f>laptop[[#This Row],[PrimaryStorage]]+laptop[[#This Row],[SecondaryStorage]]</f>
        <v>256</v>
      </c>
      <c r="V84" s="1" t="s">
        <v>31</v>
      </c>
      <c r="W84" s="1" t="s">
        <v>27</v>
      </c>
      <c r="X84" s="1" t="str">
        <f>IF(laptop[[#This Row],[PrimaryStorageType]]=laptop[[#This Row],[SecondaryStorageType]],laptop[[#This Row],[PrimaryStorageType]],"SSD &amp; HDD")</f>
        <v>SSD &amp; HDD</v>
      </c>
      <c r="Y84" s="1" t="s">
        <v>42</v>
      </c>
    </row>
    <row r="85" spans="1:25" x14ac:dyDescent="0.25">
      <c r="A85" s="1" t="s">
        <v>73</v>
      </c>
      <c r="B85" s="1" t="s">
        <v>165</v>
      </c>
      <c r="C85" s="1" t="s">
        <v>38</v>
      </c>
      <c r="D85">
        <v>15.6</v>
      </c>
      <c r="E85">
        <v>4</v>
      </c>
      <c r="F85" s="1" t="s">
        <v>48</v>
      </c>
      <c r="G85">
        <v>2.2000000000000002</v>
      </c>
      <c r="H85">
        <v>399</v>
      </c>
      <c r="I85" s="1" t="s">
        <v>40</v>
      </c>
      <c r="J85">
        <v>1920</v>
      </c>
      <c r="K85">
        <v>1080</v>
      </c>
      <c r="L85" s="1" t="s">
        <v>27</v>
      </c>
      <c r="M85" s="1" t="s">
        <v>27</v>
      </c>
      <c r="N85" s="1" t="s">
        <v>27</v>
      </c>
      <c r="O85" s="1" t="s">
        <v>49</v>
      </c>
      <c r="P85">
        <v>2.5</v>
      </c>
      <c r="Q85" s="1" t="s">
        <v>106</v>
      </c>
      <c r="R85" s="1" t="str">
        <f>_xlfn.CONCAT(laptop[[#This Row],[CPU_company]]," ",laptop[[#This Row],[CPU_model]])</f>
        <v>AMD A6-Series 9220</v>
      </c>
      <c r="S85">
        <v>128</v>
      </c>
      <c r="T85">
        <v>0</v>
      </c>
      <c r="U85">
        <f>laptop[[#This Row],[PrimaryStorage]]+laptop[[#This Row],[SecondaryStorage]]</f>
        <v>128</v>
      </c>
      <c r="V85" s="1" t="s">
        <v>31</v>
      </c>
      <c r="W85" s="1" t="s">
        <v>27</v>
      </c>
      <c r="X85" s="1" t="str">
        <f>IF(laptop[[#This Row],[PrimaryStorageType]]=laptop[[#This Row],[SecondaryStorageType]],laptop[[#This Row],[PrimaryStorageType]],"SSD &amp; HDD")</f>
        <v>SSD &amp; HDD</v>
      </c>
      <c r="Y85" s="1" t="s">
        <v>166</v>
      </c>
    </row>
    <row r="86" spans="1:25" x14ac:dyDescent="0.25">
      <c r="A86" s="1" t="s">
        <v>46</v>
      </c>
      <c r="B86" s="1" t="s">
        <v>47</v>
      </c>
      <c r="C86" s="1" t="s">
        <v>38</v>
      </c>
      <c r="D86">
        <v>15.6</v>
      </c>
      <c r="E86">
        <v>4</v>
      </c>
      <c r="F86" s="1" t="s">
        <v>48</v>
      </c>
      <c r="G86">
        <v>2.1</v>
      </c>
      <c r="H86">
        <v>395</v>
      </c>
      <c r="I86" s="1" t="s">
        <v>26</v>
      </c>
      <c r="J86">
        <v>1366</v>
      </c>
      <c r="K86">
        <v>768</v>
      </c>
      <c r="L86" s="1" t="s">
        <v>27</v>
      </c>
      <c r="M86" s="1" t="s">
        <v>27</v>
      </c>
      <c r="N86" s="1" t="s">
        <v>27</v>
      </c>
      <c r="O86" s="1" t="s">
        <v>49</v>
      </c>
      <c r="P86">
        <v>3</v>
      </c>
      <c r="Q86" s="1" t="s">
        <v>50</v>
      </c>
      <c r="R86" s="1" t="str">
        <f>_xlfn.CONCAT(laptop[[#This Row],[CPU_company]]," ",laptop[[#This Row],[CPU_model]])</f>
        <v>AMD A9-Series 9420</v>
      </c>
      <c r="S86">
        <v>1024</v>
      </c>
      <c r="T86">
        <v>0</v>
      </c>
      <c r="U86">
        <f>laptop[[#This Row],[PrimaryStorage]]+laptop[[#This Row],[SecondaryStorage]]</f>
        <v>1024</v>
      </c>
      <c r="V86" s="1" t="s">
        <v>51</v>
      </c>
      <c r="W86" s="1" t="s">
        <v>27</v>
      </c>
      <c r="X86" s="1" t="str">
        <f>IF(laptop[[#This Row],[PrimaryStorageType]]=laptop[[#This Row],[SecondaryStorageType]],laptop[[#This Row],[PrimaryStorageType]],"SSD &amp; HDD")</f>
        <v>SSD &amp; HDD</v>
      </c>
      <c r="Y86" s="1" t="s">
        <v>52</v>
      </c>
    </row>
    <row r="87" spans="1:25" x14ac:dyDescent="0.25">
      <c r="A87" s="1" t="s">
        <v>65</v>
      </c>
      <c r="B87" s="1" t="s">
        <v>117</v>
      </c>
      <c r="C87" s="1" t="s">
        <v>83</v>
      </c>
      <c r="D87">
        <v>15.6</v>
      </c>
      <c r="E87">
        <v>16</v>
      </c>
      <c r="F87" s="1" t="s">
        <v>48</v>
      </c>
      <c r="G87">
        <v>2.65</v>
      </c>
      <c r="H87">
        <v>1349</v>
      </c>
      <c r="I87" s="1" t="s">
        <v>40</v>
      </c>
      <c r="J87">
        <v>1920</v>
      </c>
      <c r="K87">
        <v>1080</v>
      </c>
      <c r="L87" s="1" t="s">
        <v>27</v>
      </c>
      <c r="M87" s="1" t="s">
        <v>28</v>
      </c>
      <c r="N87" s="1" t="s">
        <v>27</v>
      </c>
      <c r="O87" s="1" t="s">
        <v>29</v>
      </c>
      <c r="P87">
        <v>2.8</v>
      </c>
      <c r="Q87" s="1" t="s">
        <v>118</v>
      </c>
      <c r="R87" s="1" t="str">
        <f>_xlfn.CONCAT(laptop[[#This Row],[CPU_company]]," ",laptop[[#This Row],[CPU_model]])</f>
        <v>Intel Core i7 7700HQ</v>
      </c>
      <c r="S87">
        <v>128</v>
      </c>
      <c r="T87">
        <v>1024</v>
      </c>
      <c r="U87">
        <f>laptop[[#This Row],[PrimaryStorage]]+laptop[[#This Row],[SecondaryStorage]]</f>
        <v>1152</v>
      </c>
      <c r="V87" s="1" t="s">
        <v>31</v>
      </c>
      <c r="W87" s="1" t="s">
        <v>51</v>
      </c>
      <c r="X87" s="1" t="str">
        <f>IF(laptop[[#This Row],[PrimaryStorageType]]=laptop[[#This Row],[SecondaryStorageType]],laptop[[#This Row],[PrimaryStorageType]],"SSD &amp; HDD")</f>
        <v>SSD &amp; HDD</v>
      </c>
      <c r="Y87" s="1" t="s">
        <v>149</v>
      </c>
    </row>
    <row r="88" spans="1:25" x14ac:dyDescent="0.25">
      <c r="A88" s="1" t="s">
        <v>36</v>
      </c>
      <c r="B88" s="1" t="s">
        <v>167</v>
      </c>
      <c r="C88" s="1" t="s">
        <v>24</v>
      </c>
      <c r="D88">
        <v>15.6</v>
      </c>
      <c r="E88">
        <v>8</v>
      </c>
      <c r="F88" s="1" t="s">
        <v>48</v>
      </c>
      <c r="G88">
        <v>1.83</v>
      </c>
      <c r="H88">
        <v>699</v>
      </c>
      <c r="I88" s="1" t="s">
        <v>40</v>
      </c>
      <c r="J88">
        <v>1920</v>
      </c>
      <c r="K88">
        <v>1080</v>
      </c>
      <c r="L88" s="1" t="s">
        <v>27</v>
      </c>
      <c r="M88" s="1" t="s">
        <v>28</v>
      </c>
      <c r="N88" s="1" t="s">
        <v>27</v>
      </c>
      <c r="O88" s="1" t="s">
        <v>29</v>
      </c>
      <c r="P88">
        <v>1.8</v>
      </c>
      <c r="Q88" s="1" t="s">
        <v>57</v>
      </c>
      <c r="R88" s="1" t="str">
        <f>_xlfn.CONCAT(laptop[[#This Row],[CPU_company]]," ",laptop[[#This Row],[CPU_model]])</f>
        <v>Intel Core i7 8550U</v>
      </c>
      <c r="S88">
        <v>256</v>
      </c>
      <c r="T88">
        <v>0</v>
      </c>
      <c r="U88">
        <f>laptop[[#This Row],[PrimaryStorage]]+laptop[[#This Row],[SecondaryStorage]]</f>
        <v>256</v>
      </c>
      <c r="V88" s="1" t="s">
        <v>31</v>
      </c>
      <c r="W88" s="1" t="s">
        <v>27</v>
      </c>
      <c r="X88" s="1" t="str">
        <f>IF(laptop[[#This Row],[PrimaryStorageType]]=laptop[[#This Row],[SecondaryStorageType]],laptop[[#This Row],[PrimaryStorageType]],"SSD &amp; HDD")</f>
        <v>SSD &amp; HDD</v>
      </c>
      <c r="Y88" s="1" t="s">
        <v>168</v>
      </c>
    </row>
    <row r="89" spans="1:25" x14ac:dyDescent="0.25">
      <c r="A89" s="1" t="s">
        <v>36</v>
      </c>
      <c r="B89" s="1" t="s">
        <v>37</v>
      </c>
      <c r="C89" s="1" t="s">
        <v>38</v>
      </c>
      <c r="D89">
        <v>15.6</v>
      </c>
      <c r="E89">
        <v>8</v>
      </c>
      <c r="F89" s="1" t="s">
        <v>48</v>
      </c>
      <c r="G89">
        <v>1.96</v>
      </c>
      <c r="H89">
        <v>598.99</v>
      </c>
      <c r="I89" s="1" t="s">
        <v>40</v>
      </c>
      <c r="J89">
        <v>1920</v>
      </c>
      <c r="K89">
        <v>1080</v>
      </c>
      <c r="L89" s="1" t="s">
        <v>27</v>
      </c>
      <c r="M89" s="1" t="s">
        <v>27</v>
      </c>
      <c r="N89" s="1" t="s">
        <v>27</v>
      </c>
      <c r="O89" s="1" t="s">
        <v>29</v>
      </c>
      <c r="P89">
        <v>2.5</v>
      </c>
      <c r="Q89" s="1" t="s">
        <v>41</v>
      </c>
      <c r="R89" s="1" t="str">
        <f>_xlfn.CONCAT(laptop[[#This Row],[CPU_company]]," ",laptop[[#This Row],[CPU_model]])</f>
        <v>Intel Core i5 7200U</v>
      </c>
      <c r="S89">
        <v>256</v>
      </c>
      <c r="T89">
        <v>0</v>
      </c>
      <c r="U89">
        <f>laptop[[#This Row],[PrimaryStorage]]+laptop[[#This Row],[SecondaryStorage]]</f>
        <v>256</v>
      </c>
      <c r="V89" s="1" t="s">
        <v>31</v>
      </c>
      <c r="W89" s="1" t="s">
        <v>27</v>
      </c>
      <c r="X89" s="1" t="str">
        <f>IF(laptop[[#This Row],[PrimaryStorageType]]=laptop[[#This Row],[SecondaryStorageType]],laptop[[#This Row],[PrimaryStorageType]],"SSD &amp; HDD")</f>
        <v>SSD &amp; HDD</v>
      </c>
      <c r="Y89" s="1" t="s">
        <v>42</v>
      </c>
    </row>
    <row r="90" spans="1:25" x14ac:dyDescent="0.25">
      <c r="A90" s="1" t="s">
        <v>55</v>
      </c>
      <c r="B90" s="1" t="s">
        <v>169</v>
      </c>
      <c r="C90" s="1" t="s">
        <v>83</v>
      </c>
      <c r="D90">
        <v>15.6</v>
      </c>
      <c r="E90">
        <v>16</v>
      </c>
      <c r="F90" s="1" t="s">
        <v>48</v>
      </c>
      <c r="G90">
        <v>2.2000000000000002</v>
      </c>
      <c r="H90">
        <v>1449</v>
      </c>
      <c r="I90" s="1" t="s">
        <v>40</v>
      </c>
      <c r="J90">
        <v>1920</v>
      </c>
      <c r="K90">
        <v>1080</v>
      </c>
      <c r="L90" s="1" t="s">
        <v>27</v>
      </c>
      <c r="M90" s="1" t="s">
        <v>28</v>
      </c>
      <c r="N90" s="1" t="s">
        <v>27</v>
      </c>
      <c r="O90" s="1" t="s">
        <v>29</v>
      </c>
      <c r="P90">
        <v>2.8</v>
      </c>
      <c r="Q90" s="1" t="s">
        <v>118</v>
      </c>
      <c r="R90" s="1" t="str">
        <f>_xlfn.CONCAT(laptop[[#This Row],[CPU_company]]," ",laptop[[#This Row],[CPU_model]])</f>
        <v>Intel Core i7 7700HQ</v>
      </c>
      <c r="S90">
        <v>128</v>
      </c>
      <c r="T90">
        <v>1024</v>
      </c>
      <c r="U90">
        <f>laptop[[#This Row],[PrimaryStorage]]+laptop[[#This Row],[SecondaryStorage]]</f>
        <v>1152</v>
      </c>
      <c r="V90" s="1" t="s">
        <v>31</v>
      </c>
      <c r="W90" s="1" t="s">
        <v>51</v>
      </c>
      <c r="X90" s="1" t="str">
        <f>IF(laptop[[#This Row],[PrimaryStorageType]]=laptop[[#This Row],[SecondaryStorageType]],laptop[[#This Row],[PrimaryStorageType]],"SSD &amp; HDD")</f>
        <v>SSD &amp; HDD</v>
      </c>
      <c r="Y90" s="1" t="s">
        <v>119</v>
      </c>
    </row>
    <row r="91" spans="1:25" x14ac:dyDescent="0.25">
      <c r="A91" s="1" t="s">
        <v>65</v>
      </c>
      <c r="B91" s="1" t="s">
        <v>77</v>
      </c>
      <c r="C91" s="1" t="s">
        <v>24</v>
      </c>
      <c r="D91">
        <v>13.3</v>
      </c>
      <c r="E91">
        <v>8</v>
      </c>
      <c r="F91" s="1" t="s">
        <v>48</v>
      </c>
      <c r="G91">
        <v>1.21</v>
      </c>
      <c r="H91">
        <v>1649</v>
      </c>
      <c r="I91" s="1" t="s">
        <v>40</v>
      </c>
      <c r="J91">
        <v>1920</v>
      </c>
      <c r="K91">
        <v>1080</v>
      </c>
      <c r="L91" s="1" t="s">
        <v>27</v>
      </c>
      <c r="M91" s="1" t="s">
        <v>28</v>
      </c>
      <c r="N91" s="1" t="s">
        <v>27</v>
      </c>
      <c r="O91" s="1" t="s">
        <v>29</v>
      </c>
      <c r="P91">
        <v>1.8</v>
      </c>
      <c r="Q91" s="1" t="s">
        <v>57</v>
      </c>
      <c r="R91" s="1" t="str">
        <f>_xlfn.CONCAT(laptop[[#This Row],[CPU_company]]," ",laptop[[#This Row],[CPU_model]])</f>
        <v>Intel Core i7 8550U</v>
      </c>
      <c r="S91">
        <v>256</v>
      </c>
      <c r="T91">
        <v>0</v>
      </c>
      <c r="U91">
        <f>laptop[[#This Row],[PrimaryStorage]]+laptop[[#This Row],[SecondaryStorage]]</f>
        <v>256</v>
      </c>
      <c r="V91" s="1" t="s">
        <v>31</v>
      </c>
      <c r="W91" s="1" t="s">
        <v>27</v>
      </c>
      <c r="X91" s="1" t="str">
        <f>IF(laptop[[#This Row],[PrimaryStorageType]]=laptop[[#This Row],[SecondaryStorageType]],laptop[[#This Row],[PrimaryStorageType]],"SSD &amp; HDD")</f>
        <v>SSD &amp; HDD</v>
      </c>
      <c r="Y91" s="1" t="s">
        <v>61</v>
      </c>
    </row>
    <row r="92" spans="1:25" x14ac:dyDescent="0.25">
      <c r="A92" s="1" t="s">
        <v>55</v>
      </c>
      <c r="B92" s="1" t="s">
        <v>170</v>
      </c>
      <c r="C92" s="1" t="s">
        <v>83</v>
      </c>
      <c r="D92">
        <v>15.6</v>
      </c>
      <c r="E92">
        <v>8</v>
      </c>
      <c r="F92" s="1" t="s">
        <v>48</v>
      </c>
      <c r="G92">
        <v>2.4500000000000002</v>
      </c>
      <c r="H92">
        <v>699</v>
      </c>
      <c r="I92" s="1" t="s">
        <v>40</v>
      </c>
      <c r="J92">
        <v>1920</v>
      </c>
      <c r="K92">
        <v>1080</v>
      </c>
      <c r="L92" s="1" t="s">
        <v>27</v>
      </c>
      <c r="M92" s="1" t="s">
        <v>27</v>
      </c>
      <c r="N92" s="1" t="s">
        <v>27</v>
      </c>
      <c r="O92" s="1" t="s">
        <v>49</v>
      </c>
      <c r="P92">
        <v>3</v>
      </c>
      <c r="Q92" s="1" t="s">
        <v>171</v>
      </c>
      <c r="R92" s="1" t="str">
        <f>_xlfn.CONCAT(laptop[[#This Row],[CPU_company]]," ",laptop[[#This Row],[CPU_model]])</f>
        <v>AMD FX 9830P</v>
      </c>
      <c r="S92">
        <v>1024</v>
      </c>
      <c r="T92">
        <v>0</v>
      </c>
      <c r="U92">
        <f>laptop[[#This Row],[PrimaryStorage]]+laptop[[#This Row],[SecondaryStorage]]</f>
        <v>1024</v>
      </c>
      <c r="V92" s="1" t="s">
        <v>51</v>
      </c>
      <c r="W92" s="1" t="s">
        <v>27</v>
      </c>
      <c r="X92" s="1" t="str">
        <f>IF(laptop[[#This Row],[PrimaryStorageType]]=laptop[[#This Row],[SecondaryStorageType]],laptop[[#This Row],[PrimaryStorageType]],"SSD &amp; HDD")</f>
        <v>SSD &amp; HDD</v>
      </c>
      <c r="Y92" s="1" t="s">
        <v>172</v>
      </c>
    </row>
    <row r="93" spans="1:25" x14ac:dyDescent="0.25">
      <c r="A93" s="1" t="s">
        <v>46</v>
      </c>
      <c r="B93" s="1" t="s">
        <v>173</v>
      </c>
      <c r="C93" s="1" t="s">
        <v>38</v>
      </c>
      <c r="D93">
        <v>15.6</v>
      </c>
      <c r="E93">
        <v>8</v>
      </c>
      <c r="F93" s="1" t="s">
        <v>48</v>
      </c>
      <c r="G93">
        <v>2.2000000000000002</v>
      </c>
      <c r="H93">
        <v>689</v>
      </c>
      <c r="I93" s="1" t="s">
        <v>40</v>
      </c>
      <c r="J93">
        <v>1920</v>
      </c>
      <c r="K93">
        <v>1080</v>
      </c>
      <c r="L93" s="1" t="s">
        <v>27</v>
      </c>
      <c r="M93" s="1" t="s">
        <v>27</v>
      </c>
      <c r="N93" s="1" t="s">
        <v>27</v>
      </c>
      <c r="O93" s="1" t="s">
        <v>29</v>
      </c>
      <c r="P93">
        <v>1.8</v>
      </c>
      <c r="Q93" s="1" t="s">
        <v>57</v>
      </c>
      <c r="R93" s="1" t="str">
        <f>_xlfn.CONCAT(laptop[[#This Row],[CPU_company]]," ",laptop[[#This Row],[CPU_model]])</f>
        <v>Intel Core i7 8550U</v>
      </c>
      <c r="S93">
        <v>1024</v>
      </c>
      <c r="T93">
        <v>0</v>
      </c>
      <c r="U93">
        <f>laptop[[#This Row],[PrimaryStorage]]+laptop[[#This Row],[SecondaryStorage]]</f>
        <v>1024</v>
      </c>
      <c r="V93" s="1" t="s">
        <v>51</v>
      </c>
      <c r="W93" s="1" t="s">
        <v>27</v>
      </c>
      <c r="X93" s="1" t="str">
        <f>IF(laptop[[#This Row],[PrimaryStorageType]]=laptop[[#This Row],[SecondaryStorageType]],laptop[[#This Row],[PrimaryStorageType]],"SSD &amp; HDD")</f>
        <v>SSD &amp; HDD</v>
      </c>
      <c r="Y93" s="1" t="s">
        <v>58</v>
      </c>
    </row>
    <row r="94" spans="1:25" x14ac:dyDescent="0.25">
      <c r="A94" s="1" t="s">
        <v>36</v>
      </c>
      <c r="B94" s="1" t="s">
        <v>174</v>
      </c>
      <c r="C94" s="1" t="s">
        <v>38</v>
      </c>
      <c r="D94">
        <v>13.3</v>
      </c>
      <c r="E94">
        <v>16</v>
      </c>
      <c r="F94" s="1" t="s">
        <v>48</v>
      </c>
      <c r="G94">
        <v>1.49</v>
      </c>
      <c r="H94">
        <v>1197</v>
      </c>
      <c r="I94" s="1" t="s">
        <v>40</v>
      </c>
      <c r="J94">
        <v>1920</v>
      </c>
      <c r="K94">
        <v>1080</v>
      </c>
      <c r="L94" s="1" t="s">
        <v>27</v>
      </c>
      <c r="M94" s="1" t="s">
        <v>27</v>
      </c>
      <c r="N94" s="1" t="s">
        <v>27</v>
      </c>
      <c r="O94" s="1" t="s">
        <v>29</v>
      </c>
      <c r="P94">
        <v>1.8</v>
      </c>
      <c r="Q94" s="1" t="s">
        <v>57</v>
      </c>
      <c r="R94" s="1" t="str">
        <f>_xlfn.CONCAT(laptop[[#This Row],[CPU_company]]," ",laptop[[#This Row],[CPU_model]])</f>
        <v>Intel Core i7 8550U</v>
      </c>
      <c r="S94">
        <v>512</v>
      </c>
      <c r="T94">
        <v>0</v>
      </c>
      <c r="U94">
        <f>laptop[[#This Row],[PrimaryStorage]]+laptop[[#This Row],[SecondaryStorage]]</f>
        <v>512</v>
      </c>
      <c r="V94" s="1" t="s">
        <v>31</v>
      </c>
      <c r="W94" s="1" t="s">
        <v>27</v>
      </c>
      <c r="X94" s="1" t="str">
        <f>IF(laptop[[#This Row],[PrimaryStorageType]]=laptop[[#This Row],[SecondaryStorageType]],laptop[[#This Row],[PrimaryStorageType]],"SSD &amp; HDD")</f>
        <v>SSD &amp; HDD</v>
      </c>
      <c r="Y94" s="1" t="s">
        <v>61</v>
      </c>
    </row>
    <row r="95" spans="1:25" x14ac:dyDescent="0.25">
      <c r="A95" s="1" t="s">
        <v>65</v>
      </c>
      <c r="B95" s="1" t="s">
        <v>117</v>
      </c>
      <c r="C95" s="1" t="s">
        <v>83</v>
      </c>
      <c r="D95">
        <v>15.6</v>
      </c>
      <c r="E95">
        <v>8</v>
      </c>
      <c r="F95" s="1" t="s">
        <v>48</v>
      </c>
      <c r="G95">
        <v>2.65</v>
      </c>
      <c r="H95">
        <v>1195</v>
      </c>
      <c r="I95" s="1" t="s">
        <v>40</v>
      </c>
      <c r="J95">
        <v>1920</v>
      </c>
      <c r="K95">
        <v>1080</v>
      </c>
      <c r="L95" s="1" t="s">
        <v>27</v>
      </c>
      <c r="M95" s="1" t="s">
        <v>27</v>
      </c>
      <c r="N95" s="1" t="s">
        <v>27</v>
      </c>
      <c r="O95" s="1" t="s">
        <v>29</v>
      </c>
      <c r="P95">
        <v>2.5</v>
      </c>
      <c r="Q95" s="1" t="s">
        <v>84</v>
      </c>
      <c r="R95" s="1" t="str">
        <f>_xlfn.CONCAT(laptop[[#This Row],[CPU_company]]," ",laptop[[#This Row],[CPU_model]])</f>
        <v>Intel Core i5 7300HQ</v>
      </c>
      <c r="S95">
        <v>256</v>
      </c>
      <c r="T95">
        <v>0</v>
      </c>
      <c r="U95">
        <f>laptop[[#This Row],[PrimaryStorage]]+laptop[[#This Row],[SecondaryStorage]]</f>
        <v>256</v>
      </c>
      <c r="V95" s="1" t="s">
        <v>31</v>
      </c>
      <c r="W95" s="1" t="s">
        <v>27</v>
      </c>
      <c r="X95" s="1" t="str">
        <f>IF(laptop[[#This Row],[PrimaryStorageType]]=laptop[[#This Row],[SecondaryStorageType]],laptop[[#This Row],[PrimaryStorageType]],"SSD &amp; HDD")</f>
        <v>SSD &amp; HDD</v>
      </c>
      <c r="Y95" s="1" t="s">
        <v>119</v>
      </c>
    </row>
    <row r="96" spans="1:25" x14ac:dyDescent="0.25">
      <c r="A96" s="1" t="s">
        <v>55</v>
      </c>
      <c r="B96" s="1" t="s">
        <v>175</v>
      </c>
      <c r="C96" s="1" t="s">
        <v>24</v>
      </c>
      <c r="D96">
        <v>14</v>
      </c>
      <c r="E96">
        <v>8</v>
      </c>
      <c r="F96" s="1" t="s">
        <v>48</v>
      </c>
      <c r="G96">
        <v>1.25</v>
      </c>
      <c r="H96">
        <v>1049</v>
      </c>
      <c r="I96" s="1" t="s">
        <v>40</v>
      </c>
      <c r="J96">
        <v>1920</v>
      </c>
      <c r="K96">
        <v>1080</v>
      </c>
      <c r="L96" s="1" t="s">
        <v>27</v>
      </c>
      <c r="M96" s="1" t="s">
        <v>27</v>
      </c>
      <c r="N96" s="1" t="s">
        <v>27</v>
      </c>
      <c r="O96" s="1" t="s">
        <v>29</v>
      </c>
      <c r="P96">
        <v>2.7</v>
      </c>
      <c r="Q96" s="1" t="s">
        <v>71</v>
      </c>
      <c r="R96" s="1" t="str">
        <f>_xlfn.CONCAT(laptop[[#This Row],[CPU_company]]," ",laptop[[#This Row],[CPU_model]])</f>
        <v>Intel Core i7 7500U</v>
      </c>
      <c r="S96">
        <v>256</v>
      </c>
      <c r="T96">
        <v>0</v>
      </c>
      <c r="U96">
        <f>laptop[[#This Row],[PrimaryStorage]]+laptop[[#This Row],[SecondaryStorage]]</f>
        <v>256</v>
      </c>
      <c r="V96" s="1" t="s">
        <v>31</v>
      </c>
      <c r="W96" s="1" t="s">
        <v>27</v>
      </c>
      <c r="X96" s="1" t="str">
        <f>IF(laptop[[#This Row],[PrimaryStorageType]]=laptop[[#This Row],[SecondaryStorageType]],laptop[[#This Row],[PrimaryStorageType]],"SSD &amp; HDD")</f>
        <v>SSD &amp; HDD</v>
      </c>
      <c r="Y96" s="1" t="s">
        <v>42</v>
      </c>
    </row>
    <row r="97" spans="1:25" x14ac:dyDescent="0.25">
      <c r="A97" s="1" t="s">
        <v>46</v>
      </c>
      <c r="B97" s="1" t="s">
        <v>176</v>
      </c>
      <c r="C97" s="1" t="s">
        <v>90</v>
      </c>
      <c r="D97">
        <v>13.3</v>
      </c>
      <c r="E97">
        <v>8</v>
      </c>
      <c r="F97" s="1" t="s">
        <v>48</v>
      </c>
      <c r="G97">
        <v>1.5</v>
      </c>
      <c r="H97">
        <v>847</v>
      </c>
      <c r="I97" s="1" t="s">
        <v>40</v>
      </c>
      <c r="J97">
        <v>1920</v>
      </c>
      <c r="K97">
        <v>1080</v>
      </c>
      <c r="L97" s="1" t="s">
        <v>28</v>
      </c>
      <c r="M97" s="1" t="s">
        <v>28</v>
      </c>
      <c r="N97" s="1" t="s">
        <v>27</v>
      </c>
      <c r="O97" s="1" t="s">
        <v>29</v>
      </c>
      <c r="P97">
        <v>1.6</v>
      </c>
      <c r="Q97" s="1" t="s">
        <v>60</v>
      </c>
      <c r="R97" s="1" t="str">
        <f>_xlfn.CONCAT(laptop[[#This Row],[CPU_company]]," ",laptop[[#This Row],[CPU_model]])</f>
        <v>Intel Core i5 8250U</v>
      </c>
      <c r="S97">
        <v>256</v>
      </c>
      <c r="T97">
        <v>0</v>
      </c>
      <c r="U97">
        <f>laptop[[#This Row],[PrimaryStorage]]+laptop[[#This Row],[SecondaryStorage]]</f>
        <v>256</v>
      </c>
      <c r="V97" s="1" t="s">
        <v>31</v>
      </c>
      <c r="W97" s="1" t="s">
        <v>27</v>
      </c>
      <c r="X97" s="1" t="str">
        <f>IF(laptop[[#This Row],[PrimaryStorageType]]=laptop[[#This Row],[SecondaryStorageType]],laptop[[#This Row],[PrimaryStorageType]],"SSD &amp; HDD")</f>
        <v>SSD &amp; HDD</v>
      </c>
      <c r="Y97" s="1" t="s">
        <v>61</v>
      </c>
    </row>
    <row r="98" spans="1:25" x14ac:dyDescent="0.25">
      <c r="A98" s="1" t="s">
        <v>65</v>
      </c>
      <c r="B98" s="1" t="s">
        <v>66</v>
      </c>
      <c r="C98" s="1" t="s">
        <v>38</v>
      </c>
      <c r="D98">
        <v>15.6</v>
      </c>
      <c r="E98">
        <v>8</v>
      </c>
      <c r="F98" s="1" t="s">
        <v>111</v>
      </c>
      <c r="G98">
        <v>2.2000000000000002</v>
      </c>
      <c r="H98">
        <v>599.9</v>
      </c>
      <c r="I98" s="1" t="s">
        <v>40</v>
      </c>
      <c r="J98">
        <v>1920</v>
      </c>
      <c r="K98">
        <v>1080</v>
      </c>
      <c r="L98" s="1" t="s">
        <v>27</v>
      </c>
      <c r="M98" s="1" t="s">
        <v>27</v>
      </c>
      <c r="N98" s="1" t="s">
        <v>27</v>
      </c>
      <c r="O98" s="1" t="s">
        <v>29</v>
      </c>
      <c r="P98">
        <v>2.7</v>
      </c>
      <c r="Q98" s="1" t="s">
        <v>71</v>
      </c>
      <c r="R98" s="1" t="str">
        <f>_xlfn.CONCAT(laptop[[#This Row],[CPU_company]]," ",laptop[[#This Row],[CPU_model]])</f>
        <v>Intel Core i7 7500U</v>
      </c>
      <c r="S98">
        <v>1024</v>
      </c>
      <c r="T98">
        <v>0</v>
      </c>
      <c r="U98">
        <f>laptop[[#This Row],[PrimaryStorage]]+laptop[[#This Row],[SecondaryStorage]]</f>
        <v>1024</v>
      </c>
      <c r="V98" s="1" t="s">
        <v>51</v>
      </c>
      <c r="W98" s="1" t="s">
        <v>27</v>
      </c>
      <c r="X98" s="1" t="str">
        <f>IF(laptop[[#This Row],[PrimaryStorageType]]=laptop[[#This Row],[SecondaryStorageType]],laptop[[#This Row],[PrimaryStorageType]],"SSD &amp; HDD")</f>
        <v>SSD &amp; HDD</v>
      </c>
      <c r="Y98" s="1" t="s">
        <v>67</v>
      </c>
    </row>
    <row r="99" spans="1:25" x14ac:dyDescent="0.25">
      <c r="A99" s="1" t="s">
        <v>65</v>
      </c>
      <c r="B99" s="1" t="s">
        <v>66</v>
      </c>
      <c r="C99" s="1" t="s">
        <v>38</v>
      </c>
      <c r="D99">
        <v>15.6</v>
      </c>
      <c r="E99">
        <v>4</v>
      </c>
      <c r="F99" s="1" t="s">
        <v>111</v>
      </c>
      <c r="G99">
        <v>2.2000000000000002</v>
      </c>
      <c r="H99">
        <v>485</v>
      </c>
      <c r="I99" s="1" t="s">
        <v>40</v>
      </c>
      <c r="J99">
        <v>1920</v>
      </c>
      <c r="K99">
        <v>1080</v>
      </c>
      <c r="L99" s="1" t="s">
        <v>27</v>
      </c>
      <c r="M99" s="1" t="s">
        <v>27</v>
      </c>
      <c r="N99" s="1" t="s">
        <v>27</v>
      </c>
      <c r="O99" s="1" t="s">
        <v>29</v>
      </c>
      <c r="P99">
        <v>2</v>
      </c>
      <c r="Q99" s="1" t="s">
        <v>62</v>
      </c>
      <c r="R99" s="1" t="str">
        <f>_xlfn.CONCAT(laptop[[#This Row],[CPU_company]]," ",laptop[[#This Row],[CPU_model]])</f>
        <v>Intel Core i3 6006U</v>
      </c>
      <c r="S99">
        <v>256</v>
      </c>
      <c r="T99">
        <v>0</v>
      </c>
      <c r="U99">
        <f>laptop[[#This Row],[PrimaryStorage]]+laptop[[#This Row],[SecondaryStorage]]</f>
        <v>256</v>
      </c>
      <c r="V99" s="1" t="s">
        <v>31</v>
      </c>
      <c r="W99" s="1" t="s">
        <v>27</v>
      </c>
      <c r="X99" s="1" t="str">
        <f>IF(laptop[[#This Row],[PrimaryStorageType]]=laptop[[#This Row],[SecondaryStorageType]],laptop[[#This Row],[PrimaryStorageType]],"SSD &amp; HDD")</f>
        <v>SSD &amp; HDD</v>
      </c>
      <c r="Y99" s="1" t="s">
        <v>67</v>
      </c>
    </row>
    <row r="100" spans="1:25" x14ac:dyDescent="0.25">
      <c r="A100" s="1" t="s">
        <v>55</v>
      </c>
      <c r="B100" s="1" t="s">
        <v>177</v>
      </c>
      <c r="C100" s="1" t="s">
        <v>38</v>
      </c>
      <c r="D100">
        <v>15.6</v>
      </c>
      <c r="E100">
        <v>6</v>
      </c>
      <c r="F100" s="1" t="s">
        <v>48</v>
      </c>
      <c r="G100">
        <v>2</v>
      </c>
      <c r="H100">
        <v>577</v>
      </c>
      <c r="I100" s="1" t="s">
        <v>40</v>
      </c>
      <c r="J100">
        <v>1920</v>
      </c>
      <c r="K100">
        <v>1080</v>
      </c>
      <c r="L100" s="1" t="s">
        <v>27</v>
      </c>
      <c r="M100" s="1" t="s">
        <v>27</v>
      </c>
      <c r="N100" s="1" t="s">
        <v>27</v>
      </c>
      <c r="O100" s="1" t="s">
        <v>29</v>
      </c>
      <c r="P100">
        <v>2.4</v>
      </c>
      <c r="Q100" s="1" t="s">
        <v>75</v>
      </c>
      <c r="R100" s="1" t="str">
        <f>_xlfn.CONCAT(laptop[[#This Row],[CPU_company]]," ",laptop[[#This Row],[CPU_model]])</f>
        <v>Intel Core i3 7100U</v>
      </c>
      <c r="S100">
        <v>256</v>
      </c>
      <c r="T100">
        <v>0</v>
      </c>
      <c r="U100">
        <f>laptop[[#This Row],[PrimaryStorage]]+laptop[[#This Row],[SecondaryStorage]]</f>
        <v>256</v>
      </c>
      <c r="V100" s="1" t="s">
        <v>31</v>
      </c>
      <c r="W100" s="1" t="s">
        <v>27</v>
      </c>
      <c r="X100" s="1" t="str">
        <f>IF(laptop[[#This Row],[PrimaryStorageType]]=laptop[[#This Row],[SecondaryStorageType]],laptop[[#This Row],[PrimaryStorageType]],"SSD &amp; HDD")</f>
        <v>SSD &amp; HDD</v>
      </c>
      <c r="Y100" s="1" t="s">
        <v>178</v>
      </c>
    </row>
    <row r="101" spans="1:25" x14ac:dyDescent="0.25">
      <c r="A101" s="1" t="s">
        <v>36</v>
      </c>
      <c r="B101" s="1" t="s">
        <v>179</v>
      </c>
      <c r="C101" s="1" t="s">
        <v>83</v>
      </c>
      <c r="D101">
        <v>15.6</v>
      </c>
      <c r="E101">
        <v>12</v>
      </c>
      <c r="F101" s="1" t="s">
        <v>48</v>
      </c>
      <c r="G101">
        <v>2.62</v>
      </c>
      <c r="H101">
        <v>1249</v>
      </c>
      <c r="I101" s="1" t="s">
        <v>40</v>
      </c>
      <c r="J101">
        <v>1920</v>
      </c>
      <c r="K101">
        <v>1080</v>
      </c>
      <c r="L101" s="1" t="s">
        <v>27</v>
      </c>
      <c r="M101" s="1" t="s">
        <v>28</v>
      </c>
      <c r="N101" s="1" t="s">
        <v>27</v>
      </c>
      <c r="O101" s="1" t="s">
        <v>29</v>
      </c>
      <c r="P101">
        <v>2.8</v>
      </c>
      <c r="Q101" s="1" t="s">
        <v>118</v>
      </c>
      <c r="R101" s="1" t="str">
        <f>_xlfn.CONCAT(laptop[[#This Row],[CPU_company]]," ",laptop[[#This Row],[CPU_model]])</f>
        <v>Intel Core i7 7700HQ</v>
      </c>
      <c r="S101">
        <v>128</v>
      </c>
      <c r="T101">
        <v>1024</v>
      </c>
      <c r="U101">
        <f>laptop[[#This Row],[PrimaryStorage]]+laptop[[#This Row],[SecondaryStorage]]</f>
        <v>1152</v>
      </c>
      <c r="V101" s="1" t="s">
        <v>31</v>
      </c>
      <c r="W101" s="1" t="s">
        <v>51</v>
      </c>
      <c r="X101" s="1" t="str">
        <f>IF(laptop[[#This Row],[PrimaryStorageType]]=laptop[[#This Row],[SecondaryStorageType]],laptop[[#This Row],[PrimaryStorageType]],"SSD &amp; HDD")</f>
        <v>SSD &amp; HDD</v>
      </c>
      <c r="Y101" s="1" t="s">
        <v>85</v>
      </c>
    </row>
    <row r="102" spans="1:25" x14ac:dyDescent="0.25">
      <c r="A102" s="1" t="s">
        <v>36</v>
      </c>
      <c r="B102" s="1" t="s">
        <v>180</v>
      </c>
      <c r="C102" s="1" t="s">
        <v>38</v>
      </c>
      <c r="D102">
        <v>15.6</v>
      </c>
      <c r="E102">
        <v>8</v>
      </c>
      <c r="F102" s="1" t="s">
        <v>48</v>
      </c>
      <c r="G102">
        <v>1.91</v>
      </c>
      <c r="H102">
        <v>719</v>
      </c>
      <c r="I102" s="1" t="s">
        <v>40</v>
      </c>
      <c r="J102">
        <v>1920</v>
      </c>
      <c r="K102">
        <v>1080</v>
      </c>
      <c r="L102" s="1" t="s">
        <v>27</v>
      </c>
      <c r="M102" s="1" t="s">
        <v>27</v>
      </c>
      <c r="N102" s="1" t="s">
        <v>27</v>
      </c>
      <c r="O102" s="1" t="s">
        <v>29</v>
      </c>
      <c r="P102">
        <v>2.7</v>
      </c>
      <c r="Q102" s="1" t="s">
        <v>71</v>
      </c>
      <c r="R102" s="1" t="str">
        <f>_xlfn.CONCAT(laptop[[#This Row],[CPU_company]]," ",laptop[[#This Row],[CPU_model]])</f>
        <v>Intel Core i7 7500U</v>
      </c>
      <c r="S102">
        <v>256</v>
      </c>
      <c r="T102">
        <v>0</v>
      </c>
      <c r="U102">
        <f>laptop[[#This Row],[PrimaryStorage]]+laptop[[#This Row],[SecondaryStorage]]</f>
        <v>256</v>
      </c>
      <c r="V102" s="1" t="s">
        <v>31</v>
      </c>
      <c r="W102" s="1" t="s">
        <v>27</v>
      </c>
      <c r="X102" s="1" t="str">
        <f>IF(laptop[[#This Row],[PrimaryStorageType]]=laptop[[#This Row],[SecondaryStorageType]],laptop[[#This Row],[PrimaryStorageType]],"SSD &amp; HDD")</f>
        <v>SSD &amp; HDD</v>
      </c>
      <c r="Y102" s="1" t="s">
        <v>94</v>
      </c>
    </row>
    <row r="103" spans="1:25" x14ac:dyDescent="0.25">
      <c r="A103" s="1" t="s">
        <v>36</v>
      </c>
      <c r="B103" s="1" t="s">
        <v>181</v>
      </c>
      <c r="C103" s="1" t="s">
        <v>38</v>
      </c>
      <c r="D103">
        <v>15.6</v>
      </c>
      <c r="E103">
        <v>4</v>
      </c>
      <c r="F103" s="1" t="s">
        <v>48</v>
      </c>
      <c r="G103">
        <v>2.1</v>
      </c>
      <c r="H103">
        <v>349</v>
      </c>
      <c r="I103" s="1" t="s">
        <v>40</v>
      </c>
      <c r="J103">
        <v>1920</v>
      </c>
      <c r="K103">
        <v>1080</v>
      </c>
      <c r="L103" s="1" t="s">
        <v>27</v>
      </c>
      <c r="M103" s="1" t="s">
        <v>27</v>
      </c>
      <c r="N103" s="1" t="s">
        <v>27</v>
      </c>
      <c r="O103" s="1" t="s">
        <v>49</v>
      </c>
      <c r="P103">
        <v>1.5</v>
      </c>
      <c r="Q103" s="1" t="s">
        <v>87</v>
      </c>
      <c r="R103" s="1" t="str">
        <f>_xlfn.CONCAT(laptop[[#This Row],[CPU_company]]," ",laptop[[#This Row],[CPU_model]])</f>
        <v>AMD E-Series E2-9000e</v>
      </c>
      <c r="S103">
        <v>500</v>
      </c>
      <c r="T103">
        <v>0</v>
      </c>
      <c r="U103">
        <f>laptop[[#This Row],[PrimaryStorage]]+laptop[[#This Row],[SecondaryStorage]]</f>
        <v>500</v>
      </c>
      <c r="V103" s="1" t="s">
        <v>51</v>
      </c>
      <c r="W103" s="1" t="s">
        <v>27</v>
      </c>
      <c r="X103" s="1" t="str">
        <f>IF(laptop[[#This Row],[PrimaryStorageType]]=laptop[[#This Row],[SecondaryStorageType]],laptop[[#This Row],[PrimaryStorageType]],"SSD &amp; HDD")</f>
        <v>SSD &amp; HDD</v>
      </c>
      <c r="Y103" s="1" t="s">
        <v>88</v>
      </c>
    </row>
    <row r="104" spans="1:25" x14ac:dyDescent="0.25">
      <c r="A104" s="1" t="s">
        <v>65</v>
      </c>
      <c r="B104" s="1" t="s">
        <v>137</v>
      </c>
      <c r="C104" s="1" t="s">
        <v>38</v>
      </c>
      <c r="D104">
        <v>15.6</v>
      </c>
      <c r="E104">
        <v>8</v>
      </c>
      <c r="F104" s="1" t="s">
        <v>111</v>
      </c>
      <c r="G104">
        <v>2.2000000000000002</v>
      </c>
      <c r="H104">
        <v>647</v>
      </c>
      <c r="I104" s="1" t="s">
        <v>40</v>
      </c>
      <c r="J104">
        <v>1920</v>
      </c>
      <c r="K104">
        <v>1080</v>
      </c>
      <c r="L104" s="1" t="s">
        <v>27</v>
      </c>
      <c r="M104" s="1" t="s">
        <v>27</v>
      </c>
      <c r="N104" s="1" t="s">
        <v>27</v>
      </c>
      <c r="O104" s="1" t="s">
        <v>29</v>
      </c>
      <c r="P104">
        <v>1.6</v>
      </c>
      <c r="Q104" s="1" t="s">
        <v>60</v>
      </c>
      <c r="R104" s="1" t="str">
        <f>_xlfn.CONCAT(laptop[[#This Row],[CPU_company]]," ",laptop[[#This Row],[CPU_model]])</f>
        <v>Intel Core i5 8250U</v>
      </c>
      <c r="S104">
        <v>1024</v>
      </c>
      <c r="T104">
        <v>0</v>
      </c>
      <c r="U104">
        <f>laptop[[#This Row],[PrimaryStorage]]+laptop[[#This Row],[SecondaryStorage]]</f>
        <v>1024</v>
      </c>
      <c r="V104" s="1" t="s">
        <v>51</v>
      </c>
      <c r="W104" s="1" t="s">
        <v>27</v>
      </c>
      <c r="X104" s="1" t="str">
        <f>IF(laptop[[#This Row],[PrimaryStorageType]]=laptop[[#This Row],[SecondaryStorageType]],laptop[[#This Row],[PrimaryStorageType]],"SSD &amp; HDD")</f>
        <v>SSD &amp; HDD</v>
      </c>
      <c r="Y104" s="1" t="s">
        <v>138</v>
      </c>
    </row>
    <row r="105" spans="1:25" x14ac:dyDescent="0.25">
      <c r="A105" s="1" t="s">
        <v>36</v>
      </c>
      <c r="B105" s="1" t="s">
        <v>182</v>
      </c>
      <c r="C105" s="1" t="s">
        <v>24</v>
      </c>
      <c r="D105">
        <v>13.3</v>
      </c>
      <c r="E105">
        <v>8</v>
      </c>
      <c r="F105" s="1" t="s">
        <v>48</v>
      </c>
      <c r="G105">
        <v>1.38</v>
      </c>
      <c r="H105">
        <v>1119</v>
      </c>
      <c r="I105" s="1" t="s">
        <v>40</v>
      </c>
      <c r="J105">
        <v>1920</v>
      </c>
      <c r="K105">
        <v>1080</v>
      </c>
      <c r="L105" s="1" t="s">
        <v>27</v>
      </c>
      <c r="M105" s="1" t="s">
        <v>28</v>
      </c>
      <c r="N105" s="1" t="s">
        <v>27</v>
      </c>
      <c r="O105" s="1" t="s">
        <v>29</v>
      </c>
      <c r="P105">
        <v>2.7</v>
      </c>
      <c r="Q105" s="1" t="s">
        <v>71</v>
      </c>
      <c r="R105" s="1" t="str">
        <f>_xlfn.CONCAT(laptop[[#This Row],[CPU_company]]," ",laptop[[#This Row],[CPU_model]])</f>
        <v>Intel Core i7 7500U</v>
      </c>
      <c r="S105">
        <v>256</v>
      </c>
      <c r="T105">
        <v>0</v>
      </c>
      <c r="U105">
        <f>laptop[[#This Row],[PrimaryStorage]]+laptop[[#This Row],[SecondaryStorage]]</f>
        <v>256</v>
      </c>
      <c r="V105" s="1" t="s">
        <v>31</v>
      </c>
      <c r="W105" s="1" t="s">
        <v>27</v>
      </c>
      <c r="X105" s="1" t="str">
        <f>IF(laptop[[#This Row],[PrimaryStorageType]]=laptop[[#This Row],[SecondaryStorageType]],laptop[[#This Row],[PrimaryStorageType]],"SSD &amp; HDD")</f>
        <v>SSD &amp; HDD</v>
      </c>
      <c r="Y105" s="1" t="s">
        <v>58</v>
      </c>
    </row>
    <row r="106" spans="1:25" x14ac:dyDescent="0.25">
      <c r="A106" s="1" t="s">
        <v>154</v>
      </c>
      <c r="B106" s="1" t="s">
        <v>155</v>
      </c>
      <c r="C106" s="1" t="s">
        <v>24</v>
      </c>
      <c r="D106">
        <v>13.5</v>
      </c>
      <c r="E106">
        <v>8</v>
      </c>
      <c r="F106" s="1" t="s">
        <v>156</v>
      </c>
      <c r="G106">
        <v>1.252</v>
      </c>
      <c r="H106">
        <v>1340</v>
      </c>
      <c r="I106" s="1" t="s">
        <v>26</v>
      </c>
      <c r="J106">
        <v>2256</v>
      </c>
      <c r="K106">
        <v>1504</v>
      </c>
      <c r="L106" s="1" t="s">
        <v>28</v>
      </c>
      <c r="M106" s="1" t="s">
        <v>27</v>
      </c>
      <c r="N106" s="1" t="s">
        <v>27</v>
      </c>
      <c r="O106" s="1" t="s">
        <v>29</v>
      </c>
      <c r="P106">
        <v>2.5</v>
      </c>
      <c r="Q106" s="1" t="s">
        <v>41</v>
      </c>
      <c r="R106" s="1" t="str">
        <f>_xlfn.CONCAT(laptop[[#This Row],[CPU_company]]," ",laptop[[#This Row],[CPU_model]])</f>
        <v>Intel Core i5 7200U</v>
      </c>
      <c r="S106">
        <v>256</v>
      </c>
      <c r="T106">
        <v>0</v>
      </c>
      <c r="U106">
        <f>laptop[[#This Row],[PrimaryStorage]]+laptop[[#This Row],[SecondaryStorage]]</f>
        <v>256</v>
      </c>
      <c r="V106" s="1" t="s">
        <v>31</v>
      </c>
      <c r="W106" s="1" t="s">
        <v>27</v>
      </c>
      <c r="X106" s="1" t="str">
        <f>IF(laptop[[#This Row],[PrimaryStorageType]]=laptop[[#This Row],[SecondaryStorageType]],laptop[[#This Row],[PrimaryStorageType]],"SSD &amp; HDD")</f>
        <v>SSD &amp; HDD</v>
      </c>
      <c r="Y106" s="1" t="s">
        <v>42</v>
      </c>
    </row>
    <row r="107" spans="1:25" x14ac:dyDescent="0.25">
      <c r="A107" s="1" t="s">
        <v>36</v>
      </c>
      <c r="B107" s="1" t="s">
        <v>183</v>
      </c>
      <c r="C107" s="1" t="s">
        <v>38</v>
      </c>
      <c r="D107">
        <v>14</v>
      </c>
      <c r="E107">
        <v>6</v>
      </c>
      <c r="F107" s="1" t="s">
        <v>48</v>
      </c>
      <c r="G107">
        <v>1.58</v>
      </c>
      <c r="H107">
        <v>659</v>
      </c>
      <c r="I107" s="1" t="s">
        <v>40</v>
      </c>
      <c r="J107">
        <v>1920</v>
      </c>
      <c r="K107">
        <v>1080</v>
      </c>
      <c r="L107" s="1" t="s">
        <v>27</v>
      </c>
      <c r="M107" s="1" t="s">
        <v>28</v>
      </c>
      <c r="N107" s="1" t="s">
        <v>27</v>
      </c>
      <c r="O107" s="1" t="s">
        <v>29</v>
      </c>
      <c r="P107">
        <v>2.5</v>
      </c>
      <c r="Q107" s="1" t="s">
        <v>41</v>
      </c>
      <c r="R107" s="1" t="str">
        <f>_xlfn.CONCAT(laptop[[#This Row],[CPU_company]]," ",laptop[[#This Row],[CPU_model]])</f>
        <v>Intel Core i5 7200U</v>
      </c>
      <c r="S107">
        <v>256</v>
      </c>
      <c r="T107">
        <v>0</v>
      </c>
      <c r="U107">
        <f>laptop[[#This Row],[PrimaryStorage]]+laptop[[#This Row],[SecondaryStorage]]</f>
        <v>256</v>
      </c>
      <c r="V107" s="1" t="s">
        <v>31</v>
      </c>
      <c r="W107" s="1" t="s">
        <v>27</v>
      </c>
      <c r="X107" s="1" t="str">
        <f>IF(laptop[[#This Row],[PrimaryStorageType]]=laptop[[#This Row],[SecondaryStorageType]],laptop[[#This Row],[PrimaryStorageType]],"SSD &amp; HDD")</f>
        <v>SSD &amp; HDD</v>
      </c>
      <c r="Y107" s="1" t="s">
        <v>76</v>
      </c>
    </row>
    <row r="108" spans="1:25" x14ac:dyDescent="0.25">
      <c r="A108" s="1" t="s">
        <v>73</v>
      </c>
      <c r="B108" s="1" t="s">
        <v>184</v>
      </c>
      <c r="C108" s="1" t="s">
        <v>38</v>
      </c>
      <c r="D108">
        <v>15.6</v>
      </c>
      <c r="E108">
        <v>4</v>
      </c>
      <c r="F108" s="1" t="s">
        <v>48</v>
      </c>
      <c r="G108">
        <v>1.85</v>
      </c>
      <c r="H108">
        <v>414.9</v>
      </c>
      <c r="I108" s="1" t="s">
        <v>40</v>
      </c>
      <c r="J108">
        <v>1920</v>
      </c>
      <c r="K108">
        <v>1080</v>
      </c>
      <c r="L108" s="1" t="s">
        <v>27</v>
      </c>
      <c r="M108" s="1" t="s">
        <v>27</v>
      </c>
      <c r="N108" s="1" t="s">
        <v>27</v>
      </c>
      <c r="O108" s="1" t="s">
        <v>29</v>
      </c>
      <c r="P108">
        <v>2</v>
      </c>
      <c r="Q108" s="1" t="s">
        <v>62</v>
      </c>
      <c r="R108" s="1" t="str">
        <f>_xlfn.CONCAT(laptop[[#This Row],[CPU_company]]," ",laptop[[#This Row],[CPU_model]])</f>
        <v>Intel Core i3 6006U</v>
      </c>
      <c r="S108">
        <v>1024</v>
      </c>
      <c r="T108">
        <v>0</v>
      </c>
      <c r="U108">
        <f>laptop[[#This Row],[PrimaryStorage]]+laptop[[#This Row],[SecondaryStorage]]</f>
        <v>1024</v>
      </c>
      <c r="V108" s="1" t="s">
        <v>51</v>
      </c>
      <c r="W108" s="1" t="s">
        <v>27</v>
      </c>
      <c r="X108" s="1" t="str">
        <f>IF(laptop[[#This Row],[PrimaryStorageType]]=laptop[[#This Row],[SecondaryStorageType]],laptop[[#This Row],[PrimaryStorageType]],"SSD &amp; HDD")</f>
        <v>SSD &amp; HDD</v>
      </c>
      <c r="Y108" s="1" t="s">
        <v>63</v>
      </c>
    </row>
    <row r="109" spans="1:25" x14ac:dyDescent="0.25">
      <c r="A109" s="1" t="s">
        <v>55</v>
      </c>
      <c r="B109" s="1" t="s">
        <v>185</v>
      </c>
      <c r="C109" s="1" t="s">
        <v>24</v>
      </c>
      <c r="D109">
        <v>14</v>
      </c>
      <c r="E109">
        <v>8</v>
      </c>
      <c r="F109" s="1" t="s">
        <v>48</v>
      </c>
      <c r="G109">
        <v>1.3</v>
      </c>
      <c r="H109">
        <v>1193</v>
      </c>
      <c r="I109" s="1" t="s">
        <v>40</v>
      </c>
      <c r="J109">
        <v>1920</v>
      </c>
      <c r="K109">
        <v>1080</v>
      </c>
      <c r="L109" s="1" t="s">
        <v>27</v>
      </c>
      <c r="M109" s="1" t="s">
        <v>28</v>
      </c>
      <c r="N109" s="1" t="s">
        <v>27</v>
      </c>
      <c r="O109" s="1" t="s">
        <v>29</v>
      </c>
      <c r="P109">
        <v>2.7</v>
      </c>
      <c r="Q109" s="1" t="s">
        <v>71</v>
      </c>
      <c r="R109" s="1" t="str">
        <f>_xlfn.CONCAT(laptop[[#This Row],[CPU_company]]," ",laptop[[#This Row],[CPU_model]])</f>
        <v>Intel Core i7 7500U</v>
      </c>
      <c r="S109">
        <v>256</v>
      </c>
      <c r="T109">
        <v>0</v>
      </c>
      <c r="U109">
        <f>laptop[[#This Row],[PrimaryStorage]]+laptop[[#This Row],[SecondaryStorage]]</f>
        <v>256</v>
      </c>
      <c r="V109" s="1" t="s">
        <v>31</v>
      </c>
      <c r="W109" s="1" t="s">
        <v>27</v>
      </c>
      <c r="X109" s="1" t="str">
        <f>IF(laptop[[#This Row],[PrimaryStorageType]]=laptop[[#This Row],[SecondaryStorageType]],laptop[[#This Row],[PrimaryStorageType]],"SSD &amp; HDD")</f>
        <v>SSD &amp; HDD</v>
      </c>
      <c r="Y109" s="1" t="s">
        <v>76</v>
      </c>
    </row>
    <row r="110" spans="1:25" x14ac:dyDescent="0.25">
      <c r="A110" s="1" t="s">
        <v>141</v>
      </c>
      <c r="B110" s="1" t="s">
        <v>186</v>
      </c>
      <c r="C110" s="1" t="s">
        <v>83</v>
      </c>
      <c r="D110">
        <v>15.6</v>
      </c>
      <c r="E110">
        <v>16</v>
      </c>
      <c r="F110" s="1" t="s">
        <v>48</v>
      </c>
      <c r="G110">
        <v>2.2000000000000002</v>
      </c>
      <c r="H110">
        <v>1299</v>
      </c>
      <c r="I110" s="1" t="s">
        <v>40</v>
      </c>
      <c r="J110">
        <v>1920</v>
      </c>
      <c r="K110">
        <v>1080</v>
      </c>
      <c r="L110" s="1" t="s">
        <v>27</v>
      </c>
      <c r="M110" s="1" t="s">
        <v>27</v>
      </c>
      <c r="N110" s="1" t="s">
        <v>27</v>
      </c>
      <c r="O110" s="1" t="s">
        <v>29</v>
      </c>
      <c r="P110">
        <v>2.8</v>
      </c>
      <c r="Q110" s="1" t="s">
        <v>118</v>
      </c>
      <c r="R110" s="1" t="str">
        <f>_xlfn.CONCAT(laptop[[#This Row],[CPU_company]]," ",laptop[[#This Row],[CPU_model]])</f>
        <v>Intel Core i7 7700HQ</v>
      </c>
      <c r="S110">
        <v>256</v>
      </c>
      <c r="T110">
        <v>1024</v>
      </c>
      <c r="U110">
        <f>laptop[[#This Row],[PrimaryStorage]]+laptop[[#This Row],[SecondaryStorage]]</f>
        <v>1280</v>
      </c>
      <c r="V110" s="1" t="s">
        <v>31</v>
      </c>
      <c r="W110" s="1" t="s">
        <v>51</v>
      </c>
      <c r="X110" s="1" t="str">
        <f>IF(laptop[[#This Row],[PrimaryStorageType]]=laptop[[#This Row],[SecondaryStorageType]],laptop[[#This Row],[PrimaryStorageType]],"SSD &amp; HDD")</f>
        <v>SSD &amp; HDD</v>
      </c>
      <c r="Y110" s="1" t="s">
        <v>149</v>
      </c>
    </row>
    <row r="111" spans="1:25" x14ac:dyDescent="0.25">
      <c r="A111" s="1" t="s">
        <v>73</v>
      </c>
      <c r="B111" s="1" t="s">
        <v>187</v>
      </c>
      <c r="C111" s="1" t="s">
        <v>38</v>
      </c>
      <c r="D111">
        <v>14</v>
      </c>
      <c r="E111">
        <v>8</v>
      </c>
      <c r="F111" s="1" t="s">
        <v>48</v>
      </c>
      <c r="G111">
        <v>1.58</v>
      </c>
      <c r="H111">
        <v>1480</v>
      </c>
      <c r="I111" s="1" t="s">
        <v>40</v>
      </c>
      <c r="J111">
        <v>1920</v>
      </c>
      <c r="K111">
        <v>1080</v>
      </c>
      <c r="L111" s="1" t="s">
        <v>27</v>
      </c>
      <c r="M111" s="1" t="s">
        <v>28</v>
      </c>
      <c r="N111" s="1" t="s">
        <v>27</v>
      </c>
      <c r="O111" s="1" t="s">
        <v>29</v>
      </c>
      <c r="P111">
        <v>2.7</v>
      </c>
      <c r="Q111" s="1" t="s">
        <v>71</v>
      </c>
      <c r="R111" s="1" t="str">
        <f>_xlfn.CONCAT(laptop[[#This Row],[CPU_company]]," ",laptop[[#This Row],[CPU_model]])</f>
        <v>Intel Core i7 7500U</v>
      </c>
      <c r="S111">
        <v>256</v>
      </c>
      <c r="T111">
        <v>0</v>
      </c>
      <c r="U111">
        <f>laptop[[#This Row],[PrimaryStorage]]+laptop[[#This Row],[SecondaryStorage]]</f>
        <v>256</v>
      </c>
      <c r="V111" s="1" t="s">
        <v>31</v>
      </c>
      <c r="W111" s="1" t="s">
        <v>27</v>
      </c>
      <c r="X111" s="1" t="str">
        <f>IF(laptop[[#This Row],[PrimaryStorageType]]=laptop[[#This Row],[SecondaryStorageType]],laptop[[#This Row],[PrimaryStorageType]],"SSD &amp; HDD")</f>
        <v>SSD &amp; HDD</v>
      </c>
      <c r="Y111" s="1" t="s">
        <v>42</v>
      </c>
    </row>
    <row r="112" spans="1:25" x14ac:dyDescent="0.25">
      <c r="A112" s="1" t="s">
        <v>55</v>
      </c>
      <c r="B112" s="1" t="s">
        <v>188</v>
      </c>
      <c r="C112" s="1" t="s">
        <v>24</v>
      </c>
      <c r="D112">
        <v>15.6</v>
      </c>
      <c r="E112">
        <v>16</v>
      </c>
      <c r="F112" s="1" t="s">
        <v>48</v>
      </c>
      <c r="G112">
        <v>1.5</v>
      </c>
      <c r="H112">
        <v>1262</v>
      </c>
      <c r="I112" s="1" t="s">
        <v>40</v>
      </c>
      <c r="J112">
        <v>1920</v>
      </c>
      <c r="K112">
        <v>1080</v>
      </c>
      <c r="L112" s="1" t="s">
        <v>27</v>
      </c>
      <c r="M112" s="1" t="s">
        <v>27</v>
      </c>
      <c r="N112" s="1" t="s">
        <v>27</v>
      </c>
      <c r="O112" s="1" t="s">
        <v>29</v>
      </c>
      <c r="P112">
        <v>1.8</v>
      </c>
      <c r="Q112" s="1" t="s">
        <v>57</v>
      </c>
      <c r="R112" s="1" t="str">
        <f>_xlfn.CONCAT(laptop[[#This Row],[CPU_company]]," ",laptop[[#This Row],[CPU_model]])</f>
        <v>Intel Core i7 8550U</v>
      </c>
      <c r="S112">
        <v>256</v>
      </c>
      <c r="T112">
        <v>1024</v>
      </c>
      <c r="U112">
        <f>laptop[[#This Row],[PrimaryStorage]]+laptop[[#This Row],[SecondaryStorage]]</f>
        <v>1280</v>
      </c>
      <c r="V112" s="1" t="s">
        <v>31</v>
      </c>
      <c r="W112" s="1" t="s">
        <v>51</v>
      </c>
      <c r="X112" s="1" t="str">
        <f>IF(laptop[[#This Row],[PrimaryStorageType]]=laptop[[#This Row],[SecondaryStorageType]],laptop[[#This Row],[PrimaryStorageType]],"SSD &amp; HDD")</f>
        <v>SSD &amp; HDD</v>
      </c>
      <c r="Y112" s="1" t="s">
        <v>58</v>
      </c>
    </row>
    <row r="113" spans="1:25" x14ac:dyDescent="0.25">
      <c r="A113" s="1" t="s">
        <v>65</v>
      </c>
      <c r="B113" s="1" t="s">
        <v>77</v>
      </c>
      <c r="C113" s="1" t="s">
        <v>24</v>
      </c>
      <c r="D113">
        <v>13.3</v>
      </c>
      <c r="E113">
        <v>8</v>
      </c>
      <c r="F113" s="1" t="s">
        <v>48</v>
      </c>
      <c r="G113">
        <v>1.23</v>
      </c>
      <c r="H113">
        <v>1379</v>
      </c>
      <c r="I113" s="1" t="s">
        <v>107</v>
      </c>
      <c r="J113">
        <v>3200</v>
      </c>
      <c r="K113">
        <v>1800</v>
      </c>
      <c r="L113" s="1" t="s">
        <v>28</v>
      </c>
      <c r="M113" s="1" t="s">
        <v>27</v>
      </c>
      <c r="N113" s="1" t="s">
        <v>27</v>
      </c>
      <c r="O113" s="1" t="s">
        <v>29</v>
      </c>
      <c r="P113">
        <v>2.4</v>
      </c>
      <c r="Q113" s="1" t="s">
        <v>189</v>
      </c>
      <c r="R113" s="1" t="str">
        <f>_xlfn.CONCAT(laptop[[#This Row],[CPU_company]]," ",laptop[[#This Row],[CPU_model]])</f>
        <v>Intel Core i7 7560U</v>
      </c>
      <c r="S113">
        <v>256</v>
      </c>
      <c r="T113">
        <v>0</v>
      </c>
      <c r="U113">
        <f>laptop[[#This Row],[PrimaryStorage]]+laptop[[#This Row],[SecondaryStorage]]</f>
        <v>256</v>
      </c>
      <c r="V113" s="1" t="s">
        <v>31</v>
      </c>
      <c r="W113" s="1" t="s">
        <v>27</v>
      </c>
      <c r="X113" s="1" t="str">
        <f>IF(laptop[[#This Row],[PrimaryStorageType]]=laptop[[#This Row],[SecondaryStorageType]],laptop[[#This Row],[PrimaryStorageType]],"SSD &amp; HDD")</f>
        <v>SSD &amp; HDD</v>
      </c>
      <c r="Y113" s="1" t="s">
        <v>32</v>
      </c>
    </row>
    <row r="114" spans="1:25" x14ac:dyDescent="0.25">
      <c r="A114" s="1" t="s">
        <v>73</v>
      </c>
      <c r="B114" s="1" t="s">
        <v>190</v>
      </c>
      <c r="C114" s="1" t="s">
        <v>90</v>
      </c>
      <c r="D114">
        <v>13.3</v>
      </c>
      <c r="E114">
        <v>8</v>
      </c>
      <c r="F114" s="1" t="s">
        <v>48</v>
      </c>
      <c r="G114">
        <v>1.37</v>
      </c>
      <c r="H114">
        <v>1399</v>
      </c>
      <c r="I114" s="1" t="s">
        <v>40</v>
      </c>
      <c r="J114">
        <v>1920</v>
      </c>
      <c r="K114">
        <v>1080</v>
      </c>
      <c r="L114" s="1" t="s">
        <v>28</v>
      </c>
      <c r="M114" s="1" t="s">
        <v>28</v>
      </c>
      <c r="N114" s="1" t="s">
        <v>27</v>
      </c>
      <c r="O114" s="1" t="s">
        <v>29</v>
      </c>
      <c r="P114">
        <v>2.5</v>
      </c>
      <c r="Q114" s="1" t="s">
        <v>41</v>
      </c>
      <c r="R114" s="1" t="str">
        <f>_xlfn.CONCAT(laptop[[#This Row],[CPU_company]]," ",laptop[[#This Row],[CPU_model]])</f>
        <v>Intel Core i5 7200U</v>
      </c>
      <c r="S114">
        <v>256</v>
      </c>
      <c r="T114">
        <v>0</v>
      </c>
      <c r="U114">
        <f>laptop[[#This Row],[PrimaryStorage]]+laptop[[#This Row],[SecondaryStorage]]</f>
        <v>256</v>
      </c>
      <c r="V114" s="1" t="s">
        <v>31</v>
      </c>
      <c r="W114" s="1" t="s">
        <v>27</v>
      </c>
      <c r="X114" s="1" t="str">
        <f>IF(laptop[[#This Row],[PrimaryStorageType]]=laptop[[#This Row],[SecondaryStorageType]],laptop[[#This Row],[PrimaryStorageType]],"SSD &amp; HDD")</f>
        <v>SSD &amp; HDD</v>
      </c>
      <c r="Y114" s="1" t="s">
        <v>42</v>
      </c>
    </row>
    <row r="115" spans="1:25" x14ac:dyDescent="0.25">
      <c r="A115" s="1" t="s">
        <v>36</v>
      </c>
      <c r="B115" s="1" t="s">
        <v>191</v>
      </c>
      <c r="C115" s="1" t="s">
        <v>38</v>
      </c>
      <c r="D115">
        <v>14</v>
      </c>
      <c r="E115">
        <v>4</v>
      </c>
      <c r="F115" s="1" t="s">
        <v>48</v>
      </c>
      <c r="G115">
        <v>1.63</v>
      </c>
      <c r="H115">
        <v>722</v>
      </c>
      <c r="I115" s="1" t="s">
        <v>26</v>
      </c>
      <c r="J115">
        <v>1366</v>
      </c>
      <c r="K115">
        <v>768</v>
      </c>
      <c r="L115" s="1" t="s">
        <v>27</v>
      </c>
      <c r="M115" s="1" t="s">
        <v>28</v>
      </c>
      <c r="N115" s="1" t="s">
        <v>27</v>
      </c>
      <c r="O115" s="1" t="s">
        <v>29</v>
      </c>
      <c r="P115">
        <v>1.6</v>
      </c>
      <c r="Q115" s="1" t="s">
        <v>60</v>
      </c>
      <c r="R115" s="1" t="str">
        <f>_xlfn.CONCAT(laptop[[#This Row],[CPU_company]]," ",laptop[[#This Row],[CPU_model]])</f>
        <v>Intel Core i5 8250U</v>
      </c>
      <c r="S115">
        <v>500</v>
      </c>
      <c r="T115">
        <v>0</v>
      </c>
      <c r="U115">
        <f>laptop[[#This Row],[PrimaryStorage]]+laptop[[#This Row],[SecondaryStorage]]</f>
        <v>500</v>
      </c>
      <c r="V115" s="1" t="s">
        <v>51</v>
      </c>
      <c r="W115" s="1" t="s">
        <v>27</v>
      </c>
      <c r="X115" s="1" t="str">
        <f>IF(laptop[[#This Row],[PrimaryStorageType]]=laptop[[#This Row],[SecondaryStorageType]],laptop[[#This Row],[PrimaryStorageType]],"SSD &amp; HDD")</f>
        <v>SSD &amp; HDD</v>
      </c>
      <c r="Y115" s="1" t="s">
        <v>61</v>
      </c>
    </row>
    <row r="116" spans="1:25" x14ac:dyDescent="0.25">
      <c r="A116" s="1" t="s">
        <v>65</v>
      </c>
      <c r="B116" s="1" t="s">
        <v>77</v>
      </c>
      <c r="C116" s="1" t="s">
        <v>24</v>
      </c>
      <c r="D116">
        <v>13.3</v>
      </c>
      <c r="E116">
        <v>8</v>
      </c>
      <c r="F116" s="1" t="s">
        <v>48</v>
      </c>
      <c r="G116">
        <v>1.21</v>
      </c>
      <c r="H116">
        <v>1629</v>
      </c>
      <c r="I116" s="1" t="s">
        <v>40</v>
      </c>
      <c r="J116">
        <v>1920</v>
      </c>
      <c r="K116">
        <v>1080</v>
      </c>
      <c r="L116" s="1" t="s">
        <v>27</v>
      </c>
      <c r="M116" s="1" t="s">
        <v>28</v>
      </c>
      <c r="N116" s="1" t="s">
        <v>27</v>
      </c>
      <c r="O116" s="1" t="s">
        <v>29</v>
      </c>
      <c r="P116">
        <v>1.6</v>
      </c>
      <c r="Q116" s="1" t="s">
        <v>60</v>
      </c>
      <c r="R116" s="1" t="str">
        <f>_xlfn.CONCAT(laptop[[#This Row],[CPU_company]]," ",laptop[[#This Row],[CPU_model]])</f>
        <v>Intel Core i5 8250U</v>
      </c>
      <c r="S116">
        <v>256</v>
      </c>
      <c r="T116">
        <v>0</v>
      </c>
      <c r="U116">
        <f>laptop[[#This Row],[PrimaryStorage]]+laptop[[#This Row],[SecondaryStorage]]</f>
        <v>256</v>
      </c>
      <c r="V116" s="1" t="s">
        <v>31</v>
      </c>
      <c r="W116" s="1" t="s">
        <v>27</v>
      </c>
      <c r="X116" s="1" t="str">
        <f>IF(laptop[[#This Row],[PrimaryStorageType]]=laptop[[#This Row],[SecondaryStorageType]],laptop[[#This Row],[PrimaryStorageType]],"SSD &amp; HDD")</f>
        <v>SSD &amp; HDD</v>
      </c>
      <c r="Y116" s="1" t="s">
        <v>61</v>
      </c>
    </row>
    <row r="117" spans="1:25" x14ac:dyDescent="0.25">
      <c r="A117" s="1" t="s">
        <v>36</v>
      </c>
      <c r="B117" s="1" t="s">
        <v>192</v>
      </c>
      <c r="C117" s="1" t="s">
        <v>90</v>
      </c>
      <c r="D117">
        <v>13.3</v>
      </c>
      <c r="E117">
        <v>8</v>
      </c>
      <c r="F117" s="1" t="s">
        <v>48</v>
      </c>
      <c r="G117">
        <v>1.26</v>
      </c>
      <c r="H117">
        <v>1398.99</v>
      </c>
      <c r="I117" s="1" t="s">
        <v>40</v>
      </c>
      <c r="J117">
        <v>1920</v>
      </c>
      <c r="K117">
        <v>1080</v>
      </c>
      <c r="L117" s="1" t="s">
        <v>28</v>
      </c>
      <c r="M117" s="1" t="s">
        <v>28</v>
      </c>
      <c r="N117" s="1" t="s">
        <v>27</v>
      </c>
      <c r="O117" s="1" t="s">
        <v>29</v>
      </c>
      <c r="P117">
        <v>1.6</v>
      </c>
      <c r="Q117" s="1" t="s">
        <v>60</v>
      </c>
      <c r="R117" s="1" t="str">
        <f>_xlfn.CONCAT(laptop[[#This Row],[CPU_company]]," ",laptop[[#This Row],[CPU_model]])</f>
        <v>Intel Core i5 8250U</v>
      </c>
      <c r="S117">
        <v>256</v>
      </c>
      <c r="T117">
        <v>0</v>
      </c>
      <c r="U117">
        <f>laptop[[#This Row],[PrimaryStorage]]+laptop[[#This Row],[SecondaryStorage]]</f>
        <v>256</v>
      </c>
      <c r="V117" s="1" t="s">
        <v>31</v>
      </c>
      <c r="W117" s="1" t="s">
        <v>27</v>
      </c>
      <c r="X117" s="1" t="str">
        <f>IF(laptop[[#This Row],[PrimaryStorageType]]=laptop[[#This Row],[SecondaryStorageType]],laptop[[#This Row],[PrimaryStorageType]],"SSD &amp; HDD")</f>
        <v>SSD &amp; HDD</v>
      </c>
      <c r="Y117" s="1" t="s">
        <v>61</v>
      </c>
    </row>
    <row r="118" spans="1:25" x14ac:dyDescent="0.25">
      <c r="A118" s="1" t="s">
        <v>36</v>
      </c>
      <c r="B118" s="1" t="s">
        <v>191</v>
      </c>
      <c r="C118" s="1" t="s">
        <v>38</v>
      </c>
      <c r="D118">
        <v>14</v>
      </c>
      <c r="E118">
        <v>8</v>
      </c>
      <c r="F118" s="1" t="s">
        <v>48</v>
      </c>
      <c r="G118">
        <v>1.63</v>
      </c>
      <c r="H118">
        <v>1084</v>
      </c>
      <c r="I118" s="1" t="s">
        <v>40</v>
      </c>
      <c r="J118">
        <v>1920</v>
      </c>
      <c r="K118">
        <v>1080</v>
      </c>
      <c r="L118" s="1" t="s">
        <v>27</v>
      </c>
      <c r="M118" s="1" t="s">
        <v>27</v>
      </c>
      <c r="N118" s="1" t="s">
        <v>27</v>
      </c>
      <c r="O118" s="1" t="s">
        <v>29</v>
      </c>
      <c r="P118">
        <v>1.8</v>
      </c>
      <c r="Q118" s="1" t="s">
        <v>57</v>
      </c>
      <c r="R118" s="1" t="str">
        <f>_xlfn.CONCAT(laptop[[#This Row],[CPU_company]]," ",laptop[[#This Row],[CPU_model]])</f>
        <v>Intel Core i7 8550U</v>
      </c>
      <c r="S118">
        <v>512</v>
      </c>
      <c r="T118">
        <v>0</v>
      </c>
      <c r="U118">
        <f>laptop[[#This Row],[PrimaryStorage]]+laptop[[#This Row],[SecondaryStorage]]</f>
        <v>512</v>
      </c>
      <c r="V118" s="1" t="s">
        <v>31</v>
      </c>
      <c r="W118" s="1" t="s">
        <v>27</v>
      </c>
      <c r="X118" s="1" t="str">
        <f>IF(laptop[[#This Row],[PrimaryStorageType]]=laptop[[#This Row],[SecondaryStorageType]],laptop[[#This Row],[PrimaryStorageType]],"SSD &amp; HDD")</f>
        <v>SSD &amp; HDD</v>
      </c>
      <c r="Y118" s="1" t="s">
        <v>61</v>
      </c>
    </row>
    <row r="119" spans="1:25" x14ac:dyDescent="0.25">
      <c r="A119" s="1" t="s">
        <v>65</v>
      </c>
      <c r="B119" s="1" t="s">
        <v>193</v>
      </c>
      <c r="C119" s="1" t="s">
        <v>38</v>
      </c>
      <c r="D119">
        <v>15.6</v>
      </c>
      <c r="E119">
        <v>8</v>
      </c>
      <c r="F119" s="1" t="s">
        <v>48</v>
      </c>
      <c r="G119">
        <v>2.16</v>
      </c>
      <c r="H119">
        <v>1130.33</v>
      </c>
      <c r="I119" s="1" t="s">
        <v>40</v>
      </c>
      <c r="J119">
        <v>1920</v>
      </c>
      <c r="K119">
        <v>1080</v>
      </c>
      <c r="L119" s="1" t="s">
        <v>27</v>
      </c>
      <c r="M119" s="1" t="s">
        <v>28</v>
      </c>
      <c r="N119" s="1" t="s">
        <v>27</v>
      </c>
      <c r="O119" s="1" t="s">
        <v>29</v>
      </c>
      <c r="P119">
        <v>1.8</v>
      </c>
      <c r="Q119" s="1" t="s">
        <v>57</v>
      </c>
      <c r="R119" s="1" t="str">
        <f>_xlfn.CONCAT(laptop[[#This Row],[CPU_company]]," ",laptop[[#This Row],[CPU_model]])</f>
        <v>Intel Core i7 8550U</v>
      </c>
      <c r="S119">
        <v>256</v>
      </c>
      <c r="T119">
        <v>1024</v>
      </c>
      <c r="U119">
        <f>laptop[[#This Row],[PrimaryStorage]]+laptop[[#This Row],[SecondaryStorage]]</f>
        <v>1280</v>
      </c>
      <c r="V119" s="1" t="s">
        <v>31</v>
      </c>
      <c r="W119" s="1" t="s">
        <v>51</v>
      </c>
      <c r="X119" s="1" t="str">
        <f>IF(laptop[[#This Row],[PrimaryStorageType]]=laptop[[#This Row],[SecondaryStorageType]],laptop[[#This Row],[PrimaryStorageType]],"SSD &amp; HDD")</f>
        <v>SSD &amp; HDD</v>
      </c>
      <c r="Y119" s="1" t="s">
        <v>76</v>
      </c>
    </row>
    <row r="120" spans="1:25" x14ac:dyDescent="0.25">
      <c r="A120" s="1" t="s">
        <v>55</v>
      </c>
      <c r="B120" s="1" t="s">
        <v>194</v>
      </c>
      <c r="C120" s="1" t="s">
        <v>38</v>
      </c>
      <c r="D120">
        <v>17.3</v>
      </c>
      <c r="E120">
        <v>4</v>
      </c>
      <c r="F120" s="1" t="s">
        <v>48</v>
      </c>
      <c r="G120">
        <v>2</v>
      </c>
      <c r="H120">
        <v>564</v>
      </c>
      <c r="I120" s="1" t="s">
        <v>40</v>
      </c>
      <c r="J120">
        <v>1920</v>
      </c>
      <c r="K120">
        <v>1080</v>
      </c>
      <c r="L120" s="1" t="s">
        <v>27</v>
      </c>
      <c r="M120" s="1" t="s">
        <v>27</v>
      </c>
      <c r="N120" s="1" t="s">
        <v>27</v>
      </c>
      <c r="O120" s="1" t="s">
        <v>29</v>
      </c>
      <c r="P120">
        <v>2</v>
      </c>
      <c r="Q120" s="1" t="s">
        <v>62</v>
      </c>
      <c r="R120" s="1" t="str">
        <f>_xlfn.CONCAT(laptop[[#This Row],[CPU_company]]," ",laptop[[#This Row],[CPU_model]])</f>
        <v>Intel Core i3 6006U</v>
      </c>
      <c r="S120">
        <v>1024</v>
      </c>
      <c r="T120">
        <v>0</v>
      </c>
      <c r="U120">
        <f>laptop[[#This Row],[PrimaryStorage]]+laptop[[#This Row],[SecondaryStorage]]</f>
        <v>1024</v>
      </c>
      <c r="V120" s="1" t="s">
        <v>51</v>
      </c>
      <c r="W120" s="1" t="s">
        <v>27</v>
      </c>
      <c r="X120" s="1" t="str">
        <f>IF(laptop[[#This Row],[PrimaryStorageType]]=laptop[[#This Row],[SecondaryStorageType]],laptop[[#This Row],[PrimaryStorageType]],"SSD &amp; HDD")</f>
        <v>SSD &amp; HDD</v>
      </c>
      <c r="Y120" s="1" t="s">
        <v>131</v>
      </c>
    </row>
    <row r="121" spans="1:25" x14ac:dyDescent="0.25">
      <c r="A121" s="1" t="s">
        <v>55</v>
      </c>
      <c r="B121" s="1" t="s">
        <v>188</v>
      </c>
      <c r="C121" s="1" t="s">
        <v>38</v>
      </c>
      <c r="D121">
        <v>15.6</v>
      </c>
      <c r="E121">
        <v>8</v>
      </c>
      <c r="F121" s="1" t="s">
        <v>48</v>
      </c>
      <c r="G121">
        <v>1.7</v>
      </c>
      <c r="H121">
        <v>1118</v>
      </c>
      <c r="I121" s="1" t="s">
        <v>40</v>
      </c>
      <c r="J121">
        <v>1920</v>
      </c>
      <c r="K121">
        <v>1080</v>
      </c>
      <c r="L121" s="1" t="s">
        <v>27</v>
      </c>
      <c r="M121" s="1" t="s">
        <v>27</v>
      </c>
      <c r="N121" s="1" t="s">
        <v>27</v>
      </c>
      <c r="O121" s="1" t="s">
        <v>29</v>
      </c>
      <c r="P121">
        <v>1.8</v>
      </c>
      <c r="Q121" s="1" t="s">
        <v>57</v>
      </c>
      <c r="R121" s="1" t="str">
        <f>_xlfn.CONCAT(laptop[[#This Row],[CPU_company]]," ",laptop[[#This Row],[CPU_model]])</f>
        <v>Intel Core i7 8550U</v>
      </c>
      <c r="S121">
        <v>256</v>
      </c>
      <c r="T121">
        <v>0</v>
      </c>
      <c r="U121">
        <f>laptop[[#This Row],[PrimaryStorage]]+laptop[[#This Row],[SecondaryStorage]]</f>
        <v>256</v>
      </c>
      <c r="V121" s="1" t="s">
        <v>31</v>
      </c>
      <c r="W121" s="1" t="s">
        <v>27</v>
      </c>
      <c r="X121" s="1" t="str">
        <f>IF(laptop[[#This Row],[PrimaryStorageType]]=laptop[[#This Row],[SecondaryStorageType]],laptop[[#This Row],[PrimaryStorageType]],"SSD &amp; HDD")</f>
        <v>SSD &amp; HDD</v>
      </c>
      <c r="Y121" s="1" t="s">
        <v>76</v>
      </c>
    </row>
    <row r="122" spans="1:25" x14ac:dyDescent="0.25">
      <c r="A122" s="1" t="s">
        <v>46</v>
      </c>
      <c r="B122" s="1" t="s">
        <v>195</v>
      </c>
      <c r="C122" s="1" t="s">
        <v>38</v>
      </c>
      <c r="D122">
        <v>15.6</v>
      </c>
      <c r="E122">
        <v>6</v>
      </c>
      <c r="F122" s="1" t="s">
        <v>48</v>
      </c>
      <c r="G122">
        <v>2.1</v>
      </c>
      <c r="H122">
        <v>479</v>
      </c>
      <c r="I122" s="1" t="s">
        <v>40</v>
      </c>
      <c r="J122">
        <v>1920</v>
      </c>
      <c r="K122">
        <v>1080</v>
      </c>
      <c r="L122" s="1" t="s">
        <v>28</v>
      </c>
      <c r="M122" s="1" t="s">
        <v>28</v>
      </c>
      <c r="N122" s="1" t="s">
        <v>27</v>
      </c>
      <c r="O122" s="1" t="s">
        <v>29</v>
      </c>
      <c r="P122">
        <v>2.4</v>
      </c>
      <c r="Q122" s="1" t="s">
        <v>75</v>
      </c>
      <c r="R122" s="1" t="str">
        <f>_xlfn.CONCAT(laptop[[#This Row],[CPU_company]]," ",laptop[[#This Row],[CPU_model]])</f>
        <v>Intel Core i3 7100U</v>
      </c>
      <c r="S122">
        <v>1024</v>
      </c>
      <c r="T122">
        <v>0</v>
      </c>
      <c r="U122">
        <f>laptop[[#This Row],[PrimaryStorage]]+laptop[[#This Row],[SecondaryStorage]]</f>
        <v>1024</v>
      </c>
      <c r="V122" s="1" t="s">
        <v>51</v>
      </c>
      <c r="W122" s="1" t="s">
        <v>27</v>
      </c>
      <c r="X122" s="1" t="str">
        <f>IF(laptop[[#This Row],[PrimaryStorageType]]=laptop[[#This Row],[SecondaryStorageType]],laptop[[#This Row],[PrimaryStorageType]],"SSD &amp; HDD")</f>
        <v>SSD &amp; HDD</v>
      </c>
      <c r="Y122" s="1" t="s">
        <v>42</v>
      </c>
    </row>
    <row r="123" spans="1:25" x14ac:dyDescent="0.25">
      <c r="A123" s="1" t="s">
        <v>141</v>
      </c>
      <c r="B123" s="1" t="s">
        <v>196</v>
      </c>
      <c r="C123" s="1" t="s">
        <v>83</v>
      </c>
      <c r="D123">
        <v>15.6</v>
      </c>
      <c r="E123">
        <v>16</v>
      </c>
      <c r="F123" s="1" t="s">
        <v>48</v>
      </c>
      <c r="G123">
        <v>1.8</v>
      </c>
      <c r="H123">
        <v>2241.5</v>
      </c>
      <c r="I123" s="1" t="s">
        <v>40</v>
      </c>
      <c r="J123">
        <v>1920</v>
      </c>
      <c r="K123">
        <v>1080</v>
      </c>
      <c r="L123" s="1" t="s">
        <v>27</v>
      </c>
      <c r="M123" s="1" t="s">
        <v>27</v>
      </c>
      <c r="N123" s="1" t="s">
        <v>27</v>
      </c>
      <c r="O123" s="1" t="s">
        <v>29</v>
      </c>
      <c r="P123">
        <v>2.8</v>
      </c>
      <c r="Q123" s="1" t="s">
        <v>118</v>
      </c>
      <c r="R123" s="1" t="str">
        <f>_xlfn.CONCAT(laptop[[#This Row],[CPU_company]]," ",laptop[[#This Row],[CPU_model]])</f>
        <v>Intel Core i7 7700HQ</v>
      </c>
      <c r="S123">
        <v>256</v>
      </c>
      <c r="T123">
        <v>2048</v>
      </c>
      <c r="U123">
        <f>laptop[[#This Row],[PrimaryStorage]]+laptop[[#This Row],[SecondaryStorage]]</f>
        <v>2304</v>
      </c>
      <c r="V123" s="1" t="s">
        <v>31</v>
      </c>
      <c r="W123" s="1" t="s">
        <v>51</v>
      </c>
      <c r="X123" s="1" t="str">
        <f>IF(laptop[[#This Row],[PrimaryStorageType]]=laptop[[#This Row],[SecondaryStorageType]],laptop[[#This Row],[PrimaryStorageType]],"SSD &amp; HDD")</f>
        <v>SSD &amp; HDD</v>
      </c>
      <c r="Y123" s="1" t="s">
        <v>143</v>
      </c>
    </row>
    <row r="124" spans="1:25" x14ac:dyDescent="0.25">
      <c r="A124" s="1" t="s">
        <v>73</v>
      </c>
      <c r="B124" s="1" t="s">
        <v>161</v>
      </c>
      <c r="C124" s="1" t="s">
        <v>38</v>
      </c>
      <c r="D124">
        <v>15.6</v>
      </c>
      <c r="E124">
        <v>8</v>
      </c>
      <c r="F124" s="1" t="s">
        <v>39</v>
      </c>
      <c r="G124">
        <v>2.2000000000000002</v>
      </c>
      <c r="H124">
        <v>629</v>
      </c>
      <c r="I124" s="1" t="s">
        <v>40</v>
      </c>
      <c r="J124">
        <v>1920</v>
      </c>
      <c r="K124">
        <v>1080</v>
      </c>
      <c r="L124" s="1" t="s">
        <v>27</v>
      </c>
      <c r="M124" s="1" t="s">
        <v>27</v>
      </c>
      <c r="N124" s="1" t="s">
        <v>27</v>
      </c>
      <c r="O124" s="1" t="s">
        <v>29</v>
      </c>
      <c r="P124">
        <v>2.5</v>
      </c>
      <c r="Q124" s="1" t="s">
        <v>41</v>
      </c>
      <c r="R124" s="1" t="str">
        <f>_xlfn.CONCAT(laptop[[#This Row],[CPU_company]]," ",laptop[[#This Row],[CPU_model]])</f>
        <v>Intel Core i5 7200U</v>
      </c>
      <c r="S124">
        <v>256</v>
      </c>
      <c r="T124">
        <v>0</v>
      </c>
      <c r="U124">
        <f>laptop[[#This Row],[PrimaryStorage]]+laptop[[#This Row],[SecondaryStorage]]</f>
        <v>256</v>
      </c>
      <c r="V124" s="1" t="s">
        <v>31</v>
      </c>
      <c r="W124" s="1" t="s">
        <v>27</v>
      </c>
      <c r="X124" s="1" t="str">
        <f>IF(laptop[[#This Row],[PrimaryStorageType]]=laptop[[#This Row],[SecondaryStorageType]],laptop[[#This Row],[PrimaryStorageType]],"SSD &amp; HDD")</f>
        <v>SSD &amp; HDD</v>
      </c>
      <c r="Y124" s="1" t="s">
        <v>76</v>
      </c>
    </row>
    <row r="125" spans="1:25" x14ac:dyDescent="0.25">
      <c r="A125" s="1" t="s">
        <v>36</v>
      </c>
      <c r="B125" s="1" t="s">
        <v>197</v>
      </c>
      <c r="C125" s="1" t="s">
        <v>38</v>
      </c>
      <c r="D125">
        <v>17.3</v>
      </c>
      <c r="E125">
        <v>16</v>
      </c>
      <c r="F125" s="1" t="s">
        <v>48</v>
      </c>
      <c r="G125">
        <v>2.5</v>
      </c>
      <c r="H125">
        <v>1271</v>
      </c>
      <c r="I125" s="1" t="s">
        <v>40</v>
      </c>
      <c r="J125">
        <v>1920</v>
      </c>
      <c r="K125">
        <v>1080</v>
      </c>
      <c r="L125" s="1" t="s">
        <v>27</v>
      </c>
      <c r="M125" s="1" t="s">
        <v>27</v>
      </c>
      <c r="N125" s="1" t="s">
        <v>27</v>
      </c>
      <c r="O125" s="1" t="s">
        <v>29</v>
      </c>
      <c r="P125">
        <v>1.8</v>
      </c>
      <c r="Q125" s="1" t="s">
        <v>57</v>
      </c>
      <c r="R125" s="1" t="str">
        <f>_xlfn.CONCAT(laptop[[#This Row],[CPU_company]]," ",laptop[[#This Row],[CPU_model]])</f>
        <v>Intel Core i7 8550U</v>
      </c>
      <c r="S125">
        <v>512</v>
      </c>
      <c r="T125">
        <v>0</v>
      </c>
      <c r="U125">
        <f>laptop[[#This Row],[PrimaryStorage]]+laptop[[#This Row],[SecondaryStorage]]</f>
        <v>512</v>
      </c>
      <c r="V125" s="1" t="s">
        <v>31</v>
      </c>
      <c r="W125" s="1" t="s">
        <v>27</v>
      </c>
      <c r="X125" s="1" t="str">
        <f>IF(laptop[[#This Row],[PrimaryStorageType]]=laptop[[#This Row],[SecondaryStorageType]],laptop[[#This Row],[PrimaryStorageType]],"SSD &amp; HDD")</f>
        <v>SSD &amp; HDD</v>
      </c>
      <c r="Y125" s="1" t="s">
        <v>115</v>
      </c>
    </row>
    <row r="126" spans="1:25" x14ac:dyDescent="0.25">
      <c r="A126" s="1" t="s">
        <v>46</v>
      </c>
      <c r="B126" s="1" t="s">
        <v>47</v>
      </c>
      <c r="C126" s="1" t="s">
        <v>38</v>
      </c>
      <c r="D126">
        <v>15.6</v>
      </c>
      <c r="E126">
        <v>4</v>
      </c>
      <c r="F126" s="1" t="s">
        <v>48</v>
      </c>
      <c r="G126">
        <v>2.1</v>
      </c>
      <c r="H126">
        <v>451</v>
      </c>
      <c r="I126" s="1" t="s">
        <v>26</v>
      </c>
      <c r="J126">
        <v>1366</v>
      </c>
      <c r="K126">
        <v>768</v>
      </c>
      <c r="L126" s="1" t="s">
        <v>27</v>
      </c>
      <c r="M126" s="1" t="s">
        <v>27</v>
      </c>
      <c r="N126" s="1" t="s">
        <v>27</v>
      </c>
      <c r="O126" s="1" t="s">
        <v>49</v>
      </c>
      <c r="P126">
        <v>3</v>
      </c>
      <c r="Q126" s="1" t="s">
        <v>50</v>
      </c>
      <c r="R126" s="1" t="str">
        <f>_xlfn.CONCAT(laptop[[#This Row],[CPU_company]]," ",laptop[[#This Row],[CPU_model]])</f>
        <v>AMD A9-Series 9420</v>
      </c>
      <c r="S126">
        <v>256</v>
      </c>
      <c r="T126">
        <v>0</v>
      </c>
      <c r="U126">
        <f>laptop[[#This Row],[PrimaryStorage]]+laptop[[#This Row],[SecondaryStorage]]</f>
        <v>256</v>
      </c>
      <c r="V126" s="1" t="s">
        <v>31</v>
      </c>
      <c r="W126" s="1" t="s">
        <v>27</v>
      </c>
      <c r="X126" s="1" t="str">
        <f>IF(laptop[[#This Row],[PrimaryStorageType]]=laptop[[#This Row],[SecondaryStorageType]],laptop[[#This Row],[PrimaryStorageType]],"SSD &amp; HDD")</f>
        <v>SSD &amp; HDD</v>
      </c>
      <c r="Y126" s="1" t="s">
        <v>52</v>
      </c>
    </row>
    <row r="127" spans="1:25" x14ac:dyDescent="0.25">
      <c r="A127" s="1" t="s">
        <v>36</v>
      </c>
      <c r="B127" s="1" t="s">
        <v>37</v>
      </c>
      <c r="C127" s="1" t="s">
        <v>38</v>
      </c>
      <c r="D127">
        <v>15.6</v>
      </c>
      <c r="E127">
        <v>4</v>
      </c>
      <c r="F127" s="1" t="s">
        <v>39</v>
      </c>
      <c r="G127">
        <v>1.86</v>
      </c>
      <c r="H127">
        <v>259</v>
      </c>
      <c r="I127" s="1" t="s">
        <v>26</v>
      </c>
      <c r="J127">
        <v>1366</v>
      </c>
      <c r="K127">
        <v>768</v>
      </c>
      <c r="L127" s="1" t="s">
        <v>27</v>
      </c>
      <c r="M127" s="1" t="s">
        <v>27</v>
      </c>
      <c r="N127" s="1" t="s">
        <v>27</v>
      </c>
      <c r="O127" s="1" t="s">
        <v>29</v>
      </c>
      <c r="P127">
        <v>1.6</v>
      </c>
      <c r="Q127" s="1" t="s">
        <v>151</v>
      </c>
      <c r="R127" s="1" t="str">
        <f>_xlfn.CONCAT(laptop[[#This Row],[CPU_company]]," ",laptop[[#This Row],[CPU_model]])</f>
        <v>Intel Celeron Dual Core N3060</v>
      </c>
      <c r="S127">
        <v>500</v>
      </c>
      <c r="T127">
        <v>0</v>
      </c>
      <c r="U127">
        <f>laptop[[#This Row],[PrimaryStorage]]+laptop[[#This Row],[SecondaryStorage]]</f>
        <v>500</v>
      </c>
      <c r="V127" s="1" t="s">
        <v>51</v>
      </c>
      <c r="W127" s="1" t="s">
        <v>27</v>
      </c>
      <c r="X127" s="1" t="str">
        <f>IF(laptop[[#This Row],[PrimaryStorageType]]=laptop[[#This Row],[SecondaryStorageType]],laptop[[#This Row],[PrimaryStorageType]],"SSD &amp; HDD")</f>
        <v>SSD &amp; HDD</v>
      </c>
      <c r="Y127" s="1" t="s">
        <v>81</v>
      </c>
    </row>
    <row r="128" spans="1:25" x14ac:dyDescent="0.25">
      <c r="A128" s="1" t="s">
        <v>36</v>
      </c>
      <c r="B128" s="1" t="s">
        <v>191</v>
      </c>
      <c r="C128" s="1" t="s">
        <v>38</v>
      </c>
      <c r="D128">
        <v>14</v>
      </c>
      <c r="E128">
        <v>8</v>
      </c>
      <c r="F128" s="1" t="s">
        <v>48</v>
      </c>
      <c r="G128">
        <v>1.63</v>
      </c>
      <c r="H128">
        <v>812</v>
      </c>
      <c r="I128" s="1" t="s">
        <v>40</v>
      </c>
      <c r="J128">
        <v>1920</v>
      </c>
      <c r="K128">
        <v>1080</v>
      </c>
      <c r="L128" s="1" t="s">
        <v>27</v>
      </c>
      <c r="M128" s="1" t="s">
        <v>27</v>
      </c>
      <c r="N128" s="1" t="s">
        <v>27</v>
      </c>
      <c r="O128" s="1" t="s">
        <v>29</v>
      </c>
      <c r="P128">
        <v>1.6</v>
      </c>
      <c r="Q128" s="1" t="s">
        <v>60</v>
      </c>
      <c r="R128" s="1" t="str">
        <f>_xlfn.CONCAT(laptop[[#This Row],[CPU_company]]," ",laptop[[#This Row],[CPU_model]])</f>
        <v>Intel Core i5 8250U</v>
      </c>
      <c r="S128">
        <v>1024</v>
      </c>
      <c r="T128">
        <v>0</v>
      </c>
      <c r="U128">
        <f>laptop[[#This Row],[PrimaryStorage]]+laptop[[#This Row],[SecondaryStorage]]</f>
        <v>1024</v>
      </c>
      <c r="V128" s="1" t="s">
        <v>51</v>
      </c>
      <c r="W128" s="1" t="s">
        <v>27</v>
      </c>
      <c r="X128" s="1" t="str">
        <f>IF(laptop[[#This Row],[PrimaryStorageType]]=laptop[[#This Row],[SecondaryStorageType]],laptop[[#This Row],[PrimaryStorageType]],"SSD &amp; HDD")</f>
        <v>SSD &amp; HDD</v>
      </c>
      <c r="Y128" s="1" t="s">
        <v>61</v>
      </c>
    </row>
    <row r="129" spans="1:25" x14ac:dyDescent="0.25">
      <c r="A129" s="1" t="s">
        <v>55</v>
      </c>
      <c r="B129" s="1" t="s">
        <v>198</v>
      </c>
      <c r="C129" s="1" t="s">
        <v>38</v>
      </c>
      <c r="D129">
        <v>14</v>
      </c>
      <c r="E129">
        <v>4</v>
      </c>
      <c r="F129" s="1" t="s">
        <v>156</v>
      </c>
      <c r="G129">
        <v>1.65</v>
      </c>
      <c r="H129">
        <v>277.99</v>
      </c>
      <c r="I129" s="1" t="s">
        <v>26</v>
      </c>
      <c r="J129">
        <v>1366</v>
      </c>
      <c r="K129">
        <v>768</v>
      </c>
      <c r="L129" s="1" t="s">
        <v>27</v>
      </c>
      <c r="M129" s="1" t="s">
        <v>27</v>
      </c>
      <c r="N129" s="1" t="s">
        <v>27</v>
      </c>
      <c r="O129" s="1" t="s">
        <v>49</v>
      </c>
      <c r="P129">
        <v>1.5</v>
      </c>
      <c r="Q129" s="1" t="s">
        <v>199</v>
      </c>
      <c r="R129" s="1" t="str">
        <f>_xlfn.CONCAT(laptop[[#This Row],[CPU_company]]," ",laptop[[#This Row],[CPU_model]])</f>
        <v>AMD E-Series 6110</v>
      </c>
      <c r="S129">
        <v>64</v>
      </c>
      <c r="T129">
        <v>0</v>
      </c>
      <c r="U129">
        <f>laptop[[#This Row],[PrimaryStorage]]+laptop[[#This Row],[SecondaryStorage]]</f>
        <v>64</v>
      </c>
      <c r="V129" s="1" t="s">
        <v>31</v>
      </c>
      <c r="W129" s="1" t="s">
        <v>27</v>
      </c>
      <c r="X129" s="1" t="str">
        <f>IF(laptop[[#This Row],[PrimaryStorageType]]=laptop[[#This Row],[SecondaryStorageType]],laptop[[#This Row],[PrimaryStorageType]],"SSD &amp; HDD")</f>
        <v>SSD &amp; HDD</v>
      </c>
      <c r="Y129" s="1" t="s">
        <v>88</v>
      </c>
    </row>
    <row r="130" spans="1:25" x14ac:dyDescent="0.25">
      <c r="A130" s="1" t="s">
        <v>65</v>
      </c>
      <c r="B130" s="1" t="s">
        <v>113</v>
      </c>
      <c r="C130" s="1" t="s">
        <v>38</v>
      </c>
      <c r="D130">
        <v>17.3</v>
      </c>
      <c r="E130">
        <v>16</v>
      </c>
      <c r="F130" s="1" t="s">
        <v>48</v>
      </c>
      <c r="G130">
        <v>2.8</v>
      </c>
      <c r="H130">
        <v>1396</v>
      </c>
      <c r="I130" s="1" t="s">
        <v>40</v>
      </c>
      <c r="J130">
        <v>1920</v>
      </c>
      <c r="K130">
        <v>1080</v>
      </c>
      <c r="L130" s="1" t="s">
        <v>27</v>
      </c>
      <c r="M130" s="1" t="s">
        <v>27</v>
      </c>
      <c r="N130" s="1" t="s">
        <v>27</v>
      </c>
      <c r="O130" s="1" t="s">
        <v>29</v>
      </c>
      <c r="P130">
        <v>1.8</v>
      </c>
      <c r="Q130" s="1" t="s">
        <v>57</v>
      </c>
      <c r="R130" s="1" t="str">
        <f>_xlfn.CONCAT(laptop[[#This Row],[CPU_company]]," ",laptop[[#This Row],[CPU_model]])</f>
        <v>Intel Core i7 8550U</v>
      </c>
      <c r="S130">
        <v>256</v>
      </c>
      <c r="T130">
        <v>2048</v>
      </c>
      <c r="U130">
        <f>laptop[[#This Row],[PrimaryStorage]]+laptop[[#This Row],[SecondaryStorage]]</f>
        <v>2304</v>
      </c>
      <c r="V130" s="1" t="s">
        <v>31</v>
      </c>
      <c r="W130" s="1" t="s">
        <v>51</v>
      </c>
      <c r="X130" s="1" t="str">
        <f>IF(laptop[[#This Row],[PrimaryStorageType]]=laptop[[#This Row],[SecondaryStorageType]],laptop[[#This Row],[PrimaryStorageType]],"SSD &amp; HDD")</f>
        <v>SSD &amp; HDD</v>
      </c>
      <c r="Y130" s="1" t="s">
        <v>94</v>
      </c>
    </row>
    <row r="131" spans="1:25" x14ac:dyDescent="0.25">
      <c r="A131" s="1" t="s">
        <v>36</v>
      </c>
      <c r="B131" s="1" t="s">
        <v>97</v>
      </c>
      <c r="C131" s="1" t="s">
        <v>38</v>
      </c>
      <c r="D131">
        <v>17.3</v>
      </c>
      <c r="E131">
        <v>8</v>
      </c>
      <c r="F131" s="1" t="s">
        <v>48</v>
      </c>
      <c r="G131">
        <v>2.5</v>
      </c>
      <c r="H131">
        <v>928</v>
      </c>
      <c r="I131" s="1" t="s">
        <v>40</v>
      </c>
      <c r="J131">
        <v>1920</v>
      </c>
      <c r="K131">
        <v>1080</v>
      </c>
      <c r="L131" s="1" t="s">
        <v>27</v>
      </c>
      <c r="M131" s="1" t="s">
        <v>27</v>
      </c>
      <c r="N131" s="1" t="s">
        <v>27</v>
      </c>
      <c r="O131" s="1" t="s">
        <v>29</v>
      </c>
      <c r="P131">
        <v>1.6</v>
      </c>
      <c r="Q131" s="1" t="s">
        <v>60</v>
      </c>
      <c r="R131" s="1" t="str">
        <f>_xlfn.CONCAT(laptop[[#This Row],[CPU_company]]," ",laptop[[#This Row],[CPU_model]])</f>
        <v>Intel Core i5 8250U</v>
      </c>
      <c r="S131">
        <v>256</v>
      </c>
      <c r="T131">
        <v>0</v>
      </c>
      <c r="U131">
        <f>laptop[[#This Row],[PrimaryStorage]]+laptop[[#This Row],[SecondaryStorage]]</f>
        <v>256</v>
      </c>
      <c r="V131" s="1" t="s">
        <v>31</v>
      </c>
      <c r="W131" s="1" t="s">
        <v>27</v>
      </c>
      <c r="X131" s="1" t="str">
        <f>IF(laptop[[#This Row],[PrimaryStorageType]]=laptop[[#This Row],[SecondaryStorageType]],laptop[[#This Row],[PrimaryStorageType]],"SSD &amp; HDD")</f>
        <v>SSD &amp; HDD</v>
      </c>
      <c r="Y131" s="1" t="s">
        <v>61</v>
      </c>
    </row>
    <row r="132" spans="1:25" x14ac:dyDescent="0.25">
      <c r="A132" s="1" t="s">
        <v>65</v>
      </c>
      <c r="B132" s="1" t="s">
        <v>200</v>
      </c>
      <c r="C132" s="1" t="s">
        <v>38</v>
      </c>
      <c r="D132">
        <v>15.6</v>
      </c>
      <c r="E132">
        <v>8</v>
      </c>
      <c r="F132" s="1" t="s">
        <v>48</v>
      </c>
      <c r="G132">
        <v>2.36</v>
      </c>
      <c r="H132">
        <v>638.99</v>
      </c>
      <c r="I132" s="1" t="s">
        <v>26</v>
      </c>
      <c r="J132">
        <v>1366</v>
      </c>
      <c r="K132">
        <v>768</v>
      </c>
      <c r="L132" s="1" t="s">
        <v>27</v>
      </c>
      <c r="M132" s="1" t="s">
        <v>27</v>
      </c>
      <c r="N132" s="1" t="s">
        <v>27</v>
      </c>
      <c r="O132" s="1" t="s">
        <v>29</v>
      </c>
      <c r="P132">
        <v>2.5</v>
      </c>
      <c r="Q132" s="1" t="s">
        <v>41</v>
      </c>
      <c r="R132" s="1" t="str">
        <f>_xlfn.CONCAT(laptop[[#This Row],[CPU_company]]," ",laptop[[#This Row],[CPU_model]])</f>
        <v>Intel Core i5 7200U</v>
      </c>
      <c r="S132">
        <v>1024</v>
      </c>
      <c r="T132">
        <v>0</v>
      </c>
      <c r="U132">
        <f>laptop[[#This Row],[PrimaryStorage]]+laptop[[#This Row],[SecondaryStorage]]</f>
        <v>1024</v>
      </c>
      <c r="V132" s="1" t="s">
        <v>51</v>
      </c>
      <c r="W132" s="1" t="s">
        <v>27</v>
      </c>
      <c r="X132" s="1" t="str">
        <f>IF(laptop[[#This Row],[PrimaryStorageType]]=laptop[[#This Row],[SecondaryStorageType]],laptop[[#This Row],[PrimaryStorageType]],"SSD &amp; HDD")</f>
        <v>SSD &amp; HDD</v>
      </c>
      <c r="Y132" s="1" t="s">
        <v>201</v>
      </c>
    </row>
    <row r="133" spans="1:25" x14ac:dyDescent="0.25">
      <c r="A133" s="1" t="s">
        <v>65</v>
      </c>
      <c r="B133" s="1" t="s">
        <v>66</v>
      </c>
      <c r="C133" s="1" t="s">
        <v>38</v>
      </c>
      <c r="D133">
        <v>15.6</v>
      </c>
      <c r="E133">
        <v>4</v>
      </c>
      <c r="F133" s="1" t="s">
        <v>48</v>
      </c>
      <c r="G133">
        <v>2.2000000000000002</v>
      </c>
      <c r="H133">
        <v>449</v>
      </c>
      <c r="I133" s="1" t="s">
        <v>40</v>
      </c>
      <c r="J133">
        <v>1920</v>
      </c>
      <c r="K133">
        <v>1080</v>
      </c>
      <c r="L133" s="1" t="s">
        <v>27</v>
      </c>
      <c r="M133" s="1" t="s">
        <v>27</v>
      </c>
      <c r="N133" s="1" t="s">
        <v>27</v>
      </c>
      <c r="O133" s="1" t="s">
        <v>29</v>
      </c>
      <c r="P133">
        <v>2</v>
      </c>
      <c r="Q133" s="1" t="s">
        <v>62</v>
      </c>
      <c r="R133" s="1" t="str">
        <f>_xlfn.CONCAT(laptop[[#This Row],[CPU_company]]," ",laptop[[#This Row],[CPU_model]])</f>
        <v>Intel Core i3 6006U</v>
      </c>
      <c r="S133">
        <v>1024</v>
      </c>
      <c r="T133">
        <v>0</v>
      </c>
      <c r="U133">
        <f>laptop[[#This Row],[PrimaryStorage]]+laptop[[#This Row],[SecondaryStorage]]</f>
        <v>1024</v>
      </c>
      <c r="V133" s="1" t="s">
        <v>51</v>
      </c>
      <c r="W133" s="1" t="s">
        <v>27</v>
      </c>
      <c r="X133" s="1" t="str">
        <f>IF(laptop[[#This Row],[PrimaryStorageType]]=laptop[[#This Row],[SecondaryStorageType]],laptop[[#This Row],[PrimaryStorageType]],"SSD &amp; HDD")</f>
        <v>SSD &amp; HDD</v>
      </c>
      <c r="Y133" s="1" t="s">
        <v>67</v>
      </c>
    </row>
    <row r="134" spans="1:25" x14ac:dyDescent="0.25">
      <c r="A134" s="1" t="s">
        <v>46</v>
      </c>
      <c r="B134" s="1" t="s">
        <v>59</v>
      </c>
      <c r="C134" s="1" t="s">
        <v>24</v>
      </c>
      <c r="D134">
        <v>14</v>
      </c>
      <c r="E134">
        <v>8</v>
      </c>
      <c r="F134" s="1" t="s">
        <v>48</v>
      </c>
      <c r="G134">
        <v>1.6</v>
      </c>
      <c r="H134">
        <v>884</v>
      </c>
      <c r="I134" s="1" t="s">
        <v>40</v>
      </c>
      <c r="J134">
        <v>1920</v>
      </c>
      <c r="K134">
        <v>1080</v>
      </c>
      <c r="L134" s="1" t="s">
        <v>27</v>
      </c>
      <c r="M134" s="1" t="s">
        <v>28</v>
      </c>
      <c r="N134" s="1" t="s">
        <v>27</v>
      </c>
      <c r="O134" s="1" t="s">
        <v>29</v>
      </c>
      <c r="P134">
        <v>1.8</v>
      </c>
      <c r="Q134" s="1" t="s">
        <v>57</v>
      </c>
      <c r="R134" s="1" t="str">
        <f>_xlfn.CONCAT(laptop[[#This Row],[CPU_company]]," ",laptop[[#This Row],[CPU_model]])</f>
        <v>Intel Core i7 8550U</v>
      </c>
      <c r="S134">
        <v>256</v>
      </c>
      <c r="T134">
        <v>0</v>
      </c>
      <c r="U134">
        <f>laptop[[#This Row],[PrimaryStorage]]+laptop[[#This Row],[SecondaryStorage]]</f>
        <v>256</v>
      </c>
      <c r="V134" s="1" t="s">
        <v>31</v>
      </c>
      <c r="W134" s="1" t="s">
        <v>27</v>
      </c>
      <c r="X134" s="1" t="str">
        <f>IF(laptop[[#This Row],[PrimaryStorageType]]=laptop[[#This Row],[SecondaryStorageType]],laptop[[#This Row],[PrimaryStorageType]],"SSD &amp; HDD")</f>
        <v>SSD &amp; HDD</v>
      </c>
      <c r="Y134" s="1" t="s">
        <v>61</v>
      </c>
    </row>
    <row r="135" spans="1:25" x14ac:dyDescent="0.25">
      <c r="A135" s="1" t="s">
        <v>46</v>
      </c>
      <c r="B135" s="1" t="s">
        <v>202</v>
      </c>
      <c r="C135" s="1" t="s">
        <v>38</v>
      </c>
      <c r="D135">
        <v>15.6</v>
      </c>
      <c r="E135">
        <v>4</v>
      </c>
      <c r="F135" s="1" t="s">
        <v>48</v>
      </c>
      <c r="G135">
        <v>2.2000000000000002</v>
      </c>
      <c r="H135">
        <v>572</v>
      </c>
      <c r="I135" s="1" t="s">
        <v>40</v>
      </c>
      <c r="J135">
        <v>1920</v>
      </c>
      <c r="K135">
        <v>1080</v>
      </c>
      <c r="L135" s="1" t="s">
        <v>27</v>
      </c>
      <c r="M135" s="1" t="s">
        <v>27</v>
      </c>
      <c r="N135" s="1" t="s">
        <v>27</v>
      </c>
      <c r="O135" s="1" t="s">
        <v>29</v>
      </c>
      <c r="P135">
        <v>2.7</v>
      </c>
      <c r="Q135" s="1" t="s">
        <v>112</v>
      </c>
      <c r="R135" s="1" t="str">
        <f>_xlfn.CONCAT(laptop[[#This Row],[CPU_company]]," ",laptop[[#This Row],[CPU_model]])</f>
        <v>Intel Core i3 7130U</v>
      </c>
      <c r="S135">
        <v>256</v>
      </c>
      <c r="T135">
        <v>0</v>
      </c>
      <c r="U135">
        <f>laptop[[#This Row],[PrimaryStorage]]+laptop[[#This Row],[SecondaryStorage]]</f>
        <v>256</v>
      </c>
      <c r="V135" s="1" t="s">
        <v>31</v>
      </c>
      <c r="W135" s="1" t="s">
        <v>27</v>
      </c>
      <c r="X135" s="1" t="str">
        <f>IF(laptop[[#This Row],[PrimaryStorageType]]=laptop[[#This Row],[SecondaryStorageType]],laptop[[#This Row],[PrimaryStorageType]],"SSD &amp; HDD")</f>
        <v>SSD &amp; HDD</v>
      </c>
      <c r="Y135" s="1" t="s">
        <v>163</v>
      </c>
    </row>
    <row r="136" spans="1:25" x14ac:dyDescent="0.25">
      <c r="A136" s="1" t="s">
        <v>36</v>
      </c>
      <c r="B136" s="1" t="s">
        <v>203</v>
      </c>
      <c r="C136" s="1" t="s">
        <v>38</v>
      </c>
      <c r="D136">
        <v>15.6</v>
      </c>
      <c r="E136">
        <v>8</v>
      </c>
      <c r="F136" s="1" t="s">
        <v>48</v>
      </c>
      <c r="G136">
        <v>2.0499999999999998</v>
      </c>
      <c r="H136">
        <v>598</v>
      </c>
      <c r="I136" s="1" t="s">
        <v>26</v>
      </c>
      <c r="J136">
        <v>1366</v>
      </c>
      <c r="K136">
        <v>768</v>
      </c>
      <c r="L136" s="1" t="s">
        <v>27</v>
      </c>
      <c r="M136" s="1" t="s">
        <v>27</v>
      </c>
      <c r="N136" s="1" t="s">
        <v>27</v>
      </c>
      <c r="O136" s="1" t="s">
        <v>29</v>
      </c>
      <c r="P136">
        <v>2.7</v>
      </c>
      <c r="Q136" s="1" t="s">
        <v>71</v>
      </c>
      <c r="R136" s="1" t="str">
        <f>_xlfn.CONCAT(laptop[[#This Row],[CPU_company]]," ",laptop[[#This Row],[CPU_model]])</f>
        <v>Intel Core i7 7500U</v>
      </c>
      <c r="S136">
        <v>1024</v>
      </c>
      <c r="T136">
        <v>0</v>
      </c>
      <c r="U136">
        <f>laptop[[#This Row],[PrimaryStorage]]+laptop[[#This Row],[SecondaryStorage]]</f>
        <v>1024</v>
      </c>
      <c r="V136" s="1" t="s">
        <v>51</v>
      </c>
      <c r="W136" s="1" t="s">
        <v>27</v>
      </c>
      <c r="X136" s="1" t="str">
        <f>IF(laptop[[#This Row],[PrimaryStorageType]]=laptop[[#This Row],[SecondaryStorageType]],laptop[[#This Row],[PrimaryStorageType]],"SSD &amp; HDD")</f>
        <v>SSD &amp; HDD</v>
      </c>
      <c r="Y136" s="1" t="s">
        <v>42</v>
      </c>
    </row>
    <row r="137" spans="1:25" x14ac:dyDescent="0.25">
      <c r="A137" s="1" t="s">
        <v>36</v>
      </c>
      <c r="B137" s="1" t="s">
        <v>191</v>
      </c>
      <c r="C137" s="1" t="s">
        <v>38</v>
      </c>
      <c r="D137">
        <v>14</v>
      </c>
      <c r="E137">
        <v>8</v>
      </c>
      <c r="F137" s="1" t="s">
        <v>48</v>
      </c>
      <c r="G137">
        <v>1.63</v>
      </c>
      <c r="H137">
        <v>988</v>
      </c>
      <c r="I137" s="1" t="s">
        <v>40</v>
      </c>
      <c r="J137">
        <v>1920</v>
      </c>
      <c r="K137">
        <v>1080</v>
      </c>
      <c r="L137" s="1" t="s">
        <v>27</v>
      </c>
      <c r="M137" s="1" t="s">
        <v>27</v>
      </c>
      <c r="N137" s="1" t="s">
        <v>27</v>
      </c>
      <c r="O137" s="1" t="s">
        <v>29</v>
      </c>
      <c r="P137">
        <v>1.8</v>
      </c>
      <c r="Q137" s="1" t="s">
        <v>57</v>
      </c>
      <c r="R137" s="1" t="str">
        <f>_xlfn.CONCAT(laptop[[#This Row],[CPU_company]]," ",laptop[[#This Row],[CPU_model]])</f>
        <v>Intel Core i7 8550U</v>
      </c>
      <c r="S137">
        <v>256</v>
      </c>
      <c r="T137">
        <v>0</v>
      </c>
      <c r="U137">
        <f>laptop[[#This Row],[PrimaryStorage]]+laptop[[#This Row],[SecondaryStorage]]</f>
        <v>256</v>
      </c>
      <c r="V137" s="1" t="s">
        <v>31</v>
      </c>
      <c r="W137" s="1" t="s">
        <v>27</v>
      </c>
      <c r="X137" s="1" t="str">
        <f>IF(laptop[[#This Row],[PrimaryStorageType]]=laptop[[#This Row],[SecondaryStorageType]],laptop[[#This Row],[PrimaryStorageType]],"SSD &amp; HDD")</f>
        <v>SSD &amp; HDD</v>
      </c>
      <c r="Y137" s="1" t="s">
        <v>61</v>
      </c>
    </row>
    <row r="138" spans="1:25" x14ac:dyDescent="0.25">
      <c r="A138" s="1" t="s">
        <v>73</v>
      </c>
      <c r="B138" s="1" t="s">
        <v>204</v>
      </c>
      <c r="C138" s="1" t="s">
        <v>38</v>
      </c>
      <c r="D138">
        <v>15.6</v>
      </c>
      <c r="E138">
        <v>4</v>
      </c>
      <c r="F138" s="1" t="s">
        <v>39</v>
      </c>
      <c r="G138">
        <v>1.9</v>
      </c>
      <c r="H138">
        <v>252.36</v>
      </c>
      <c r="I138" s="1" t="s">
        <v>26</v>
      </c>
      <c r="J138">
        <v>1366</v>
      </c>
      <c r="K138">
        <v>768</v>
      </c>
      <c r="L138" s="1" t="s">
        <v>27</v>
      </c>
      <c r="M138" s="1" t="s">
        <v>27</v>
      </c>
      <c r="N138" s="1" t="s">
        <v>27</v>
      </c>
      <c r="O138" s="1" t="s">
        <v>29</v>
      </c>
      <c r="P138">
        <v>1.1000000000000001</v>
      </c>
      <c r="Q138" s="1" t="s">
        <v>109</v>
      </c>
      <c r="R138" s="1" t="str">
        <f>_xlfn.CONCAT(laptop[[#This Row],[CPU_company]]," ",laptop[[#This Row],[CPU_model]])</f>
        <v>Intel Celeron Dual Core N3350</v>
      </c>
      <c r="S138">
        <v>1024</v>
      </c>
      <c r="T138">
        <v>0</v>
      </c>
      <c r="U138">
        <f>laptop[[#This Row],[PrimaryStorage]]+laptop[[#This Row],[SecondaryStorage]]</f>
        <v>1024</v>
      </c>
      <c r="V138" s="1" t="s">
        <v>51</v>
      </c>
      <c r="W138" s="1" t="s">
        <v>27</v>
      </c>
      <c r="X138" s="1" t="str">
        <f>IF(laptop[[#This Row],[PrimaryStorageType]]=laptop[[#This Row],[SecondaryStorageType]],laptop[[#This Row],[PrimaryStorageType]],"SSD &amp; HDD")</f>
        <v>SSD &amp; HDD</v>
      </c>
      <c r="Y138" s="1" t="s">
        <v>110</v>
      </c>
    </row>
    <row r="139" spans="1:25" x14ac:dyDescent="0.25">
      <c r="A139" s="1" t="s">
        <v>55</v>
      </c>
      <c r="B139" s="1" t="s">
        <v>205</v>
      </c>
      <c r="C139" s="1" t="s">
        <v>83</v>
      </c>
      <c r="D139">
        <v>17.3</v>
      </c>
      <c r="E139">
        <v>8</v>
      </c>
      <c r="F139" s="1" t="s">
        <v>48</v>
      </c>
      <c r="G139">
        <v>3</v>
      </c>
      <c r="H139">
        <v>938</v>
      </c>
      <c r="I139" s="1" t="s">
        <v>40</v>
      </c>
      <c r="J139">
        <v>1920</v>
      </c>
      <c r="K139">
        <v>1080</v>
      </c>
      <c r="L139" s="1" t="s">
        <v>27</v>
      </c>
      <c r="M139" s="1" t="s">
        <v>27</v>
      </c>
      <c r="N139" s="1" t="s">
        <v>27</v>
      </c>
      <c r="O139" s="1" t="s">
        <v>29</v>
      </c>
      <c r="P139">
        <v>2.5</v>
      </c>
      <c r="Q139" s="1" t="s">
        <v>84</v>
      </c>
      <c r="R139" s="1" t="str">
        <f>_xlfn.CONCAT(laptop[[#This Row],[CPU_company]]," ",laptop[[#This Row],[CPU_model]])</f>
        <v>Intel Core i5 7300HQ</v>
      </c>
      <c r="S139">
        <v>128</v>
      </c>
      <c r="T139">
        <v>1024</v>
      </c>
      <c r="U139">
        <f>laptop[[#This Row],[PrimaryStorage]]+laptop[[#This Row],[SecondaryStorage]]</f>
        <v>1152</v>
      </c>
      <c r="V139" s="1" t="s">
        <v>31</v>
      </c>
      <c r="W139" s="1" t="s">
        <v>51</v>
      </c>
      <c r="X139" s="1" t="str">
        <f>IF(laptop[[#This Row],[PrimaryStorageType]]=laptop[[#This Row],[SecondaryStorageType]],laptop[[#This Row],[PrimaryStorageType]],"SSD &amp; HDD")</f>
        <v>SSD &amp; HDD</v>
      </c>
      <c r="Y139" s="1" t="s">
        <v>85</v>
      </c>
    </row>
    <row r="140" spans="1:25" x14ac:dyDescent="0.25">
      <c r="A140" s="1" t="s">
        <v>73</v>
      </c>
      <c r="B140" s="1" t="s">
        <v>161</v>
      </c>
      <c r="C140" s="1" t="s">
        <v>38</v>
      </c>
      <c r="D140">
        <v>15.6</v>
      </c>
      <c r="E140">
        <v>4</v>
      </c>
      <c r="F140" s="1" t="s">
        <v>39</v>
      </c>
      <c r="G140">
        <v>2.2000000000000002</v>
      </c>
      <c r="H140">
        <v>499</v>
      </c>
      <c r="I140" s="1" t="s">
        <v>40</v>
      </c>
      <c r="J140">
        <v>1920</v>
      </c>
      <c r="K140">
        <v>1080</v>
      </c>
      <c r="L140" s="1" t="s">
        <v>27</v>
      </c>
      <c r="M140" s="1" t="s">
        <v>27</v>
      </c>
      <c r="N140" s="1" t="s">
        <v>27</v>
      </c>
      <c r="O140" s="1" t="s">
        <v>29</v>
      </c>
      <c r="P140">
        <v>2.5</v>
      </c>
      <c r="Q140" s="1" t="s">
        <v>41</v>
      </c>
      <c r="R140" s="1" t="str">
        <f>_xlfn.CONCAT(laptop[[#This Row],[CPU_company]]," ",laptop[[#This Row],[CPU_model]])</f>
        <v>Intel Core i5 7200U</v>
      </c>
      <c r="S140">
        <v>1024</v>
      </c>
      <c r="T140">
        <v>0</v>
      </c>
      <c r="U140">
        <f>laptop[[#This Row],[PrimaryStorage]]+laptop[[#This Row],[SecondaryStorage]]</f>
        <v>1024</v>
      </c>
      <c r="V140" s="1" t="s">
        <v>51</v>
      </c>
      <c r="W140" s="1" t="s">
        <v>27</v>
      </c>
      <c r="X140" s="1" t="str">
        <f>IF(laptop[[#This Row],[PrimaryStorageType]]=laptop[[#This Row],[SecondaryStorageType]],laptop[[#This Row],[PrimaryStorageType]],"SSD &amp; HDD")</f>
        <v>SSD &amp; HDD</v>
      </c>
      <c r="Y140" s="1" t="s">
        <v>131</v>
      </c>
    </row>
    <row r="141" spans="1:25" x14ac:dyDescent="0.25">
      <c r="A141" s="1" t="s">
        <v>36</v>
      </c>
      <c r="B141" s="1" t="s">
        <v>206</v>
      </c>
      <c r="C141" s="1" t="s">
        <v>38</v>
      </c>
      <c r="D141">
        <v>13.3</v>
      </c>
      <c r="E141">
        <v>4</v>
      </c>
      <c r="F141" s="1" t="s">
        <v>48</v>
      </c>
      <c r="G141">
        <v>1.32</v>
      </c>
      <c r="H141">
        <v>699</v>
      </c>
      <c r="I141" s="1" t="s">
        <v>40</v>
      </c>
      <c r="J141">
        <v>1920</v>
      </c>
      <c r="K141">
        <v>1080</v>
      </c>
      <c r="L141" s="1" t="s">
        <v>27</v>
      </c>
      <c r="M141" s="1" t="s">
        <v>28</v>
      </c>
      <c r="N141" s="1" t="s">
        <v>27</v>
      </c>
      <c r="O141" s="1" t="s">
        <v>29</v>
      </c>
      <c r="P141">
        <v>2.5</v>
      </c>
      <c r="Q141" s="1" t="s">
        <v>41</v>
      </c>
      <c r="R141" s="1" t="str">
        <f>_xlfn.CONCAT(laptop[[#This Row],[CPU_company]]," ",laptop[[#This Row],[CPU_model]])</f>
        <v>Intel Core i5 7200U</v>
      </c>
      <c r="S141">
        <v>256</v>
      </c>
      <c r="T141">
        <v>0</v>
      </c>
      <c r="U141">
        <f>laptop[[#This Row],[PrimaryStorage]]+laptop[[#This Row],[SecondaryStorage]]</f>
        <v>256</v>
      </c>
      <c r="V141" s="1" t="s">
        <v>31</v>
      </c>
      <c r="W141" s="1" t="s">
        <v>27</v>
      </c>
      <c r="X141" s="1" t="str">
        <f>IF(laptop[[#This Row],[PrimaryStorageType]]=laptop[[#This Row],[SecondaryStorageType]],laptop[[#This Row],[PrimaryStorageType]],"SSD &amp; HDD")</f>
        <v>SSD &amp; HDD</v>
      </c>
      <c r="Y141" s="1" t="s">
        <v>42</v>
      </c>
    </row>
    <row r="142" spans="1:25" x14ac:dyDescent="0.25">
      <c r="A142" s="1" t="s">
        <v>46</v>
      </c>
      <c r="B142" s="1" t="s">
        <v>173</v>
      </c>
      <c r="C142" s="1" t="s">
        <v>38</v>
      </c>
      <c r="D142">
        <v>17.3</v>
      </c>
      <c r="E142">
        <v>4</v>
      </c>
      <c r="F142" s="1" t="s">
        <v>48</v>
      </c>
      <c r="G142">
        <v>3</v>
      </c>
      <c r="H142">
        <v>655</v>
      </c>
      <c r="I142" s="1" t="s">
        <v>40</v>
      </c>
      <c r="J142">
        <v>1920</v>
      </c>
      <c r="K142">
        <v>1080</v>
      </c>
      <c r="L142" s="1" t="s">
        <v>27</v>
      </c>
      <c r="M142" s="1" t="s">
        <v>28</v>
      </c>
      <c r="N142" s="1" t="s">
        <v>27</v>
      </c>
      <c r="O142" s="1" t="s">
        <v>29</v>
      </c>
      <c r="P142">
        <v>2.7</v>
      </c>
      <c r="Q142" s="1" t="s">
        <v>112</v>
      </c>
      <c r="R142" s="1" t="str">
        <f>_xlfn.CONCAT(laptop[[#This Row],[CPU_company]]," ",laptop[[#This Row],[CPU_model]])</f>
        <v>Intel Core i3 7130U</v>
      </c>
      <c r="S142">
        <v>1024</v>
      </c>
      <c r="T142">
        <v>0</v>
      </c>
      <c r="U142">
        <f>laptop[[#This Row],[PrimaryStorage]]+laptop[[#This Row],[SecondaryStorage]]</f>
        <v>1024</v>
      </c>
      <c r="V142" s="1" t="s">
        <v>51</v>
      </c>
      <c r="W142" s="1" t="s">
        <v>27</v>
      </c>
      <c r="X142" s="1" t="str">
        <f>IF(laptop[[#This Row],[PrimaryStorageType]]=laptop[[#This Row],[SecondaryStorageType]],laptop[[#This Row],[PrimaryStorageType]],"SSD &amp; HDD")</f>
        <v>SSD &amp; HDD</v>
      </c>
      <c r="Y142" s="1" t="s">
        <v>163</v>
      </c>
    </row>
    <row r="143" spans="1:25" x14ac:dyDescent="0.25">
      <c r="A143" s="1" t="s">
        <v>73</v>
      </c>
      <c r="B143" s="1" t="s">
        <v>207</v>
      </c>
      <c r="C143" s="1" t="s">
        <v>38</v>
      </c>
      <c r="D143">
        <v>14</v>
      </c>
      <c r="E143">
        <v>8</v>
      </c>
      <c r="F143" s="1" t="s">
        <v>48</v>
      </c>
      <c r="G143">
        <v>1.75</v>
      </c>
      <c r="H143">
        <v>1116.02</v>
      </c>
      <c r="I143" s="1" t="s">
        <v>40</v>
      </c>
      <c r="J143">
        <v>1920</v>
      </c>
      <c r="K143">
        <v>1080</v>
      </c>
      <c r="L143" s="1" t="s">
        <v>27</v>
      </c>
      <c r="M143" s="1" t="s">
        <v>28</v>
      </c>
      <c r="N143" s="1" t="s">
        <v>27</v>
      </c>
      <c r="O143" s="1" t="s">
        <v>29</v>
      </c>
      <c r="P143">
        <v>1.6</v>
      </c>
      <c r="Q143" s="1" t="s">
        <v>60</v>
      </c>
      <c r="R143" s="1" t="str">
        <f>_xlfn.CONCAT(laptop[[#This Row],[CPU_company]]," ",laptop[[#This Row],[CPU_model]])</f>
        <v>Intel Core i5 8250U</v>
      </c>
      <c r="S143">
        <v>256</v>
      </c>
      <c r="T143">
        <v>0</v>
      </c>
      <c r="U143">
        <f>laptop[[#This Row],[PrimaryStorage]]+laptop[[#This Row],[SecondaryStorage]]</f>
        <v>256</v>
      </c>
      <c r="V143" s="1" t="s">
        <v>31</v>
      </c>
      <c r="W143" s="1" t="s">
        <v>27</v>
      </c>
      <c r="X143" s="1" t="str">
        <f>IF(laptop[[#This Row],[PrimaryStorageType]]=laptop[[#This Row],[SecondaryStorageType]],laptop[[#This Row],[PrimaryStorageType]],"SSD &amp; HDD")</f>
        <v>SSD &amp; HDD</v>
      </c>
      <c r="Y143" s="1" t="s">
        <v>208</v>
      </c>
    </row>
    <row r="144" spans="1:25" x14ac:dyDescent="0.25">
      <c r="A144" s="1" t="s">
        <v>73</v>
      </c>
      <c r="B144" s="1" t="s">
        <v>82</v>
      </c>
      <c r="C144" s="1" t="s">
        <v>83</v>
      </c>
      <c r="D144">
        <v>15.6</v>
      </c>
      <c r="E144">
        <v>8</v>
      </c>
      <c r="F144" s="1" t="s">
        <v>39</v>
      </c>
      <c r="G144">
        <v>2.4</v>
      </c>
      <c r="H144">
        <v>869</v>
      </c>
      <c r="I144" s="1" t="s">
        <v>40</v>
      </c>
      <c r="J144">
        <v>1920</v>
      </c>
      <c r="K144">
        <v>1080</v>
      </c>
      <c r="L144" s="1" t="s">
        <v>27</v>
      </c>
      <c r="M144" s="1" t="s">
        <v>28</v>
      </c>
      <c r="N144" s="1" t="s">
        <v>27</v>
      </c>
      <c r="O144" s="1" t="s">
        <v>29</v>
      </c>
      <c r="P144">
        <v>2.8</v>
      </c>
      <c r="Q144" s="1" t="s">
        <v>118</v>
      </c>
      <c r="R144" s="1" t="str">
        <f>_xlfn.CONCAT(laptop[[#This Row],[CPU_company]]," ",laptop[[#This Row],[CPU_model]])</f>
        <v>Intel Core i7 7700HQ</v>
      </c>
      <c r="S144">
        <v>256</v>
      </c>
      <c r="T144">
        <v>0</v>
      </c>
      <c r="U144">
        <f>laptop[[#This Row],[PrimaryStorage]]+laptop[[#This Row],[SecondaryStorage]]</f>
        <v>256</v>
      </c>
      <c r="V144" s="1" t="s">
        <v>31</v>
      </c>
      <c r="W144" s="1" t="s">
        <v>27</v>
      </c>
      <c r="X144" s="1" t="str">
        <f>IF(laptop[[#This Row],[PrimaryStorageType]]=laptop[[#This Row],[SecondaryStorageType]],laptop[[#This Row],[PrimaryStorageType]],"SSD &amp; HDD")</f>
        <v>SSD &amp; HDD</v>
      </c>
      <c r="Y144" s="1" t="s">
        <v>209</v>
      </c>
    </row>
    <row r="145" spans="1:25" x14ac:dyDescent="0.25">
      <c r="A145" s="1" t="s">
        <v>210</v>
      </c>
      <c r="B145" s="1" t="s">
        <v>211</v>
      </c>
      <c r="C145" s="1" t="s">
        <v>38</v>
      </c>
      <c r="D145">
        <v>15.6</v>
      </c>
      <c r="E145">
        <v>4</v>
      </c>
      <c r="F145" s="1" t="s">
        <v>48</v>
      </c>
      <c r="G145">
        <v>2.1</v>
      </c>
      <c r="H145">
        <v>602</v>
      </c>
      <c r="I145" s="1" t="s">
        <v>26</v>
      </c>
      <c r="J145">
        <v>1366</v>
      </c>
      <c r="K145">
        <v>768</v>
      </c>
      <c r="L145" s="1" t="s">
        <v>27</v>
      </c>
      <c r="M145" s="1" t="s">
        <v>27</v>
      </c>
      <c r="N145" s="1" t="s">
        <v>27</v>
      </c>
      <c r="O145" s="1" t="s">
        <v>29</v>
      </c>
      <c r="P145">
        <v>2.2999999999999998</v>
      </c>
      <c r="Q145" s="1" t="s">
        <v>212</v>
      </c>
      <c r="R145" s="1" t="str">
        <f>_xlfn.CONCAT(laptop[[#This Row],[CPU_company]]," ",laptop[[#This Row],[CPU_model]])</f>
        <v>Intel Core i5 6200U</v>
      </c>
      <c r="S145">
        <v>500</v>
      </c>
      <c r="T145">
        <v>0</v>
      </c>
      <c r="U145">
        <f>laptop[[#This Row],[PrimaryStorage]]+laptop[[#This Row],[SecondaryStorage]]</f>
        <v>500</v>
      </c>
      <c r="V145" s="1" t="s">
        <v>51</v>
      </c>
      <c r="W145" s="1" t="s">
        <v>27</v>
      </c>
      <c r="X145" s="1" t="str">
        <f>IF(laptop[[#This Row],[PrimaryStorageType]]=laptop[[#This Row],[SecondaryStorageType]],laptop[[#This Row],[PrimaryStorageType]],"SSD &amp; HDD")</f>
        <v>SSD &amp; HDD</v>
      </c>
      <c r="Y145" s="1" t="s">
        <v>63</v>
      </c>
    </row>
    <row r="146" spans="1:25" x14ac:dyDescent="0.25">
      <c r="A146" s="1" t="s">
        <v>36</v>
      </c>
      <c r="B146" s="1" t="s">
        <v>86</v>
      </c>
      <c r="C146" s="1" t="s">
        <v>38</v>
      </c>
      <c r="D146">
        <v>15.6</v>
      </c>
      <c r="E146">
        <v>4</v>
      </c>
      <c r="F146" s="1" t="s">
        <v>48</v>
      </c>
      <c r="G146">
        <v>1.86</v>
      </c>
      <c r="H146">
        <v>369</v>
      </c>
      <c r="I146" s="1" t="s">
        <v>26</v>
      </c>
      <c r="J146">
        <v>1366</v>
      </c>
      <c r="K146">
        <v>768</v>
      </c>
      <c r="L146" s="1" t="s">
        <v>27</v>
      </c>
      <c r="M146" s="1" t="s">
        <v>27</v>
      </c>
      <c r="N146" s="1" t="s">
        <v>27</v>
      </c>
      <c r="O146" s="1" t="s">
        <v>49</v>
      </c>
      <c r="P146">
        <v>2.5</v>
      </c>
      <c r="Q146" s="1" t="s">
        <v>106</v>
      </c>
      <c r="R146" s="1" t="str">
        <f>_xlfn.CONCAT(laptop[[#This Row],[CPU_company]]," ",laptop[[#This Row],[CPU_model]])</f>
        <v>AMD A6-Series 9220</v>
      </c>
      <c r="S146">
        <v>256</v>
      </c>
      <c r="T146">
        <v>0</v>
      </c>
      <c r="U146">
        <f>laptop[[#This Row],[PrimaryStorage]]+laptop[[#This Row],[SecondaryStorage]]</f>
        <v>256</v>
      </c>
      <c r="V146" s="1" t="s">
        <v>31</v>
      </c>
      <c r="W146" s="1" t="s">
        <v>27</v>
      </c>
      <c r="X146" s="1" t="str">
        <f>IF(laptop[[#This Row],[PrimaryStorageType]]=laptop[[#This Row],[SecondaryStorageType]],laptop[[#This Row],[PrimaryStorageType]],"SSD &amp; HDD")</f>
        <v>SSD &amp; HDD</v>
      </c>
      <c r="Y146" s="1" t="s">
        <v>135</v>
      </c>
    </row>
    <row r="147" spans="1:25" x14ac:dyDescent="0.25">
      <c r="A147" s="1" t="s">
        <v>55</v>
      </c>
      <c r="B147" s="1" t="s">
        <v>213</v>
      </c>
      <c r="C147" s="1" t="s">
        <v>24</v>
      </c>
      <c r="D147">
        <v>14</v>
      </c>
      <c r="E147">
        <v>8</v>
      </c>
      <c r="F147" s="1" t="s">
        <v>48</v>
      </c>
      <c r="G147">
        <v>1.25</v>
      </c>
      <c r="H147">
        <v>1099</v>
      </c>
      <c r="I147" s="1" t="s">
        <v>40</v>
      </c>
      <c r="J147">
        <v>1920</v>
      </c>
      <c r="K147">
        <v>1080</v>
      </c>
      <c r="L147" s="1" t="s">
        <v>27</v>
      </c>
      <c r="M147" s="1" t="s">
        <v>27</v>
      </c>
      <c r="N147" s="1" t="s">
        <v>27</v>
      </c>
      <c r="O147" s="1" t="s">
        <v>29</v>
      </c>
      <c r="P147">
        <v>1.8</v>
      </c>
      <c r="Q147" s="1" t="s">
        <v>57</v>
      </c>
      <c r="R147" s="1" t="str">
        <f>_xlfn.CONCAT(laptop[[#This Row],[CPU_company]]," ",laptop[[#This Row],[CPU_model]])</f>
        <v>Intel Core i7 8550U</v>
      </c>
      <c r="S147">
        <v>256</v>
      </c>
      <c r="T147">
        <v>0</v>
      </c>
      <c r="U147">
        <f>laptop[[#This Row],[PrimaryStorage]]+laptop[[#This Row],[SecondaryStorage]]</f>
        <v>256</v>
      </c>
      <c r="V147" s="1" t="s">
        <v>31</v>
      </c>
      <c r="W147" s="1" t="s">
        <v>27</v>
      </c>
      <c r="X147" s="1" t="str">
        <f>IF(laptop[[#This Row],[PrimaryStorageType]]=laptop[[#This Row],[SecondaryStorageType]],laptop[[#This Row],[PrimaryStorageType]],"SSD &amp; HDD")</f>
        <v>SSD &amp; HDD</v>
      </c>
      <c r="Y147" s="1" t="s">
        <v>61</v>
      </c>
    </row>
    <row r="148" spans="1:25" x14ac:dyDescent="0.25">
      <c r="A148" s="1" t="s">
        <v>36</v>
      </c>
      <c r="B148" s="1" t="s">
        <v>214</v>
      </c>
      <c r="C148" s="1" t="s">
        <v>24</v>
      </c>
      <c r="D148">
        <v>12.5</v>
      </c>
      <c r="E148">
        <v>8</v>
      </c>
      <c r="F148" s="1" t="s">
        <v>48</v>
      </c>
      <c r="G148">
        <v>0.97</v>
      </c>
      <c r="H148">
        <v>2014</v>
      </c>
      <c r="I148" s="1" t="s">
        <v>215</v>
      </c>
      <c r="J148">
        <v>3840</v>
      </c>
      <c r="K148">
        <v>2160</v>
      </c>
      <c r="L148" s="1" t="s">
        <v>28</v>
      </c>
      <c r="M148" s="1" t="s">
        <v>28</v>
      </c>
      <c r="N148" s="1" t="s">
        <v>27</v>
      </c>
      <c r="O148" s="1" t="s">
        <v>29</v>
      </c>
      <c r="P148">
        <v>1.2</v>
      </c>
      <c r="Q148" s="1" t="s">
        <v>216</v>
      </c>
      <c r="R148" s="1" t="str">
        <f>_xlfn.CONCAT(laptop[[#This Row],[CPU_company]]," ",laptop[[#This Row],[CPU_model]])</f>
        <v>Intel Core M 6Y75</v>
      </c>
      <c r="S148">
        <v>512</v>
      </c>
      <c r="T148">
        <v>0</v>
      </c>
      <c r="U148">
        <f>laptop[[#This Row],[PrimaryStorage]]+laptop[[#This Row],[SecondaryStorage]]</f>
        <v>512</v>
      </c>
      <c r="V148" s="1" t="s">
        <v>31</v>
      </c>
      <c r="W148" s="1" t="s">
        <v>27</v>
      </c>
      <c r="X148" s="1" t="str">
        <f>IF(laptop[[#This Row],[PrimaryStorageType]]=laptop[[#This Row],[SecondaryStorageType]],laptop[[#This Row],[PrimaryStorageType]],"SSD &amp; HDD")</f>
        <v>SSD &amp; HDD</v>
      </c>
      <c r="Y148" s="1" t="s">
        <v>217</v>
      </c>
    </row>
    <row r="149" spans="1:25" x14ac:dyDescent="0.25">
      <c r="A149" s="1" t="s">
        <v>55</v>
      </c>
      <c r="B149" s="1" t="s">
        <v>218</v>
      </c>
      <c r="C149" s="1" t="s">
        <v>38</v>
      </c>
      <c r="D149">
        <v>15.6</v>
      </c>
      <c r="E149">
        <v>4</v>
      </c>
      <c r="F149" s="1" t="s">
        <v>48</v>
      </c>
      <c r="G149">
        <v>2</v>
      </c>
      <c r="H149">
        <v>344</v>
      </c>
      <c r="I149" s="1" t="s">
        <v>40</v>
      </c>
      <c r="J149">
        <v>1920</v>
      </c>
      <c r="K149">
        <v>1080</v>
      </c>
      <c r="L149" s="1" t="s">
        <v>27</v>
      </c>
      <c r="M149" s="1" t="s">
        <v>27</v>
      </c>
      <c r="N149" s="1" t="s">
        <v>27</v>
      </c>
      <c r="O149" s="1" t="s">
        <v>29</v>
      </c>
      <c r="P149">
        <v>1.1000000000000001</v>
      </c>
      <c r="Q149" s="1" t="s">
        <v>109</v>
      </c>
      <c r="R149" s="1" t="str">
        <f>_xlfn.CONCAT(laptop[[#This Row],[CPU_company]]," ",laptop[[#This Row],[CPU_model]])</f>
        <v>Intel Celeron Dual Core N3350</v>
      </c>
      <c r="S149">
        <v>1024</v>
      </c>
      <c r="T149">
        <v>0</v>
      </c>
      <c r="U149">
        <f>laptop[[#This Row],[PrimaryStorage]]+laptop[[#This Row],[SecondaryStorage]]</f>
        <v>1024</v>
      </c>
      <c r="V149" s="1" t="s">
        <v>51</v>
      </c>
      <c r="W149" s="1" t="s">
        <v>27</v>
      </c>
      <c r="X149" s="1" t="str">
        <f>IF(laptop[[#This Row],[PrimaryStorageType]]=laptop[[#This Row],[SecondaryStorageType]],laptop[[#This Row],[PrimaryStorageType]],"SSD &amp; HDD")</f>
        <v>SSD &amp; HDD</v>
      </c>
      <c r="Y149" s="1" t="s">
        <v>110</v>
      </c>
    </row>
    <row r="150" spans="1:25" x14ac:dyDescent="0.25">
      <c r="A150" s="1" t="s">
        <v>141</v>
      </c>
      <c r="B150" s="1" t="s">
        <v>219</v>
      </c>
      <c r="C150" s="1" t="s">
        <v>83</v>
      </c>
      <c r="D150">
        <v>17.3</v>
      </c>
      <c r="E150">
        <v>16</v>
      </c>
      <c r="F150" s="1" t="s">
        <v>48</v>
      </c>
      <c r="G150">
        <v>2.9</v>
      </c>
      <c r="H150">
        <v>2029</v>
      </c>
      <c r="I150" s="1" t="s">
        <v>40</v>
      </c>
      <c r="J150">
        <v>1920</v>
      </c>
      <c r="K150">
        <v>1080</v>
      </c>
      <c r="L150" s="1" t="s">
        <v>27</v>
      </c>
      <c r="M150" s="1" t="s">
        <v>27</v>
      </c>
      <c r="N150" s="1" t="s">
        <v>27</v>
      </c>
      <c r="O150" s="1" t="s">
        <v>29</v>
      </c>
      <c r="P150">
        <v>2.8</v>
      </c>
      <c r="Q150" s="1" t="s">
        <v>118</v>
      </c>
      <c r="R150" s="1" t="str">
        <f>_xlfn.CONCAT(laptop[[#This Row],[CPU_company]]," ",laptop[[#This Row],[CPU_model]])</f>
        <v>Intel Core i7 7700HQ</v>
      </c>
      <c r="S150">
        <v>256</v>
      </c>
      <c r="T150">
        <v>1024</v>
      </c>
      <c r="U150">
        <f>laptop[[#This Row],[PrimaryStorage]]+laptop[[#This Row],[SecondaryStorage]]</f>
        <v>1280</v>
      </c>
      <c r="V150" s="1" t="s">
        <v>31</v>
      </c>
      <c r="W150" s="1" t="s">
        <v>51</v>
      </c>
      <c r="X150" s="1" t="str">
        <f>IF(laptop[[#This Row],[PrimaryStorageType]]=laptop[[#This Row],[SecondaryStorageType]],laptop[[#This Row],[PrimaryStorageType]],"SSD &amp; HDD")</f>
        <v>SSD &amp; HDD</v>
      </c>
      <c r="Y150" s="1" t="s">
        <v>143</v>
      </c>
    </row>
    <row r="151" spans="1:25" x14ac:dyDescent="0.25">
      <c r="A151" s="1" t="s">
        <v>46</v>
      </c>
      <c r="B151" s="1" t="s">
        <v>220</v>
      </c>
      <c r="C151" s="1" t="s">
        <v>38</v>
      </c>
      <c r="D151">
        <v>15.6</v>
      </c>
      <c r="E151">
        <v>4</v>
      </c>
      <c r="F151" s="1" t="s">
        <v>48</v>
      </c>
      <c r="G151">
        <v>2.1</v>
      </c>
      <c r="H151">
        <v>447</v>
      </c>
      <c r="I151" s="1" t="s">
        <v>26</v>
      </c>
      <c r="J151">
        <v>1366</v>
      </c>
      <c r="K151">
        <v>768</v>
      </c>
      <c r="L151" s="1" t="s">
        <v>27</v>
      </c>
      <c r="M151" s="1" t="s">
        <v>27</v>
      </c>
      <c r="N151" s="1" t="s">
        <v>27</v>
      </c>
      <c r="O151" s="1" t="s">
        <v>29</v>
      </c>
      <c r="P151">
        <v>2</v>
      </c>
      <c r="Q151" s="1" t="s">
        <v>62</v>
      </c>
      <c r="R151" s="1" t="str">
        <f>_xlfn.CONCAT(laptop[[#This Row],[CPU_company]]," ",laptop[[#This Row],[CPU_model]])</f>
        <v>Intel Core i3 6006U</v>
      </c>
      <c r="S151">
        <v>1024</v>
      </c>
      <c r="T151">
        <v>0</v>
      </c>
      <c r="U151">
        <f>laptop[[#This Row],[PrimaryStorage]]+laptop[[#This Row],[SecondaryStorage]]</f>
        <v>1024</v>
      </c>
      <c r="V151" s="1" t="s">
        <v>51</v>
      </c>
      <c r="W151" s="1" t="s">
        <v>27</v>
      </c>
      <c r="X151" s="1" t="str">
        <f>IF(laptop[[#This Row],[PrimaryStorageType]]=laptop[[#This Row],[SecondaryStorageType]],laptop[[#This Row],[PrimaryStorageType]],"SSD &amp; HDD")</f>
        <v>SSD &amp; HDD</v>
      </c>
      <c r="Y151" s="1" t="s">
        <v>63</v>
      </c>
    </row>
    <row r="152" spans="1:25" x14ac:dyDescent="0.25">
      <c r="A152" s="1" t="s">
        <v>65</v>
      </c>
      <c r="B152" s="1" t="s">
        <v>221</v>
      </c>
      <c r="C152" s="1" t="s">
        <v>83</v>
      </c>
      <c r="D152">
        <v>15.6</v>
      </c>
      <c r="E152">
        <v>16</v>
      </c>
      <c r="F152" s="1" t="s">
        <v>48</v>
      </c>
      <c r="G152">
        <v>2.56</v>
      </c>
      <c r="H152">
        <v>1249.26</v>
      </c>
      <c r="I152" s="1" t="s">
        <v>40</v>
      </c>
      <c r="J152">
        <v>1920</v>
      </c>
      <c r="K152">
        <v>1080</v>
      </c>
      <c r="L152" s="1" t="s">
        <v>27</v>
      </c>
      <c r="M152" s="1" t="s">
        <v>27</v>
      </c>
      <c r="N152" s="1" t="s">
        <v>27</v>
      </c>
      <c r="O152" s="1" t="s">
        <v>29</v>
      </c>
      <c r="P152">
        <v>2.8</v>
      </c>
      <c r="Q152" s="1" t="s">
        <v>118</v>
      </c>
      <c r="R152" s="1" t="str">
        <f>_xlfn.CONCAT(laptop[[#This Row],[CPU_company]]," ",laptop[[#This Row],[CPU_model]])</f>
        <v>Intel Core i7 7700HQ</v>
      </c>
      <c r="S152">
        <v>512</v>
      </c>
      <c r="T152">
        <v>0</v>
      </c>
      <c r="U152">
        <f>laptop[[#This Row],[PrimaryStorage]]+laptop[[#This Row],[SecondaryStorage]]</f>
        <v>512</v>
      </c>
      <c r="V152" s="1" t="s">
        <v>31</v>
      </c>
      <c r="W152" s="1" t="s">
        <v>27</v>
      </c>
      <c r="X152" s="1" t="str">
        <f>IF(laptop[[#This Row],[PrimaryStorageType]]=laptop[[#This Row],[SecondaryStorageType]],laptop[[#This Row],[PrimaryStorageType]],"SSD &amp; HDD")</f>
        <v>SSD &amp; HDD</v>
      </c>
      <c r="Y152" s="1" t="s">
        <v>85</v>
      </c>
    </row>
    <row r="153" spans="1:25" x14ac:dyDescent="0.25">
      <c r="A153" s="1" t="s">
        <v>65</v>
      </c>
      <c r="B153" s="1" t="s">
        <v>222</v>
      </c>
      <c r="C153" s="1" t="s">
        <v>83</v>
      </c>
      <c r="D153">
        <v>15.6</v>
      </c>
      <c r="E153">
        <v>8</v>
      </c>
      <c r="F153" s="1" t="s">
        <v>48</v>
      </c>
      <c r="G153">
        <v>2.62</v>
      </c>
      <c r="H153">
        <v>899</v>
      </c>
      <c r="I153" s="1" t="s">
        <v>40</v>
      </c>
      <c r="J153">
        <v>1920</v>
      </c>
      <c r="K153">
        <v>1080</v>
      </c>
      <c r="L153" s="1" t="s">
        <v>27</v>
      </c>
      <c r="M153" s="1" t="s">
        <v>27</v>
      </c>
      <c r="N153" s="1" t="s">
        <v>27</v>
      </c>
      <c r="O153" s="1" t="s">
        <v>29</v>
      </c>
      <c r="P153">
        <v>2.8</v>
      </c>
      <c r="Q153" s="1" t="s">
        <v>118</v>
      </c>
      <c r="R153" s="1" t="str">
        <f>_xlfn.CONCAT(laptop[[#This Row],[CPU_company]]," ",laptop[[#This Row],[CPU_model]])</f>
        <v>Intel Core i7 7700HQ</v>
      </c>
      <c r="S153">
        <v>1024</v>
      </c>
      <c r="T153">
        <v>0</v>
      </c>
      <c r="U153">
        <f>laptop[[#This Row],[PrimaryStorage]]+laptop[[#This Row],[SecondaryStorage]]</f>
        <v>1024</v>
      </c>
      <c r="V153" s="1" t="s">
        <v>223</v>
      </c>
      <c r="W153" s="1" t="s">
        <v>27</v>
      </c>
      <c r="X153" s="1" t="str">
        <f>IF(laptop[[#This Row],[PrimaryStorageType]]=laptop[[#This Row],[SecondaryStorageType]],laptop[[#This Row],[PrimaryStorageType]],"SSD &amp; HDD")</f>
        <v>SSD &amp; HDD</v>
      </c>
      <c r="Y153" s="1" t="s">
        <v>85</v>
      </c>
    </row>
    <row r="154" spans="1:25" x14ac:dyDescent="0.25">
      <c r="A154" s="1" t="s">
        <v>73</v>
      </c>
      <c r="B154" s="1" t="s">
        <v>224</v>
      </c>
      <c r="C154" s="1" t="s">
        <v>38</v>
      </c>
      <c r="D154">
        <v>15.6</v>
      </c>
      <c r="E154">
        <v>4</v>
      </c>
      <c r="F154" s="1" t="s">
        <v>48</v>
      </c>
      <c r="G154">
        <v>1.9</v>
      </c>
      <c r="H154">
        <v>498</v>
      </c>
      <c r="I154" s="1" t="s">
        <v>26</v>
      </c>
      <c r="J154">
        <v>1366</v>
      </c>
      <c r="K154">
        <v>768</v>
      </c>
      <c r="L154" s="1" t="s">
        <v>27</v>
      </c>
      <c r="M154" s="1" t="s">
        <v>27</v>
      </c>
      <c r="N154" s="1" t="s">
        <v>27</v>
      </c>
      <c r="O154" s="1" t="s">
        <v>29</v>
      </c>
      <c r="P154">
        <v>2.5</v>
      </c>
      <c r="Q154" s="1" t="s">
        <v>41</v>
      </c>
      <c r="R154" s="1" t="str">
        <f>_xlfn.CONCAT(laptop[[#This Row],[CPU_company]]," ",laptop[[#This Row],[CPU_model]])</f>
        <v>Intel Core i5 7200U</v>
      </c>
      <c r="S154">
        <v>128</v>
      </c>
      <c r="T154">
        <v>0</v>
      </c>
      <c r="U154">
        <f>laptop[[#This Row],[PrimaryStorage]]+laptop[[#This Row],[SecondaryStorage]]</f>
        <v>128</v>
      </c>
      <c r="V154" s="1" t="s">
        <v>31</v>
      </c>
      <c r="W154" s="1" t="s">
        <v>27</v>
      </c>
      <c r="X154" s="1" t="str">
        <f>IF(laptop[[#This Row],[PrimaryStorageType]]=laptop[[#This Row],[SecondaryStorageType]],laptop[[#This Row],[PrimaryStorageType]],"SSD &amp; HDD")</f>
        <v>SSD &amp; HDD</v>
      </c>
      <c r="Y154" s="1" t="s">
        <v>42</v>
      </c>
    </row>
    <row r="155" spans="1:25" x14ac:dyDescent="0.25">
      <c r="A155" s="1" t="s">
        <v>141</v>
      </c>
      <c r="B155" s="1" t="s">
        <v>225</v>
      </c>
      <c r="C155" s="1" t="s">
        <v>83</v>
      </c>
      <c r="D155">
        <v>17.3</v>
      </c>
      <c r="E155">
        <v>16</v>
      </c>
      <c r="F155" s="1" t="s">
        <v>48</v>
      </c>
      <c r="G155">
        <v>2.8</v>
      </c>
      <c r="H155">
        <v>1890</v>
      </c>
      <c r="I155" s="1" t="s">
        <v>40</v>
      </c>
      <c r="J155">
        <v>1920</v>
      </c>
      <c r="K155">
        <v>1080</v>
      </c>
      <c r="L155" s="1" t="s">
        <v>27</v>
      </c>
      <c r="M155" s="1" t="s">
        <v>27</v>
      </c>
      <c r="N155" s="1" t="s">
        <v>27</v>
      </c>
      <c r="O155" s="1" t="s">
        <v>29</v>
      </c>
      <c r="P155">
        <v>2.8</v>
      </c>
      <c r="Q155" s="1" t="s">
        <v>118</v>
      </c>
      <c r="R155" s="1" t="str">
        <f>_xlfn.CONCAT(laptop[[#This Row],[CPU_company]]," ",laptop[[#This Row],[CPU_model]])</f>
        <v>Intel Core i7 7700HQ</v>
      </c>
      <c r="S155">
        <v>256</v>
      </c>
      <c r="T155">
        <v>1024</v>
      </c>
      <c r="U155">
        <f>laptop[[#This Row],[PrimaryStorage]]+laptop[[#This Row],[SecondaryStorage]]</f>
        <v>1280</v>
      </c>
      <c r="V155" s="1" t="s">
        <v>31</v>
      </c>
      <c r="W155" s="1" t="s">
        <v>51</v>
      </c>
      <c r="X155" s="1" t="str">
        <f>IF(laptop[[#This Row],[PrimaryStorageType]]=laptop[[#This Row],[SecondaryStorageType]],laptop[[#This Row],[PrimaryStorageType]],"SSD &amp; HDD")</f>
        <v>SSD &amp; HDD</v>
      </c>
      <c r="Y155" s="1" t="s">
        <v>119</v>
      </c>
    </row>
    <row r="156" spans="1:25" x14ac:dyDescent="0.25">
      <c r="A156" s="1" t="s">
        <v>36</v>
      </c>
      <c r="B156" s="1" t="s">
        <v>226</v>
      </c>
      <c r="C156" s="1" t="s">
        <v>24</v>
      </c>
      <c r="D156">
        <v>14</v>
      </c>
      <c r="E156">
        <v>4</v>
      </c>
      <c r="F156" s="1" t="s">
        <v>48</v>
      </c>
      <c r="G156">
        <v>1.48</v>
      </c>
      <c r="H156">
        <v>1082</v>
      </c>
      <c r="I156" s="1" t="s">
        <v>40</v>
      </c>
      <c r="J156">
        <v>1920</v>
      </c>
      <c r="K156">
        <v>1080</v>
      </c>
      <c r="L156" s="1" t="s">
        <v>27</v>
      </c>
      <c r="M156" s="1" t="s">
        <v>27</v>
      </c>
      <c r="N156" s="1" t="s">
        <v>27</v>
      </c>
      <c r="O156" s="1" t="s">
        <v>29</v>
      </c>
      <c r="P156">
        <v>2.7</v>
      </c>
      <c r="Q156" s="1" t="s">
        <v>227</v>
      </c>
      <c r="R156" s="1" t="str">
        <f>_xlfn.CONCAT(laptop[[#This Row],[CPU_company]]," ",laptop[[#This Row],[CPU_model]])</f>
        <v>Intel Core i5 7500U</v>
      </c>
      <c r="S156">
        <v>256</v>
      </c>
      <c r="T156">
        <v>0</v>
      </c>
      <c r="U156">
        <f>laptop[[#This Row],[PrimaryStorage]]+laptop[[#This Row],[SecondaryStorage]]</f>
        <v>256</v>
      </c>
      <c r="V156" s="1" t="s">
        <v>31</v>
      </c>
      <c r="W156" s="1" t="s">
        <v>27</v>
      </c>
      <c r="X156" s="1" t="str">
        <f>IF(laptop[[#This Row],[PrimaryStorageType]]=laptop[[#This Row],[SecondaryStorageType]],laptop[[#This Row],[PrimaryStorageType]],"SSD &amp; HDD")</f>
        <v>SSD &amp; HDD</v>
      </c>
      <c r="Y156" s="1" t="s">
        <v>42</v>
      </c>
    </row>
    <row r="157" spans="1:25" x14ac:dyDescent="0.25">
      <c r="A157" s="1" t="s">
        <v>36</v>
      </c>
      <c r="B157" s="1" t="s">
        <v>228</v>
      </c>
      <c r="C157" s="1" t="s">
        <v>38</v>
      </c>
      <c r="D157">
        <v>15.6</v>
      </c>
      <c r="E157">
        <v>6</v>
      </c>
      <c r="F157" s="1" t="s">
        <v>48</v>
      </c>
      <c r="G157">
        <v>1.91</v>
      </c>
      <c r="H157">
        <v>619</v>
      </c>
      <c r="I157" s="1" t="s">
        <v>40</v>
      </c>
      <c r="J157">
        <v>1920</v>
      </c>
      <c r="K157">
        <v>1080</v>
      </c>
      <c r="L157" s="1" t="s">
        <v>27</v>
      </c>
      <c r="M157" s="1" t="s">
        <v>27</v>
      </c>
      <c r="N157" s="1" t="s">
        <v>27</v>
      </c>
      <c r="O157" s="1" t="s">
        <v>29</v>
      </c>
      <c r="P157">
        <v>1.6</v>
      </c>
      <c r="Q157" s="1" t="s">
        <v>60</v>
      </c>
      <c r="R157" s="1" t="str">
        <f>_xlfn.CONCAT(laptop[[#This Row],[CPU_company]]," ",laptop[[#This Row],[CPU_model]])</f>
        <v>Intel Core i5 8250U</v>
      </c>
      <c r="S157">
        <v>256</v>
      </c>
      <c r="T157">
        <v>0</v>
      </c>
      <c r="U157">
        <f>laptop[[#This Row],[PrimaryStorage]]+laptop[[#This Row],[SecondaryStorage]]</f>
        <v>256</v>
      </c>
      <c r="V157" s="1" t="s">
        <v>31</v>
      </c>
      <c r="W157" s="1" t="s">
        <v>27</v>
      </c>
      <c r="X157" s="1" t="str">
        <f>IF(laptop[[#This Row],[PrimaryStorageType]]=laptop[[#This Row],[SecondaryStorageType]],laptop[[#This Row],[PrimaryStorageType]],"SSD &amp; HDD")</f>
        <v>SSD &amp; HDD</v>
      </c>
      <c r="Y157" s="1" t="s">
        <v>138</v>
      </c>
    </row>
    <row r="158" spans="1:25" x14ac:dyDescent="0.25">
      <c r="A158" s="1" t="s">
        <v>73</v>
      </c>
      <c r="B158" s="1" t="s">
        <v>229</v>
      </c>
      <c r="C158" s="1" t="s">
        <v>90</v>
      </c>
      <c r="D158">
        <v>14</v>
      </c>
      <c r="E158">
        <v>4</v>
      </c>
      <c r="F158" s="1" t="s">
        <v>48</v>
      </c>
      <c r="G158">
        <v>1.74</v>
      </c>
      <c r="H158">
        <v>629</v>
      </c>
      <c r="I158" s="1" t="s">
        <v>40</v>
      </c>
      <c r="J158">
        <v>1920</v>
      </c>
      <c r="K158">
        <v>1080</v>
      </c>
      <c r="L158" s="1" t="s">
        <v>28</v>
      </c>
      <c r="M158" s="1" t="s">
        <v>28</v>
      </c>
      <c r="N158" s="1" t="s">
        <v>27</v>
      </c>
      <c r="O158" s="1" t="s">
        <v>29</v>
      </c>
      <c r="P158">
        <v>2.4</v>
      </c>
      <c r="Q158" s="1" t="s">
        <v>75</v>
      </c>
      <c r="R158" s="1" t="str">
        <f>_xlfn.CONCAT(laptop[[#This Row],[CPU_company]]," ",laptop[[#This Row],[CPU_model]])</f>
        <v>Intel Core i3 7100U</v>
      </c>
      <c r="S158">
        <v>256</v>
      </c>
      <c r="T158">
        <v>0</v>
      </c>
      <c r="U158">
        <f>laptop[[#This Row],[PrimaryStorage]]+laptop[[#This Row],[SecondaryStorage]]</f>
        <v>256</v>
      </c>
      <c r="V158" s="1" t="s">
        <v>31</v>
      </c>
      <c r="W158" s="1" t="s">
        <v>27</v>
      </c>
      <c r="X158" s="1" t="str">
        <f>IF(laptop[[#This Row],[PrimaryStorageType]]=laptop[[#This Row],[SecondaryStorageType]],laptop[[#This Row],[PrimaryStorageType]],"SSD &amp; HDD")</f>
        <v>SSD &amp; HDD</v>
      </c>
      <c r="Y158" s="1" t="s">
        <v>42</v>
      </c>
    </row>
    <row r="159" spans="1:25" x14ac:dyDescent="0.25">
      <c r="A159" s="1" t="s">
        <v>55</v>
      </c>
      <c r="B159" s="1" t="s">
        <v>230</v>
      </c>
      <c r="C159" s="1" t="s">
        <v>90</v>
      </c>
      <c r="D159">
        <v>13.3</v>
      </c>
      <c r="E159">
        <v>8</v>
      </c>
      <c r="F159" s="1" t="s">
        <v>48</v>
      </c>
      <c r="G159">
        <v>1.1000000000000001</v>
      </c>
      <c r="H159">
        <v>1315</v>
      </c>
      <c r="I159" s="1" t="s">
        <v>40</v>
      </c>
      <c r="J159">
        <v>1920</v>
      </c>
      <c r="K159">
        <v>1080</v>
      </c>
      <c r="L159" s="1" t="s">
        <v>28</v>
      </c>
      <c r="M159" s="1" t="s">
        <v>27</v>
      </c>
      <c r="N159" s="1" t="s">
        <v>27</v>
      </c>
      <c r="O159" s="1" t="s">
        <v>29</v>
      </c>
      <c r="P159">
        <v>1.6</v>
      </c>
      <c r="Q159" s="1" t="s">
        <v>60</v>
      </c>
      <c r="R159" s="1" t="str">
        <f>_xlfn.CONCAT(laptop[[#This Row],[CPU_company]]," ",laptop[[#This Row],[CPU_model]])</f>
        <v>Intel Core i5 8250U</v>
      </c>
      <c r="S159">
        <v>256</v>
      </c>
      <c r="T159">
        <v>0</v>
      </c>
      <c r="U159">
        <f>laptop[[#This Row],[PrimaryStorage]]+laptop[[#This Row],[SecondaryStorage]]</f>
        <v>256</v>
      </c>
      <c r="V159" s="1" t="s">
        <v>31</v>
      </c>
      <c r="W159" s="1" t="s">
        <v>27</v>
      </c>
      <c r="X159" s="1" t="str">
        <f>IF(laptop[[#This Row],[PrimaryStorageType]]=laptop[[#This Row],[SecondaryStorageType]],laptop[[#This Row],[PrimaryStorageType]],"SSD &amp; HDD")</f>
        <v>SSD &amp; HDD</v>
      </c>
      <c r="Y159" s="1" t="s">
        <v>42</v>
      </c>
    </row>
    <row r="160" spans="1:25" x14ac:dyDescent="0.25">
      <c r="A160" s="1" t="s">
        <v>65</v>
      </c>
      <c r="B160" s="1" t="s">
        <v>231</v>
      </c>
      <c r="C160" s="1" t="s">
        <v>90</v>
      </c>
      <c r="D160">
        <v>15.6</v>
      </c>
      <c r="E160">
        <v>8</v>
      </c>
      <c r="F160" s="1" t="s">
        <v>48</v>
      </c>
      <c r="G160">
        <v>1.56</v>
      </c>
      <c r="H160">
        <v>1049</v>
      </c>
      <c r="I160" s="1" t="s">
        <v>40</v>
      </c>
      <c r="J160">
        <v>1920</v>
      </c>
      <c r="K160">
        <v>1080</v>
      </c>
      <c r="L160" s="1" t="s">
        <v>28</v>
      </c>
      <c r="M160" s="1" t="s">
        <v>27</v>
      </c>
      <c r="N160" s="1" t="s">
        <v>27</v>
      </c>
      <c r="O160" s="1" t="s">
        <v>29</v>
      </c>
      <c r="P160">
        <v>1.8</v>
      </c>
      <c r="Q160" s="1" t="s">
        <v>57</v>
      </c>
      <c r="R160" s="1" t="str">
        <f>_xlfn.CONCAT(laptop[[#This Row],[CPU_company]]," ",laptop[[#This Row],[CPU_model]])</f>
        <v>Intel Core i7 8550U</v>
      </c>
      <c r="S160">
        <v>256</v>
      </c>
      <c r="T160">
        <v>0</v>
      </c>
      <c r="U160">
        <f>laptop[[#This Row],[PrimaryStorage]]+laptop[[#This Row],[SecondaryStorage]]</f>
        <v>256</v>
      </c>
      <c r="V160" s="1" t="s">
        <v>31</v>
      </c>
      <c r="W160" s="1" t="s">
        <v>27</v>
      </c>
      <c r="X160" s="1" t="str">
        <f>IF(laptop[[#This Row],[PrimaryStorageType]]=laptop[[#This Row],[SecondaryStorageType]],laptop[[#This Row],[PrimaryStorageType]],"SSD &amp; HDD")</f>
        <v>SSD &amp; HDD</v>
      </c>
      <c r="Y160" s="1" t="s">
        <v>61</v>
      </c>
    </row>
    <row r="161" spans="1:25" x14ac:dyDescent="0.25">
      <c r="A161" s="1" t="s">
        <v>210</v>
      </c>
      <c r="B161" s="1" t="s">
        <v>211</v>
      </c>
      <c r="C161" s="1" t="s">
        <v>38</v>
      </c>
      <c r="D161">
        <v>15.6</v>
      </c>
      <c r="E161">
        <v>4</v>
      </c>
      <c r="F161" s="1" t="s">
        <v>48</v>
      </c>
      <c r="G161">
        <v>2.1</v>
      </c>
      <c r="H161">
        <v>447</v>
      </c>
      <c r="I161" s="1" t="s">
        <v>26</v>
      </c>
      <c r="J161">
        <v>1366</v>
      </c>
      <c r="K161">
        <v>768</v>
      </c>
      <c r="L161" s="1" t="s">
        <v>27</v>
      </c>
      <c r="M161" s="1" t="s">
        <v>27</v>
      </c>
      <c r="N161" s="1" t="s">
        <v>27</v>
      </c>
      <c r="O161" s="1" t="s">
        <v>29</v>
      </c>
      <c r="P161">
        <v>2.2000000000000002</v>
      </c>
      <c r="Q161" s="1" t="s">
        <v>62</v>
      </c>
      <c r="R161" s="1" t="str">
        <f>_xlfn.CONCAT(laptop[[#This Row],[CPU_company]]," ",laptop[[#This Row],[CPU_model]])</f>
        <v>Intel Core i3 6006U</v>
      </c>
      <c r="S161">
        <v>500</v>
      </c>
      <c r="T161">
        <v>0</v>
      </c>
      <c r="U161">
        <f>laptop[[#This Row],[PrimaryStorage]]+laptop[[#This Row],[SecondaryStorage]]</f>
        <v>500</v>
      </c>
      <c r="V161" s="1" t="s">
        <v>51</v>
      </c>
      <c r="W161" s="1" t="s">
        <v>27</v>
      </c>
      <c r="X161" s="1" t="str">
        <f>IF(laptop[[#This Row],[PrimaryStorageType]]=laptop[[#This Row],[SecondaryStorageType]],laptop[[#This Row],[PrimaryStorageType]],"SSD &amp; HDD")</f>
        <v>SSD &amp; HDD</v>
      </c>
      <c r="Y161" s="1" t="s">
        <v>63</v>
      </c>
    </row>
    <row r="162" spans="1:25" x14ac:dyDescent="0.25">
      <c r="A162" s="1" t="s">
        <v>55</v>
      </c>
      <c r="B162" s="1" t="s">
        <v>232</v>
      </c>
      <c r="C162" s="1" t="s">
        <v>38</v>
      </c>
      <c r="D162">
        <v>15.6</v>
      </c>
      <c r="E162">
        <v>4</v>
      </c>
      <c r="F162" s="1" t="s">
        <v>48</v>
      </c>
      <c r="G162">
        <v>2.0299999999999998</v>
      </c>
      <c r="H162">
        <v>403</v>
      </c>
      <c r="I162" s="1" t="s">
        <v>26</v>
      </c>
      <c r="J162">
        <v>1366</v>
      </c>
      <c r="K162">
        <v>768</v>
      </c>
      <c r="L162" s="1" t="s">
        <v>27</v>
      </c>
      <c r="M162" s="1" t="s">
        <v>27</v>
      </c>
      <c r="N162" s="1" t="s">
        <v>27</v>
      </c>
      <c r="O162" s="1" t="s">
        <v>49</v>
      </c>
      <c r="P162">
        <v>3</v>
      </c>
      <c r="Q162" s="1" t="s">
        <v>50</v>
      </c>
      <c r="R162" s="1" t="str">
        <f>_xlfn.CONCAT(laptop[[#This Row],[CPU_company]]," ",laptop[[#This Row],[CPU_model]])</f>
        <v>AMD A9-Series 9420</v>
      </c>
      <c r="S162">
        <v>1024</v>
      </c>
      <c r="T162">
        <v>0</v>
      </c>
      <c r="U162">
        <f>laptop[[#This Row],[PrimaryStorage]]+laptop[[#This Row],[SecondaryStorage]]</f>
        <v>1024</v>
      </c>
      <c r="V162" s="1" t="s">
        <v>51</v>
      </c>
      <c r="W162" s="1" t="s">
        <v>27</v>
      </c>
      <c r="X162" s="1" t="str">
        <f>IF(laptop[[#This Row],[PrimaryStorageType]]=laptop[[#This Row],[SecondaryStorageType]],laptop[[#This Row],[PrimaryStorageType]],"SSD &amp; HDD")</f>
        <v>SSD &amp; HDD</v>
      </c>
      <c r="Y162" s="1" t="s">
        <v>233</v>
      </c>
    </row>
    <row r="163" spans="1:25" x14ac:dyDescent="0.25">
      <c r="A163" s="1" t="s">
        <v>46</v>
      </c>
      <c r="B163" s="1" t="s">
        <v>234</v>
      </c>
      <c r="C163" s="1" t="s">
        <v>38</v>
      </c>
      <c r="D163">
        <v>17.3</v>
      </c>
      <c r="E163">
        <v>4</v>
      </c>
      <c r="F163" s="1" t="s">
        <v>48</v>
      </c>
      <c r="G163">
        <v>3</v>
      </c>
      <c r="H163">
        <v>805</v>
      </c>
      <c r="I163" s="1" t="s">
        <v>40</v>
      </c>
      <c r="J163">
        <v>1920</v>
      </c>
      <c r="K163">
        <v>1080</v>
      </c>
      <c r="L163" s="1" t="s">
        <v>27</v>
      </c>
      <c r="M163" s="1" t="s">
        <v>28</v>
      </c>
      <c r="N163" s="1" t="s">
        <v>27</v>
      </c>
      <c r="O163" s="1" t="s">
        <v>29</v>
      </c>
      <c r="P163">
        <v>1.6</v>
      </c>
      <c r="Q163" s="1" t="s">
        <v>60</v>
      </c>
      <c r="R163" s="1" t="str">
        <f>_xlfn.CONCAT(laptop[[#This Row],[CPU_company]]," ",laptop[[#This Row],[CPU_model]])</f>
        <v>Intel Core i5 8250U</v>
      </c>
      <c r="S163">
        <v>256</v>
      </c>
      <c r="T163">
        <v>0</v>
      </c>
      <c r="U163">
        <f>laptop[[#This Row],[PrimaryStorage]]+laptop[[#This Row],[SecondaryStorage]]</f>
        <v>256</v>
      </c>
      <c r="V163" s="1" t="s">
        <v>31</v>
      </c>
      <c r="W163" s="1" t="s">
        <v>27</v>
      </c>
      <c r="X163" s="1" t="str">
        <f>IF(laptop[[#This Row],[PrimaryStorageType]]=laptop[[#This Row],[SecondaryStorageType]],laptop[[#This Row],[PrimaryStorageType]],"SSD &amp; HDD")</f>
        <v>SSD &amp; HDD</v>
      </c>
      <c r="Y163" s="1" t="s">
        <v>58</v>
      </c>
    </row>
    <row r="164" spans="1:25" x14ac:dyDescent="0.25">
      <c r="A164" s="1" t="s">
        <v>65</v>
      </c>
      <c r="B164" s="1" t="s">
        <v>137</v>
      </c>
      <c r="C164" s="1" t="s">
        <v>38</v>
      </c>
      <c r="D164">
        <v>15.6</v>
      </c>
      <c r="E164">
        <v>8</v>
      </c>
      <c r="F164" s="1" t="s">
        <v>48</v>
      </c>
      <c r="G164">
        <v>2.13</v>
      </c>
      <c r="H164">
        <v>728</v>
      </c>
      <c r="I164" s="1" t="s">
        <v>40</v>
      </c>
      <c r="J164">
        <v>1920</v>
      </c>
      <c r="K164">
        <v>1080</v>
      </c>
      <c r="L164" s="1" t="s">
        <v>27</v>
      </c>
      <c r="M164" s="1" t="s">
        <v>27</v>
      </c>
      <c r="N164" s="1" t="s">
        <v>27</v>
      </c>
      <c r="O164" s="1" t="s">
        <v>29</v>
      </c>
      <c r="P164">
        <v>1.6</v>
      </c>
      <c r="Q164" s="1" t="s">
        <v>60</v>
      </c>
      <c r="R164" s="1" t="str">
        <f>_xlfn.CONCAT(laptop[[#This Row],[CPU_company]]," ",laptop[[#This Row],[CPU_model]])</f>
        <v>Intel Core i5 8250U</v>
      </c>
      <c r="S164">
        <v>256</v>
      </c>
      <c r="T164">
        <v>0</v>
      </c>
      <c r="U164">
        <f>laptop[[#This Row],[PrimaryStorage]]+laptop[[#This Row],[SecondaryStorage]]</f>
        <v>256</v>
      </c>
      <c r="V164" s="1" t="s">
        <v>31</v>
      </c>
      <c r="W164" s="1" t="s">
        <v>27</v>
      </c>
      <c r="X164" s="1" t="str">
        <f>IF(laptop[[#This Row],[PrimaryStorageType]]=laptop[[#This Row],[SecondaryStorageType]],laptop[[#This Row],[PrimaryStorageType]],"SSD &amp; HDD")</f>
        <v>SSD &amp; HDD</v>
      </c>
      <c r="Y164" s="1" t="s">
        <v>138</v>
      </c>
    </row>
    <row r="165" spans="1:25" x14ac:dyDescent="0.25">
      <c r="A165" s="1" t="s">
        <v>73</v>
      </c>
      <c r="B165" s="1" t="s">
        <v>82</v>
      </c>
      <c r="C165" s="1" t="s">
        <v>83</v>
      </c>
      <c r="D165">
        <v>15.6</v>
      </c>
      <c r="E165">
        <v>16</v>
      </c>
      <c r="F165" s="1" t="s">
        <v>48</v>
      </c>
      <c r="G165">
        <v>2.5</v>
      </c>
      <c r="H165">
        <v>1079</v>
      </c>
      <c r="I165" s="1" t="s">
        <v>40</v>
      </c>
      <c r="J165">
        <v>1920</v>
      </c>
      <c r="K165">
        <v>1080</v>
      </c>
      <c r="L165" s="1" t="s">
        <v>27</v>
      </c>
      <c r="M165" s="1" t="s">
        <v>28</v>
      </c>
      <c r="N165" s="1" t="s">
        <v>27</v>
      </c>
      <c r="O165" s="1" t="s">
        <v>29</v>
      </c>
      <c r="P165">
        <v>2.8</v>
      </c>
      <c r="Q165" s="1" t="s">
        <v>118</v>
      </c>
      <c r="R165" s="1" t="str">
        <f>_xlfn.CONCAT(laptop[[#This Row],[CPU_company]]," ",laptop[[#This Row],[CPU_model]])</f>
        <v>Intel Core i7 7700HQ</v>
      </c>
      <c r="S165">
        <v>256</v>
      </c>
      <c r="T165">
        <v>0</v>
      </c>
      <c r="U165">
        <f>laptop[[#This Row],[PrimaryStorage]]+laptop[[#This Row],[SecondaryStorage]]</f>
        <v>256</v>
      </c>
      <c r="V165" s="1" t="s">
        <v>31</v>
      </c>
      <c r="W165" s="1" t="s">
        <v>27</v>
      </c>
      <c r="X165" s="1" t="str">
        <f>IF(laptop[[#This Row],[PrimaryStorageType]]=laptop[[#This Row],[SecondaryStorageType]],laptop[[#This Row],[PrimaryStorageType]],"SSD &amp; HDD")</f>
        <v>SSD &amp; HDD</v>
      </c>
      <c r="Y165" s="1" t="s">
        <v>149</v>
      </c>
    </row>
    <row r="166" spans="1:25" x14ac:dyDescent="0.25">
      <c r="A166" s="1" t="s">
        <v>46</v>
      </c>
      <c r="B166" s="1" t="s">
        <v>235</v>
      </c>
      <c r="C166" s="1" t="s">
        <v>38</v>
      </c>
      <c r="D166">
        <v>15.6</v>
      </c>
      <c r="E166">
        <v>4</v>
      </c>
      <c r="F166" s="1" t="s">
        <v>48</v>
      </c>
      <c r="G166">
        <v>2.1</v>
      </c>
      <c r="H166">
        <v>348</v>
      </c>
      <c r="I166" s="1" t="s">
        <v>26</v>
      </c>
      <c r="J166">
        <v>1366</v>
      </c>
      <c r="K166">
        <v>768</v>
      </c>
      <c r="L166" s="1" t="s">
        <v>27</v>
      </c>
      <c r="M166" s="1" t="s">
        <v>27</v>
      </c>
      <c r="N166" s="1" t="s">
        <v>27</v>
      </c>
      <c r="O166" s="1" t="s">
        <v>29</v>
      </c>
      <c r="P166">
        <v>1.1000000000000001</v>
      </c>
      <c r="Q166" s="1" t="s">
        <v>109</v>
      </c>
      <c r="R166" s="1" t="str">
        <f>_xlfn.CONCAT(laptop[[#This Row],[CPU_company]]," ",laptop[[#This Row],[CPU_model]])</f>
        <v>Intel Celeron Dual Core N3350</v>
      </c>
      <c r="S166">
        <v>1024</v>
      </c>
      <c r="T166">
        <v>0</v>
      </c>
      <c r="U166">
        <f>laptop[[#This Row],[PrimaryStorage]]+laptop[[#This Row],[SecondaryStorage]]</f>
        <v>1024</v>
      </c>
      <c r="V166" s="1" t="s">
        <v>51</v>
      </c>
      <c r="W166" s="1" t="s">
        <v>27</v>
      </c>
      <c r="X166" s="1" t="str">
        <f>IF(laptop[[#This Row],[PrimaryStorageType]]=laptop[[#This Row],[SecondaryStorageType]],laptop[[#This Row],[PrimaryStorageType]],"SSD &amp; HDD")</f>
        <v>SSD &amp; HDD</v>
      </c>
      <c r="Y166" s="1" t="s">
        <v>110</v>
      </c>
    </row>
    <row r="167" spans="1:25" x14ac:dyDescent="0.25">
      <c r="A167" s="1" t="s">
        <v>141</v>
      </c>
      <c r="B167" s="1" t="s">
        <v>236</v>
      </c>
      <c r="C167" s="1" t="s">
        <v>83</v>
      </c>
      <c r="D167">
        <v>15.6</v>
      </c>
      <c r="E167">
        <v>16</v>
      </c>
      <c r="F167" s="1" t="s">
        <v>48</v>
      </c>
      <c r="G167">
        <v>2.4</v>
      </c>
      <c r="H167">
        <v>1799</v>
      </c>
      <c r="I167" s="1" t="s">
        <v>40</v>
      </c>
      <c r="J167">
        <v>1920</v>
      </c>
      <c r="K167">
        <v>1080</v>
      </c>
      <c r="L167" s="1" t="s">
        <v>27</v>
      </c>
      <c r="M167" s="1" t="s">
        <v>28</v>
      </c>
      <c r="N167" s="1" t="s">
        <v>27</v>
      </c>
      <c r="O167" s="1" t="s">
        <v>29</v>
      </c>
      <c r="P167">
        <v>2.8</v>
      </c>
      <c r="Q167" s="1" t="s">
        <v>118</v>
      </c>
      <c r="R167" s="1" t="str">
        <f>_xlfn.CONCAT(laptop[[#This Row],[CPU_company]]," ",laptop[[#This Row],[CPU_model]])</f>
        <v>Intel Core i7 7700HQ</v>
      </c>
      <c r="S167">
        <v>256</v>
      </c>
      <c r="T167">
        <v>1024</v>
      </c>
      <c r="U167">
        <f>laptop[[#This Row],[PrimaryStorage]]+laptop[[#This Row],[SecondaryStorage]]</f>
        <v>1280</v>
      </c>
      <c r="V167" s="1" t="s">
        <v>31</v>
      </c>
      <c r="W167" s="1" t="s">
        <v>51</v>
      </c>
      <c r="X167" s="1" t="str">
        <f>IF(laptop[[#This Row],[PrimaryStorageType]]=laptop[[#This Row],[SecondaryStorageType]],laptop[[#This Row],[PrimaryStorageType]],"SSD &amp; HDD")</f>
        <v>SSD &amp; HDD</v>
      </c>
      <c r="Y167" s="1" t="s">
        <v>119</v>
      </c>
    </row>
    <row r="168" spans="1:25" x14ac:dyDescent="0.25">
      <c r="A168" s="1" t="s">
        <v>46</v>
      </c>
      <c r="B168" s="1" t="s">
        <v>47</v>
      </c>
      <c r="C168" s="1" t="s">
        <v>38</v>
      </c>
      <c r="D168">
        <v>15.6</v>
      </c>
      <c r="E168">
        <v>4</v>
      </c>
      <c r="F168" s="1" t="s">
        <v>48</v>
      </c>
      <c r="G168">
        <v>2.1</v>
      </c>
      <c r="H168">
        <v>363.51</v>
      </c>
      <c r="I168" s="1" t="s">
        <v>26</v>
      </c>
      <c r="J168">
        <v>1366</v>
      </c>
      <c r="K168">
        <v>768</v>
      </c>
      <c r="L168" s="1" t="s">
        <v>27</v>
      </c>
      <c r="M168" s="1" t="s">
        <v>27</v>
      </c>
      <c r="N168" s="1" t="s">
        <v>27</v>
      </c>
      <c r="O168" s="1" t="s">
        <v>29</v>
      </c>
      <c r="P168">
        <v>1.1000000000000001</v>
      </c>
      <c r="Q168" s="1" t="s">
        <v>130</v>
      </c>
      <c r="R168" s="1" t="str">
        <f>_xlfn.CONCAT(laptop[[#This Row],[CPU_company]]," ",laptop[[#This Row],[CPU_model]])</f>
        <v>Intel Pentium Quad Core N4200</v>
      </c>
      <c r="S168">
        <v>1024</v>
      </c>
      <c r="T168">
        <v>0</v>
      </c>
      <c r="U168">
        <f>laptop[[#This Row],[PrimaryStorage]]+laptop[[#This Row],[SecondaryStorage]]</f>
        <v>1024</v>
      </c>
      <c r="V168" s="1" t="s">
        <v>51</v>
      </c>
      <c r="W168" s="1" t="s">
        <v>27</v>
      </c>
      <c r="X168" s="1" t="str">
        <f>IF(laptop[[#This Row],[PrimaryStorageType]]=laptop[[#This Row],[SecondaryStorageType]],laptop[[#This Row],[PrimaryStorageType]],"SSD &amp; HDD")</f>
        <v>SSD &amp; HDD</v>
      </c>
      <c r="Y168" s="1" t="s">
        <v>237</v>
      </c>
    </row>
    <row r="169" spans="1:25" x14ac:dyDescent="0.25">
      <c r="A169" s="1" t="s">
        <v>65</v>
      </c>
      <c r="B169" s="1" t="s">
        <v>221</v>
      </c>
      <c r="C169" s="1" t="s">
        <v>83</v>
      </c>
      <c r="D169">
        <v>15.6</v>
      </c>
      <c r="E169">
        <v>8</v>
      </c>
      <c r="F169" s="1" t="s">
        <v>48</v>
      </c>
      <c r="G169">
        <v>2.56</v>
      </c>
      <c r="H169">
        <v>1060.49</v>
      </c>
      <c r="I169" s="1" t="s">
        <v>40</v>
      </c>
      <c r="J169">
        <v>1920</v>
      </c>
      <c r="K169">
        <v>1080</v>
      </c>
      <c r="L169" s="1" t="s">
        <v>27</v>
      </c>
      <c r="M169" s="1" t="s">
        <v>27</v>
      </c>
      <c r="N169" s="1" t="s">
        <v>27</v>
      </c>
      <c r="O169" s="1" t="s">
        <v>29</v>
      </c>
      <c r="P169">
        <v>2.8</v>
      </c>
      <c r="Q169" s="1" t="s">
        <v>118</v>
      </c>
      <c r="R169" s="1" t="str">
        <f>_xlfn.CONCAT(laptop[[#This Row],[CPU_company]]," ",laptop[[#This Row],[CPU_model]])</f>
        <v>Intel Core i7 7700HQ</v>
      </c>
      <c r="S169">
        <v>128</v>
      </c>
      <c r="T169">
        <v>1024</v>
      </c>
      <c r="U169">
        <f>laptop[[#This Row],[PrimaryStorage]]+laptop[[#This Row],[SecondaryStorage]]</f>
        <v>1152</v>
      </c>
      <c r="V169" s="1" t="s">
        <v>31</v>
      </c>
      <c r="W169" s="1" t="s">
        <v>51</v>
      </c>
      <c r="X169" s="1" t="str">
        <f>IF(laptop[[#This Row],[PrimaryStorageType]]=laptop[[#This Row],[SecondaryStorageType]],laptop[[#This Row],[PrimaryStorageType]],"SSD &amp; HDD")</f>
        <v>SSD &amp; HDD</v>
      </c>
      <c r="Y169" s="1" t="s">
        <v>85</v>
      </c>
    </row>
    <row r="170" spans="1:25" x14ac:dyDescent="0.25">
      <c r="A170" s="1" t="s">
        <v>46</v>
      </c>
      <c r="B170" s="1" t="s">
        <v>234</v>
      </c>
      <c r="C170" s="1" t="s">
        <v>38</v>
      </c>
      <c r="D170">
        <v>17.3</v>
      </c>
      <c r="E170">
        <v>8</v>
      </c>
      <c r="F170" s="1" t="s">
        <v>48</v>
      </c>
      <c r="G170">
        <v>3</v>
      </c>
      <c r="H170">
        <v>854</v>
      </c>
      <c r="I170" s="1" t="s">
        <v>40</v>
      </c>
      <c r="J170">
        <v>1920</v>
      </c>
      <c r="K170">
        <v>1080</v>
      </c>
      <c r="L170" s="1" t="s">
        <v>27</v>
      </c>
      <c r="M170" s="1" t="s">
        <v>28</v>
      </c>
      <c r="N170" s="1" t="s">
        <v>27</v>
      </c>
      <c r="O170" s="1" t="s">
        <v>29</v>
      </c>
      <c r="P170">
        <v>1.6</v>
      </c>
      <c r="Q170" s="1" t="s">
        <v>60</v>
      </c>
      <c r="R170" s="1" t="str">
        <f>_xlfn.CONCAT(laptop[[#This Row],[CPU_company]]," ",laptop[[#This Row],[CPU_model]])</f>
        <v>Intel Core i5 8250U</v>
      </c>
      <c r="S170">
        <v>256</v>
      </c>
      <c r="T170">
        <v>0</v>
      </c>
      <c r="U170">
        <f>laptop[[#This Row],[PrimaryStorage]]+laptop[[#This Row],[SecondaryStorage]]</f>
        <v>256</v>
      </c>
      <c r="V170" s="1" t="s">
        <v>31</v>
      </c>
      <c r="W170" s="1" t="s">
        <v>27</v>
      </c>
      <c r="X170" s="1" t="str">
        <f>IF(laptop[[#This Row],[PrimaryStorageType]]=laptop[[#This Row],[SecondaryStorageType]],laptop[[#This Row],[PrimaryStorageType]],"SSD &amp; HDD")</f>
        <v>SSD &amp; HDD</v>
      </c>
      <c r="Y170" s="1" t="s">
        <v>58</v>
      </c>
    </row>
    <row r="171" spans="1:25" x14ac:dyDescent="0.25">
      <c r="A171" s="1" t="s">
        <v>36</v>
      </c>
      <c r="B171" s="1" t="s">
        <v>136</v>
      </c>
      <c r="C171" s="1" t="s">
        <v>38</v>
      </c>
      <c r="D171">
        <v>13.3</v>
      </c>
      <c r="E171">
        <v>4</v>
      </c>
      <c r="F171" s="1" t="s">
        <v>48</v>
      </c>
      <c r="G171">
        <v>1.49</v>
      </c>
      <c r="H171">
        <v>754</v>
      </c>
      <c r="I171" s="1" t="s">
        <v>40</v>
      </c>
      <c r="J171">
        <v>1920</v>
      </c>
      <c r="K171">
        <v>1080</v>
      </c>
      <c r="L171" s="1" t="s">
        <v>27</v>
      </c>
      <c r="M171" s="1" t="s">
        <v>28</v>
      </c>
      <c r="N171" s="1" t="s">
        <v>27</v>
      </c>
      <c r="O171" s="1" t="s">
        <v>29</v>
      </c>
      <c r="P171">
        <v>1.6</v>
      </c>
      <c r="Q171" s="1" t="s">
        <v>60</v>
      </c>
      <c r="R171" s="1" t="str">
        <f>_xlfn.CONCAT(laptop[[#This Row],[CPU_company]]," ",laptop[[#This Row],[CPU_model]])</f>
        <v>Intel Core i5 8250U</v>
      </c>
      <c r="S171">
        <v>500</v>
      </c>
      <c r="T171">
        <v>0</v>
      </c>
      <c r="U171">
        <f>laptop[[#This Row],[PrimaryStorage]]+laptop[[#This Row],[SecondaryStorage]]</f>
        <v>500</v>
      </c>
      <c r="V171" s="1" t="s">
        <v>51</v>
      </c>
      <c r="W171" s="1" t="s">
        <v>27</v>
      </c>
      <c r="X171" s="1" t="str">
        <f>IF(laptop[[#This Row],[PrimaryStorageType]]=laptop[[#This Row],[SecondaryStorageType]],laptop[[#This Row],[PrimaryStorageType]],"SSD &amp; HDD")</f>
        <v>SSD &amp; HDD</v>
      </c>
      <c r="Y171" s="1" t="s">
        <v>61</v>
      </c>
    </row>
    <row r="172" spans="1:25" x14ac:dyDescent="0.25">
      <c r="A172" s="1" t="s">
        <v>238</v>
      </c>
      <c r="B172" s="1" t="s">
        <v>239</v>
      </c>
      <c r="C172" s="1" t="s">
        <v>24</v>
      </c>
      <c r="D172">
        <v>13</v>
      </c>
      <c r="E172">
        <v>8</v>
      </c>
      <c r="F172" s="1" t="s">
        <v>48</v>
      </c>
      <c r="G172">
        <v>1.05</v>
      </c>
      <c r="H172">
        <v>1349</v>
      </c>
      <c r="I172" s="1" t="s">
        <v>40</v>
      </c>
      <c r="J172">
        <v>2160</v>
      </c>
      <c r="K172">
        <v>1440</v>
      </c>
      <c r="L172" s="1" t="s">
        <v>27</v>
      </c>
      <c r="M172" s="1" t="s">
        <v>28</v>
      </c>
      <c r="N172" s="1" t="s">
        <v>27</v>
      </c>
      <c r="O172" s="1" t="s">
        <v>29</v>
      </c>
      <c r="P172">
        <v>2.5</v>
      </c>
      <c r="Q172" s="1" t="s">
        <v>41</v>
      </c>
      <c r="R172" s="1" t="str">
        <f>_xlfn.CONCAT(laptop[[#This Row],[CPU_company]]," ",laptop[[#This Row],[CPU_model]])</f>
        <v>Intel Core i5 7200U</v>
      </c>
      <c r="S172">
        <v>256</v>
      </c>
      <c r="T172">
        <v>0</v>
      </c>
      <c r="U172">
        <f>laptop[[#This Row],[PrimaryStorage]]+laptop[[#This Row],[SecondaryStorage]]</f>
        <v>256</v>
      </c>
      <c r="V172" s="1" t="s">
        <v>31</v>
      </c>
      <c r="W172" s="1" t="s">
        <v>27</v>
      </c>
      <c r="X172" s="1" t="str">
        <f>IF(laptop[[#This Row],[PrimaryStorageType]]=laptop[[#This Row],[SecondaryStorageType]],laptop[[#This Row],[PrimaryStorageType]],"SSD &amp; HDD")</f>
        <v>SSD &amp; HDD</v>
      </c>
      <c r="Y172" s="1" t="s">
        <v>42</v>
      </c>
    </row>
    <row r="173" spans="1:25" x14ac:dyDescent="0.25">
      <c r="A173" s="1" t="s">
        <v>36</v>
      </c>
      <c r="B173" s="1" t="s">
        <v>240</v>
      </c>
      <c r="C173" s="1" t="s">
        <v>38</v>
      </c>
      <c r="D173">
        <v>17.3</v>
      </c>
      <c r="E173">
        <v>6</v>
      </c>
      <c r="F173" s="1" t="s">
        <v>48</v>
      </c>
      <c r="G173">
        <v>2.71</v>
      </c>
      <c r="H173">
        <v>699</v>
      </c>
      <c r="I173" s="1" t="s">
        <v>40</v>
      </c>
      <c r="J173">
        <v>1920</v>
      </c>
      <c r="K173">
        <v>1080</v>
      </c>
      <c r="L173" s="1" t="s">
        <v>27</v>
      </c>
      <c r="M173" s="1" t="s">
        <v>28</v>
      </c>
      <c r="N173" s="1" t="s">
        <v>27</v>
      </c>
      <c r="O173" s="1" t="s">
        <v>29</v>
      </c>
      <c r="P173">
        <v>2.5</v>
      </c>
      <c r="Q173" s="1" t="s">
        <v>41</v>
      </c>
      <c r="R173" s="1" t="str">
        <f>_xlfn.CONCAT(laptop[[#This Row],[CPU_company]]," ",laptop[[#This Row],[CPU_model]])</f>
        <v>Intel Core i5 7200U</v>
      </c>
      <c r="S173">
        <v>2048</v>
      </c>
      <c r="T173">
        <v>0</v>
      </c>
      <c r="U173">
        <f>laptop[[#This Row],[PrimaryStorage]]+laptop[[#This Row],[SecondaryStorage]]</f>
        <v>2048</v>
      </c>
      <c r="V173" s="1" t="s">
        <v>51</v>
      </c>
      <c r="W173" s="1" t="s">
        <v>27</v>
      </c>
      <c r="X173" s="1" t="str">
        <f>IF(laptop[[#This Row],[PrimaryStorageType]]=laptop[[#This Row],[SecondaryStorageType]],laptop[[#This Row],[PrimaryStorageType]],"SSD &amp; HDD")</f>
        <v>SSD &amp; HDD</v>
      </c>
      <c r="Y173" s="1" t="s">
        <v>138</v>
      </c>
    </row>
    <row r="174" spans="1:25" x14ac:dyDescent="0.25">
      <c r="A174" s="1" t="s">
        <v>73</v>
      </c>
      <c r="B174" s="1" t="s">
        <v>165</v>
      </c>
      <c r="C174" s="1" t="s">
        <v>38</v>
      </c>
      <c r="D174">
        <v>15.6</v>
      </c>
      <c r="E174">
        <v>4</v>
      </c>
      <c r="F174" s="1" t="s">
        <v>39</v>
      </c>
      <c r="G174">
        <v>2.2000000000000002</v>
      </c>
      <c r="H174">
        <v>309</v>
      </c>
      <c r="I174" s="1" t="s">
        <v>26</v>
      </c>
      <c r="J174">
        <v>1366</v>
      </c>
      <c r="K174">
        <v>768</v>
      </c>
      <c r="L174" s="1" t="s">
        <v>27</v>
      </c>
      <c r="M174" s="1" t="s">
        <v>27</v>
      </c>
      <c r="N174" s="1" t="s">
        <v>27</v>
      </c>
      <c r="O174" s="1" t="s">
        <v>49</v>
      </c>
      <c r="P174">
        <v>2.9</v>
      </c>
      <c r="Q174" s="1" t="s">
        <v>106</v>
      </c>
      <c r="R174" s="1" t="str">
        <f>_xlfn.CONCAT(laptop[[#This Row],[CPU_company]]," ",laptop[[#This Row],[CPU_model]])</f>
        <v>AMD A6-Series 9220</v>
      </c>
      <c r="S174">
        <v>500</v>
      </c>
      <c r="T174">
        <v>0</v>
      </c>
      <c r="U174">
        <f>laptop[[#This Row],[PrimaryStorage]]+laptop[[#This Row],[SecondaryStorage]]</f>
        <v>500</v>
      </c>
      <c r="V174" s="1" t="s">
        <v>51</v>
      </c>
      <c r="W174" s="1" t="s">
        <v>27</v>
      </c>
      <c r="X174" s="1" t="str">
        <f>IF(laptop[[#This Row],[PrimaryStorageType]]=laptop[[#This Row],[SecondaryStorageType]],laptop[[#This Row],[PrimaryStorageType]],"SSD &amp; HDD")</f>
        <v>SSD &amp; HDD</v>
      </c>
      <c r="Y174" s="1" t="s">
        <v>135</v>
      </c>
    </row>
    <row r="175" spans="1:25" x14ac:dyDescent="0.25">
      <c r="A175" s="1" t="s">
        <v>210</v>
      </c>
      <c r="B175" s="1" t="s">
        <v>211</v>
      </c>
      <c r="C175" s="1" t="s">
        <v>38</v>
      </c>
      <c r="D175">
        <v>15.6</v>
      </c>
      <c r="E175">
        <v>4</v>
      </c>
      <c r="F175" s="1" t="s">
        <v>48</v>
      </c>
      <c r="G175">
        <v>2</v>
      </c>
      <c r="H175">
        <v>489</v>
      </c>
      <c r="I175" s="1" t="s">
        <v>26</v>
      </c>
      <c r="J175">
        <v>1366</v>
      </c>
      <c r="K175">
        <v>768</v>
      </c>
      <c r="L175" s="1" t="s">
        <v>27</v>
      </c>
      <c r="M175" s="1" t="s">
        <v>27</v>
      </c>
      <c r="N175" s="1" t="s">
        <v>27</v>
      </c>
      <c r="O175" s="1" t="s">
        <v>29</v>
      </c>
      <c r="P175">
        <v>2.4</v>
      </c>
      <c r="Q175" s="1" t="s">
        <v>75</v>
      </c>
      <c r="R175" s="1" t="str">
        <f>_xlfn.CONCAT(laptop[[#This Row],[CPU_company]]," ",laptop[[#This Row],[CPU_model]])</f>
        <v>Intel Core i3 7100U</v>
      </c>
      <c r="S175">
        <v>500</v>
      </c>
      <c r="T175">
        <v>0</v>
      </c>
      <c r="U175">
        <f>laptop[[#This Row],[PrimaryStorage]]+laptop[[#This Row],[SecondaryStorage]]</f>
        <v>500</v>
      </c>
      <c r="V175" s="1" t="s">
        <v>51</v>
      </c>
      <c r="W175" s="1" t="s">
        <v>27</v>
      </c>
      <c r="X175" s="1" t="str">
        <f>IF(laptop[[#This Row],[PrimaryStorageType]]=laptop[[#This Row],[SecondaryStorageType]],laptop[[#This Row],[PrimaryStorageType]],"SSD &amp; HDD")</f>
        <v>SSD &amp; HDD</v>
      </c>
      <c r="Y175" s="1" t="s">
        <v>42</v>
      </c>
    </row>
    <row r="176" spans="1:25" x14ac:dyDescent="0.25">
      <c r="A176" s="1" t="s">
        <v>36</v>
      </c>
      <c r="B176" s="1" t="s">
        <v>97</v>
      </c>
      <c r="C176" s="1" t="s">
        <v>38</v>
      </c>
      <c r="D176">
        <v>17.3</v>
      </c>
      <c r="E176">
        <v>8</v>
      </c>
      <c r="F176" s="1" t="s">
        <v>48</v>
      </c>
      <c r="G176">
        <v>2.5</v>
      </c>
      <c r="H176">
        <v>923</v>
      </c>
      <c r="I176" s="1" t="s">
        <v>40</v>
      </c>
      <c r="J176">
        <v>1920</v>
      </c>
      <c r="K176">
        <v>1080</v>
      </c>
      <c r="L176" s="1" t="s">
        <v>27</v>
      </c>
      <c r="M176" s="1" t="s">
        <v>27</v>
      </c>
      <c r="N176" s="1" t="s">
        <v>27</v>
      </c>
      <c r="O176" s="1" t="s">
        <v>29</v>
      </c>
      <c r="P176">
        <v>1.6</v>
      </c>
      <c r="Q176" s="1" t="s">
        <v>60</v>
      </c>
      <c r="R176" s="1" t="str">
        <f>_xlfn.CONCAT(laptop[[#This Row],[CPU_company]]," ",laptop[[#This Row],[CPU_model]])</f>
        <v>Intel Core i5 8250U</v>
      </c>
      <c r="S176">
        <v>256</v>
      </c>
      <c r="T176">
        <v>0</v>
      </c>
      <c r="U176">
        <f>laptop[[#This Row],[PrimaryStorage]]+laptop[[#This Row],[SecondaryStorage]]</f>
        <v>256</v>
      </c>
      <c r="V176" s="1" t="s">
        <v>31</v>
      </c>
      <c r="W176" s="1" t="s">
        <v>27</v>
      </c>
      <c r="X176" s="1" t="str">
        <f>IF(laptop[[#This Row],[PrimaryStorageType]]=laptop[[#This Row],[SecondaryStorageType]],laptop[[#This Row],[PrimaryStorageType]],"SSD &amp; HDD")</f>
        <v>SSD &amp; HDD</v>
      </c>
      <c r="Y176" s="1" t="s">
        <v>98</v>
      </c>
    </row>
    <row r="177" spans="1:25" x14ac:dyDescent="0.25">
      <c r="A177" s="1" t="s">
        <v>65</v>
      </c>
      <c r="B177" s="1" t="s">
        <v>66</v>
      </c>
      <c r="C177" s="1" t="s">
        <v>38</v>
      </c>
      <c r="D177">
        <v>15.6</v>
      </c>
      <c r="E177">
        <v>8</v>
      </c>
      <c r="F177" s="1" t="s">
        <v>48</v>
      </c>
      <c r="G177">
        <v>2.2999999999999998</v>
      </c>
      <c r="H177">
        <v>459</v>
      </c>
      <c r="I177" s="1" t="s">
        <v>26</v>
      </c>
      <c r="J177">
        <v>1366</v>
      </c>
      <c r="K177">
        <v>768</v>
      </c>
      <c r="L177" s="1" t="s">
        <v>27</v>
      </c>
      <c r="M177" s="1" t="s">
        <v>27</v>
      </c>
      <c r="N177" s="1" t="s">
        <v>27</v>
      </c>
      <c r="O177" s="1" t="s">
        <v>29</v>
      </c>
      <c r="P177">
        <v>2.4</v>
      </c>
      <c r="Q177" s="1" t="s">
        <v>75</v>
      </c>
      <c r="R177" s="1" t="str">
        <f>_xlfn.CONCAT(laptop[[#This Row],[CPU_company]]," ",laptop[[#This Row],[CPU_model]])</f>
        <v>Intel Core i3 7100U</v>
      </c>
      <c r="S177">
        <v>1024</v>
      </c>
      <c r="T177">
        <v>0</v>
      </c>
      <c r="U177">
        <f>laptop[[#This Row],[PrimaryStorage]]+laptop[[#This Row],[SecondaryStorage]]</f>
        <v>1024</v>
      </c>
      <c r="V177" s="1" t="s">
        <v>51</v>
      </c>
      <c r="W177" s="1" t="s">
        <v>27</v>
      </c>
      <c r="X177" s="1" t="str">
        <f>IF(laptop[[#This Row],[PrimaryStorageType]]=laptop[[#This Row],[SecondaryStorageType]],laptop[[#This Row],[PrimaryStorageType]],"SSD &amp; HDD")</f>
        <v>SSD &amp; HDD</v>
      </c>
      <c r="Y177" s="1" t="s">
        <v>42</v>
      </c>
    </row>
    <row r="178" spans="1:25" x14ac:dyDescent="0.25">
      <c r="A178" s="1" t="s">
        <v>46</v>
      </c>
      <c r="B178" s="1" t="s">
        <v>220</v>
      </c>
      <c r="C178" s="1" t="s">
        <v>38</v>
      </c>
      <c r="D178">
        <v>15.6</v>
      </c>
      <c r="E178">
        <v>4</v>
      </c>
      <c r="F178" s="1" t="s">
        <v>48</v>
      </c>
      <c r="G178">
        <v>2.1</v>
      </c>
      <c r="H178">
        <v>449</v>
      </c>
      <c r="I178" s="1" t="s">
        <v>26</v>
      </c>
      <c r="J178">
        <v>1366</v>
      </c>
      <c r="K178">
        <v>768</v>
      </c>
      <c r="L178" s="1" t="s">
        <v>27</v>
      </c>
      <c r="M178" s="1" t="s">
        <v>27</v>
      </c>
      <c r="N178" s="1" t="s">
        <v>27</v>
      </c>
      <c r="O178" s="1" t="s">
        <v>29</v>
      </c>
      <c r="P178">
        <v>2</v>
      </c>
      <c r="Q178" s="1" t="s">
        <v>62</v>
      </c>
      <c r="R178" s="1" t="str">
        <f>_xlfn.CONCAT(laptop[[#This Row],[CPU_company]]," ",laptop[[#This Row],[CPU_model]])</f>
        <v>Intel Core i3 6006U</v>
      </c>
      <c r="S178">
        <v>128</v>
      </c>
      <c r="T178">
        <v>0</v>
      </c>
      <c r="U178">
        <f>laptop[[#This Row],[PrimaryStorage]]+laptop[[#This Row],[SecondaryStorage]]</f>
        <v>128</v>
      </c>
      <c r="V178" s="1" t="s">
        <v>31</v>
      </c>
      <c r="W178" s="1" t="s">
        <v>27</v>
      </c>
      <c r="X178" s="1" t="str">
        <f>IF(laptop[[#This Row],[PrimaryStorageType]]=laptop[[#This Row],[SecondaryStorageType]],laptop[[#This Row],[PrimaryStorageType]],"SSD &amp; HDD")</f>
        <v>SSD &amp; HDD</v>
      </c>
      <c r="Y178" s="1" t="s">
        <v>63</v>
      </c>
    </row>
    <row r="179" spans="1:25" x14ac:dyDescent="0.25">
      <c r="A179" s="1" t="s">
        <v>141</v>
      </c>
      <c r="B179" s="1" t="s">
        <v>241</v>
      </c>
      <c r="C179" s="1" t="s">
        <v>83</v>
      </c>
      <c r="D179">
        <v>18.399999999999999</v>
      </c>
      <c r="E179">
        <v>32</v>
      </c>
      <c r="F179" s="1" t="s">
        <v>48</v>
      </c>
      <c r="G179">
        <v>4.4000000000000004</v>
      </c>
      <c r="H179">
        <v>2799</v>
      </c>
      <c r="I179" s="1" t="s">
        <v>40</v>
      </c>
      <c r="J179">
        <v>1920</v>
      </c>
      <c r="K179">
        <v>1080</v>
      </c>
      <c r="L179" s="1" t="s">
        <v>27</v>
      </c>
      <c r="M179" s="1" t="s">
        <v>27</v>
      </c>
      <c r="N179" s="1" t="s">
        <v>27</v>
      </c>
      <c r="O179" s="1" t="s">
        <v>29</v>
      </c>
      <c r="P179">
        <v>2.9</v>
      </c>
      <c r="Q179" s="1" t="s">
        <v>242</v>
      </c>
      <c r="R179" s="1" t="str">
        <f>_xlfn.CONCAT(laptop[[#This Row],[CPU_company]]," ",laptop[[#This Row],[CPU_model]])</f>
        <v>Intel Core i7 6920HQ</v>
      </c>
      <c r="S179">
        <v>512</v>
      </c>
      <c r="T179">
        <v>1024</v>
      </c>
      <c r="U179">
        <f>laptop[[#This Row],[PrimaryStorage]]+laptop[[#This Row],[SecondaryStorage]]</f>
        <v>1536</v>
      </c>
      <c r="V179" s="1" t="s">
        <v>31</v>
      </c>
      <c r="W179" s="1" t="s">
        <v>51</v>
      </c>
      <c r="X179" s="1" t="str">
        <f>IF(laptop[[#This Row],[PrimaryStorageType]]=laptop[[#This Row],[SecondaryStorageType]],laptop[[#This Row],[PrimaryStorageType]],"SSD &amp; HDD")</f>
        <v>SSD &amp; HDD</v>
      </c>
      <c r="Y179" s="1" t="s">
        <v>243</v>
      </c>
    </row>
    <row r="180" spans="1:25" x14ac:dyDescent="0.25">
      <c r="A180" s="1" t="s">
        <v>73</v>
      </c>
      <c r="B180" s="1" t="s">
        <v>244</v>
      </c>
      <c r="C180" s="1" t="s">
        <v>38</v>
      </c>
      <c r="D180">
        <v>15.6</v>
      </c>
      <c r="E180">
        <v>8</v>
      </c>
      <c r="F180" s="1" t="s">
        <v>48</v>
      </c>
      <c r="G180">
        <v>1.9</v>
      </c>
      <c r="H180">
        <v>813</v>
      </c>
      <c r="I180" s="1" t="s">
        <v>40</v>
      </c>
      <c r="J180">
        <v>1920</v>
      </c>
      <c r="K180">
        <v>1080</v>
      </c>
      <c r="L180" s="1" t="s">
        <v>27</v>
      </c>
      <c r="M180" s="1" t="s">
        <v>27</v>
      </c>
      <c r="N180" s="1" t="s">
        <v>27</v>
      </c>
      <c r="O180" s="1" t="s">
        <v>29</v>
      </c>
      <c r="P180">
        <v>2.5</v>
      </c>
      <c r="Q180" s="1" t="s">
        <v>41</v>
      </c>
      <c r="R180" s="1" t="str">
        <f>_xlfn.CONCAT(laptop[[#This Row],[CPU_company]]," ",laptop[[#This Row],[CPU_model]])</f>
        <v>Intel Core i5 7200U</v>
      </c>
      <c r="S180">
        <v>128</v>
      </c>
      <c r="T180">
        <v>1024</v>
      </c>
      <c r="U180">
        <f>laptop[[#This Row],[PrimaryStorage]]+laptop[[#This Row],[SecondaryStorage]]</f>
        <v>1152</v>
      </c>
      <c r="V180" s="1" t="s">
        <v>31</v>
      </c>
      <c r="W180" s="1" t="s">
        <v>51</v>
      </c>
      <c r="X180" s="1" t="str">
        <f>IF(laptop[[#This Row],[PrimaryStorageType]]=laptop[[#This Row],[SecondaryStorageType]],laptop[[#This Row],[PrimaryStorageType]],"SSD &amp; HDD")</f>
        <v>SSD &amp; HDD</v>
      </c>
      <c r="Y180" s="1" t="s">
        <v>245</v>
      </c>
    </row>
    <row r="181" spans="1:25" x14ac:dyDescent="0.25">
      <c r="A181" s="1" t="s">
        <v>36</v>
      </c>
      <c r="B181" s="1" t="s">
        <v>192</v>
      </c>
      <c r="C181" s="1" t="s">
        <v>90</v>
      </c>
      <c r="D181">
        <v>13.3</v>
      </c>
      <c r="E181">
        <v>8</v>
      </c>
      <c r="F181" s="1" t="s">
        <v>48</v>
      </c>
      <c r="G181">
        <v>1.29</v>
      </c>
      <c r="H181">
        <v>1499</v>
      </c>
      <c r="I181" s="1" t="s">
        <v>215</v>
      </c>
      <c r="J181">
        <v>3840</v>
      </c>
      <c r="K181">
        <v>2160</v>
      </c>
      <c r="L181" s="1" t="s">
        <v>28</v>
      </c>
      <c r="M181" s="1" t="s">
        <v>28</v>
      </c>
      <c r="N181" s="1" t="s">
        <v>27</v>
      </c>
      <c r="O181" s="1" t="s">
        <v>29</v>
      </c>
      <c r="P181">
        <v>1.6</v>
      </c>
      <c r="Q181" s="1" t="s">
        <v>60</v>
      </c>
      <c r="R181" s="1" t="str">
        <f>_xlfn.CONCAT(laptop[[#This Row],[CPU_company]]," ",laptop[[#This Row],[CPU_model]])</f>
        <v>Intel Core i5 8250U</v>
      </c>
      <c r="S181">
        <v>256</v>
      </c>
      <c r="T181">
        <v>0</v>
      </c>
      <c r="U181">
        <f>laptop[[#This Row],[PrimaryStorage]]+laptop[[#This Row],[SecondaryStorage]]</f>
        <v>256</v>
      </c>
      <c r="V181" s="1" t="s">
        <v>31</v>
      </c>
      <c r="W181" s="1" t="s">
        <v>27</v>
      </c>
      <c r="X181" s="1" t="str">
        <f>IF(laptop[[#This Row],[PrimaryStorageType]]=laptop[[#This Row],[SecondaryStorageType]],laptop[[#This Row],[PrimaryStorageType]],"SSD &amp; HDD")</f>
        <v>SSD &amp; HDD</v>
      </c>
      <c r="Y181" s="1" t="s">
        <v>61</v>
      </c>
    </row>
    <row r="182" spans="1:25" x14ac:dyDescent="0.25">
      <c r="A182" s="1" t="s">
        <v>65</v>
      </c>
      <c r="B182" s="1" t="s">
        <v>93</v>
      </c>
      <c r="C182" s="1" t="s">
        <v>38</v>
      </c>
      <c r="D182">
        <v>15.6</v>
      </c>
      <c r="E182">
        <v>16</v>
      </c>
      <c r="F182" s="1" t="s">
        <v>111</v>
      </c>
      <c r="G182">
        <v>2.02</v>
      </c>
      <c r="H182">
        <v>1049</v>
      </c>
      <c r="I182" s="1" t="s">
        <v>40</v>
      </c>
      <c r="J182">
        <v>1920</v>
      </c>
      <c r="K182">
        <v>1080</v>
      </c>
      <c r="L182" s="1" t="s">
        <v>27</v>
      </c>
      <c r="M182" s="1" t="s">
        <v>27</v>
      </c>
      <c r="N182" s="1" t="s">
        <v>27</v>
      </c>
      <c r="O182" s="1" t="s">
        <v>29</v>
      </c>
      <c r="P182">
        <v>1.8</v>
      </c>
      <c r="Q182" s="1" t="s">
        <v>57</v>
      </c>
      <c r="R182" s="1" t="str">
        <f>_xlfn.CONCAT(laptop[[#This Row],[CPU_company]]," ",laptop[[#This Row],[CPU_model]])</f>
        <v>Intel Core i7 8550U</v>
      </c>
      <c r="S182">
        <v>256</v>
      </c>
      <c r="T182">
        <v>2048</v>
      </c>
      <c r="U182">
        <f>laptop[[#This Row],[PrimaryStorage]]+laptop[[#This Row],[SecondaryStorage]]</f>
        <v>2304</v>
      </c>
      <c r="V182" s="1" t="s">
        <v>31</v>
      </c>
      <c r="W182" s="1" t="s">
        <v>51</v>
      </c>
      <c r="X182" s="1" t="str">
        <f>IF(laptop[[#This Row],[PrimaryStorageType]]=laptop[[#This Row],[SecondaryStorageType]],laptop[[#This Row],[PrimaryStorageType]],"SSD &amp; HDD")</f>
        <v>SSD &amp; HDD</v>
      </c>
      <c r="Y182" s="1" t="s">
        <v>94</v>
      </c>
    </row>
    <row r="183" spans="1:25" x14ac:dyDescent="0.25">
      <c r="A183" s="1" t="s">
        <v>65</v>
      </c>
      <c r="B183" s="1" t="s">
        <v>77</v>
      </c>
      <c r="C183" s="1" t="s">
        <v>24</v>
      </c>
      <c r="D183">
        <v>13.3</v>
      </c>
      <c r="E183">
        <v>8</v>
      </c>
      <c r="F183" s="1" t="s">
        <v>48</v>
      </c>
      <c r="G183">
        <v>1.23</v>
      </c>
      <c r="H183">
        <v>1399</v>
      </c>
      <c r="I183" s="1" t="s">
        <v>40</v>
      </c>
      <c r="J183">
        <v>1920</v>
      </c>
      <c r="K183">
        <v>1080</v>
      </c>
      <c r="L183" s="1" t="s">
        <v>27</v>
      </c>
      <c r="M183" s="1" t="s">
        <v>27</v>
      </c>
      <c r="N183" s="1" t="s">
        <v>27</v>
      </c>
      <c r="O183" s="1" t="s">
        <v>29</v>
      </c>
      <c r="P183">
        <v>1.6</v>
      </c>
      <c r="Q183" s="1" t="s">
        <v>60</v>
      </c>
      <c r="R183" s="1" t="str">
        <f>_xlfn.CONCAT(laptop[[#This Row],[CPU_company]]," ",laptop[[#This Row],[CPU_model]])</f>
        <v>Intel Core i5 8250U</v>
      </c>
      <c r="S183">
        <v>256</v>
      </c>
      <c r="T183">
        <v>0</v>
      </c>
      <c r="U183">
        <f>laptop[[#This Row],[PrimaryStorage]]+laptop[[#This Row],[SecondaryStorage]]</f>
        <v>256</v>
      </c>
      <c r="V183" s="1" t="s">
        <v>31</v>
      </c>
      <c r="W183" s="1" t="s">
        <v>27</v>
      </c>
      <c r="X183" s="1" t="str">
        <f>IF(laptop[[#This Row],[PrimaryStorageType]]=laptop[[#This Row],[SecondaryStorageType]],laptop[[#This Row],[PrimaryStorageType]],"SSD &amp; HDD")</f>
        <v>SSD &amp; HDD</v>
      </c>
      <c r="Y183" s="1" t="s">
        <v>61</v>
      </c>
    </row>
    <row r="184" spans="1:25" x14ac:dyDescent="0.25">
      <c r="A184" s="1" t="s">
        <v>73</v>
      </c>
      <c r="B184" s="1" t="s">
        <v>246</v>
      </c>
      <c r="C184" s="1" t="s">
        <v>90</v>
      </c>
      <c r="D184">
        <v>13.9</v>
      </c>
      <c r="E184">
        <v>16</v>
      </c>
      <c r="F184" s="1" t="s">
        <v>48</v>
      </c>
      <c r="G184">
        <v>1.4</v>
      </c>
      <c r="H184">
        <v>1849</v>
      </c>
      <c r="I184" s="1" t="s">
        <v>215</v>
      </c>
      <c r="J184">
        <v>3840</v>
      </c>
      <c r="K184">
        <v>2160</v>
      </c>
      <c r="L184" s="1" t="s">
        <v>28</v>
      </c>
      <c r="M184" s="1" t="s">
        <v>28</v>
      </c>
      <c r="N184" s="1" t="s">
        <v>27</v>
      </c>
      <c r="O184" s="1" t="s">
        <v>29</v>
      </c>
      <c r="P184">
        <v>1.8</v>
      </c>
      <c r="Q184" s="1" t="s">
        <v>57</v>
      </c>
      <c r="R184" s="1" t="str">
        <f>_xlfn.CONCAT(laptop[[#This Row],[CPU_company]]," ",laptop[[#This Row],[CPU_model]])</f>
        <v>Intel Core i7 8550U</v>
      </c>
      <c r="S184">
        <v>512</v>
      </c>
      <c r="T184">
        <v>0</v>
      </c>
      <c r="U184">
        <f>laptop[[#This Row],[PrimaryStorage]]+laptop[[#This Row],[SecondaryStorage]]</f>
        <v>512</v>
      </c>
      <c r="V184" s="1" t="s">
        <v>31</v>
      </c>
      <c r="W184" s="1" t="s">
        <v>27</v>
      </c>
      <c r="X184" s="1" t="str">
        <f>IF(laptop[[#This Row],[PrimaryStorageType]]=laptop[[#This Row],[SecondaryStorageType]],laptop[[#This Row],[PrimaryStorageType]],"SSD &amp; HDD")</f>
        <v>SSD &amp; HDD</v>
      </c>
      <c r="Y184" s="1" t="s">
        <v>61</v>
      </c>
    </row>
    <row r="185" spans="1:25" x14ac:dyDescent="0.25">
      <c r="A185" s="1" t="s">
        <v>210</v>
      </c>
      <c r="B185" s="1" t="s">
        <v>211</v>
      </c>
      <c r="C185" s="1" t="s">
        <v>38</v>
      </c>
      <c r="D185">
        <v>15.6</v>
      </c>
      <c r="E185">
        <v>8</v>
      </c>
      <c r="F185" s="1" t="s">
        <v>48</v>
      </c>
      <c r="G185">
        <v>2</v>
      </c>
      <c r="H185">
        <v>793</v>
      </c>
      <c r="I185" s="1" t="s">
        <v>26</v>
      </c>
      <c r="J185">
        <v>1366</v>
      </c>
      <c r="K185">
        <v>768</v>
      </c>
      <c r="L185" s="1" t="s">
        <v>27</v>
      </c>
      <c r="M185" s="1" t="s">
        <v>27</v>
      </c>
      <c r="N185" s="1" t="s">
        <v>27</v>
      </c>
      <c r="O185" s="1" t="s">
        <v>29</v>
      </c>
      <c r="P185">
        <v>2.5</v>
      </c>
      <c r="Q185" s="1" t="s">
        <v>41</v>
      </c>
      <c r="R185" s="1" t="str">
        <f>_xlfn.CONCAT(laptop[[#This Row],[CPU_company]]," ",laptop[[#This Row],[CPU_model]])</f>
        <v>Intel Core i5 7200U</v>
      </c>
      <c r="S185">
        <v>128</v>
      </c>
      <c r="T185">
        <v>0</v>
      </c>
      <c r="U185">
        <f>laptop[[#This Row],[PrimaryStorage]]+laptop[[#This Row],[SecondaryStorage]]</f>
        <v>128</v>
      </c>
      <c r="V185" s="1" t="s">
        <v>31</v>
      </c>
      <c r="W185" s="1" t="s">
        <v>27</v>
      </c>
      <c r="X185" s="1" t="str">
        <f>IF(laptop[[#This Row],[PrimaryStorageType]]=laptop[[#This Row],[SecondaryStorageType]],laptop[[#This Row],[PrimaryStorageType]],"SSD &amp; HDD")</f>
        <v>SSD &amp; HDD</v>
      </c>
      <c r="Y185" s="1" t="s">
        <v>42</v>
      </c>
    </row>
    <row r="186" spans="1:25" x14ac:dyDescent="0.25">
      <c r="A186" s="1" t="s">
        <v>247</v>
      </c>
      <c r="B186" s="1" t="s">
        <v>248</v>
      </c>
      <c r="C186" s="1" t="s">
        <v>38</v>
      </c>
      <c r="D186">
        <v>15.6</v>
      </c>
      <c r="E186">
        <v>8</v>
      </c>
      <c r="F186" s="1" t="s">
        <v>39</v>
      </c>
      <c r="G186">
        <v>1.95</v>
      </c>
      <c r="H186">
        <v>1199</v>
      </c>
      <c r="I186" s="1" t="s">
        <v>40</v>
      </c>
      <c r="J186">
        <v>1920</v>
      </c>
      <c r="K186">
        <v>1080</v>
      </c>
      <c r="L186" s="1" t="s">
        <v>27</v>
      </c>
      <c r="M186" s="1" t="s">
        <v>28</v>
      </c>
      <c r="N186" s="1" t="s">
        <v>27</v>
      </c>
      <c r="O186" s="1" t="s">
        <v>29</v>
      </c>
      <c r="P186">
        <v>1.6</v>
      </c>
      <c r="Q186" s="1" t="s">
        <v>60</v>
      </c>
      <c r="R186" s="1" t="str">
        <f>_xlfn.CONCAT(laptop[[#This Row],[CPU_company]]," ",laptop[[#This Row],[CPU_model]])</f>
        <v>Intel Core i5 8250U</v>
      </c>
      <c r="S186">
        <v>256</v>
      </c>
      <c r="T186">
        <v>0</v>
      </c>
      <c r="U186">
        <f>laptop[[#This Row],[PrimaryStorage]]+laptop[[#This Row],[SecondaryStorage]]</f>
        <v>256</v>
      </c>
      <c r="V186" s="1" t="s">
        <v>31</v>
      </c>
      <c r="W186" s="1" t="s">
        <v>27</v>
      </c>
      <c r="X186" s="1" t="str">
        <f>IF(laptop[[#This Row],[PrimaryStorageType]]=laptop[[#This Row],[SecondaryStorageType]],laptop[[#This Row],[PrimaryStorageType]],"SSD &amp; HDD")</f>
        <v>SSD &amp; HDD</v>
      </c>
      <c r="Y186" s="1" t="s">
        <v>58</v>
      </c>
    </row>
    <row r="187" spans="1:25" x14ac:dyDescent="0.25">
      <c r="A187" s="1" t="s">
        <v>65</v>
      </c>
      <c r="B187" s="1" t="s">
        <v>122</v>
      </c>
      <c r="C187" s="1" t="s">
        <v>38</v>
      </c>
      <c r="D187">
        <v>17.3</v>
      </c>
      <c r="E187">
        <v>16</v>
      </c>
      <c r="F187" s="1" t="s">
        <v>48</v>
      </c>
      <c r="G187">
        <v>2.77</v>
      </c>
      <c r="H187">
        <v>1549</v>
      </c>
      <c r="I187" s="1" t="s">
        <v>40</v>
      </c>
      <c r="J187">
        <v>1920</v>
      </c>
      <c r="K187">
        <v>1080</v>
      </c>
      <c r="L187" s="1" t="s">
        <v>28</v>
      </c>
      <c r="M187" s="1" t="s">
        <v>27</v>
      </c>
      <c r="N187" s="1" t="s">
        <v>27</v>
      </c>
      <c r="O187" s="1" t="s">
        <v>29</v>
      </c>
      <c r="P187">
        <v>1.8</v>
      </c>
      <c r="Q187" s="1" t="s">
        <v>57</v>
      </c>
      <c r="R187" s="1" t="str">
        <f>_xlfn.CONCAT(laptop[[#This Row],[CPU_company]]," ",laptop[[#This Row],[CPU_model]])</f>
        <v>Intel Core i7 8550U</v>
      </c>
      <c r="S187">
        <v>512</v>
      </c>
      <c r="T187">
        <v>0</v>
      </c>
      <c r="U187">
        <f>laptop[[#This Row],[PrimaryStorage]]+laptop[[#This Row],[SecondaryStorage]]</f>
        <v>512</v>
      </c>
      <c r="V187" s="1" t="s">
        <v>31</v>
      </c>
      <c r="W187" s="1" t="s">
        <v>27</v>
      </c>
      <c r="X187" s="1" t="str">
        <f>IF(laptop[[#This Row],[PrimaryStorageType]]=laptop[[#This Row],[SecondaryStorageType]],laptop[[#This Row],[PrimaryStorageType]],"SSD &amp; HDD")</f>
        <v>SSD &amp; HDD</v>
      </c>
      <c r="Y187" s="1" t="s">
        <v>123</v>
      </c>
    </row>
    <row r="188" spans="1:25" x14ac:dyDescent="0.25">
      <c r="A188" s="1" t="s">
        <v>65</v>
      </c>
      <c r="B188" s="1" t="s">
        <v>249</v>
      </c>
      <c r="C188" s="1" t="s">
        <v>38</v>
      </c>
      <c r="D188">
        <v>15.6</v>
      </c>
      <c r="E188">
        <v>16</v>
      </c>
      <c r="F188" s="1" t="s">
        <v>48</v>
      </c>
      <c r="G188">
        <v>2.06</v>
      </c>
      <c r="H188">
        <v>2397</v>
      </c>
      <c r="I188" s="1" t="s">
        <v>215</v>
      </c>
      <c r="J188">
        <v>3840</v>
      </c>
      <c r="K188">
        <v>2160</v>
      </c>
      <c r="L188" s="1" t="s">
        <v>28</v>
      </c>
      <c r="M188" s="1" t="s">
        <v>27</v>
      </c>
      <c r="N188" s="1" t="s">
        <v>27</v>
      </c>
      <c r="O188" s="1" t="s">
        <v>29</v>
      </c>
      <c r="P188">
        <v>2.8</v>
      </c>
      <c r="Q188" s="1" t="s">
        <v>118</v>
      </c>
      <c r="R188" s="1" t="str">
        <f>_xlfn.CONCAT(laptop[[#This Row],[CPU_company]]," ",laptop[[#This Row],[CPU_model]])</f>
        <v>Intel Core i7 7700HQ</v>
      </c>
      <c r="S188">
        <v>512</v>
      </c>
      <c r="T188">
        <v>0</v>
      </c>
      <c r="U188">
        <f>laptop[[#This Row],[PrimaryStorage]]+laptop[[#This Row],[SecondaryStorage]]</f>
        <v>512</v>
      </c>
      <c r="V188" s="1" t="s">
        <v>31</v>
      </c>
      <c r="W188" s="1" t="s">
        <v>27</v>
      </c>
      <c r="X188" s="1" t="str">
        <f>IF(laptop[[#This Row],[PrimaryStorageType]]=laptop[[#This Row],[SecondaryStorageType]],laptop[[#This Row],[PrimaryStorageType]],"SSD &amp; HDD")</f>
        <v>SSD &amp; HDD</v>
      </c>
      <c r="Y188" s="1" t="s">
        <v>85</v>
      </c>
    </row>
    <row r="189" spans="1:25" x14ac:dyDescent="0.25">
      <c r="A189" s="1" t="s">
        <v>73</v>
      </c>
      <c r="B189" s="1" t="s">
        <v>82</v>
      </c>
      <c r="C189" s="1" t="s">
        <v>83</v>
      </c>
      <c r="D189">
        <v>15.6</v>
      </c>
      <c r="E189">
        <v>8</v>
      </c>
      <c r="F189" s="1" t="s">
        <v>39</v>
      </c>
      <c r="G189">
        <v>2.4</v>
      </c>
      <c r="H189">
        <v>779</v>
      </c>
      <c r="I189" s="1" t="s">
        <v>40</v>
      </c>
      <c r="J189">
        <v>1920</v>
      </c>
      <c r="K189">
        <v>1080</v>
      </c>
      <c r="L189" s="1" t="s">
        <v>27</v>
      </c>
      <c r="M189" s="1" t="s">
        <v>28</v>
      </c>
      <c r="N189" s="1" t="s">
        <v>27</v>
      </c>
      <c r="O189" s="1" t="s">
        <v>29</v>
      </c>
      <c r="P189">
        <v>2.5</v>
      </c>
      <c r="Q189" s="1" t="s">
        <v>84</v>
      </c>
      <c r="R189" s="1" t="str">
        <f>_xlfn.CONCAT(laptop[[#This Row],[CPU_company]]," ",laptop[[#This Row],[CPU_model]])</f>
        <v>Intel Core i5 7300HQ</v>
      </c>
      <c r="S189">
        <v>256</v>
      </c>
      <c r="T189">
        <v>0</v>
      </c>
      <c r="U189">
        <f>laptop[[#This Row],[PrimaryStorage]]+laptop[[#This Row],[SecondaryStorage]]</f>
        <v>256</v>
      </c>
      <c r="V189" s="1" t="s">
        <v>31</v>
      </c>
      <c r="W189" s="1" t="s">
        <v>27</v>
      </c>
      <c r="X189" s="1" t="str">
        <f>IF(laptop[[#This Row],[PrimaryStorageType]]=laptop[[#This Row],[SecondaryStorageType]],laptop[[#This Row],[PrimaryStorageType]],"SSD &amp; HDD")</f>
        <v>SSD &amp; HDD</v>
      </c>
      <c r="Y189" s="1" t="s">
        <v>85</v>
      </c>
    </row>
    <row r="190" spans="1:25" x14ac:dyDescent="0.25">
      <c r="A190" s="1" t="s">
        <v>46</v>
      </c>
      <c r="B190" s="1" t="s">
        <v>250</v>
      </c>
      <c r="C190" s="1" t="s">
        <v>24</v>
      </c>
      <c r="D190">
        <v>13.3</v>
      </c>
      <c r="E190">
        <v>8</v>
      </c>
      <c r="F190" s="1" t="s">
        <v>48</v>
      </c>
      <c r="G190">
        <v>1.1200000000000001</v>
      </c>
      <c r="H190">
        <v>989</v>
      </c>
      <c r="I190" s="1" t="s">
        <v>40</v>
      </c>
      <c r="J190">
        <v>1920</v>
      </c>
      <c r="K190">
        <v>1080</v>
      </c>
      <c r="L190" s="1" t="s">
        <v>27</v>
      </c>
      <c r="M190" s="1" t="s">
        <v>28</v>
      </c>
      <c r="N190" s="1" t="s">
        <v>27</v>
      </c>
      <c r="O190" s="1" t="s">
        <v>29</v>
      </c>
      <c r="P190">
        <v>1.2</v>
      </c>
      <c r="Q190" s="1" t="s">
        <v>251</v>
      </c>
      <c r="R190" s="1" t="str">
        <f>_xlfn.CONCAT(laptop[[#This Row],[CPU_company]]," ",laptop[[#This Row],[CPU_model]])</f>
        <v>Intel Core i5 7Y54</v>
      </c>
      <c r="S190">
        <v>256</v>
      </c>
      <c r="T190">
        <v>0</v>
      </c>
      <c r="U190">
        <f>laptop[[#This Row],[PrimaryStorage]]+laptop[[#This Row],[SecondaryStorage]]</f>
        <v>256</v>
      </c>
      <c r="V190" s="1" t="s">
        <v>31</v>
      </c>
      <c r="W190" s="1" t="s">
        <v>27</v>
      </c>
      <c r="X190" s="1" t="str">
        <f>IF(laptop[[#This Row],[PrimaryStorageType]]=laptop[[#This Row],[SecondaryStorageType]],laptop[[#This Row],[PrimaryStorageType]],"SSD &amp; HDD")</f>
        <v>SSD &amp; HDD</v>
      </c>
      <c r="Y190" s="1" t="s">
        <v>70</v>
      </c>
    </row>
    <row r="191" spans="1:25" x14ac:dyDescent="0.25">
      <c r="A191" s="1" t="s">
        <v>65</v>
      </c>
      <c r="B191" s="1" t="s">
        <v>113</v>
      </c>
      <c r="C191" s="1" t="s">
        <v>38</v>
      </c>
      <c r="D191">
        <v>17.3</v>
      </c>
      <c r="E191">
        <v>8</v>
      </c>
      <c r="F191" s="1" t="s">
        <v>48</v>
      </c>
      <c r="G191">
        <v>2.8</v>
      </c>
      <c r="H191">
        <v>1085</v>
      </c>
      <c r="I191" s="1" t="s">
        <v>40</v>
      </c>
      <c r="J191">
        <v>1920</v>
      </c>
      <c r="K191">
        <v>1080</v>
      </c>
      <c r="L191" s="1" t="s">
        <v>27</v>
      </c>
      <c r="M191" s="1" t="s">
        <v>27</v>
      </c>
      <c r="N191" s="1" t="s">
        <v>27</v>
      </c>
      <c r="O191" s="1" t="s">
        <v>29</v>
      </c>
      <c r="P191">
        <v>1.8</v>
      </c>
      <c r="Q191" s="1" t="s">
        <v>57</v>
      </c>
      <c r="R191" s="1" t="str">
        <f>_xlfn.CONCAT(laptop[[#This Row],[CPU_company]]," ",laptop[[#This Row],[CPU_model]])</f>
        <v>Intel Core i7 8550U</v>
      </c>
      <c r="S191">
        <v>128</v>
      </c>
      <c r="T191">
        <v>1024</v>
      </c>
      <c r="U191">
        <f>laptop[[#This Row],[PrimaryStorage]]+laptop[[#This Row],[SecondaryStorage]]</f>
        <v>1152</v>
      </c>
      <c r="V191" s="1" t="s">
        <v>31</v>
      </c>
      <c r="W191" s="1" t="s">
        <v>51</v>
      </c>
      <c r="X191" s="1" t="str">
        <f>IF(laptop[[#This Row],[PrimaryStorageType]]=laptop[[#This Row],[SecondaryStorageType]],laptop[[#This Row],[PrimaryStorageType]],"SSD &amp; HDD")</f>
        <v>SSD &amp; HDD</v>
      </c>
      <c r="Y191" s="1" t="s">
        <v>94</v>
      </c>
    </row>
    <row r="192" spans="1:25" x14ac:dyDescent="0.25">
      <c r="A192" s="1" t="s">
        <v>73</v>
      </c>
      <c r="B192" s="1" t="s">
        <v>252</v>
      </c>
      <c r="C192" s="1" t="s">
        <v>90</v>
      </c>
      <c r="D192">
        <v>14</v>
      </c>
      <c r="E192">
        <v>16</v>
      </c>
      <c r="F192" s="1" t="s">
        <v>48</v>
      </c>
      <c r="G192">
        <v>1.42</v>
      </c>
      <c r="H192">
        <v>2824</v>
      </c>
      <c r="I192" s="1" t="s">
        <v>26</v>
      </c>
      <c r="J192">
        <v>2560</v>
      </c>
      <c r="K192">
        <v>1440</v>
      </c>
      <c r="L192" s="1" t="s">
        <v>28</v>
      </c>
      <c r="M192" s="1" t="s">
        <v>27</v>
      </c>
      <c r="N192" s="1" t="s">
        <v>27</v>
      </c>
      <c r="O192" s="1" t="s">
        <v>29</v>
      </c>
      <c r="P192">
        <v>2.7</v>
      </c>
      <c r="Q192" s="1" t="s">
        <v>71</v>
      </c>
      <c r="R192" s="1" t="str">
        <f>_xlfn.CONCAT(laptop[[#This Row],[CPU_company]]," ",laptop[[#This Row],[CPU_model]])</f>
        <v>Intel Core i7 7500U</v>
      </c>
      <c r="S192">
        <v>1024</v>
      </c>
      <c r="T192">
        <v>0</v>
      </c>
      <c r="U192">
        <f>laptop[[#This Row],[PrimaryStorage]]+laptop[[#This Row],[SecondaryStorage]]</f>
        <v>1024</v>
      </c>
      <c r="V192" s="1" t="s">
        <v>31</v>
      </c>
      <c r="W192" s="1" t="s">
        <v>27</v>
      </c>
      <c r="X192" s="1" t="str">
        <f>IF(laptop[[#This Row],[PrimaryStorageType]]=laptop[[#This Row],[SecondaryStorageType]],laptop[[#This Row],[PrimaryStorageType]],"SSD &amp; HDD")</f>
        <v>SSD &amp; HDD</v>
      </c>
      <c r="Y192" s="1" t="s">
        <v>42</v>
      </c>
    </row>
    <row r="193" spans="1:25" x14ac:dyDescent="0.25">
      <c r="A193" s="1" t="s">
        <v>253</v>
      </c>
      <c r="B193" s="1" t="s">
        <v>254</v>
      </c>
      <c r="C193" s="1" t="s">
        <v>38</v>
      </c>
      <c r="D193">
        <v>14</v>
      </c>
      <c r="E193">
        <v>4</v>
      </c>
      <c r="F193" s="1" t="s">
        <v>48</v>
      </c>
      <c r="G193">
        <v>1.3</v>
      </c>
      <c r="H193">
        <v>260</v>
      </c>
      <c r="I193" s="1" t="s">
        <v>40</v>
      </c>
      <c r="J193">
        <v>1920</v>
      </c>
      <c r="K193">
        <v>1080</v>
      </c>
      <c r="L193" s="1" t="s">
        <v>27</v>
      </c>
      <c r="M193" s="1" t="s">
        <v>28</v>
      </c>
      <c r="N193" s="1" t="s">
        <v>27</v>
      </c>
      <c r="O193" s="1" t="s">
        <v>29</v>
      </c>
      <c r="P193">
        <v>1.1000000000000001</v>
      </c>
      <c r="Q193" s="1" t="s">
        <v>109</v>
      </c>
      <c r="R193" s="1" t="str">
        <f>_xlfn.CONCAT(laptop[[#This Row],[CPU_company]]," ",laptop[[#This Row],[CPU_model]])</f>
        <v>Intel Celeron Dual Core N3350</v>
      </c>
      <c r="S193">
        <v>32</v>
      </c>
      <c r="T193">
        <v>0</v>
      </c>
      <c r="U193">
        <f>laptop[[#This Row],[PrimaryStorage]]+laptop[[#This Row],[SecondaryStorage]]</f>
        <v>32</v>
      </c>
      <c r="V193" s="1" t="s">
        <v>34</v>
      </c>
      <c r="W193" s="1" t="s">
        <v>27</v>
      </c>
      <c r="X193" s="1" t="str">
        <f>IF(laptop[[#This Row],[PrimaryStorageType]]=laptop[[#This Row],[SecondaryStorageType]],laptop[[#This Row],[PrimaryStorageType]],"SSD &amp; HDD")</f>
        <v>SSD &amp; HDD</v>
      </c>
      <c r="Y193" s="1" t="s">
        <v>110</v>
      </c>
    </row>
    <row r="194" spans="1:25" x14ac:dyDescent="0.25">
      <c r="A194" s="1" t="s">
        <v>247</v>
      </c>
      <c r="B194" s="1" t="s">
        <v>248</v>
      </c>
      <c r="C194" s="1" t="s">
        <v>24</v>
      </c>
      <c r="D194">
        <v>13.3</v>
      </c>
      <c r="E194">
        <v>8</v>
      </c>
      <c r="F194" s="1" t="s">
        <v>39</v>
      </c>
      <c r="G194">
        <v>1.3</v>
      </c>
      <c r="H194">
        <v>999.9</v>
      </c>
      <c r="I194" s="1" t="s">
        <v>40</v>
      </c>
      <c r="J194">
        <v>1920</v>
      </c>
      <c r="K194">
        <v>1080</v>
      </c>
      <c r="L194" s="1" t="s">
        <v>27</v>
      </c>
      <c r="M194" s="1" t="s">
        <v>28</v>
      </c>
      <c r="N194" s="1" t="s">
        <v>27</v>
      </c>
      <c r="O194" s="1" t="s">
        <v>29</v>
      </c>
      <c r="P194">
        <v>2.5</v>
      </c>
      <c r="Q194" s="1" t="s">
        <v>41</v>
      </c>
      <c r="R194" s="1" t="str">
        <f>_xlfn.CONCAT(laptop[[#This Row],[CPU_company]]," ",laptop[[#This Row],[CPU_model]])</f>
        <v>Intel Core i5 7200U</v>
      </c>
      <c r="S194">
        <v>256</v>
      </c>
      <c r="T194">
        <v>0</v>
      </c>
      <c r="U194">
        <f>laptop[[#This Row],[PrimaryStorage]]+laptop[[#This Row],[SecondaryStorage]]</f>
        <v>256</v>
      </c>
      <c r="V194" s="1" t="s">
        <v>31</v>
      </c>
      <c r="W194" s="1" t="s">
        <v>27</v>
      </c>
      <c r="X194" s="1" t="str">
        <f>IF(laptop[[#This Row],[PrimaryStorageType]]=laptop[[#This Row],[SecondaryStorageType]],laptop[[#This Row],[PrimaryStorageType]],"SSD &amp; HDD")</f>
        <v>SSD &amp; HDD</v>
      </c>
      <c r="Y194" s="1" t="s">
        <v>58</v>
      </c>
    </row>
    <row r="195" spans="1:25" x14ac:dyDescent="0.25">
      <c r="A195" s="1" t="s">
        <v>73</v>
      </c>
      <c r="B195" s="1" t="s">
        <v>255</v>
      </c>
      <c r="C195" s="1" t="s">
        <v>38</v>
      </c>
      <c r="D195">
        <v>17.3</v>
      </c>
      <c r="E195">
        <v>8</v>
      </c>
      <c r="F195" s="1" t="s">
        <v>39</v>
      </c>
      <c r="G195">
        <v>2.8</v>
      </c>
      <c r="H195">
        <v>698</v>
      </c>
      <c r="I195" s="1" t="s">
        <v>26</v>
      </c>
      <c r="J195">
        <v>1600</v>
      </c>
      <c r="K195">
        <v>900</v>
      </c>
      <c r="L195" s="1" t="s">
        <v>27</v>
      </c>
      <c r="M195" s="1" t="s">
        <v>27</v>
      </c>
      <c r="N195" s="1" t="s">
        <v>27</v>
      </c>
      <c r="O195" s="1" t="s">
        <v>29</v>
      </c>
      <c r="P195">
        <v>1.6</v>
      </c>
      <c r="Q195" s="1" t="s">
        <v>60</v>
      </c>
      <c r="R195" s="1" t="str">
        <f>_xlfn.CONCAT(laptop[[#This Row],[CPU_company]]," ",laptop[[#This Row],[CPU_model]])</f>
        <v>Intel Core i5 8250U</v>
      </c>
      <c r="S195">
        <v>256</v>
      </c>
      <c r="T195">
        <v>0</v>
      </c>
      <c r="U195">
        <f>laptop[[#This Row],[PrimaryStorage]]+laptop[[#This Row],[SecondaryStorage]]</f>
        <v>256</v>
      </c>
      <c r="V195" s="1" t="s">
        <v>31</v>
      </c>
      <c r="W195" s="1" t="s">
        <v>27</v>
      </c>
      <c r="X195" s="1" t="str">
        <f>IF(laptop[[#This Row],[PrimaryStorageType]]=laptop[[#This Row],[SecondaryStorageType]],laptop[[#This Row],[PrimaryStorageType]],"SSD &amp; HDD")</f>
        <v>SSD &amp; HDD</v>
      </c>
      <c r="Y195" s="1" t="s">
        <v>58</v>
      </c>
    </row>
    <row r="196" spans="1:25" x14ac:dyDescent="0.25">
      <c r="A196" s="1" t="s">
        <v>65</v>
      </c>
      <c r="B196" s="1" t="s">
        <v>89</v>
      </c>
      <c r="C196" s="1" t="s">
        <v>90</v>
      </c>
      <c r="D196">
        <v>13.3</v>
      </c>
      <c r="E196">
        <v>8</v>
      </c>
      <c r="F196" s="1" t="s">
        <v>48</v>
      </c>
      <c r="G196">
        <v>1.62</v>
      </c>
      <c r="H196">
        <v>839</v>
      </c>
      <c r="I196" s="1" t="s">
        <v>40</v>
      </c>
      <c r="J196">
        <v>1920</v>
      </c>
      <c r="K196">
        <v>1080</v>
      </c>
      <c r="L196" s="1" t="s">
        <v>28</v>
      </c>
      <c r="M196" s="1" t="s">
        <v>28</v>
      </c>
      <c r="N196" s="1" t="s">
        <v>27</v>
      </c>
      <c r="O196" s="1" t="s">
        <v>29</v>
      </c>
      <c r="P196">
        <v>1.8</v>
      </c>
      <c r="Q196" s="1" t="s">
        <v>57</v>
      </c>
      <c r="R196" s="1" t="str">
        <f>_xlfn.CONCAT(laptop[[#This Row],[CPU_company]]," ",laptop[[#This Row],[CPU_model]])</f>
        <v>Intel Core i7 8550U</v>
      </c>
      <c r="S196">
        <v>1024</v>
      </c>
      <c r="T196">
        <v>0</v>
      </c>
      <c r="U196">
        <f>laptop[[#This Row],[PrimaryStorage]]+laptop[[#This Row],[SecondaryStorage]]</f>
        <v>1024</v>
      </c>
      <c r="V196" s="1" t="s">
        <v>51</v>
      </c>
      <c r="W196" s="1" t="s">
        <v>27</v>
      </c>
      <c r="X196" s="1" t="str">
        <f>IF(laptop[[#This Row],[PrimaryStorageType]]=laptop[[#This Row],[SecondaryStorageType]],laptop[[#This Row],[PrimaryStorageType]],"SSD &amp; HDD")</f>
        <v>SSD &amp; HDD</v>
      </c>
      <c r="Y196" s="1" t="s">
        <v>61</v>
      </c>
    </row>
    <row r="197" spans="1:25" x14ac:dyDescent="0.25">
      <c r="A197" s="1" t="s">
        <v>36</v>
      </c>
      <c r="B197" s="1" t="s">
        <v>97</v>
      </c>
      <c r="C197" s="1" t="s">
        <v>38</v>
      </c>
      <c r="D197">
        <v>17.3</v>
      </c>
      <c r="E197">
        <v>8</v>
      </c>
      <c r="F197" s="1" t="s">
        <v>48</v>
      </c>
      <c r="G197">
        <v>2.5</v>
      </c>
      <c r="H197">
        <v>914</v>
      </c>
      <c r="I197" s="1" t="s">
        <v>40</v>
      </c>
      <c r="J197">
        <v>1920</v>
      </c>
      <c r="K197">
        <v>1080</v>
      </c>
      <c r="L197" s="1" t="s">
        <v>27</v>
      </c>
      <c r="M197" s="1" t="s">
        <v>28</v>
      </c>
      <c r="N197" s="1" t="s">
        <v>27</v>
      </c>
      <c r="O197" s="1" t="s">
        <v>29</v>
      </c>
      <c r="P197">
        <v>1.6</v>
      </c>
      <c r="Q197" s="1" t="s">
        <v>60</v>
      </c>
      <c r="R197" s="1" t="str">
        <f>_xlfn.CONCAT(laptop[[#This Row],[CPU_company]]," ",laptop[[#This Row],[CPU_model]])</f>
        <v>Intel Core i5 8250U</v>
      </c>
      <c r="S197">
        <v>1024</v>
      </c>
      <c r="T197">
        <v>0</v>
      </c>
      <c r="U197">
        <f>laptop[[#This Row],[PrimaryStorage]]+laptop[[#This Row],[SecondaryStorage]]</f>
        <v>1024</v>
      </c>
      <c r="V197" s="1" t="s">
        <v>51</v>
      </c>
      <c r="W197" s="1" t="s">
        <v>27</v>
      </c>
      <c r="X197" s="1" t="str">
        <f>IF(laptop[[#This Row],[PrimaryStorageType]]=laptop[[#This Row],[SecondaryStorageType]],laptop[[#This Row],[PrimaryStorageType]],"SSD &amp; HDD")</f>
        <v>SSD &amp; HDD</v>
      </c>
      <c r="Y197" s="1" t="s">
        <v>98</v>
      </c>
    </row>
    <row r="198" spans="1:25" x14ac:dyDescent="0.25">
      <c r="A198" s="1" t="s">
        <v>256</v>
      </c>
      <c r="B198" s="1" t="s">
        <v>257</v>
      </c>
      <c r="C198" s="1" t="s">
        <v>83</v>
      </c>
      <c r="D198">
        <v>17.3</v>
      </c>
      <c r="E198">
        <v>32</v>
      </c>
      <c r="F198" s="1" t="s">
        <v>48</v>
      </c>
      <c r="G198">
        <v>3.49</v>
      </c>
      <c r="H198">
        <v>6099</v>
      </c>
      <c r="I198" s="1" t="s">
        <v>215</v>
      </c>
      <c r="J198">
        <v>3840</v>
      </c>
      <c r="K198">
        <v>2160</v>
      </c>
      <c r="L198" s="1" t="s">
        <v>28</v>
      </c>
      <c r="M198" s="1" t="s">
        <v>27</v>
      </c>
      <c r="N198" s="1" t="s">
        <v>27</v>
      </c>
      <c r="O198" s="1" t="s">
        <v>29</v>
      </c>
      <c r="P198">
        <v>2.9</v>
      </c>
      <c r="Q198" s="1" t="s">
        <v>258</v>
      </c>
      <c r="R198" s="1" t="str">
        <f>_xlfn.CONCAT(laptop[[#This Row],[CPU_company]]," ",laptop[[#This Row],[CPU_model]])</f>
        <v>Intel Core i7 7820HK</v>
      </c>
      <c r="S198">
        <v>1024</v>
      </c>
      <c r="T198">
        <v>0</v>
      </c>
      <c r="U198">
        <f>laptop[[#This Row],[PrimaryStorage]]+laptop[[#This Row],[SecondaryStorage]]</f>
        <v>1024</v>
      </c>
      <c r="V198" s="1" t="s">
        <v>31</v>
      </c>
      <c r="W198" s="1" t="s">
        <v>27</v>
      </c>
      <c r="X198" s="1" t="str">
        <f>IF(laptop[[#This Row],[PrimaryStorageType]]=laptop[[#This Row],[SecondaryStorageType]],laptop[[#This Row],[PrimaryStorageType]],"SSD &amp; HDD")</f>
        <v>SSD &amp; HDD</v>
      </c>
      <c r="Y198" s="1" t="s">
        <v>259</v>
      </c>
    </row>
    <row r="199" spans="1:25" x14ac:dyDescent="0.25">
      <c r="A199" s="1" t="s">
        <v>36</v>
      </c>
      <c r="B199" s="1" t="s">
        <v>136</v>
      </c>
      <c r="C199" s="1" t="s">
        <v>38</v>
      </c>
      <c r="D199">
        <v>13.3</v>
      </c>
      <c r="E199">
        <v>8</v>
      </c>
      <c r="F199" s="1" t="s">
        <v>48</v>
      </c>
      <c r="G199">
        <v>1.49</v>
      </c>
      <c r="H199">
        <v>959</v>
      </c>
      <c r="I199" s="1" t="s">
        <v>40</v>
      </c>
      <c r="J199">
        <v>1920</v>
      </c>
      <c r="K199">
        <v>1080</v>
      </c>
      <c r="L199" s="1" t="s">
        <v>27</v>
      </c>
      <c r="M199" s="1" t="s">
        <v>27</v>
      </c>
      <c r="N199" s="1" t="s">
        <v>27</v>
      </c>
      <c r="O199" s="1" t="s">
        <v>29</v>
      </c>
      <c r="P199">
        <v>1.6</v>
      </c>
      <c r="Q199" s="1" t="s">
        <v>60</v>
      </c>
      <c r="R199" s="1" t="str">
        <f>_xlfn.CONCAT(laptop[[#This Row],[CPU_company]]," ",laptop[[#This Row],[CPU_model]])</f>
        <v>Intel Core i5 8250U</v>
      </c>
      <c r="S199">
        <v>512</v>
      </c>
      <c r="T199">
        <v>0</v>
      </c>
      <c r="U199">
        <f>laptop[[#This Row],[PrimaryStorage]]+laptop[[#This Row],[SecondaryStorage]]</f>
        <v>512</v>
      </c>
      <c r="V199" s="1" t="s">
        <v>31</v>
      </c>
      <c r="W199" s="1" t="s">
        <v>27</v>
      </c>
      <c r="X199" s="1" t="str">
        <f>IF(laptop[[#This Row],[PrimaryStorageType]]=laptop[[#This Row],[SecondaryStorageType]],laptop[[#This Row],[PrimaryStorageType]],"SSD &amp; HDD")</f>
        <v>SSD &amp; HDD</v>
      </c>
      <c r="Y199" s="1" t="s">
        <v>61</v>
      </c>
    </row>
    <row r="200" spans="1:25" x14ac:dyDescent="0.25">
      <c r="A200" s="1" t="s">
        <v>36</v>
      </c>
      <c r="B200" s="1" t="s">
        <v>260</v>
      </c>
      <c r="C200" s="1" t="s">
        <v>83</v>
      </c>
      <c r="D200">
        <v>17.3</v>
      </c>
      <c r="E200">
        <v>16</v>
      </c>
      <c r="F200" s="1" t="s">
        <v>48</v>
      </c>
      <c r="G200">
        <v>3.35</v>
      </c>
      <c r="H200">
        <v>1379</v>
      </c>
      <c r="I200" s="1" t="s">
        <v>40</v>
      </c>
      <c r="J200">
        <v>1920</v>
      </c>
      <c r="K200">
        <v>1080</v>
      </c>
      <c r="L200" s="1" t="s">
        <v>27</v>
      </c>
      <c r="M200" s="1" t="s">
        <v>28</v>
      </c>
      <c r="N200" s="1" t="s">
        <v>27</v>
      </c>
      <c r="O200" s="1" t="s">
        <v>29</v>
      </c>
      <c r="P200">
        <v>2.8</v>
      </c>
      <c r="Q200" s="1" t="s">
        <v>118</v>
      </c>
      <c r="R200" s="1" t="str">
        <f>_xlfn.CONCAT(laptop[[#This Row],[CPU_company]]," ",laptop[[#This Row],[CPU_model]])</f>
        <v>Intel Core i7 7700HQ</v>
      </c>
      <c r="S200">
        <v>256</v>
      </c>
      <c r="T200">
        <v>1024</v>
      </c>
      <c r="U200">
        <f>laptop[[#This Row],[PrimaryStorage]]+laptop[[#This Row],[SecondaryStorage]]</f>
        <v>1280</v>
      </c>
      <c r="V200" s="1" t="s">
        <v>31</v>
      </c>
      <c r="W200" s="1" t="s">
        <v>51</v>
      </c>
      <c r="X200" s="1" t="str">
        <f>IF(laptop[[#This Row],[PrimaryStorageType]]=laptop[[#This Row],[SecondaryStorageType]],laptop[[#This Row],[PrimaryStorageType]],"SSD &amp; HDD")</f>
        <v>SSD &amp; HDD</v>
      </c>
      <c r="Y200" s="1" t="s">
        <v>85</v>
      </c>
    </row>
    <row r="201" spans="1:25" x14ac:dyDescent="0.25">
      <c r="A201" s="1" t="s">
        <v>36</v>
      </c>
      <c r="B201" s="1" t="s">
        <v>197</v>
      </c>
      <c r="C201" s="1" t="s">
        <v>38</v>
      </c>
      <c r="D201">
        <v>17.3</v>
      </c>
      <c r="E201">
        <v>8</v>
      </c>
      <c r="F201" s="1" t="s">
        <v>48</v>
      </c>
      <c r="G201">
        <v>2.5</v>
      </c>
      <c r="H201">
        <v>1045</v>
      </c>
      <c r="I201" s="1" t="s">
        <v>40</v>
      </c>
      <c r="J201">
        <v>1920</v>
      </c>
      <c r="K201">
        <v>1080</v>
      </c>
      <c r="L201" s="1" t="s">
        <v>27</v>
      </c>
      <c r="M201" s="1" t="s">
        <v>27</v>
      </c>
      <c r="N201" s="1" t="s">
        <v>27</v>
      </c>
      <c r="O201" s="1" t="s">
        <v>29</v>
      </c>
      <c r="P201">
        <v>1.8</v>
      </c>
      <c r="Q201" s="1" t="s">
        <v>57</v>
      </c>
      <c r="R201" s="1" t="str">
        <f>_xlfn.CONCAT(laptop[[#This Row],[CPU_company]]," ",laptop[[#This Row],[CPU_model]])</f>
        <v>Intel Core i7 8550U</v>
      </c>
      <c r="S201">
        <v>256</v>
      </c>
      <c r="T201">
        <v>0</v>
      </c>
      <c r="U201">
        <f>laptop[[#This Row],[PrimaryStorage]]+laptop[[#This Row],[SecondaryStorage]]</f>
        <v>256</v>
      </c>
      <c r="V201" s="1" t="s">
        <v>31</v>
      </c>
      <c r="W201" s="1" t="s">
        <v>27</v>
      </c>
      <c r="X201" s="1" t="str">
        <f>IF(laptop[[#This Row],[PrimaryStorageType]]=laptop[[#This Row],[SecondaryStorageType]],laptop[[#This Row],[PrimaryStorageType]],"SSD &amp; HDD")</f>
        <v>SSD &amp; HDD</v>
      </c>
      <c r="Y201" s="1" t="s">
        <v>115</v>
      </c>
    </row>
    <row r="202" spans="1:25" x14ac:dyDescent="0.25">
      <c r="A202" s="1" t="s">
        <v>65</v>
      </c>
      <c r="B202" s="1" t="s">
        <v>117</v>
      </c>
      <c r="C202" s="1" t="s">
        <v>83</v>
      </c>
      <c r="D202">
        <v>15.6</v>
      </c>
      <c r="E202">
        <v>16</v>
      </c>
      <c r="F202" s="1" t="s">
        <v>48</v>
      </c>
      <c r="G202">
        <v>2.65</v>
      </c>
      <c r="H202">
        <v>1845</v>
      </c>
      <c r="I202" s="1" t="s">
        <v>215</v>
      </c>
      <c r="J202">
        <v>3840</v>
      </c>
      <c r="K202">
        <v>2160</v>
      </c>
      <c r="L202" s="1" t="s">
        <v>27</v>
      </c>
      <c r="M202" s="1" t="s">
        <v>28</v>
      </c>
      <c r="N202" s="1" t="s">
        <v>27</v>
      </c>
      <c r="O202" s="1" t="s">
        <v>29</v>
      </c>
      <c r="P202">
        <v>2.8</v>
      </c>
      <c r="Q202" s="1" t="s">
        <v>118</v>
      </c>
      <c r="R202" s="1" t="str">
        <f>_xlfn.CONCAT(laptop[[#This Row],[CPU_company]]," ",laptop[[#This Row],[CPU_model]])</f>
        <v>Intel Core i7 7700HQ</v>
      </c>
      <c r="S202">
        <v>512</v>
      </c>
      <c r="T202">
        <v>1024</v>
      </c>
      <c r="U202">
        <f>laptop[[#This Row],[PrimaryStorage]]+laptop[[#This Row],[SecondaryStorage]]</f>
        <v>1536</v>
      </c>
      <c r="V202" s="1" t="s">
        <v>31</v>
      </c>
      <c r="W202" s="1" t="s">
        <v>51</v>
      </c>
      <c r="X202" s="1" t="str">
        <f>IF(laptop[[#This Row],[PrimaryStorageType]]=laptop[[#This Row],[SecondaryStorageType]],laptop[[#This Row],[PrimaryStorageType]],"SSD &amp; HDD")</f>
        <v>SSD &amp; HDD</v>
      </c>
      <c r="Y202" s="1" t="s">
        <v>119</v>
      </c>
    </row>
    <row r="203" spans="1:25" x14ac:dyDescent="0.25">
      <c r="A203" s="1" t="s">
        <v>73</v>
      </c>
      <c r="B203" s="1" t="s">
        <v>261</v>
      </c>
      <c r="C203" s="1" t="s">
        <v>38</v>
      </c>
      <c r="D203">
        <v>15.6</v>
      </c>
      <c r="E203">
        <v>4</v>
      </c>
      <c r="F203" s="1" t="s">
        <v>48</v>
      </c>
      <c r="G203">
        <v>2.1</v>
      </c>
      <c r="H203">
        <v>493</v>
      </c>
      <c r="I203" s="1" t="s">
        <v>26</v>
      </c>
      <c r="J203">
        <v>1366</v>
      </c>
      <c r="K203">
        <v>768</v>
      </c>
      <c r="L203" s="1" t="s">
        <v>27</v>
      </c>
      <c r="M203" s="1" t="s">
        <v>27</v>
      </c>
      <c r="N203" s="1" t="s">
        <v>27</v>
      </c>
      <c r="O203" s="1" t="s">
        <v>29</v>
      </c>
      <c r="P203">
        <v>2.2999999999999998</v>
      </c>
      <c r="Q203" s="1" t="s">
        <v>212</v>
      </c>
      <c r="R203" s="1" t="str">
        <f>_xlfn.CONCAT(laptop[[#This Row],[CPU_company]]," ",laptop[[#This Row],[CPU_model]])</f>
        <v>Intel Core i5 6200U</v>
      </c>
      <c r="S203">
        <v>128</v>
      </c>
      <c r="T203">
        <v>0</v>
      </c>
      <c r="U203">
        <f>laptop[[#This Row],[PrimaryStorage]]+laptop[[#This Row],[SecondaryStorage]]</f>
        <v>128</v>
      </c>
      <c r="V203" s="1" t="s">
        <v>31</v>
      </c>
      <c r="W203" s="1" t="s">
        <v>27</v>
      </c>
      <c r="X203" s="1" t="str">
        <f>IF(laptop[[#This Row],[PrimaryStorageType]]=laptop[[#This Row],[SecondaryStorageType]],laptop[[#This Row],[PrimaryStorageType]],"SSD &amp; HDD")</f>
        <v>SSD &amp; HDD</v>
      </c>
      <c r="Y203" s="1" t="s">
        <v>63</v>
      </c>
    </row>
    <row r="204" spans="1:25" x14ac:dyDescent="0.25">
      <c r="A204" s="1" t="s">
        <v>46</v>
      </c>
      <c r="B204" s="1" t="s">
        <v>262</v>
      </c>
      <c r="C204" s="1" t="s">
        <v>38</v>
      </c>
      <c r="D204">
        <v>15.6</v>
      </c>
      <c r="E204">
        <v>8</v>
      </c>
      <c r="F204" s="1" t="s">
        <v>48</v>
      </c>
      <c r="G204">
        <v>2.23</v>
      </c>
      <c r="H204">
        <v>742</v>
      </c>
      <c r="I204" s="1" t="s">
        <v>40</v>
      </c>
      <c r="J204">
        <v>1920</v>
      </c>
      <c r="K204">
        <v>1080</v>
      </c>
      <c r="L204" s="1" t="s">
        <v>27</v>
      </c>
      <c r="M204" s="1" t="s">
        <v>27</v>
      </c>
      <c r="N204" s="1" t="s">
        <v>27</v>
      </c>
      <c r="O204" s="1" t="s">
        <v>29</v>
      </c>
      <c r="P204">
        <v>2.7</v>
      </c>
      <c r="Q204" s="1" t="s">
        <v>71</v>
      </c>
      <c r="R204" s="1" t="str">
        <f>_xlfn.CONCAT(laptop[[#This Row],[CPU_company]]," ",laptop[[#This Row],[CPU_model]])</f>
        <v>Intel Core i7 7500U</v>
      </c>
      <c r="S204">
        <v>1024</v>
      </c>
      <c r="T204">
        <v>0</v>
      </c>
      <c r="U204">
        <f>laptop[[#This Row],[PrimaryStorage]]+laptop[[#This Row],[SecondaryStorage]]</f>
        <v>1024</v>
      </c>
      <c r="V204" s="1" t="s">
        <v>51</v>
      </c>
      <c r="W204" s="1" t="s">
        <v>27</v>
      </c>
      <c r="X204" s="1" t="str">
        <f>IF(laptop[[#This Row],[PrimaryStorageType]]=laptop[[#This Row],[SecondaryStorageType]],laptop[[#This Row],[PrimaryStorageType]],"SSD &amp; HDD")</f>
        <v>SSD &amp; HDD</v>
      </c>
      <c r="Y204" s="1" t="s">
        <v>76</v>
      </c>
    </row>
    <row r="205" spans="1:25" x14ac:dyDescent="0.25">
      <c r="A205" s="1" t="s">
        <v>73</v>
      </c>
      <c r="B205" s="1" t="s">
        <v>263</v>
      </c>
      <c r="C205" s="1" t="s">
        <v>83</v>
      </c>
      <c r="D205">
        <v>15.6</v>
      </c>
      <c r="E205">
        <v>16</v>
      </c>
      <c r="F205" s="1" t="s">
        <v>48</v>
      </c>
      <c r="G205">
        <v>3.2</v>
      </c>
      <c r="H205">
        <v>1749</v>
      </c>
      <c r="I205" s="1" t="s">
        <v>40</v>
      </c>
      <c r="J205">
        <v>1920</v>
      </c>
      <c r="K205">
        <v>1080</v>
      </c>
      <c r="L205" s="1" t="s">
        <v>27</v>
      </c>
      <c r="M205" s="1" t="s">
        <v>28</v>
      </c>
      <c r="N205" s="1" t="s">
        <v>27</v>
      </c>
      <c r="O205" s="1" t="s">
        <v>29</v>
      </c>
      <c r="P205">
        <v>2.8</v>
      </c>
      <c r="Q205" s="1" t="s">
        <v>118</v>
      </c>
      <c r="R205" s="1" t="str">
        <f>_xlfn.CONCAT(laptop[[#This Row],[CPU_company]]," ",laptop[[#This Row],[CPU_model]])</f>
        <v>Intel Core i7 7700HQ</v>
      </c>
      <c r="S205">
        <v>512</v>
      </c>
      <c r="T205">
        <v>1024</v>
      </c>
      <c r="U205">
        <f>laptop[[#This Row],[PrimaryStorage]]+laptop[[#This Row],[SecondaryStorage]]</f>
        <v>1536</v>
      </c>
      <c r="V205" s="1" t="s">
        <v>31</v>
      </c>
      <c r="W205" s="1" t="s">
        <v>51</v>
      </c>
      <c r="X205" s="1" t="str">
        <f>IF(laptop[[#This Row],[PrimaryStorageType]]=laptop[[#This Row],[SecondaryStorageType]],laptop[[#This Row],[PrimaryStorageType]],"SSD &amp; HDD")</f>
        <v>SSD &amp; HDD</v>
      </c>
      <c r="Y205" s="1" t="s">
        <v>119</v>
      </c>
    </row>
    <row r="206" spans="1:25" x14ac:dyDescent="0.25">
      <c r="A206" s="1" t="s">
        <v>65</v>
      </c>
      <c r="B206" s="1" t="s">
        <v>264</v>
      </c>
      <c r="C206" s="1" t="s">
        <v>265</v>
      </c>
      <c r="D206">
        <v>15.6</v>
      </c>
      <c r="E206">
        <v>16</v>
      </c>
      <c r="F206" s="1" t="s">
        <v>48</v>
      </c>
      <c r="G206">
        <v>2.8</v>
      </c>
      <c r="H206">
        <v>3055</v>
      </c>
      <c r="I206" s="1" t="s">
        <v>215</v>
      </c>
      <c r="J206">
        <v>3840</v>
      </c>
      <c r="K206">
        <v>2160</v>
      </c>
      <c r="L206" s="1" t="s">
        <v>27</v>
      </c>
      <c r="M206" s="1" t="s">
        <v>27</v>
      </c>
      <c r="N206" s="1" t="s">
        <v>27</v>
      </c>
      <c r="O206" s="1" t="s">
        <v>29</v>
      </c>
      <c r="P206">
        <v>3</v>
      </c>
      <c r="Q206" s="1" t="s">
        <v>266</v>
      </c>
      <c r="R206" s="1" t="str">
        <f>_xlfn.CONCAT(laptop[[#This Row],[CPU_company]]," ",laptop[[#This Row],[CPU_model]])</f>
        <v>Intel Xeon E3-1505M V6</v>
      </c>
      <c r="S206">
        <v>256</v>
      </c>
      <c r="T206">
        <v>1024</v>
      </c>
      <c r="U206">
        <f>laptop[[#This Row],[PrimaryStorage]]+laptop[[#This Row],[SecondaryStorage]]</f>
        <v>1280</v>
      </c>
      <c r="V206" s="1" t="s">
        <v>31</v>
      </c>
      <c r="W206" s="1" t="s">
        <v>51</v>
      </c>
      <c r="X206" s="1" t="str">
        <f>IF(laptop[[#This Row],[PrimaryStorageType]]=laptop[[#This Row],[SecondaryStorageType]],laptop[[#This Row],[PrimaryStorageType]],"SSD &amp; HDD")</f>
        <v>SSD &amp; HDD</v>
      </c>
      <c r="Y206" s="1" t="s">
        <v>267</v>
      </c>
    </row>
    <row r="207" spans="1:25" x14ac:dyDescent="0.25">
      <c r="A207" s="1" t="s">
        <v>73</v>
      </c>
      <c r="B207" s="1" t="s">
        <v>82</v>
      </c>
      <c r="C207" s="1" t="s">
        <v>83</v>
      </c>
      <c r="D207">
        <v>15.6</v>
      </c>
      <c r="E207">
        <v>16</v>
      </c>
      <c r="F207" s="1" t="s">
        <v>39</v>
      </c>
      <c r="G207">
        <v>2.4</v>
      </c>
      <c r="H207">
        <v>1398</v>
      </c>
      <c r="I207" s="1" t="s">
        <v>40</v>
      </c>
      <c r="J207">
        <v>1920</v>
      </c>
      <c r="K207">
        <v>1080</v>
      </c>
      <c r="L207" s="1" t="s">
        <v>27</v>
      </c>
      <c r="M207" s="1" t="s">
        <v>27</v>
      </c>
      <c r="N207" s="1" t="s">
        <v>27</v>
      </c>
      <c r="O207" s="1" t="s">
        <v>29</v>
      </c>
      <c r="P207">
        <v>2.8</v>
      </c>
      <c r="Q207" s="1" t="s">
        <v>118</v>
      </c>
      <c r="R207" s="1" t="str">
        <f>_xlfn.CONCAT(laptop[[#This Row],[CPU_company]]," ",laptop[[#This Row],[CPU_model]])</f>
        <v>Intel Core i7 7700HQ</v>
      </c>
      <c r="S207">
        <v>512</v>
      </c>
      <c r="T207">
        <v>0</v>
      </c>
      <c r="U207">
        <f>laptop[[#This Row],[PrimaryStorage]]+laptop[[#This Row],[SecondaryStorage]]</f>
        <v>512</v>
      </c>
      <c r="V207" s="1" t="s">
        <v>31</v>
      </c>
      <c r="W207" s="1" t="s">
        <v>27</v>
      </c>
      <c r="X207" s="1" t="str">
        <f>IF(laptop[[#This Row],[PrimaryStorageType]]=laptop[[#This Row],[SecondaryStorageType]],laptop[[#This Row],[PrimaryStorageType]],"SSD &amp; HDD")</f>
        <v>SSD &amp; HDD</v>
      </c>
      <c r="Y207" s="1" t="s">
        <v>119</v>
      </c>
    </row>
    <row r="208" spans="1:25" x14ac:dyDescent="0.25">
      <c r="A208" s="1" t="s">
        <v>65</v>
      </c>
      <c r="B208" s="1" t="s">
        <v>66</v>
      </c>
      <c r="C208" s="1" t="s">
        <v>38</v>
      </c>
      <c r="D208">
        <v>15.6</v>
      </c>
      <c r="E208">
        <v>6</v>
      </c>
      <c r="F208" s="1" t="s">
        <v>48</v>
      </c>
      <c r="G208">
        <v>2.2999999999999998</v>
      </c>
      <c r="H208">
        <v>439</v>
      </c>
      <c r="I208" s="1" t="s">
        <v>26</v>
      </c>
      <c r="J208">
        <v>1366</v>
      </c>
      <c r="K208">
        <v>768</v>
      </c>
      <c r="L208" s="1" t="s">
        <v>28</v>
      </c>
      <c r="M208" s="1" t="s">
        <v>27</v>
      </c>
      <c r="N208" s="1" t="s">
        <v>27</v>
      </c>
      <c r="O208" s="1" t="s">
        <v>29</v>
      </c>
      <c r="P208">
        <v>2.4</v>
      </c>
      <c r="Q208" s="1" t="s">
        <v>75</v>
      </c>
      <c r="R208" s="1" t="str">
        <f>_xlfn.CONCAT(laptop[[#This Row],[CPU_company]]," ",laptop[[#This Row],[CPU_model]])</f>
        <v>Intel Core i3 7100U</v>
      </c>
      <c r="S208">
        <v>1024</v>
      </c>
      <c r="T208">
        <v>0</v>
      </c>
      <c r="U208">
        <f>laptop[[#This Row],[PrimaryStorage]]+laptop[[#This Row],[SecondaryStorage]]</f>
        <v>1024</v>
      </c>
      <c r="V208" s="1" t="s">
        <v>51</v>
      </c>
      <c r="W208" s="1" t="s">
        <v>27</v>
      </c>
      <c r="X208" s="1" t="str">
        <f>IF(laptop[[#This Row],[PrimaryStorageType]]=laptop[[#This Row],[SecondaryStorageType]],laptop[[#This Row],[PrimaryStorageType]],"SSD &amp; HDD")</f>
        <v>SSD &amp; HDD</v>
      </c>
      <c r="Y208" s="1" t="s">
        <v>42</v>
      </c>
    </row>
    <row r="209" spans="1:25" x14ac:dyDescent="0.25">
      <c r="A209" s="1" t="s">
        <v>65</v>
      </c>
      <c r="B209" s="1" t="s">
        <v>77</v>
      </c>
      <c r="C209" s="1" t="s">
        <v>24</v>
      </c>
      <c r="D209">
        <v>13.3</v>
      </c>
      <c r="E209">
        <v>8</v>
      </c>
      <c r="F209" s="1" t="s">
        <v>48</v>
      </c>
      <c r="G209">
        <v>1.21</v>
      </c>
      <c r="H209">
        <v>1949</v>
      </c>
      <c r="I209" s="1" t="s">
        <v>215</v>
      </c>
      <c r="J209">
        <v>3840</v>
      </c>
      <c r="K209">
        <v>2160</v>
      </c>
      <c r="L209" s="1" t="s">
        <v>28</v>
      </c>
      <c r="M209" s="1" t="s">
        <v>28</v>
      </c>
      <c r="N209" s="1" t="s">
        <v>27</v>
      </c>
      <c r="O209" s="1" t="s">
        <v>29</v>
      </c>
      <c r="P209">
        <v>1.8</v>
      </c>
      <c r="Q209" s="1" t="s">
        <v>57</v>
      </c>
      <c r="R209" s="1" t="str">
        <f>_xlfn.CONCAT(laptop[[#This Row],[CPU_company]]," ",laptop[[#This Row],[CPU_model]])</f>
        <v>Intel Core i7 8550U</v>
      </c>
      <c r="S209">
        <v>256</v>
      </c>
      <c r="T209">
        <v>0</v>
      </c>
      <c r="U209">
        <f>laptop[[#This Row],[PrimaryStorage]]+laptop[[#This Row],[SecondaryStorage]]</f>
        <v>256</v>
      </c>
      <c r="V209" s="1" t="s">
        <v>31</v>
      </c>
      <c r="W209" s="1" t="s">
        <v>27</v>
      </c>
      <c r="X209" s="1" t="str">
        <f>IF(laptop[[#This Row],[PrimaryStorageType]]=laptop[[#This Row],[SecondaryStorageType]],laptop[[#This Row],[PrimaryStorageType]],"SSD &amp; HDD")</f>
        <v>SSD &amp; HDD</v>
      </c>
      <c r="Y209" s="1" t="s">
        <v>61</v>
      </c>
    </row>
    <row r="210" spans="1:25" x14ac:dyDescent="0.25">
      <c r="A210" s="1" t="s">
        <v>65</v>
      </c>
      <c r="B210" s="1" t="s">
        <v>77</v>
      </c>
      <c r="C210" s="1" t="s">
        <v>24</v>
      </c>
      <c r="D210">
        <v>13.3</v>
      </c>
      <c r="E210">
        <v>8</v>
      </c>
      <c r="F210" s="1" t="s">
        <v>48</v>
      </c>
      <c r="G210">
        <v>1.2</v>
      </c>
      <c r="H210">
        <v>1449</v>
      </c>
      <c r="I210" s="1" t="s">
        <v>40</v>
      </c>
      <c r="J210">
        <v>1920</v>
      </c>
      <c r="K210">
        <v>1080</v>
      </c>
      <c r="L210" s="1" t="s">
        <v>27</v>
      </c>
      <c r="M210" s="1" t="s">
        <v>27</v>
      </c>
      <c r="N210" s="1" t="s">
        <v>27</v>
      </c>
      <c r="O210" s="1" t="s">
        <v>29</v>
      </c>
      <c r="P210">
        <v>1.8</v>
      </c>
      <c r="Q210" s="1" t="s">
        <v>57</v>
      </c>
      <c r="R210" s="1" t="str">
        <f>_xlfn.CONCAT(laptop[[#This Row],[CPU_company]]," ",laptop[[#This Row],[CPU_model]])</f>
        <v>Intel Core i7 8550U</v>
      </c>
      <c r="S210">
        <v>256</v>
      </c>
      <c r="T210">
        <v>0</v>
      </c>
      <c r="U210">
        <f>laptop[[#This Row],[PrimaryStorage]]+laptop[[#This Row],[SecondaryStorage]]</f>
        <v>256</v>
      </c>
      <c r="V210" s="1" t="s">
        <v>31</v>
      </c>
      <c r="W210" s="1" t="s">
        <v>27</v>
      </c>
      <c r="X210" s="1" t="str">
        <f>IF(laptop[[#This Row],[PrimaryStorageType]]=laptop[[#This Row],[SecondaryStorageType]],laptop[[#This Row],[PrimaryStorageType]],"SSD &amp; HDD")</f>
        <v>SSD &amp; HDD</v>
      </c>
      <c r="Y210" s="1" t="s">
        <v>61</v>
      </c>
    </row>
    <row r="211" spans="1:25" x14ac:dyDescent="0.25">
      <c r="A211" s="1" t="s">
        <v>73</v>
      </c>
      <c r="B211" s="1" t="s">
        <v>161</v>
      </c>
      <c r="C211" s="1" t="s">
        <v>38</v>
      </c>
      <c r="D211">
        <v>15.6</v>
      </c>
      <c r="E211">
        <v>8</v>
      </c>
      <c r="F211" s="1" t="s">
        <v>48</v>
      </c>
      <c r="G211">
        <v>2.2000000000000002</v>
      </c>
      <c r="H211">
        <v>597</v>
      </c>
      <c r="I211" s="1" t="s">
        <v>26</v>
      </c>
      <c r="J211">
        <v>1366</v>
      </c>
      <c r="K211">
        <v>768</v>
      </c>
      <c r="L211" s="1" t="s">
        <v>27</v>
      </c>
      <c r="M211" s="1" t="s">
        <v>27</v>
      </c>
      <c r="N211" s="1" t="s">
        <v>27</v>
      </c>
      <c r="O211" s="1" t="s">
        <v>29</v>
      </c>
      <c r="P211">
        <v>2.5</v>
      </c>
      <c r="Q211" s="1" t="s">
        <v>41</v>
      </c>
      <c r="R211" s="1" t="str">
        <f>_xlfn.CONCAT(laptop[[#This Row],[CPU_company]]," ",laptop[[#This Row],[CPU_model]])</f>
        <v>Intel Core i5 7200U</v>
      </c>
      <c r="S211">
        <v>256</v>
      </c>
      <c r="T211">
        <v>0</v>
      </c>
      <c r="U211">
        <f>laptop[[#This Row],[PrimaryStorage]]+laptop[[#This Row],[SecondaryStorage]]</f>
        <v>256</v>
      </c>
      <c r="V211" s="1" t="s">
        <v>31</v>
      </c>
      <c r="W211" s="1" t="s">
        <v>27</v>
      </c>
      <c r="X211" s="1" t="str">
        <f>IF(laptop[[#This Row],[PrimaryStorageType]]=laptop[[#This Row],[SecondaryStorageType]],laptop[[#This Row],[PrimaryStorageType]],"SSD &amp; HDD")</f>
        <v>SSD &amp; HDD</v>
      </c>
      <c r="Y211" s="1" t="s">
        <v>42</v>
      </c>
    </row>
    <row r="212" spans="1:25" x14ac:dyDescent="0.25">
      <c r="A212" s="1" t="s">
        <v>46</v>
      </c>
      <c r="B212" s="1" t="s">
        <v>268</v>
      </c>
      <c r="C212" s="1" t="s">
        <v>38</v>
      </c>
      <c r="D212">
        <v>15.6</v>
      </c>
      <c r="E212">
        <v>8</v>
      </c>
      <c r="F212" s="1" t="s">
        <v>111</v>
      </c>
      <c r="G212">
        <v>2.4</v>
      </c>
      <c r="H212">
        <v>779</v>
      </c>
      <c r="I212" s="1" t="s">
        <v>40</v>
      </c>
      <c r="J212">
        <v>1920</v>
      </c>
      <c r="K212">
        <v>1080</v>
      </c>
      <c r="L212" s="1" t="s">
        <v>27</v>
      </c>
      <c r="M212" s="1" t="s">
        <v>27</v>
      </c>
      <c r="N212" s="1" t="s">
        <v>27</v>
      </c>
      <c r="O212" s="1" t="s">
        <v>29</v>
      </c>
      <c r="P212">
        <v>2.8</v>
      </c>
      <c r="Q212" s="1" t="s">
        <v>118</v>
      </c>
      <c r="R212" s="1" t="str">
        <f>_xlfn.CONCAT(laptop[[#This Row],[CPU_company]]," ",laptop[[#This Row],[CPU_model]])</f>
        <v>Intel Core i7 7700HQ</v>
      </c>
      <c r="S212">
        <v>1024</v>
      </c>
      <c r="T212">
        <v>0</v>
      </c>
      <c r="U212">
        <f>laptop[[#This Row],[PrimaryStorage]]+laptop[[#This Row],[SecondaryStorage]]</f>
        <v>1024</v>
      </c>
      <c r="V212" s="1" t="s">
        <v>51</v>
      </c>
      <c r="W212" s="1" t="s">
        <v>27</v>
      </c>
      <c r="X212" s="1" t="str">
        <f>IF(laptop[[#This Row],[PrimaryStorageType]]=laptop[[#This Row],[SecondaryStorageType]],laptop[[#This Row],[PrimaryStorageType]],"SSD &amp; HDD")</f>
        <v>SSD &amp; HDD</v>
      </c>
      <c r="Y212" s="1" t="s">
        <v>85</v>
      </c>
    </row>
    <row r="213" spans="1:25" x14ac:dyDescent="0.25">
      <c r="A213" s="1" t="s">
        <v>55</v>
      </c>
      <c r="B213" s="1" t="s">
        <v>269</v>
      </c>
      <c r="C213" s="1" t="s">
        <v>83</v>
      </c>
      <c r="D213">
        <v>17.3</v>
      </c>
      <c r="E213">
        <v>16</v>
      </c>
      <c r="F213" s="1" t="s">
        <v>48</v>
      </c>
      <c r="G213">
        <v>2.9</v>
      </c>
      <c r="H213">
        <v>1407</v>
      </c>
      <c r="I213" s="1" t="s">
        <v>40</v>
      </c>
      <c r="J213">
        <v>1920</v>
      </c>
      <c r="K213">
        <v>1080</v>
      </c>
      <c r="L213" s="1" t="s">
        <v>27</v>
      </c>
      <c r="M213" s="1" t="s">
        <v>27</v>
      </c>
      <c r="N213" s="1" t="s">
        <v>27</v>
      </c>
      <c r="O213" s="1" t="s">
        <v>29</v>
      </c>
      <c r="P213">
        <v>2.8</v>
      </c>
      <c r="Q213" s="1" t="s">
        <v>118</v>
      </c>
      <c r="R213" s="1" t="str">
        <f>_xlfn.CONCAT(laptop[[#This Row],[CPU_company]]," ",laptop[[#This Row],[CPU_model]])</f>
        <v>Intel Core i7 7700HQ</v>
      </c>
      <c r="S213">
        <v>256</v>
      </c>
      <c r="T213">
        <v>1024</v>
      </c>
      <c r="U213">
        <f>laptop[[#This Row],[PrimaryStorage]]+laptop[[#This Row],[SecondaryStorage]]</f>
        <v>1280</v>
      </c>
      <c r="V213" s="1" t="s">
        <v>31</v>
      </c>
      <c r="W213" s="1" t="s">
        <v>51</v>
      </c>
      <c r="X213" s="1" t="str">
        <f>IF(laptop[[#This Row],[PrimaryStorageType]]=laptop[[#This Row],[SecondaryStorageType]],laptop[[#This Row],[PrimaryStorageType]],"SSD &amp; HDD")</f>
        <v>SSD &amp; HDD</v>
      </c>
      <c r="Y213" s="1" t="s">
        <v>85</v>
      </c>
    </row>
    <row r="214" spans="1:25" x14ac:dyDescent="0.25">
      <c r="A214" s="1" t="s">
        <v>36</v>
      </c>
      <c r="B214" s="1" t="s">
        <v>270</v>
      </c>
      <c r="C214" s="1" t="s">
        <v>38</v>
      </c>
      <c r="D214">
        <v>15.6</v>
      </c>
      <c r="E214">
        <v>4</v>
      </c>
      <c r="F214" s="1" t="s">
        <v>39</v>
      </c>
      <c r="G214">
        <v>2.1</v>
      </c>
      <c r="H214">
        <v>349</v>
      </c>
      <c r="I214" s="1" t="s">
        <v>40</v>
      </c>
      <c r="J214">
        <v>1920</v>
      </c>
      <c r="K214">
        <v>1080</v>
      </c>
      <c r="L214" s="1" t="s">
        <v>27</v>
      </c>
      <c r="M214" s="1" t="s">
        <v>27</v>
      </c>
      <c r="N214" s="1" t="s">
        <v>27</v>
      </c>
      <c r="O214" s="1" t="s">
        <v>29</v>
      </c>
      <c r="P214">
        <v>2</v>
      </c>
      <c r="Q214" s="1" t="s">
        <v>62</v>
      </c>
      <c r="R214" s="1" t="str">
        <f>_xlfn.CONCAT(laptop[[#This Row],[CPU_company]]," ",laptop[[#This Row],[CPU_model]])</f>
        <v>Intel Core i3 6006U</v>
      </c>
      <c r="S214">
        <v>500</v>
      </c>
      <c r="T214">
        <v>0</v>
      </c>
      <c r="U214">
        <f>laptop[[#This Row],[PrimaryStorage]]+laptop[[#This Row],[SecondaryStorage]]</f>
        <v>500</v>
      </c>
      <c r="V214" s="1" t="s">
        <v>51</v>
      </c>
      <c r="W214" s="1" t="s">
        <v>27</v>
      </c>
      <c r="X214" s="1" t="str">
        <f>IF(laptop[[#This Row],[PrimaryStorageType]]=laptop[[#This Row],[SecondaryStorageType]],laptop[[#This Row],[PrimaryStorageType]],"SSD &amp; HDD")</f>
        <v>SSD &amp; HDD</v>
      </c>
      <c r="Y214" s="1" t="s">
        <v>63</v>
      </c>
    </row>
    <row r="215" spans="1:25" x14ac:dyDescent="0.25">
      <c r="A215" s="1" t="s">
        <v>73</v>
      </c>
      <c r="B215" s="1" t="s">
        <v>161</v>
      </c>
      <c r="C215" s="1" t="s">
        <v>38</v>
      </c>
      <c r="D215">
        <v>15.6</v>
      </c>
      <c r="E215">
        <v>8</v>
      </c>
      <c r="F215" s="1" t="s">
        <v>39</v>
      </c>
      <c r="G215">
        <v>2.2000000000000002</v>
      </c>
      <c r="H215">
        <v>549</v>
      </c>
      <c r="I215" s="1" t="s">
        <v>40</v>
      </c>
      <c r="J215">
        <v>1920</v>
      </c>
      <c r="K215">
        <v>1080</v>
      </c>
      <c r="L215" s="1" t="s">
        <v>27</v>
      </c>
      <c r="M215" s="1" t="s">
        <v>27</v>
      </c>
      <c r="N215" s="1" t="s">
        <v>27</v>
      </c>
      <c r="O215" s="1" t="s">
        <v>29</v>
      </c>
      <c r="P215">
        <v>2.5</v>
      </c>
      <c r="Q215" s="1" t="s">
        <v>41</v>
      </c>
      <c r="R215" s="1" t="str">
        <f>_xlfn.CONCAT(laptop[[#This Row],[CPU_company]]," ",laptop[[#This Row],[CPU_model]])</f>
        <v>Intel Core i5 7200U</v>
      </c>
      <c r="S215">
        <v>256</v>
      </c>
      <c r="T215">
        <v>0</v>
      </c>
      <c r="U215">
        <f>laptop[[#This Row],[PrimaryStorage]]+laptop[[#This Row],[SecondaryStorage]]</f>
        <v>256</v>
      </c>
      <c r="V215" s="1" t="s">
        <v>31</v>
      </c>
      <c r="W215" s="1" t="s">
        <v>27</v>
      </c>
      <c r="X215" s="1" t="str">
        <f>IF(laptop[[#This Row],[PrimaryStorageType]]=laptop[[#This Row],[SecondaryStorageType]],laptop[[#This Row],[PrimaryStorageType]],"SSD &amp; HDD")</f>
        <v>SSD &amp; HDD</v>
      </c>
      <c r="Y215" s="1" t="s">
        <v>42</v>
      </c>
    </row>
    <row r="216" spans="1:25" x14ac:dyDescent="0.25">
      <c r="A216" s="1" t="s">
        <v>238</v>
      </c>
      <c r="B216" s="1" t="s">
        <v>239</v>
      </c>
      <c r="C216" s="1" t="s">
        <v>24</v>
      </c>
      <c r="D216">
        <v>13</v>
      </c>
      <c r="E216">
        <v>8</v>
      </c>
      <c r="F216" s="1" t="s">
        <v>48</v>
      </c>
      <c r="G216">
        <v>1.05</v>
      </c>
      <c r="H216">
        <v>1499</v>
      </c>
      <c r="I216" s="1" t="s">
        <v>40</v>
      </c>
      <c r="J216">
        <v>2160</v>
      </c>
      <c r="K216">
        <v>1440</v>
      </c>
      <c r="L216" s="1" t="s">
        <v>27</v>
      </c>
      <c r="M216" s="1" t="s">
        <v>28</v>
      </c>
      <c r="N216" s="1" t="s">
        <v>27</v>
      </c>
      <c r="O216" s="1" t="s">
        <v>29</v>
      </c>
      <c r="P216">
        <v>2.7</v>
      </c>
      <c r="Q216" s="1" t="s">
        <v>71</v>
      </c>
      <c r="R216" s="1" t="str">
        <f>_xlfn.CONCAT(laptop[[#This Row],[CPU_company]]," ",laptop[[#This Row],[CPU_model]])</f>
        <v>Intel Core i7 7500U</v>
      </c>
      <c r="S216">
        <v>512</v>
      </c>
      <c r="T216">
        <v>0</v>
      </c>
      <c r="U216">
        <f>laptop[[#This Row],[PrimaryStorage]]+laptop[[#This Row],[SecondaryStorage]]</f>
        <v>512</v>
      </c>
      <c r="V216" s="1" t="s">
        <v>31</v>
      </c>
      <c r="W216" s="1" t="s">
        <v>27</v>
      </c>
      <c r="X216" s="1" t="str">
        <f>IF(laptop[[#This Row],[PrimaryStorageType]]=laptop[[#This Row],[SecondaryStorageType]],laptop[[#This Row],[PrimaryStorageType]],"SSD &amp; HDD")</f>
        <v>SSD &amp; HDD</v>
      </c>
      <c r="Y216" s="1" t="s">
        <v>42</v>
      </c>
    </row>
    <row r="217" spans="1:25" x14ac:dyDescent="0.25">
      <c r="A217" s="1" t="s">
        <v>65</v>
      </c>
      <c r="B217" s="1" t="s">
        <v>157</v>
      </c>
      <c r="C217" s="1" t="s">
        <v>24</v>
      </c>
      <c r="D217">
        <v>13.3</v>
      </c>
      <c r="E217">
        <v>8</v>
      </c>
      <c r="F217" s="1" t="s">
        <v>48</v>
      </c>
      <c r="G217">
        <v>1.4</v>
      </c>
      <c r="H217">
        <v>931.88</v>
      </c>
      <c r="I217" s="1" t="s">
        <v>40</v>
      </c>
      <c r="J217">
        <v>1920</v>
      </c>
      <c r="K217">
        <v>1080</v>
      </c>
      <c r="L217" s="1" t="s">
        <v>27</v>
      </c>
      <c r="M217" s="1" t="s">
        <v>28</v>
      </c>
      <c r="N217" s="1" t="s">
        <v>27</v>
      </c>
      <c r="O217" s="1" t="s">
        <v>29</v>
      </c>
      <c r="P217">
        <v>1.8</v>
      </c>
      <c r="Q217" s="1" t="s">
        <v>57</v>
      </c>
      <c r="R217" s="1" t="str">
        <f>_xlfn.CONCAT(laptop[[#This Row],[CPU_company]]," ",laptop[[#This Row],[CPU_model]])</f>
        <v>Intel Core i7 8550U</v>
      </c>
      <c r="S217">
        <v>256</v>
      </c>
      <c r="T217">
        <v>0</v>
      </c>
      <c r="U217">
        <f>laptop[[#This Row],[PrimaryStorage]]+laptop[[#This Row],[SecondaryStorage]]</f>
        <v>256</v>
      </c>
      <c r="V217" s="1" t="s">
        <v>31</v>
      </c>
      <c r="W217" s="1" t="s">
        <v>27</v>
      </c>
      <c r="X217" s="1" t="str">
        <f>IF(laptop[[#This Row],[PrimaryStorageType]]=laptop[[#This Row],[SecondaryStorageType]],laptop[[#This Row],[PrimaryStorageType]],"SSD &amp; HDD")</f>
        <v>SSD &amp; HDD</v>
      </c>
      <c r="Y217" s="1" t="s">
        <v>94</v>
      </c>
    </row>
    <row r="218" spans="1:25" x14ac:dyDescent="0.25">
      <c r="A218" s="1" t="s">
        <v>73</v>
      </c>
      <c r="B218" s="1" t="s">
        <v>271</v>
      </c>
      <c r="C218" s="1" t="s">
        <v>38</v>
      </c>
      <c r="D218">
        <v>17.3</v>
      </c>
      <c r="E218">
        <v>8</v>
      </c>
      <c r="F218" s="1" t="s">
        <v>39</v>
      </c>
      <c r="G218">
        <v>2.8</v>
      </c>
      <c r="H218">
        <v>589</v>
      </c>
      <c r="I218" s="1" t="s">
        <v>26</v>
      </c>
      <c r="J218">
        <v>1600</v>
      </c>
      <c r="K218">
        <v>900</v>
      </c>
      <c r="L218" s="1" t="s">
        <v>27</v>
      </c>
      <c r="M218" s="1" t="s">
        <v>27</v>
      </c>
      <c r="N218" s="1" t="s">
        <v>27</v>
      </c>
      <c r="O218" s="1" t="s">
        <v>29</v>
      </c>
      <c r="P218">
        <v>2.5</v>
      </c>
      <c r="Q218" s="1" t="s">
        <v>41</v>
      </c>
      <c r="R218" s="1" t="str">
        <f>_xlfn.CONCAT(laptop[[#This Row],[CPU_company]]," ",laptop[[#This Row],[CPU_model]])</f>
        <v>Intel Core i5 7200U</v>
      </c>
      <c r="S218">
        <v>1024</v>
      </c>
      <c r="T218">
        <v>0</v>
      </c>
      <c r="U218">
        <f>laptop[[#This Row],[PrimaryStorage]]+laptop[[#This Row],[SecondaryStorage]]</f>
        <v>1024</v>
      </c>
      <c r="V218" s="1" t="s">
        <v>51</v>
      </c>
      <c r="W218" s="1" t="s">
        <v>27</v>
      </c>
      <c r="X218" s="1" t="str">
        <f>IF(laptop[[#This Row],[PrimaryStorageType]]=laptop[[#This Row],[SecondaryStorageType]],laptop[[#This Row],[PrimaryStorageType]],"SSD &amp; HDD")</f>
        <v>SSD &amp; HDD</v>
      </c>
      <c r="Y218" s="1" t="s">
        <v>168</v>
      </c>
    </row>
    <row r="219" spans="1:25" x14ac:dyDescent="0.25">
      <c r="A219" s="1" t="s">
        <v>36</v>
      </c>
      <c r="B219" s="1" t="s">
        <v>191</v>
      </c>
      <c r="C219" s="1" t="s">
        <v>38</v>
      </c>
      <c r="D219">
        <v>14</v>
      </c>
      <c r="E219">
        <v>8</v>
      </c>
      <c r="F219" s="1" t="s">
        <v>48</v>
      </c>
      <c r="G219">
        <v>1.63</v>
      </c>
      <c r="H219">
        <v>1031</v>
      </c>
      <c r="I219" s="1" t="s">
        <v>40</v>
      </c>
      <c r="J219">
        <v>1920</v>
      </c>
      <c r="K219">
        <v>1080</v>
      </c>
      <c r="L219" s="1" t="s">
        <v>27</v>
      </c>
      <c r="M219" s="1" t="s">
        <v>27</v>
      </c>
      <c r="N219" s="1" t="s">
        <v>27</v>
      </c>
      <c r="O219" s="1" t="s">
        <v>29</v>
      </c>
      <c r="P219">
        <v>1.8</v>
      </c>
      <c r="Q219" s="1" t="s">
        <v>57</v>
      </c>
      <c r="R219" s="1" t="str">
        <f>_xlfn.CONCAT(laptop[[#This Row],[CPU_company]]," ",laptop[[#This Row],[CPU_model]])</f>
        <v>Intel Core i7 8550U</v>
      </c>
      <c r="S219">
        <v>256</v>
      </c>
      <c r="T219">
        <v>0</v>
      </c>
      <c r="U219">
        <f>laptop[[#This Row],[PrimaryStorage]]+laptop[[#This Row],[SecondaryStorage]]</f>
        <v>256</v>
      </c>
      <c r="V219" s="1" t="s">
        <v>31</v>
      </c>
      <c r="W219" s="1" t="s">
        <v>27</v>
      </c>
      <c r="X219" s="1" t="str">
        <f>IF(laptop[[#This Row],[PrimaryStorageType]]=laptop[[#This Row],[SecondaryStorageType]],laptop[[#This Row],[PrimaryStorageType]],"SSD &amp; HDD")</f>
        <v>SSD &amp; HDD</v>
      </c>
      <c r="Y219" s="1" t="s">
        <v>98</v>
      </c>
    </row>
    <row r="220" spans="1:25" x14ac:dyDescent="0.25">
      <c r="A220" s="1" t="s">
        <v>65</v>
      </c>
      <c r="B220" s="1" t="s">
        <v>272</v>
      </c>
      <c r="C220" s="1" t="s">
        <v>24</v>
      </c>
      <c r="D220">
        <v>14</v>
      </c>
      <c r="E220">
        <v>8</v>
      </c>
      <c r="F220" s="1" t="s">
        <v>48</v>
      </c>
      <c r="G220">
        <v>1.6</v>
      </c>
      <c r="H220">
        <v>1149</v>
      </c>
      <c r="I220" s="1" t="s">
        <v>40</v>
      </c>
      <c r="J220">
        <v>1920</v>
      </c>
      <c r="K220">
        <v>1080</v>
      </c>
      <c r="L220" s="1" t="s">
        <v>27</v>
      </c>
      <c r="M220" s="1" t="s">
        <v>27</v>
      </c>
      <c r="N220" s="1" t="s">
        <v>27</v>
      </c>
      <c r="O220" s="1" t="s">
        <v>29</v>
      </c>
      <c r="P220">
        <v>1.6</v>
      </c>
      <c r="Q220" s="1" t="s">
        <v>60</v>
      </c>
      <c r="R220" s="1" t="str">
        <f>_xlfn.CONCAT(laptop[[#This Row],[CPU_company]]," ",laptop[[#This Row],[CPU_model]])</f>
        <v>Intel Core i5 8250U</v>
      </c>
      <c r="S220">
        <v>256</v>
      </c>
      <c r="T220">
        <v>0</v>
      </c>
      <c r="U220">
        <f>laptop[[#This Row],[PrimaryStorage]]+laptop[[#This Row],[SecondaryStorage]]</f>
        <v>256</v>
      </c>
      <c r="V220" s="1" t="s">
        <v>31</v>
      </c>
      <c r="W220" s="1" t="s">
        <v>27</v>
      </c>
      <c r="X220" s="1" t="str">
        <f>IF(laptop[[#This Row],[PrimaryStorageType]]=laptop[[#This Row],[SecondaryStorageType]],laptop[[#This Row],[PrimaryStorageType]],"SSD &amp; HDD")</f>
        <v>SSD &amp; HDD</v>
      </c>
      <c r="Y220" s="1" t="s">
        <v>61</v>
      </c>
    </row>
    <row r="221" spans="1:25" x14ac:dyDescent="0.25">
      <c r="A221" s="1" t="s">
        <v>65</v>
      </c>
      <c r="B221" s="1" t="s">
        <v>89</v>
      </c>
      <c r="C221" s="1" t="s">
        <v>90</v>
      </c>
      <c r="D221">
        <v>13.3</v>
      </c>
      <c r="E221">
        <v>16</v>
      </c>
      <c r="F221" s="1" t="s">
        <v>48</v>
      </c>
      <c r="G221">
        <v>1.62</v>
      </c>
      <c r="H221">
        <v>1279</v>
      </c>
      <c r="I221" s="1" t="s">
        <v>40</v>
      </c>
      <c r="J221">
        <v>1920</v>
      </c>
      <c r="K221">
        <v>1080</v>
      </c>
      <c r="L221" s="1" t="s">
        <v>28</v>
      </c>
      <c r="M221" s="1" t="s">
        <v>27</v>
      </c>
      <c r="N221" s="1" t="s">
        <v>27</v>
      </c>
      <c r="O221" s="1" t="s">
        <v>29</v>
      </c>
      <c r="P221">
        <v>1.8</v>
      </c>
      <c r="Q221" s="1" t="s">
        <v>57</v>
      </c>
      <c r="R221" s="1" t="str">
        <f>_xlfn.CONCAT(laptop[[#This Row],[CPU_company]]," ",laptop[[#This Row],[CPU_model]])</f>
        <v>Intel Core i7 8550U</v>
      </c>
      <c r="S221">
        <v>512</v>
      </c>
      <c r="T221">
        <v>0</v>
      </c>
      <c r="U221">
        <f>laptop[[#This Row],[PrimaryStorage]]+laptop[[#This Row],[SecondaryStorage]]</f>
        <v>512</v>
      </c>
      <c r="V221" s="1" t="s">
        <v>31</v>
      </c>
      <c r="W221" s="1" t="s">
        <v>27</v>
      </c>
      <c r="X221" s="1" t="str">
        <f>IF(laptop[[#This Row],[PrimaryStorageType]]=laptop[[#This Row],[SecondaryStorageType]],laptop[[#This Row],[PrimaryStorageType]],"SSD &amp; HDD")</f>
        <v>SSD &amp; HDD</v>
      </c>
      <c r="Y221" s="1" t="s">
        <v>61</v>
      </c>
    </row>
    <row r="222" spans="1:25" x14ac:dyDescent="0.25">
      <c r="A222" s="1" t="s">
        <v>65</v>
      </c>
      <c r="B222" s="1" t="s">
        <v>137</v>
      </c>
      <c r="C222" s="1" t="s">
        <v>38</v>
      </c>
      <c r="D222">
        <v>15.6</v>
      </c>
      <c r="E222">
        <v>8</v>
      </c>
      <c r="F222" s="1" t="s">
        <v>111</v>
      </c>
      <c r="G222">
        <v>2.2000000000000002</v>
      </c>
      <c r="H222">
        <v>677.35</v>
      </c>
      <c r="I222" s="1" t="s">
        <v>40</v>
      </c>
      <c r="J222">
        <v>1920</v>
      </c>
      <c r="K222">
        <v>1080</v>
      </c>
      <c r="L222" s="1" t="s">
        <v>27</v>
      </c>
      <c r="M222" s="1" t="s">
        <v>27</v>
      </c>
      <c r="N222" s="1" t="s">
        <v>27</v>
      </c>
      <c r="O222" s="1" t="s">
        <v>29</v>
      </c>
      <c r="P222">
        <v>1.6</v>
      </c>
      <c r="Q222" s="1" t="s">
        <v>60</v>
      </c>
      <c r="R222" s="1" t="str">
        <f>_xlfn.CONCAT(laptop[[#This Row],[CPU_company]]," ",laptop[[#This Row],[CPU_model]])</f>
        <v>Intel Core i5 8250U</v>
      </c>
      <c r="S222">
        <v>256</v>
      </c>
      <c r="T222">
        <v>0</v>
      </c>
      <c r="U222">
        <f>laptop[[#This Row],[PrimaryStorage]]+laptop[[#This Row],[SecondaryStorage]]</f>
        <v>256</v>
      </c>
      <c r="V222" s="1" t="s">
        <v>31</v>
      </c>
      <c r="W222" s="1" t="s">
        <v>27</v>
      </c>
      <c r="X222" s="1" t="str">
        <f>IF(laptop[[#This Row],[PrimaryStorageType]]=laptop[[#This Row],[SecondaryStorageType]],laptop[[#This Row],[PrimaryStorageType]],"SSD &amp; HDD")</f>
        <v>SSD &amp; HDD</v>
      </c>
      <c r="Y222" s="1" t="s">
        <v>138</v>
      </c>
    </row>
    <row r="223" spans="1:25" x14ac:dyDescent="0.25">
      <c r="A223" s="1" t="s">
        <v>73</v>
      </c>
      <c r="B223" s="1" t="s">
        <v>229</v>
      </c>
      <c r="C223" s="1" t="s">
        <v>90</v>
      </c>
      <c r="D223">
        <v>14</v>
      </c>
      <c r="E223">
        <v>8</v>
      </c>
      <c r="F223" s="1" t="s">
        <v>48</v>
      </c>
      <c r="G223">
        <v>1.74</v>
      </c>
      <c r="H223">
        <v>899</v>
      </c>
      <c r="I223" s="1" t="s">
        <v>40</v>
      </c>
      <c r="J223">
        <v>1920</v>
      </c>
      <c r="K223">
        <v>1080</v>
      </c>
      <c r="L223" s="1" t="s">
        <v>27</v>
      </c>
      <c r="M223" s="1" t="s">
        <v>28</v>
      </c>
      <c r="N223" s="1" t="s">
        <v>27</v>
      </c>
      <c r="O223" s="1" t="s">
        <v>29</v>
      </c>
      <c r="P223">
        <v>1.6</v>
      </c>
      <c r="Q223" s="1" t="s">
        <v>60</v>
      </c>
      <c r="R223" s="1" t="str">
        <f>_xlfn.CONCAT(laptop[[#This Row],[CPU_company]]," ",laptop[[#This Row],[CPU_model]])</f>
        <v>Intel Core i5 8250U</v>
      </c>
      <c r="S223">
        <v>256</v>
      </c>
      <c r="T223">
        <v>0</v>
      </c>
      <c r="U223">
        <f>laptop[[#This Row],[PrimaryStorage]]+laptop[[#This Row],[SecondaryStorage]]</f>
        <v>256</v>
      </c>
      <c r="V223" s="1" t="s">
        <v>31</v>
      </c>
      <c r="W223" s="1" t="s">
        <v>27</v>
      </c>
      <c r="X223" s="1" t="str">
        <f>IF(laptop[[#This Row],[PrimaryStorageType]]=laptop[[#This Row],[SecondaryStorageType]],laptop[[#This Row],[PrimaryStorageType]],"SSD &amp; HDD")</f>
        <v>SSD &amp; HDD</v>
      </c>
      <c r="Y223" s="1" t="s">
        <v>61</v>
      </c>
    </row>
    <row r="224" spans="1:25" x14ac:dyDescent="0.25">
      <c r="A224" s="1" t="s">
        <v>210</v>
      </c>
      <c r="B224" s="1" t="s">
        <v>273</v>
      </c>
      <c r="C224" s="1" t="s">
        <v>24</v>
      </c>
      <c r="D224">
        <v>13.3</v>
      </c>
      <c r="E224">
        <v>8</v>
      </c>
      <c r="F224" s="1" t="s">
        <v>48</v>
      </c>
      <c r="G224">
        <v>1.2</v>
      </c>
      <c r="H224">
        <v>1363</v>
      </c>
      <c r="I224" s="1" t="s">
        <v>40</v>
      </c>
      <c r="J224">
        <v>1920</v>
      </c>
      <c r="K224">
        <v>1080</v>
      </c>
      <c r="L224" s="1" t="s">
        <v>27</v>
      </c>
      <c r="M224" s="1" t="s">
        <v>27</v>
      </c>
      <c r="N224" s="1" t="s">
        <v>27</v>
      </c>
      <c r="O224" s="1" t="s">
        <v>29</v>
      </c>
      <c r="P224">
        <v>2.5</v>
      </c>
      <c r="Q224" s="1" t="s">
        <v>274</v>
      </c>
      <c r="R224" s="1" t="str">
        <f>_xlfn.CONCAT(laptop[[#This Row],[CPU_company]]," ",laptop[[#This Row],[CPU_model]])</f>
        <v>Intel Core i7 6500U</v>
      </c>
      <c r="S224">
        <v>256</v>
      </c>
      <c r="T224">
        <v>0</v>
      </c>
      <c r="U224">
        <f>laptop[[#This Row],[PrimaryStorage]]+laptop[[#This Row],[SecondaryStorage]]</f>
        <v>256</v>
      </c>
      <c r="V224" s="1" t="s">
        <v>31</v>
      </c>
      <c r="W224" s="1" t="s">
        <v>27</v>
      </c>
      <c r="X224" s="1" t="str">
        <f>IF(laptop[[#This Row],[PrimaryStorageType]]=laptop[[#This Row],[SecondaryStorageType]],laptop[[#This Row],[PrimaryStorageType]],"SSD &amp; HDD")</f>
        <v>SSD &amp; HDD</v>
      </c>
      <c r="Y224" s="1" t="s">
        <v>63</v>
      </c>
    </row>
    <row r="225" spans="1:25" x14ac:dyDescent="0.25">
      <c r="A225" s="1" t="s">
        <v>36</v>
      </c>
      <c r="B225" s="1" t="s">
        <v>114</v>
      </c>
      <c r="C225" s="1" t="s">
        <v>38</v>
      </c>
      <c r="D225">
        <v>15.6</v>
      </c>
      <c r="E225">
        <v>8</v>
      </c>
      <c r="F225" s="1" t="s">
        <v>48</v>
      </c>
      <c r="G225">
        <v>2.1</v>
      </c>
      <c r="H225">
        <v>794</v>
      </c>
      <c r="I225" s="1" t="s">
        <v>40</v>
      </c>
      <c r="J225">
        <v>1920</v>
      </c>
      <c r="K225">
        <v>1080</v>
      </c>
      <c r="L225" s="1" t="s">
        <v>27</v>
      </c>
      <c r="M225" s="1" t="s">
        <v>27</v>
      </c>
      <c r="N225" s="1" t="s">
        <v>27</v>
      </c>
      <c r="O225" s="1" t="s">
        <v>29</v>
      </c>
      <c r="P225">
        <v>1.6</v>
      </c>
      <c r="Q225" s="1" t="s">
        <v>60</v>
      </c>
      <c r="R225" s="1" t="str">
        <f>_xlfn.CONCAT(laptop[[#This Row],[CPU_company]]," ",laptop[[#This Row],[CPU_model]])</f>
        <v>Intel Core i5 8250U</v>
      </c>
      <c r="S225">
        <v>1024</v>
      </c>
      <c r="T225">
        <v>0</v>
      </c>
      <c r="U225">
        <f>laptop[[#This Row],[PrimaryStorage]]+laptop[[#This Row],[SecondaryStorage]]</f>
        <v>1024</v>
      </c>
      <c r="V225" s="1" t="s">
        <v>51</v>
      </c>
      <c r="W225" s="1" t="s">
        <v>27</v>
      </c>
      <c r="X225" s="1" t="str">
        <f>IF(laptop[[#This Row],[PrimaryStorageType]]=laptop[[#This Row],[SecondaryStorageType]],laptop[[#This Row],[PrimaryStorageType]],"SSD &amp; HDD")</f>
        <v>SSD &amp; HDD</v>
      </c>
      <c r="Y225" s="1" t="s">
        <v>61</v>
      </c>
    </row>
    <row r="226" spans="1:25" x14ac:dyDescent="0.25">
      <c r="A226" s="1" t="s">
        <v>65</v>
      </c>
      <c r="B226" s="1" t="s">
        <v>275</v>
      </c>
      <c r="C226" s="1" t="s">
        <v>83</v>
      </c>
      <c r="D226">
        <v>17.3</v>
      </c>
      <c r="E226">
        <v>16</v>
      </c>
      <c r="F226" s="1" t="s">
        <v>48</v>
      </c>
      <c r="G226">
        <v>4.42</v>
      </c>
      <c r="H226">
        <v>2456.34</v>
      </c>
      <c r="I226" s="1" t="s">
        <v>40</v>
      </c>
      <c r="J226">
        <v>1920</v>
      </c>
      <c r="K226">
        <v>1080</v>
      </c>
      <c r="L226" s="1" t="s">
        <v>27</v>
      </c>
      <c r="M226" s="1" t="s">
        <v>28</v>
      </c>
      <c r="N226" s="1" t="s">
        <v>27</v>
      </c>
      <c r="O226" s="1" t="s">
        <v>29</v>
      </c>
      <c r="P226">
        <v>2.8</v>
      </c>
      <c r="Q226" s="1" t="s">
        <v>118</v>
      </c>
      <c r="R226" s="1" t="str">
        <f>_xlfn.CONCAT(laptop[[#This Row],[CPU_company]]," ",laptop[[#This Row],[CPU_model]])</f>
        <v>Intel Core i7 7700HQ</v>
      </c>
      <c r="S226">
        <v>256</v>
      </c>
      <c r="T226">
        <v>1024</v>
      </c>
      <c r="U226">
        <f>laptop[[#This Row],[PrimaryStorage]]+laptop[[#This Row],[SecondaryStorage]]</f>
        <v>1280</v>
      </c>
      <c r="V226" s="1" t="s">
        <v>31</v>
      </c>
      <c r="W226" s="1" t="s">
        <v>51</v>
      </c>
      <c r="X226" s="1" t="str">
        <f>IF(laptop[[#This Row],[PrimaryStorageType]]=laptop[[#This Row],[SecondaryStorageType]],laptop[[#This Row],[PrimaryStorageType]],"SSD &amp; HDD")</f>
        <v>SSD &amp; HDD</v>
      </c>
      <c r="Y226" s="1" t="s">
        <v>119</v>
      </c>
    </row>
    <row r="227" spans="1:25" x14ac:dyDescent="0.25">
      <c r="A227" s="1" t="s">
        <v>46</v>
      </c>
      <c r="B227" s="1" t="s">
        <v>262</v>
      </c>
      <c r="C227" s="1" t="s">
        <v>38</v>
      </c>
      <c r="D227">
        <v>15.6</v>
      </c>
      <c r="E227">
        <v>8</v>
      </c>
      <c r="F227" s="1" t="s">
        <v>48</v>
      </c>
      <c r="G227">
        <v>2.2000000000000002</v>
      </c>
      <c r="H227">
        <v>832</v>
      </c>
      <c r="I227" s="1" t="s">
        <v>40</v>
      </c>
      <c r="J227">
        <v>1920</v>
      </c>
      <c r="K227">
        <v>1080</v>
      </c>
      <c r="L227" s="1" t="s">
        <v>27</v>
      </c>
      <c r="M227" s="1" t="s">
        <v>27</v>
      </c>
      <c r="N227" s="1" t="s">
        <v>27</v>
      </c>
      <c r="O227" s="1" t="s">
        <v>29</v>
      </c>
      <c r="P227">
        <v>2.7</v>
      </c>
      <c r="Q227" s="1" t="s">
        <v>71</v>
      </c>
      <c r="R227" s="1" t="str">
        <f>_xlfn.CONCAT(laptop[[#This Row],[CPU_company]]," ",laptop[[#This Row],[CPU_model]])</f>
        <v>Intel Core i7 7500U</v>
      </c>
      <c r="S227">
        <v>256</v>
      </c>
      <c r="T227">
        <v>0</v>
      </c>
      <c r="U227">
        <f>laptop[[#This Row],[PrimaryStorage]]+laptop[[#This Row],[SecondaryStorage]]</f>
        <v>256</v>
      </c>
      <c r="V227" s="1" t="s">
        <v>31</v>
      </c>
      <c r="W227" s="1" t="s">
        <v>27</v>
      </c>
      <c r="X227" s="1" t="str">
        <f>IF(laptop[[#This Row],[PrimaryStorageType]]=laptop[[#This Row],[SecondaryStorageType]],laptop[[#This Row],[PrimaryStorageType]],"SSD &amp; HDD")</f>
        <v>SSD &amp; HDD</v>
      </c>
      <c r="Y227" s="1" t="s">
        <v>76</v>
      </c>
    </row>
    <row r="228" spans="1:25" x14ac:dyDescent="0.25">
      <c r="A228" s="1" t="s">
        <v>65</v>
      </c>
      <c r="B228" s="1" t="s">
        <v>200</v>
      </c>
      <c r="C228" s="1" t="s">
        <v>38</v>
      </c>
      <c r="D228">
        <v>15.6</v>
      </c>
      <c r="E228">
        <v>16</v>
      </c>
      <c r="F228" s="1" t="s">
        <v>48</v>
      </c>
      <c r="G228">
        <v>2.2999999999999998</v>
      </c>
      <c r="H228">
        <v>859.01</v>
      </c>
      <c r="I228" s="1" t="s">
        <v>40</v>
      </c>
      <c r="J228">
        <v>1920</v>
      </c>
      <c r="K228">
        <v>1080</v>
      </c>
      <c r="L228" s="1" t="s">
        <v>28</v>
      </c>
      <c r="M228" s="1" t="s">
        <v>27</v>
      </c>
      <c r="N228" s="1" t="s">
        <v>27</v>
      </c>
      <c r="O228" s="1" t="s">
        <v>29</v>
      </c>
      <c r="P228">
        <v>2.7</v>
      </c>
      <c r="Q228" s="1" t="s">
        <v>71</v>
      </c>
      <c r="R228" s="1" t="str">
        <f>_xlfn.CONCAT(laptop[[#This Row],[CPU_company]]," ",laptop[[#This Row],[CPU_model]])</f>
        <v>Intel Core i7 7500U</v>
      </c>
      <c r="S228">
        <v>1024</v>
      </c>
      <c r="T228">
        <v>0</v>
      </c>
      <c r="U228">
        <f>laptop[[#This Row],[PrimaryStorage]]+laptop[[#This Row],[SecondaryStorage]]</f>
        <v>1024</v>
      </c>
      <c r="V228" s="1" t="s">
        <v>51</v>
      </c>
      <c r="W228" s="1" t="s">
        <v>27</v>
      </c>
      <c r="X228" s="1" t="str">
        <f>IF(laptop[[#This Row],[PrimaryStorageType]]=laptop[[#This Row],[SecondaryStorageType]],laptop[[#This Row],[PrimaryStorageType]],"SSD &amp; HDD")</f>
        <v>SSD &amp; HDD</v>
      </c>
      <c r="Y228" s="1" t="s">
        <v>201</v>
      </c>
    </row>
    <row r="229" spans="1:25" x14ac:dyDescent="0.25">
      <c r="A229" s="1" t="s">
        <v>55</v>
      </c>
      <c r="B229" s="1" t="s">
        <v>276</v>
      </c>
      <c r="C229" s="1" t="s">
        <v>38</v>
      </c>
      <c r="D229">
        <v>15.6</v>
      </c>
      <c r="E229">
        <v>8</v>
      </c>
      <c r="F229" s="1" t="s">
        <v>48</v>
      </c>
      <c r="G229">
        <v>2</v>
      </c>
      <c r="H229">
        <v>769</v>
      </c>
      <c r="I229" s="1" t="s">
        <v>40</v>
      </c>
      <c r="J229">
        <v>1920</v>
      </c>
      <c r="K229">
        <v>1080</v>
      </c>
      <c r="L229" s="1" t="s">
        <v>27</v>
      </c>
      <c r="M229" s="1" t="s">
        <v>27</v>
      </c>
      <c r="N229" s="1" t="s">
        <v>27</v>
      </c>
      <c r="O229" s="1" t="s">
        <v>29</v>
      </c>
      <c r="P229">
        <v>2.5</v>
      </c>
      <c r="Q229" s="1" t="s">
        <v>41</v>
      </c>
      <c r="R229" s="1" t="str">
        <f>_xlfn.CONCAT(laptop[[#This Row],[CPU_company]]," ",laptop[[#This Row],[CPU_model]])</f>
        <v>Intel Core i5 7200U</v>
      </c>
      <c r="S229">
        <v>256</v>
      </c>
      <c r="T229">
        <v>0</v>
      </c>
      <c r="U229">
        <f>laptop[[#This Row],[PrimaryStorage]]+laptop[[#This Row],[SecondaryStorage]]</f>
        <v>256</v>
      </c>
      <c r="V229" s="1" t="s">
        <v>31</v>
      </c>
      <c r="W229" s="1" t="s">
        <v>27</v>
      </c>
      <c r="X229" s="1" t="str">
        <f>IF(laptop[[#This Row],[PrimaryStorageType]]=laptop[[#This Row],[SecondaryStorageType]],laptop[[#This Row],[PrimaryStorageType]],"SSD &amp; HDD")</f>
        <v>SSD &amp; HDD</v>
      </c>
      <c r="Y229" s="1" t="s">
        <v>277</v>
      </c>
    </row>
    <row r="230" spans="1:25" x14ac:dyDescent="0.25">
      <c r="A230" s="1" t="s">
        <v>55</v>
      </c>
      <c r="B230" s="1" t="s">
        <v>278</v>
      </c>
      <c r="C230" s="1" t="s">
        <v>38</v>
      </c>
      <c r="D230">
        <v>17.3</v>
      </c>
      <c r="E230">
        <v>8</v>
      </c>
      <c r="F230" s="1" t="s">
        <v>48</v>
      </c>
      <c r="G230">
        <v>2.69</v>
      </c>
      <c r="H230">
        <v>891</v>
      </c>
      <c r="I230" s="1" t="s">
        <v>40</v>
      </c>
      <c r="J230">
        <v>1920</v>
      </c>
      <c r="K230">
        <v>1080</v>
      </c>
      <c r="L230" s="1" t="s">
        <v>27</v>
      </c>
      <c r="M230" s="1" t="s">
        <v>27</v>
      </c>
      <c r="N230" s="1" t="s">
        <v>27</v>
      </c>
      <c r="O230" s="1" t="s">
        <v>29</v>
      </c>
      <c r="P230">
        <v>2.5</v>
      </c>
      <c r="Q230" s="1" t="s">
        <v>41</v>
      </c>
      <c r="R230" s="1" t="str">
        <f>_xlfn.CONCAT(laptop[[#This Row],[CPU_company]]," ",laptop[[#This Row],[CPU_model]])</f>
        <v>Intel Core i5 7200U</v>
      </c>
      <c r="S230">
        <v>256</v>
      </c>
      <c r="T230">
        <v>500</v>
      </c>
      <c r="U230">
        <f>laptop[[#This Row],[PrimaryStorage]]+laptop[[#This Row],[SecondaryStorage]]</f>
        <v>756</v>
      </c>
      <c r="V230" s="1" t="s">
        <v>31</v>
      </c>
      <c r="W230" s="1" t="s">
        <v>51</v>
      </c>
      <c r="X230" s="1" t="str">
        <f>IF(laptop[[#This Row],[PrimaryStorageType]]=laptop[[#This Row],[SecondaryStorageType]],laptop[[#This Row],[PrimaryStorageType]],"SSD &amp; HDD")</f>
        <v>SSD &amp; HDD</v>
      </c>
      <c r="Y230" s="1" t="s">
        <v>279</v>
      </c>
    </row>
    <row r="231" spans="1:25" x14ac:dyDescent="0.25">
      <c r="A231" s="1" t="s">
        <v>36</v>
      </c>
      <c r="B231" s="1" t="s">
        <v>280</v>
      </c>
      <c r="C231" s="1" t="s">
        <v>38</v>
      </c>
      <c r="D231">
        <v>15.6</v>
      </c>
      <c r="E231">
        <v>8</v>
      </c>
      <c r="F231" s="1" t="s">
        <v>48</v>
      </c>
      <c r="G231">
        <v>1.9</v>
      </c>
      <c r="H231">
        <v>1269</v>
      </c>
      <c r="I231" s="1" t="s">
        <v>40</v>
      </c>
      <c r="J231">
        <v>1920</v>
      </c>
      <c r="K231">
        <v>1080</v>
      </c>
      <c r="L231" s="1" t="s">
        <v>27</v>
      </c>
      <c r="M231" s="1" t="s">
        <v>27</v>
      </c>
      <c r="N231" s="1" t="s">
        <v>27</v>
      </c>
      <c r="O231" s="1" t="s">
        <v>29</v>
      </c>
      <c r="P231">
        <v>2.7</v>
      </c>
      <c r="Q231" s="1" t="s">
        <v>71</v>
      </c>
      <c r="R231" s="1" t="str">
        <f>_xlfn.CONCAT(laptop[[#This Row],[CPU_company]]," ",laptop[[#This Row],[CPU_model]])</f>
        <v>Intel Core i7 7500U</v>
      </c>
      <c r="S231">
        <v>1024</v>
      </c>
      <c r="T231">
        <v>0</v>
      </c>
      <c r="U231">
        <f>laptop[[#This Row],[PrimaryStorage]]+laptop[[#This Row],[SecondaryStorage]]</f>
        <v>1024</v>
      </c>
      <c r="V231" s="1" t="s">
        <v>51</v>
      </c>
      <c r="W231" s="1" t="s">
        <v>27</v>
      </c>
      <c r="X231" s="1" t="str">
        <f>IF(laptop[[#This Row],[PrimaryStorageType]]=laptop[[#This Row],[SecondaryStorageType]],laptop[[#This Row],[PrimaryStorageType]],"SSD &amp; HDD")</f>
        <v>SSD &amp; HDD</v>
      </c>
      <c r="Y231" s="1" t="s">
        <v>281</v>
      </c>
    </row>
    <row r="232" spans="1:25" x14ac:dyDescent="0.25">
      <c r="A232" s="1" t="s">
        <v>55</v>
      </c>
      <c r="B232" s="1" t="s">
        <v>282</v>
      </c>
      <c r="C232" s="1" t="s">
        <v>38</v>
      </c>
      <c r="D232">
        <v>15.6</v>
      </c>
      <c r="E232">
        <v>4</v>
      </c>
      <c r="F232" s="1" t="s">
        <v>48</v>
      </c>
      <c r="G232">
        <v>2.37</v>
      </c>
      <c r="H232">
        <v>398.99</v>
      </c>
      <c r="I232" s="1" t="s">
        <v>26</v>
      </c>
      <c r="J232">
        <v>1366</v>
      </c>
      <c r="K232">
        <v>768</v>
      </c>
      <c r="L232" s="1" t="s">
        <v>27</v>
      </c>
      <c r="M232" s="1" t="s">
        <v>27</v>
      </c>
      <c r="N232" s="1" t="s">
        <v>27</v>
      </c>
      <c r="O232" s="1" t="s">
        <v>29</v>
      </c>
      <c r="P232">
        <v>2.4</v>
      </c>
      <c r="Q232" s="1" t="s">
        <v>75</v>
      </c>
      <c r="R232" s="1" t="str">
        <f>_xlfn.CONCAT(laptop[[#This Row],[CPU_company]]," ",laptop[[#This Row],[CPU_model]])</f>
        <v>Intel Core i3 7100U</v>
      </c>
      <c r="S232">
        <v>1024</v>
      </c>
      <c r="T232">
        <v>0</v>
      </c>
      <c r="U232">
        <f>laptop[[#This Row],[PrimaryStorage]]+laptop[[#This Row],[SecondaryStorage]]</f>
        <v>1024</v>
      </c>
      <c r="V232" s="1" t="s">
        <v>51</v>
      </c>
      <c r="W232" s="1" t="s">
        <v>27</v>
      </c>
      <c r="X232" s="1" t="str">
        <f>IF(laptop[[#This Row],[PrimaryStorageType]]=laptop[[#This Row],[SecondaryStorageType]],laptop[[#This Row],[PrimaryStorageType]],"SSD &amp; HDD")</f>
        <v>SSD &amp; HDD</v>
      </c>
      <c r="Y232" s="1" t="s">
        <v>42</v>
      </c>
    </row>
    <row r="233" spans="1:25" x14ac:dyDescent="0.25">
      <c r="A233" s="1" t="s">
        <v>36</v>
      </c>
      <c r="B233" s="1" t="s">
        <v>283</v>
      </c>
      <c r="C233" s="1" t="s">
        <v>38</v>
      </c>
      <c r="D233">
        <v>15.6</v>
      </c>
      <c r="E233">
        <v>4</v>
      </c>
      <c r="F233" s="1" t="s">
        <v>48</v>
      </c>
      <c r="G233">
        <v>2.1</v>
      </c>
      <c r="H233">
        <v>330</v>
      </c>
      <c r="I233" s="1" t="s">
        <v>26</v>
      </c>
      <c r="J233">
        <v>1366</v>
      </c>
      <c r="K233">
        <v>768</v>
      </c>
      <c r="L233" s="1" t="s">
        <v>27</v>
      </c>
      <c r="M233" s="1" t="s">
        <v>27</v>
      </c>
      <c r="N233" s="1" t="s">
        <v>27</v>
      </c>
      <c r="O233" s="1" t="s">
        <v>49</v>
      </c>
      <c r="P233">
        <v>1.5</v>
      </c>
      <c r="Q233" s="1" t="s">
        <v>284</v>
      </c>
      <c r="R233" s="1" t="str">
        <f>_xlfn.CONCAT(laptop[[#This Row],[CPU_company]]," ",laptop[[#This Row],[CPU_model]])</f>
        <v>AMD E-Series 9000e</v>
      </c>
      <c r="S233">
        <v>500</v>
      </c>
      <c r="T233">
        <v>0</v>
      </c>
      <c r="U233">
        <f>laptop[[#This Row],[PrimaryStorage]]+laptop[[#This Row],[SecondaryStorage]]</f>
        <v>500</v>
      </c>
      <c r="V233" s="1" t="s">
        <v>51</v>
      </c>
      <c r="W233" s="1" t="s">
        <v>27</v>
      </c>
      <c r="X233" s="1" t="str">
        <f>IF(laptop[[#This Row],[PrimaryStorageType]]=laptop[[#This Row],[SecondaryStorageType]],laptop[[#This Row],[PrimaryStorageType]],"SSD &amp; HDD")</f>
        <v>SSD &amp; HDD</v>
      </c>
      <c r="Y233" s="1" t="s">
        <v>88</v>
      </c>
    </row>
    <row r="234" spans="1:25" x14ac:dyDescent="0.25">
      <c r="A234" s="1" t="s">
        <v>73</v>
      </c>
      <c r="B234" s="1" t="s">
        <v>263</v>
      </c>
      <c r="C234" s="1" t="s">
        <v>83</v>
      </c>
      <c r="D234">
        <v>15.6</v>
      </c>
      <c r="E234">
        <v>16</v>
      </c>
      <c r="F234" s="1" t="s">
        <v>48</v>
      </c>
      <c r="G234">
        <v>3.2</v>
      </c>
      <c r="H234">
        <v>1499</v>
      </c>
      <c r="I234" s="1" t="s">
        <v>40</v>
      </c>
      <c r="J234">
        <v>1920</v>
      </c>
      <c r="K234">
        <v>1080</v>
      </c>
      <c r="L234" s="1" t="s">
        <v>27</v>
      </c>
      <c r="M234" s="1" t="s">
        <v>28</v>
      </c>
      <c r="N234" s="1" t="s">
        <v>27</v>
      </c>
      <c r="O234" s="1" t="s">
        <v>29</v>
      </c>
      <c r="P234">
        <v>2.8</v>
      </c>
      <c r="Q234" s="1" t="s">
        <v>118</v>
      </c>
      <c r="R234" s="1" t="str">
        <f>_xlfn.CONCAT(laptop[[#This Row],[CPU_company]]," ",laptop[[#This Row],[CPU_model]])</f>
        <v>Intel Core i7 7700HQ</v>
      </c>
      <c r="S234">
        <v>256</v>
      </c>
      <c r="T234">
        <v>1024</v>
      </c>
      <c r="U234">
        <f>laptop[[#This Row],[PrimaryStorage]]+laptop[[#This Row],[SecondaryStorage]]</f>
        <v>1280</v>
      </c>
      <c r="V234" s="1" t="s">
        <v>31</v>
      </c>
      <c r="W234" s="1" t="s">
        <v>51</v>
      </c>
      <c r="X234" s="1" t="str">
        <f>IF(laptop[[#This Row],[PrimaryStorageType]]=laptop[[#This Row],[SecondaryStorageType]],laptop[[#This Row],[PrimaryStorageType]],"SSD &amp; HDD")</f>
        <v>SSD &amp; HDD</v>
      </c>
      <c r="Y234" s="1" t="s">
        <v>119</v>
      </c>
    </row>
    <row r="235" spans="1:25" x14ac:dyDescent="0.25">
      <c r="A235" s="1" t="s">
        <v>65</v>
      </c>
      <c r="B235" s="1" t="s">
        <v>285</v>
      </c>
      <c r="C235" s="1" t="s">
        <v>38</v>
      </c>
      <c r="D235">
        <v>14</v>
      </c>
      <c r="E235">
        <v>8</v>
      </c>
      <c r="F235" s="1" t="s">
        <v>48</v>
      </c>
      <c r="G235">
        <v>1.6</v>
      </c>
      <c r="H235">
        <v>859</v>
      </c>
      <c r="I235" s="1" t="s">
        <v>40</v>
      </c>
      <c r="J235">
        <v>1920</v>
      </c>
      <c r="K235">
        <v>1080</v>
      </c>
      <c r="L235" s="1" t="s">
        <v>27</v>
      </c>
      <c r="M235" s="1" t="s">
        <v>27</v>
      </c>
      <c r="N235" s="1" t="s">
        <v>27</v>
      </c>
      <c r="O235" s="1" t="s">
        <v>29</v>
      </c>
      <c r="P235">
        <v>2.5</v>
      </c>
      <c r="Q235" s="1" t="s">
        <v>41</v>
      </c>
      <c r="R235" s="1" t="str">
        <f>_xlfn.CONCAT(laptop[[#This Row],[CPU_company]]," ",laptop[[#This Row],[CPU_model]])</f>
        <v>Intel Core i5 7200U</v>
      </c>
      <c r="S235">
        <v>256</v>
      </c>
      <c r="T235">
        <v>0</v>
      </c>
      <c r="U235">
        <f>laptop[[#This Row],[PrimaryStorage]]+laptop[[#This Row],[SecondaryStorage]]</f>
        <v>256</v>
      </c>
      <c r="V235" s="1" t="s">
        <v>31</v>
      </c>
      <c r="W235" s="1" t="s">
        <v>27</v>
      </c>
      <c r="X235" s="1" t="str">
        <f>IF(laptop[[#This Row],[PrimaryStorageType]]=laptop[[#This Row],[SecondaryStorageType]],laptop[[#This Row],[PrimaryStorageType]],"SSD &amp; HDD")</f>
        <v>SSD &amp; HDD</v>
      </c>
      <c r="Y235" s="1" t="s">
        <v>42</v>
      </c>
    </row>
    <row r="236" spans="1:25" x14ac:dyDescent="0.25">
      <c r="A236" s="1" t="s">
        <v>46</v>
      </c>
      <c r="B236" s="1" t="s">
        <v>286</v>
      </c>
      <c r="C236" s="1" t="s">
        <v>90</v>
      </c>
      <c r="D236">
        <v>13.3</v>
      </c>
      <c r="E236">
        <v>8</v>
      </c>
      <c r="F236" s="1" t="s">
        <v>48</v>
      </c>
      <c r="G236">
        <v>1.6</v>
      </c>
      <c r="H236">
        <v>689</v>
      </c>
      <c r="I236" s="1" t="s">
        <v>40</v>
      </c>
      <c r="J236">
        <v>1920</v>
      </c>
      <c r="K236">
        <v>1080</v>
      </c>
      <c r="L236" s="1" t="s">
        <v>28</v>
      </c>
      <c r="M236" s="1" t="s">
        <v>28</v>
      </c>
      <c r="N236" s="1" t="s">
        <v>27</v>
      </c>
      <c r="O236" s="1" t="s">
        <v>29</v>
      </c>
      <c r="P236">
        <v>2.2999999999999998</v>
      </c>
      <c r="Q236" s="1" t="s">
        <v>212</v>
      </c>
      <c r="R236" s="1" t="str">
        <f>_xlfn.CONCAT(laptop[[#This Row],[CPU_company]]," ",laptop[[#This Row],[CPU_model]])</f>
        <v>Intel Core i5 6200U</v>
      </c>
      <c r="S236">
        <v>256</v>
      </c>
      <c r="T236">
        <v>0</v>
      </c>
      <c r="U236">
        <f>laptop[[#This Row],[PrimaryStorage]]+laptop[[#This Row],[SecondaryStorage]]</f>
        <v>256</v>
      </c>
      <c r="V236" s="1" t="s">
        <v>31</v>
      </c>
      <c r="W236" s="1" t="s">
        <v>27</v>
      </c>
      <c r="X236" s="1" t="str">
        <f>IF(laptop[[#This Row],[PrimaryStorageType]]=laptop[[#This Row],[SecondaryStorageType]],laptop[[#This Row],[PrimaryStorageType]],"SSD &amp; HDD")</f>
        <v>SSD &amp; HDD</v>
      </c>
      <c r="Y236" s="1" t="s">
        <v>63</v>
      </c>
    </row>
    <row r="237" spans="1:25" x14ac:dyDescent="0.25">
      <c r="A237" s="1" t="s">
        <v>65</v>
      </c>
      <c r="B237" s="1" t="s">
        <v>200</v>
      </c>
      <c r="C237" s="1" t="s">
        <v>38</v>
      </c>
      <c r="D237">
        <v>15.6</v>
      </c>
      <c r="E237">
        <v>16</v>
      </c>
      <c r="F237" s="1" t="s">
        <v>111</v>
      </c>
      <c r="G237">
        <v>2.36</v>
      </c>
      <c r="H237">
        <v>899</v>
      </c>
      <c r="I237" s="1" t="s">
        <v>40</v>
      </c>
      <c r="J237">
        <v>1920</v>
      </c>
      <c r="K237">
        <v>1080</v>
      </c>
      <c r="L237" s="1" t="s">
        <v>27</v>
      </c>
      <c r="M237" s="1" t="s">
        <v>27</v>
      </c>
      <c r="N237" s="1" t="s">
        <v>27</v>
      </c>
      <c r="O237" s="1" t="s">
        <v>29</v>
      </c>
      <c r="P237">
        <v>2.7</v>
      </c>
      <c r="Q237" s="1" t="s">
        <v>71</v>
      </c>
      <c r="R237" s="1" t="str">
        <f>_xlfn.CONCAT(laptop[[#This Row],[CPU_company]]," ",laptop[[#This Row],[CPU_model]])</f>
        <v>Intel Core i7 7500U</v>
      </c>
      <c r="S237">
        <v>256</v>
      </c>
      <c r="T237">
        <v>0</v>
      </c>
      <c r="U237">
        <f>laptop[[#This Row],[PrimaryStorage]]+laptop[[#This Row],[SecondaryStorage]]</f>
        <v>256</v>
      </c>
      <c r="V237" s="1" t="s">
        <v>31</v>
      </c>
      <c r="W237" s="1" t="s">
        <v>27</v>
      </c>
      <c r="X237" s="1" t="str">
        <f>IF(laptop[[#This Row],[PrimaryStorageType]]=laptop[[#This Row],[SecondaryStorageType]],laptop[[#This Row],[PrimaryStorageType]],"SSD &amp; HDD")</f>
        <v>SSD &amp; HDD</v>
      </c>
      <c r="Y237" s="1" t="s">
        <v>201</v>
      </c>
    </row>
    <row r="238" spans="1:25" x14ac:dyDescent="0.25">
      <c r="A238" s="1" t="s">
        <v>46</v>
      </c>
      <c r="B238" s="1" t="s">
        <v>220</v>
      </c>
      <c r="C238" s="1" t="s">
        <v>38</v>
      </c>
      <c r="D238">
        <v>15.6</v>
      </c>
      <c r="E238">
        <v>4</v>
      </c>
      <c r="F238" s="1" t="s">
        <v>111</v>
      </c>
      <c r="G238">
        <v>2.1</v>
      </c>
      <c r="H238">
        <v>390</v>
      </c>
      <c r="I238" s="1" t="s">
        <v>26</v>
      </c>
      <c r="J238">
        <v>1366</v>
      </c>
      <c r="K238">
        <v>768</v>
      </c>
      <c r="L238" s="1" t="s">
        <v>27</v>
      </c>
      <c r="M238" s="1" t="s">
        <v>27</v>
      </c>
      <c r="N238" s="1" t="s">
        <v>27</v>
      </c>
      <c r="O238" s="1" t="s">
        <v>29</v>
      </c>
      <c r="P238">
        <v>2</v>
      </c>
      <c r="Q238" s="1" t="s">
        <v>62</v>
      </c>
      <c r="R238" s="1" t="str">
        <f>_xlfn.CONCAT(laptop[[#This Row],[CPU_company]]," ",laptop[[#This Row],[CPU_model]])</f>
        <v>Intel Core i3 6006U</v>
      </c>
      <c r="S238">
        <v>1024</v>
      </c>
      <c r="T238">
        <v>0</v>
      </c>
      <c r="U238">
        <f>laptop[[#This Row],[PrimaryStorage]]+laptop[[#This Row],[SecondaryStorage]]</f>
        <v>1024</v>
      </c>
      <c r="V238" s="1" t="s">
        <v>51</v>
      </c>
      <c r="W238" s="1" t="s">
        <v>27</v>
      </c>
      <c r="X238" s="1" t="str">
        <f>IF(laptop[[#This Row],[PrimaryStorageType]]=laptop[[#This Row],[SecondaryStorageType]],laptop[[#This Row],[PrimaryStorageType]],"SSD &amp; HDD")</f>
        <v>SSD &amp; HDD</v>
      </c>
      <c r="Y238" s="1" t="s">
        <v>63</v>
      </c>
    </row>
    <row r="239" spans="1:25" x14ac:dyDescent="0.25">
      <c r="A239" s="1" t="s">
        <v>55</v>
      </c>
      <c r="B239" s="1" t="s">
        <v>287</v>
      </c>
      <c r="C239" s="1" t="s">
        <v>38</v>
      </c>
      <c r="D239">
        <v>15.6</v>
      </c>
      <c r="E239">
        <v>4</v>
      </c>
      <c r="F239" s="1" t="s">
        <v>48</v>
      </c>
      <c r="G239">
        <v>2.2000000000000002</v>
      </c>
      <c r="H239">
        <v>575</v>
      </c>
      <c r="I239" s="1" t="s">
        <v>40</v>
      </c>
      <c r="J239">
        <v>1920</v>
      </c>
      <c r="K239">
        <v>1080</v>
      </c>
      <c r="L239" s="1" t="s">
        <v>27</v>
      </c>
      <c r="M239" s="1" t="s">
        <v>27</v>
      </c>
      <c r="N239" s="1" t="s">
        <v>27</v>
      </c>
      <c r="O239" s="1" t="s">
        <v>49</v>
      </c>
      <c r="P239">
        <v>2.5</v>
      </c>
      <c r="Q239" s="1" t="s">
        <v>288</v>
      </c>
      <c r="R239" s="1" t="str">
        <f>_xlfn.CONCAT(laptop[[#This Row],[CPU_company]]," ",laptop[[#This Row],[CPU_model]])</f>
        <v>AMD A10-Series A10-9620P</v>
      </c>
      <c r="S239">
        <v>128</v>
      </c>
      <c r="T239">
        <v>1024</v>
      </c>
      <c r="U239">
        <f>laptop[[#This Row],[PrimaryStorage]]+laptop[[#This Row],[SecondaryStorage]]</f>
        <v>1152</v>
      </c>
      <c r="V239" s="1" t="s">
        <v>31</v>
      </c>
      <c r="W239" s="1" t="s">
        <v>51</v>
      </c>
      <c r="X239" s="1" t="str">
        <f>IF(laptop[[#This Row],[PrimaryStorageType]]=laptop[[#This Row],[SecondaryStorageType]],laptop[[#This Row],[PrimaryStorageType]],"SSD &amp; HDD")</f>
        <v>SSD &amp; HDD</v>
      </c>
      <c r="Y239" s="1" t="s">
        <v>67</v>
      </c>
    </row>
    <row r="240" spans="1:25" x14ac:dyDescent="0.25">
      <c r="A240" s="1" t="s">
        <v>55</v>
      </c>
      <c r="B240" s="1" t="s">
        <v>289</v>
      </c>
      <c r="C240" s="1" t="s">
        <v>83</v>
      </c>
      <c r="D240">
        <v>17.3</v>
      </c>
      <c r="E240">
        <v>32</v>
      </c>
      <c r="F240" s="1" t="s">
        <v>48</v>
      </c>
      <c r="G240">
        <v>4.7</v>
      </c>
      <c r="H240">
        <v>3890</v>
      </c>
      <c r="I240" s="1" t="s">
        <v>40</v>
      </c>
      <c r="J240">
        <v>1920</v>
      </c>
      <c r="K240">
        <v>1080</v>
      </c>
      <c r="L240" s="1" t="s">
        <v>27</v>
      </c>
      <c r="M240" s="1" t="s">
        <v>27</v>
      </c>
      <c r="N240" s="1" t="s">
        <v>27</v>
      </c>
      <c r="O240" s="1" t="s">
        <v>29</v>
      </c>
      <c r="P240">
        <v>2.9</v>
      </c>
      <c r="Q240" s="1" t="s">
        <v>258</v>
      </c>
      <c r="R240" s="1" t="str">
        <f>_xlfn.CONCAT(laptop[[#This Row],[CPU_company]]," ",laptop[[#This Row],[CPU_model]])</f>
        <v>Intel Core i7 7820HK</v>
      </c>
      <c r="S240">
        <v>512</v>
      </c>
      <c r="T240">
        <v>1024</v>
      </c>
      <c r="U240">
        <f>laptop[[#This Row],[PrimaryStorage]]+laptop[[#This Row],[SecondaryStorage]]</f>
        <v>1536</v>
      </c>
      <c r="V240" s="1" t="s">
        <v>31</v>
      </c>
      <c r="W240" s="1" t="s">
        <v>51</v>
      </c>
      <c r="X240" s="1" t="str">
        <f>IF(laptop[[#This Row],[PrimaryStorageType]]=laptop[[#This Row],[SecondaryStorageType]],laptop[[#This Row],[PrimaryStorageType]],"SSD &amp; HDD")</f>
        <v>SSD &amp; HDD</v>
      </c>
      <c r="Y240" s="1" t="s">
        <v>259</v>
      </c>
    </row>
    <row r="241" spans="1:25" x14ac:dyDescent="0.25">
      <c r="A241" s="1" t="s">
        <v>46</v>
      </c>
      <c r="B241" s="1" t="s">
        <v>290</v>
      </c>
      <c r="C241" s="1" t="s">
        <v>83</v>
      </c>
      <c r="D241">
        <v>15.6</v>
      </c>
      <c r="E241">
        <v>8</v>
      </c>
      <c r="F241" s="1" t="s">
        <v>48</v>
      </c>
      <c r="G241">
        <v>2.5</v>
      </c>
      <c r="H241">
        <v>846</v>
      </c>
      <c r="I241" s="1" t="s">
        <v>40</v>
      </c>
      <c r="J241">
        <v>1920</v>
      </c>
      <c r="K241">
        <v>1080</v>
      </c>
      <c r="L241" s="1" t="s">
        <v>27</v>
      </c>
      <c r="M241" s="1" t="s">
        <v>28</v>
      </c>
      <c r="N241" s="1" t="s">
        <v>27</v>
      </c>
      <c r="O241" s="1" t="s">
        <v>29</v>
      </c>
      <c r="P241">
        <v>2.5</v>
      </c>
      <c r="Q241" s="1" t="s">
        <v>84</v>
      </c>
      <c r="R241" s="1" t="str">
        <f>_xlfn.CONCAT(laptop[[#This Row],[CPU_company]]," ",laptop[[#This Row],[CPU_model]])</f>
        <v>Intel Core i5 7300HQ</v>
      </c>
      <c r="S241">
        <v>256</v>
      </c>
      <c r="T241">
        <v>0</v>
      </c>
      <c r="U241">
        <f>laptop[[#This Row],[PrimaryStorage]]+laptop[[#This Row],[SecondaryStorage]]</f>
        <v>256</v>
      </c>
      <c r="V241" s="1" t="s">
        <v>31</v>
      </c>
      <c r="W241" s="1" t="s">
        <v>27</v>
      </c>
      <c r="X241" s="1" t="str">
        <f>IF(laptop[[#This Row],[PrimaryStorageType]]=laptop[[#This Row],[SecondaryStorageType]],laptop[[#This Row],[PrimaryStorageType]],"SSD &amp; HDD")</f>
        <v>SSD &amp; HDD</v>
      </c>
      <c r="Y241" s="1" t="s">
        <v>85</v>
      </c>
    </row>
    <row r="242" spans="1:25" x14ac:dyDescent="0.25">
      <c r="A242" s="1" t="s">
        <v>73</v>
      </c>
      <c r="B242" s="1" t="s">
        <v>125</v>
      </c>
      <c r="C242" s="1" t="s">
        <v>38</v>
      </c>
      <c r="D242">
        <v>15.6</v>
      </c>
      <c r="E242">
        <v>8</v>
      </c>
      <c r="F242" s="1" t="s">
        <v>48</v>
      </c>
      <c r="G242">
        <v>2.2000000000000002</v>
      </c>
      <c r="H242">
        <v>589</v>
      </c>
      <c r="I242" s="1" t="s">
        <v>26</v>
      </c>
      <c r="J242">
        <v>1366</v>
      </c>
      <c r="K242">
        <v>768</v>
      </c>
      <c r="L242" s="1" t="s">
        <v>27</v>
      </c>
      <c r="M242" s="1" t="s">
        <v>27</v>
      </c>
      <c r="N242" s="1" t="s">
        <v>27</v>
      </c>
      <c r="O242" s="1" t="s">
        <v>29</v>
      </c>
      <c r="P242">
        <v>2</v>
      </c>
      <c r="Q242" s="1" t="s">
        <v>62</v>
      </c>
      <c r="R242" s="1" t="str">
        <f>_xlfn.CONCAT(laptop[[#This Row],[CPU_company]]," ",laptop[[#This Row],[CPU_model]])</f>
        <v>Intel Core i3 6006U</v>
      </c>
      <c r="S242">
        <v>128</v>
      </c>
      <c r="T242">
        <v>0</v>
      </c>
      <c r="U242">
        <f>laptop[[#This Row],[PrimaryStorage]]+laptop[[#This Row],[SecondaryStorage]]</f>
        <v>128</v>
      </c>
      <c r="V242" s="1" t="s">
        <v>31</v>
      </c>
      <c r="W242" s="1" t="s">
        <v>27</v>
      </c>
      <c r="X242" s="1" t="str">
        <f>IF(laptop[[#This Row],[PrimaryStorageType]]=laptop[[#This Row],[SecondaryStorageType]],laptop[[#This Row],[PrimaryStorageType]],"SSD &amp; HDD")</f>
        <v>SSD &amp; HDD</v>
      </c>
      <c r="Y242" s="1" t="s">
        <v>63</v>
      </c>
    </row>
    <row r="243" spans="1:25" x14ac:dyDescent="0.25">
      <c r="A243" s="1" t="s">
        <v>55</v>
      </c>
      <c r="B243" s="1" t="s">
        <v>291</v>
      </c>
      <c r="C243" s="1" t="s">
        <v>38</v>
      </c>
      <c r="D243">
        <v>17.3</v>
      </c>
      <c r="E243">
        <v>8</v>
      </c>
      <c r="F243" s="1" t="s">
        <v>48</v>
      </c>
      <c r="G243">
        <v>2.1</v>
      </c>
      <c r="H243">
        <v>1145</v>
      </c>
      <c r="I243" s="1" t="s">
        <v>40</v>
      </c>
      <c r="J243">
        <v>1920</v>
      </c>
      <c r="K243">
        <v>1080</v>
      </c>
      <c r="L243" s="1" t="s">
        <v>27</v>
      </c>
      <c r="M243" s="1" t="s">
        <v>27</v>
      </c>
      <c r="N243" s="1" t="s">
        <v>27</v>
      </c>
      <c r="O243" s="1" t="s">
        <v>29</v>
      </c>
      <c r="P243">
        <v>1.8</v>
      </c>
      <c r="Q243" s="1" t="s">
        <v>57</v>
      </c>
      <c r="R243" s="1" t="str">
        <f>_xlfn.CONCAT(laptop[[#This Row],[CPU_company]]," ",laptop[[#This Row],[CPU_model]])</f>
        <v>Intel Core i7 8550U</v>
      </c>
      <c r="S243">
        <v>128</v>
      </c>
      <c r="T243">
        <v>1024</v>
      </c>
      <c r="U243">
        <f>laptop[[#This Row],[PrimaryStorage]]+laptop[[#This Row],[SecondaryStorage]]</f>
        <v>1152</v>
      </c>
      <c r="V243" s="1" t="s">
        <v>31</v>
      </c>
      <c r="W243" s="1" t="s">
        <v>51</v>
      </c>
      <c r="X243" s="1" t="str">
        <f>IF(laptop[[#This Row],[PrimaryStorageType]]=laptop[[#This Row],[SecondaryStorageType]],laptop[[#This Row],[PrimaryStorageType]],"SSD &amp; HDD")</f>
        <v>SSD &amp; HDD</v>
      </c>
      <c r="Y243" s="1" t="s">
        <v>123</v>
      </c>
    </row>
    <row r="244" spans="1:25" x14ac:dyDescent="0.25">
      <c r="A244" s="1" t="s">
        <v>55</v>
      </c>
      <c r="B244" s="1" t="s">
        <v>292</v>
      </c>
      <c r="C244" s="1" t="s">
        <v>38</v>
      </c>
      <c r="D244">
        <v>17.3</v>
      </c>
      <c r="E244">
        <v>8</v>
      </c>
      <c r="F244" s="1" t="s">
        <v>39</v>
      </c>
      <c r="G244">
        <v>2.69</v>
      </c>
      <c r="H244">
        <v>889</v>
      </c>
      <c r="I244" s="1" t="s">
        <v>40</v>
      </c>
      <c r="J244">
        <v>1920</v>
      </c>
      <c r="K244">
        <v>1080</v>
      </c>
      <c r="L244" s="1" t="s">
        <v>27</v>
      </c>
      <c r="M244" s="1" t="s">
        <v>27</v>
      </c>
      <c r="N244" s="1" t="s">
        <v>27</v>
      </c>
      <c r="O244" s="1" t="s">
        <v>29</v>
      </c>
      <c r="P244">
        <v>2.7</v>
      </c>
      <c r="Q244" s="1" t="s">
        <v>71</v>
      </c>
      <c r="R244" s="1" t="str">
        <f>_xlfn.CONCAT(laptop[[#This Row],[CPU_company]]," ",laptop[[#This Row],[CPU_model]])</f>
        <v>Intel Core i7 7500U</v>
      </c>
      <c r="S244">
        <v>128</v>
      </c>
      <c r="T244">
        <v>1024</v>
      </c>
      <c r="U244">
        <f>laptop[[#This Row],[PrimaryStorage]]+laptop[[#This Row],[SecondaryStorage]]</f>
        <v>1152</v>
      </c>
      <c r="V244" s="1" t="s">
        <v>31</v>
      </c>
      <c r="W244" s="1" t="s">
        <v>51</v>
      </c>
      <c r="X244" s="1" t="str">
        <f>IF(laptop[[#This Row],[PrimaryStorageType]]=laptop[[#This Row],[SecondaryStorageType]],laptop[[#This Row],[PrimaryStorageType]],"SSD &amp; HDD")</f>
        <v>SSD &amp; HDD</v>
      </c>
      <c r="Y244" s="1" t="s">
        <v>279</v>
      </c>
    </row>
    <row r="245" spans="1:25" x14ac:dyDescent="0.25">
      <c r="A245" s="1" t="s">
        <v>65</v>
      </c>
      <c r="B245" s="1" t="s">
        <v>221</v>
      </c>
      <c r="C245" s="1" t="s">
        <v>83</v>
      </c>
      <c r="D245">
        <v>15.6</v>
      </c>
      <c r="E245">
        <v>8</v>
      </c>
      <c r="F245" s="1" t="s">
        <v>48</v>
      </c>
      <c r="G245">
        <v>2.56</v>
      </c>
      <c r="H245">
        <v>879</v>
      </c>
      <c r="I245" s="1" t="s">
        <v>40</v>
      </c>
      <c r="J245">
        <v>1920</v>
      </c>
      <c r="K245">
        <v>1080</v>
      </c>
      <c r="L245" s="1" t="s">
        <v>27</v>
      </c>
      <c r="M245" s="1" t="s">
        <v>27</v>
      </c>
      <c r="N245" s="1" t="s">
        <v>27</v>
      </c>
      <c r="O245" s="1" t="s">
        <v>29</v>
      </c>
      <c r="P245">
        <v>2.5</v>
      </c>
      <c r="Q245" s="1" t="s">
        <v>84</v>
      </c>
      <c r="R245" s="1" t="str">
        <f>_xlfn.CONCAT(laptop[[#This Row],[CPU_company]]," ",laptop[[#This Row],[CPU_model]])</f>
        <v>Intel Core i5 7300HQ</v>
      </c>
      <c r="S245">
        <v>256</v>
      </c>
      <c r="T245">
        <v>0</v>
      </c>
      <c r="U245">
        <f>laptop[[#This Row],[PrimaryStorage]]+laptop[[#This Row],[SecondaryStorage]]</f>
        <v>256</v>
      </c>
      <c r="V245" s="1" t="s">
        <v>31</v>
      </c>
      <c r="W245" s="1" t="s">
        <v>27</v>
      </c>
      <c r="X245" s="1" t="str">
        <f>IF(laptop[[#This Row],[PrimaryStorageType]]=laptop[[#This Row],[SecondaryStorageType]],laptop[[#This Row],[PrimaryStorageType]],"SSD &amp; HDD")</f>
        <v>SSD &amp; HDD</v>
      </c>
      <c r="Y245" s="1" t="s">
        <v>85</v>
      </c>
    </row>
    <row r="246" spans="1:25" x14ac:dyDescent="0.25">
      <c r="A246" s="1" t="s">
        <v>73</v>
      </c>
      <c r="B246" s="1" t="s">
        <v>293</v>
      </c>
      <c r="C246" s="1" t="s">
        <v>90</v>
      </c>
      <c r="D246">
        <v>13.9</v>
      </c>
      <c r="E246">
        <v>8</v>
      </c>
      <c r="F246" s="1" t="s">
        <v>48</v>
      </c>
      <c r="G246">
        <v>1.38</v>
      </c>
      <c r="H246">
        <v>1079</v>
      </c>
      <c r="I246" s="1" t="s">
        <v>40</v>
      </c>
      <c r="J246">
        <v>1920</v>
      </c>
      <c r="K246">
        <v>1080</v>
      </c>
      <c r="L246" s="1" t="s">
        <v>28</v>
      </c>
      <c r="M246" s="1" t="s">
        <v>28</v>
      </c>
      <c r="N246" s="1" t="s">
        <v>27</v>
      </c>
      <c r="O246" s="1" t="s">
        <v>29</v>
      </c>
      <c r="P246">
        <v>2.7</v>
      </c>
      <c r="Q246" s="1" t="s">
        <v>71</v>
      </c>
      <c r="R246" s="1" t="str">
        <f>_xlfn.CONCAT(laptop[[#This Row],[CPU_company]]," ",laptop[[#This Row],[CPU_model]])</f>
        <v>Intel Core i7 7500U</v>
      </c>
      <c r="S246">
        <v>256</v>
      </c>
      <c r="T246">
        <v>0</v>
      </c>
      <c r="U246">
        <f>laptop[[#This Row],[PrimaryStorage]]+laptop[[#This Row],[SecondaryStorage]]</f>
        <v>256</v>
      </c>
      <c r="V246" s="1" t="s">
        <v>31</v>
      </c>
      <c r="W246" s="1" t="s">
        <v>27</v>
      </c>
      <c r="X246" s="1" t="str">
        <f>IF(laptop[[#This Row],[PrimaryStorageType]]=laptop[[#This Row],[SecondaryStorageType]],laptop[[#This Row],[PrimaryStorageType]],"SSD &amp; HDD")</f>
        <v>SSD &amp; HDD</v>
      </c>
      <c r="Y246" s="1" t="s">
        <v>42</v>
      </c>
    </row>
    <row r="247" spans="1:25" x14ac:dyDescent="0.25">
      <c r="A247" s="1" t="s">
        <v>65</v>
      </c>
      <c r="B247" s="1" t="s">
        <v>93</v>
      </c>
      <c r="C247" s="1" t="s">
        <v>38</v>
      </c>
      <c r="D247">
        <v>15.6</v>
      </c>
      <c r="E247">
        <v>8</v>
      </c>
      <c r="F247" s="1" t="s">
        <v>48</v>
      </c>
      <c r="G247">
        <v>2.2000000000000002</v>
      </c>
      <c r="H247">
        <v>985</v>
      </c>
      <c r="I247" s="1" t="s">
        <v>40</v>
      </c>
      <c r="J247">
        <v>1920</v>
      </c>
      <c r="K247">
        <v>1080</v>
      </c>
      <c r="L247" s="1" t="s">
        <v>27</v>
      </c>
      <c r="M247" s="1" t="s">
        <v>27</v>
      </c>
      <c r="N247" s="1" t="s">
        <v>27</v>
      </c>
      <c r="O247" s="1" t="s">
        <v>29</v>
      </c>
      <c r="P247">
        <v>1.8</v>
      </c>
      <c r="Q247" s="1" t="s">
        <v>57</v>
      </c>
      <c r="R247" s="1" t="str">
        <f>_xlfn.CONCAT(laptop[[#This Row],[CPU_company]]," ",laptop[[#This Row],[CPU_model]])</f>
        <v>Intel Core i7 8550U</v>
      </c>
      <c r="S247">
        <v>128</v>
      </c>
      <c r="T247">
        <v>2048</v>
      </c>
      <c r="U247">
        <f>laptop[[#This Row],[PrimaryStorage]]+laptop[[#This Row],[SecondaryStorage]]</f>
        <v>2176</v>
      </c>
      <c r="V247" s="1" t="s">
        <v>31</v>
      </c>
      <c r="W247" s="1" t="s">
        <v>51</v>
      </c>
      <c r="X247" s="1" t="str">
        <f>IF(laptop[[#This Row],[PrimaryStorageType]]=laptop[[#This Row],[SecondaryStorageType]],laptop[[#This Row],[PrimaryStorageType]],"SSD &amp; HDD")</f>
        <v>SSD &amp; HDD</v>
      </c>
      <c r="Y247" s="1" t="s">
        <v>94</v>
      </c>
    </row>
    <row r="248" spans="1:25" x14ac:dyDescent="0.25">
      <c r="A248" s="1" t="s">
        <v>36</v>
      </c>
      <c r="B248" s="1" t="s">
        <v>294</v>
      </c>
      <c r="C248" s="1" t="s">
        <v>38</v>
      </c>
      <c r="D248">
        <v>15.6</v>
      </c>
      <c r="E248">
        <v>8</v>
      </c>
      <c r="F248" s="1" t="s">
        <v>48</v>
      </c>
      <c r="G248">
        <v>2.04</v>
      </c>
      <c r="H248">
        <v>559</v>
      </c>
      <c r="I248" s="1" t="s">
        <v>26</v>
      </c>
      <c r="J248">
        <v>1366</v>
      </c>
      <c r="K248">
        <v>768</v>
      </c>
      <c r="L248" s="1" t="s">
        <v>28</v>
      </c>
      <c r="M248" s="1" t="s">
        <v>27</v>
      </c>
      <c r="N248" s="1" t="s">
        <v>27</v>
      </c>
      <c r="O248" s="1" t="s">
        <v>29</v>
      </c>
      <c r="P248">
        <v>2.5</v>
      </c>
      <c r="Q248" s="1" t="s">
        <v>41</v>
      </c>
      <c r="R248" s="1" t="str">
        <f>_xlfn.CONCAT(laptop[[#This Row],[CPU_company]]," ",laptop[[#This Row],[CPU_model]])</f>
        <v>Intel Core i5 7200U</v>
      </c>
      <c r="S248">
        <v>1024</v>
      </c>
      <c r="T248">
        <v>0</v>
      </c>
      <c r="U248">
        <f>laptop[[#This Row],[PrimaryStorage]]+laptop[[#This Row],[SecondaryStorage]]</f>
        <v>1024</v>
      </c>
      <c r="V248" s="1" t="s">
        <v>51</v>
      </c>
      <c r="W248" s="1" t="s">
        <v>27</v>
      </c>
      <c r="X248" s="1" t="str">
        <f>IF(laptop[[#This Row],[PrimaryStorageType]]=laptop[[#This Row],[SecondaryStorageType]],laptop[[#This Row],[PrimaryStorageType]],"SSD &amp; HDD")</f>
        <v>SSD &amp; HDD</v>
      </c>
      <c r="Y248" s="1" t="s">
        <v>42</v>
      </c>
    </row>
    <row r="249" spans="1:25" x14ac:dyDescent="0.25">
      <c r="A249" s="1" t="s">
        <v>55</v>
      </c>
      <c r="B249" s="1" t="s">
        <v>295</v>
      </c>
      <c r="C249" s="1" t="s">
        <v>83</v>
      </c>
      <c r="D249">
        <v>17.3</v>
      </c>
      <c r="E249">
        <v>16</v>
      </c>
      <c r="F249" s="1" t="s">
        <v>48</v>
      </c>
      <c r="G249">
        <v>3.6</v>
      </c>
      <c r="H249">
        <v>2999</v>
      </c>
      <c r="I249" s="1" t="s">
        <v>40</v>
      </c>
      <c r="J249">
        <v>1920</v>
      </c>
      <c r="K249">
        <v>1080</v>
      </c>
      <c r="L249" s="1" t="s">
        <v>27</v>
      </c>
      <c r="M249" s="1" t="s">
        <v>27</v>
      </c>
      <c r="N249" s="1" t="s">
        <v>27</v>
      </c>
      <c r="O249" s="1" t="s">
        <v>29</v>
      </c>
      <c r="P249">
        <v>2.9</v>
      </c>
      <c r="Q249" s="1" t="s">
        <v>258</v>
      </c>
      <c r="R249" s="1" t="str">
        <f>_xlfn.CONCAT(laptop[[#This Row],[CPU_company]]," ",laptop[[#This Row],[CPU_model]])</f>
        <v>Intel Core i7 7820HK</v>
      </c>
      <c r="S249">
        <v>256</v>
      </c>
      <c r="T249">
        <v>0</v>
      </c>
      <c r="U249">
        <f>laptop[[#This Row],[PrimaryStorage]]+laptop[[#This Row],[SecondaryStorage]]</f>
        <v>256</v>
      </c>
      <c r="V249" s="1" t="s">
        <v>31</v>
      </c>
      <c r="W249" s="1" t="s">
        <v>27</v>
      </c>
      <c r="X249" s="1" t="str">
        <f>IF(laptop[[#This Row],[PrimaryStorageType]]=laptop[[#This Row],[SecondaryStorageType]],laptop[[#This Row],[PrimaryStorageType]],"SSD &amp; HDD")</f>
        <v>SSD &amp; HDD</v>
      </c>
      <c r="Y249" s="1" t="s">
        <v>259</v>
      </c>
    </row>
    <row r="250" spans="1:25" x14ac:dyDescent="0.25">
      <c r="A250" s="1" t="s">
        <v>36</v>
      </c>
      <c r="B250" s="1" t="s">
        <v>136</v>
      </c>
      <c r="C250" s="1" t="s">
        <v>38</v>
      </c>
      <c r="D250">
        <v>13.3</v>
      </c>
      <c r="E250">
        <v>4</v>
      </c>
      <c r="F250" s="1" t="s">
        <v>48</v>
      </c>
      <c r="G250">
        <v>1.49</v>
      </c>
      <c r="H250">
        <v>675</v>
      </c>
      <c r="I250" s="1" t="s">
        <v>40</v>
      </c>
      <c r="J250">
        <v>1920</v>
      </c>
      <c r="K250">
        <v>1080</v>
      </c>
      <c r="L250" s="1" t="s">
        <v>27</v>
      </c>
      <c r="M250" s="1" t="s">
        <v>28</v>
      </c>
      <c r="N250" s="1" t="s">
        <v>27</v>
      </c>
      <c r="O250" s="1" t="s">
        <v>29</v>
      </c>
      <c r="P250">
        <v>1.6</v>
      </c>
      <c r="Q250" s="1" t="s">
        <v>60</v>
      </c>
      <c r="R250" s="1" t="str">
        <f>_xlfn.CONCAT(laptop[[#This Row],[CPU_company]]," ",laptop[[#This Row],[CPU_model]])</f>
        <v>Intel Core i5 8250U</v>
      </c>
      <c r="S250">
        <v>500</v>
      </c>
      <c r="T250">
        <v>0</v>
      </c>
      <c r="U250">
        <f>laptop[[#This Row],[PrimaryStorage]]+laptop[[#This Row],[SecondaryStorage]]</f>
        <v>500</v>
      </c>
      <c r="V250" s="1" t="s">
        <v>51</v>
      </c>
      <c r="W250" s="1" t="s">
        <v>27</v>
      </c>
      <c r="X250" s="1" t="str">
        <f>IF(laptop[[#This Row],[PrimaryStorageType]]=laptop[[#This Row],[SecondaryStorageType]],laptop[[#This Row],[PrimaryStorageType]],"SSD &amp; HDD")</f>
        <v>SSD &amp; HDD</v>
      </c>
      <c r="Y250" s="1" t="s">
        <v>61</v>
      </c>
    </row>
    <row r="251" spans="1:25" x14ac:dyDescent="0.25">
      <c r="A251" s="1" t="s">
        <v>22</v>
      </c>
      <c r="B251" s="1" t="s">
        <v>23</v>
      </c>
      <c r="C251" s="1" t="s">
        <v>24</v>
      </c>
      <c r="D251">
        <v>13.3</v>
      </c>
      <c r="E251">
        <v>8</v>
      </c>
      <c r="F251" s="1" t="s">
        <v>25</v>
      </c>
      <c r="G251">
        <v>1.37</v>
      </c>
      <c r="H251">
        <v>2040</v>
      </c>
      <c r="I251" s="1" t="s">
        <v>26</v>
      </c>
      <c r="J251">
        <v>2560</v>
      </c>
      <c r="K251">
        <v>1600</v>
      </c>
      <c r="L251" s="1" t="s">
        <v>27</v>
      </c>
      <c r="M251" s="1" t="s">
        <v>28</v>
      </c>
      <c r="N251" s="1" t="s">
        <v>28</v>
      </c>
      <c r="O251" s="1" t="s">
        <v>29</v>
      </c>
      <c r="P251">
        <v>3.1</v>
      </c>
      <c r="Q251" s="1" t="s">
        <v>30</v>
      </c>
      <c r="R251" s="1" t="str">
        <f>_xlfn.CONCAT(laptop[[#This Row],[CPU_company]]," ",laptop[[#This Row],[CPU_model]])</f>
        <v>Intel Core i5</v>
      </c>
      <c r="S251">
        <v>512</v>
      </c>
      <c r="T251">
        <v>0</v>
      </c>
      <c r="U251">
        <f>laptop[[#This Row],[PrimaryStorage]]+laptop[[#This Row],[SecondaryStorage]]</f>
        <v>512</v>
      </c>
      <c r="V251" s="1" t="s">
        <v>31</v>
      </c>
      <c r="W251" s="1" t="s">
        <v>27</v>
      </c>
      <c r="X251" s="1" t="str">
        <f>IF(laptop[[#This Row],[PrimaryStorageType]]=laptop[[#This Row],[SecondaryStorageType]],laptop[[#This Row],[PrimaryStorageType]],"SSD &amp; HDD")</f>
        <v>SSD &amp; HDD</v>
      </c>
      <c r="Y251" s="1" t="s">
        <v>45</v>
      </c>
    </row>
    <row r="252" spans="1:25" x14ac:dyDescent="0.25">
      <c r="A252" s="1" t="s">
        <v>65</v>
      </c>
      <c r="B252" s="1" t="s">
        <v>231</v>
      </c>
      <c r="C252" s="1" t="s">
        <v>90</v>
      </c>
      <c r="D252">
        <v>15.6</v>
      </c>
      <c r="E252">
        <v>8</v>
      </c>
      <c r="F252" s="1" t="s">
        <v>48</v>
      </c>
      <c r="G252">
        <v>2.08</v>
      </c>
      <c r="H252">
        <v>819</v>
      </c>
      <c r="I252" s="1" t="s">
        <v>40</v>
      </c>
      <c r="J252">
        <v>1920</v>
      </c>
      <c r="K252">
        <v>1080</v>
      </c>
      <c r="L252" s="1" t="s">
        <v>28</v>
      </c>
      <c r="M252" s="1" t="s">
        <v>28</v>
      </c>
      <c r="N252" s="1" t="s">
        <v>27</v>
      </c>
      <c r="O252" s="1" t="s">
        <v>29</v>
      </c>
      <c r="P252">
        <v>1.8</v>
      </c>
      <c r="Q252" s="1" t="s">
        <v>57</v>
      </c>
      <c r="R252" s="1" t="str">
        <f>_xlfn.CONCAT(laptop[[#This Row],[CPU_company]]," ",laptop[[#This Row],[CPU_model]])</f>
        <v>Intel Core i7 8550U</v>
      </c>
      <c r="S252">
        <v>1024</v>
      </c>
      <c r="T252">
        <v>0</v>
      </c>
      <c r="U252">
        <f>laptop[[#This Row],[PrimaryStorage]]+laptop[[#This Row],[SecondaryStorage]]</f>
        <v>1024</v>
      </c>
      <c r="V252" s="1" t="s">
        <v>51</v>
      </c>
      <c r="W252" s="1" t="s">
        <v>27</v>
      </c>
      <c r="X252" s="1" t="str">
        <f>IF(laptop[[#This Row],[PrimaryStorageType]]=laptop[[#This Row],[SecondaryStorageType]],laptop[[#This Row],[PrimaryStorageType]],"SSD &amp; HDD")</f>
        <v>SSD &amp; HDD</v>
      </c>
      <c r="Y252" s="1" t="s">
        <v>61</v>
      </c>
    </row>
    <row r="253" spans="1:25" x14ac:dyDescent="0.25">
      <c r="A253" s="1" t="s">
        <v>55</v>
      </c>
      <c r="B253" s="1" t="s">
        <v>296</v>
      </c>
      <c r="C253" s="1" t="s">
        <v>83</v>
      </c>
      <c r="D253">
        <v>17.3</v>
      </c>
      <c r="E253">
        <v>16</v>
      </c>
      <c r="F253" s="1" t="s">
        <v>48</v>
      </c>
      <c r="G253">
        <v>4.3</v>
      </c>
      <c r="H253">
        <v>1799</v>
      </c>
      <c r="I253" s="1" t="s">
        <v>40</v>
      </c>
      <c r="J253">
        <v>1920</v>
      </c>
      <c r="K253">
        <v>1080</v>
      </c>
      <c r="L253" s="1" t="s">
        <v>27</v>
      </c>
      <c r="M253" s="1" t="s">
        <v>27</v>
      </c>
      <c r="N253" s="1" t="s">
        <v>27</v>
      </c>
      <c r="O253" s="1" t="s">
        <v>29</v>
      </c>
      <c r="P253">
        <v>2.8</v>
      </c>
      <c r="Q253" s="1" t="s">
        <v>118</v>
      </c>
      <c r="R253" s="1" t="str">
        <f>_xlfn.CONCAT(laptop[[#This Row],[CPU_company]]," ",laptop[[#This Row],[CPU_model]])</f>
        <v>Intel Core i7 7700HQ</v>
      </c>
      <c r="S253">
        <v>256</v>
      </c>
      <c r="T253">
        <v>1024</v>
      </c>
      <c r="U253">
        <f>laptop[[#This Row],[PrimaryStorage]]+laptop[[#This Row],[SecondaryStorage]]</f>
        <v>1280</v>
      </c>
      <c r="V253" s="1" t="s">
        <v>31</v>
      </c>
      <c r="W253" s="1" t="s">
        <v>51</v>
      </c>
      <c r="X253" s="1" t="str">
        <f>IF(laptop[[#This Row],[PrimaryStorageType]]=laptop[[#This Row],[SecondaryStorageType]],laptop[[#This Row],[PrimaryStorageType]],"SSD &amp; HDD")</f>
        <v>SSD &amp; HDD</v>
      </c>
      <c r="Y253" s="1" t="s">
        <v>297</v>
      </c>
    </row>
    <row r="254" spans="1:25" x14ac:dyDescent="0.25">
      <c r="A254" s="1" t="s">
        <v>55</v>
      </c>
      <c r="B254" s="1" t="s">
        <v>298</v>
      </c>
      <c r="C254" s="1" t="s">
        <v>38</v>
      </c>
      <c r="D254">
        <v>15.6</v>
      </c>
      <c r="E254">
        <v>4</v>
      </c>
      <c r="F254" s="1" t="s">
        <v>48</v>
      </c>
      <c r="G254">
        <v>1.68</v>
      </c>
      <c r="H254">
        <v>469</v>
      </c>
      <c r="I254" s="1" t="s">
        <v>26</v>
      </c>
      <c r="J254">
        <v>1366</v>
      </c>
      <c r="K254">
        <v>768</v>
      </c>
      <c r="L254" s="1" t="s">
        <v>27</v>
      </c>
      <c r="M254" s="1" t="s">
        <v>27</v>
      </c>
      <c r="N254" s="1" t="s">
        <v>27</v>
      </c>
      <c r="O254" s="1" t="s">
        <v>49</v>
      </c>
      <c r="P254">
        <v>3</v>
      </c>
      <c r="Q254" s="1" t="s">
        <v>50</v>
      </c>
      <c r="R254" s="1" t="str">
        <f>_xlfn.CONCAT(laptop[[#This Row],[CPU_company]]," ",laptop[[#This Row],[CPU_model]])</f>
        <v>AMD A9-Series 9420</v>
      </c>
      <c r="S254">
        <v>1024</v>
      </c>
      <c r="T254">
        <v>0</v>
      </c>
      <c r="U254">
        <f>laptop[[#This Row],[PrimaryStorage]]+laptop[[#This Row],[SecondaryStorage]]</f>
        <v>1024</v>
      </c>
      <c r="V254" s="1" t="s">
        <v>51</v>
      </c>
      <c r="W254" s="1" t="s">
        <v>27</v>
      </c>
      <c r="X254" s="1" t="str">
        <f>IF(laptop[[#This Row],[PrimaryStorageType]]=laptop[[#This Row],[SecondaryStorageType]],laptop[[#This Row],[PrimaryStorageType]],"SSD &amp; HDD")</f>
        <v>SSD &amp; HDD</v>
      </c>
      <c r="Y254" s="1" t="s">
        <v>233</v>
      </c>
    </row>
    <row r="255" spans="1:25" x14ac:dyDescent="0.25">
      <c r="A255" s="1" t="s">
        <v>73</v>
      </c>
      <c r="B255" s="1" t="s">
        <v>246</v>
      </c>
      <c r="C255" s="1" t="s">
        <v>90</v>
      </c>
      <c r="D255">
        <v>13.9</v>
      </c>
      <c r="E255">
        <v>8</v>
      </c>
      <c r="F255" s="1" t="s">
        <v>48</v>
      </c>
      <c r="G255">
        <v>1.37</v>
      </c>
      <c r="H255">
        <v>1849</v>
      </c>
      <c r="I255" s="1" t="s">
        <v>40</v>
      </c>
      <c r="J255">
        <v>1920</v>
      </c>
      <c r="K255">
        <v>1080</v>
      </c>
      <c r="L255" s="1" t="s">
        <v>28</v>
      </c>
      <c r="M255" s="1" t="s">
        <v>28</v>
      </c>
      <c r="N255" s="1" t="s">
        <v>27</v>
      </c>
      <c r="O255" s="1" t="s">
        <v>29</v>
      </c>
      <c r="P255">
        <v>1.8</v>
      </c>
      <c r="Q255" s="1" t="s">
        <v>57</v>
      </c>
      <c r="R255" s="1" t="str">
        <f>_xlfn.CONCAT(laptop[[#This Row],[CPU_company]]," ",laptop[[#This Row],[CPU_model]])</f>
        <v>Intel Core i7 8550U</v>
      </c>
      <c r="S255">
        <v>512</v>
      </c>
      <c r="T255">
        <v>0</v>
      </c>
      <c r="U255">
        <f>laptop[[#This Row],[PrimaryStorage]]+laptop[[#This Row],[SecondaryStorage]]</f>
        <v>512</v>
      </c>
      <c r="V255" s="1" t="s">
        <v>31</v>
      </c>
      <c r="W255" s="1" t="s">
        <v>27</v>
      </c>
      <c r="X255" s="1" t="str">
        <f>IF(laptop[[#This Row],[PrimaryStorageType]]=laptop[[#This Row],[SecondaryStorageType]],laptop[[#This Row],[PrimaryStorageType]],"SSD &amp; HDD")</f>
        <v>SSD &amp; HDD</v>
      </c>
      <c r="Y255" s="1" t="s">
        <v>61</v>
      </c>
    </row>
    <row r="256" spans="1:25" x14ac:dyDescent="0.25">
      <c r="A256" s="1" t="s">
        <v>46</v>
      </c>
      <c r="B256" s="1" t="s">
        <v>173</v>
      </c>
      <c r="C256" s="1" t="s">
        <v>38</v>
      </c>
      <c r="D256">
        <v>17.3</v>
      </c>
      <c r="E256">
        <v>4</v>
      </c>
      <c r="F256" s="1" t="s">
        <v>48</v>
      </c>
      <c r="G256">
        <v>3</v>
      </c>
      <c r="H256">
        <v>702</v>
      </c>
      <c r="I256" s="1" t="s">
        <v>40</v>
      </c>
      <c r="J256">
        <v>1920</v>
      </c>
      <c r="K256">
        <v>1080</v>
      </c>
      <c r="L256" s="1" t="s">
        <v>27</v>
      </c>
      <c r="M256" s="1" t="s">
        <v>28</v>
      </c>
      <c r="N256" s="1" t="s">
        <v>27</v>
      </c>
      <c r="O256" s="1" t="s">
        <v>29</v>
      </c>
      <c r="P256">
        <v>2.7</v>
      </c>
      <c r="Q256" s="1" t="s">
        <v>112</v>
      </c>
      <c r="R256" s="1" t="str">
        <f>_xlfn.CONCAT(laptop[[#This Row],[CPU_company]]," ",laptop[[#This Row],[CPU_model]])</f>
        <v>Intel Core i3 7130U</v>
      </c>
      <c r="S256">
        <v>256</v>
      </c>
      <c r="T256">
        <v>0</v>
      </c>
      <c r="U256">
        <f>laptop[[#This Row],[PrimaryStorage]]+laptop[[#This Row],[SecondaryStorage]]</f>
        <v>256</v>
      </c>
      <c r="V256" s="1" t="s">
        <v>31</v>
      </c>
      <c r="W256" s="1" t="s">
        <v>27</v>
      </c>
      <c r="X256" s="1" t="str">
        <f>IF(laptop[[#This Row],[PrimaryStorageType]]=laptop[[#This Row],[SecondaryStorageType]],laptop[[#This Row],[PrimaryStorageType]],"SSD &amp; HDD")</f>
        <v>SSD &amp; HDD</v>
      </c>
      <c r="Y256" s="1" t="s">
        <v>163</v>
      </c>
    </row>
    <row r="257" spans="1:25" x14ac:dyDescent="0.25">
      <c r="A257" s="1" t="s">
        <v>65</v>
      </c>
      <c r="B257" s="1" t="s">
        <v>299</v>
      </c>
      <c r="C257" s="1" t="s">
        <v>24</v>
      </c>
      <c r="D257">
        <v>13.3</v>
      </c>
      <c r="E257">
        <v>8</v>
      </c>
      <c r="F257" s="1" t="s">
        <v>48</v>
      </c>
      <c r="G257">
        <v>1.41</v>
      </c>
      <c r="H257">
        <v>949</v>
      </c>
      <c r="I257" s="1" t="s">
        <v>40</v>
      </c>
      <c r="J257">
        <v>1920</v>
      </c>
      <c r="K257">
        <v>1080</v>
      </c>
      <c r="L257" s="1" t="s">
        <v>27</v>
      </c>
      <c r="M257" s="1" t="s">
        <v>27</v>
      </c>
      <c r="N257" s="1" t="s">
        <v>27</v>
      </c>
      <c r="O257" s="1" t="s">
        <v>29</v>
      </c>
      <c r="P257">
        <v>1.6</v>
      </c>
      <c r="Q257" s="1" t="s">
        <v>60</v>
      </c>
      <c r="R257" s="1" t="str">
        <f>_xlfn.CONCAT(laptop[[#This Row],[CPU_company]]," ",laptop[[#This Row],[CPU_model]])</f>
        <v>Intel Core i5 8250U</v>
      </c>
      <c r="S257">
        <v>256</v>
      </c>
      <c r="T257">
        <v>0</v>
      </c>
      <c r="U257">
        <f>laptop[[#This Row],[PrimaryStorage]]+laptop[[#This Row],[SecondaryStorage]]</f>
        <v>256</v>
      </c>
      <c r="V257" s="1" t="s">
        <v>31</v>
      </c>
      <c r="W257" s="1" t="s">
        <v>27</v>
      </c>
      <c r="X257" s="1" t="str">
        <f>IF(laptop[[#This Row],[PrimaryStorageType]]=laptop[[#This Row],[SecondaryStorageType]],laptop[[#This Row],[PrimaryStorageType]],"SSD &amp; HDD")</f>
        <v>SSD &amp; HDD</v>
      </c>
      <c r="Y257" s="1" t="s">
        <v>61</v>
      </c>
    </row>
    <row r="258" spans="1:25" x14ac:dyDescent="0.25">
      <c r="A258" s="1" t="s">
        <v>36</v>
      </c>
      <c r="B258" s="1" t="s">
        <v>300</v>
      </c>
      <c r="C258" s="1" t="s">
        <v>38</v>
      </c>
      <c r="D258">
        <v>15.6</v>
      </c>
      <c r="E258">
        <v>8</v>
      </c>
      <c r="F258" s="1" t="s">
        <v>48</v>
      </c>
      <c r="G258">
        <v>1.91</v>
      </c>
      <c r="H258">
        <v>445.9</v>
      </c>
      <c r="I258" s="1" t="s">
        <v>26</v>
      </c>
      <c r="J258">
        <v>1366</v>
      </c>
      <c r="K258">
        <v>768</v>
      </c>
      <c r="L258" s="1" t="s">
        <v>27</v>
      </c>
      <c r="M258" s="1" t="s">
        <v>27</v>
      </c>
      <c r="N258" s="1" t="s">
        <v>27</v>
      </c>
      <c r="O258" s="1" t="s">
        <v>49</v>
      </c>
      <c r="P258">
        <v>2.5</v>
      </c>
      <c r="Q258" s="1" t="s">
        <v>301</v>
      </c>
      <c r="R258" s="1" t="str">
        <f>_xlfn.CONCAT(laptop[[#This Row],[CPU_company]]," ",laptop[[#This Row],[CPU_model]])</f>
        <v>AMD A6-Series A6-9220</v>
      </c>
      <c r="S258">
        <v>128</v>
      </c>
      <c r="T258">
        <v>0</v>
      </c>
      <c r="U258">
        <f>laptop[[#This Row],[PrimaryStorage]]+laptop[[#This Row],[SecondaryStorage]]</f>
        <v>128</v>
      </c>
      <c r="V258" s="1" t="s">
        <v>31</v>
      </c>
      <c r="W258" s="1" t="s">
        <v>27</v>
      </c>
      <c r="X258" s="1" t="str">
        <f>IF(laptop[[#This Row],[PrimaryStorageType]]=laptop[[#This Row],[SecondaryStorageType]],laptop[[#This Row],[PrimaryStorageType]],"SSD &amp; HDD")</f>
        <v>SSD &amp; HDD</v>
      </c>
      <c r="Y258" s="1" t="s">
        <v>135</v>
      </c>
    </row>
    <row r="259" spans="1:25" x14ac:dyDescent="0.25">
      <c r="A259" s="1" t="s">
        <v>36</v>
      </c>
      <c r="B259" s="1" t="s">
        <v>302</v>
      </c>
      <c r="C259" s="1" t="s">
        <v>38</v>
      </c>
      <c r="D259">
        <v>17.3</v>
      </c>
      <c r="E259">
        <v>16</v>
      </c>
      <c r="F259" s="1" t="s">
        <v>48</v>
      </c>
      <c r="G259">
        <v>2.9</v>
      </c>
      <c r="H259">
        <v>1059</v>
      </c>
      <c r="I259" s="1" t="s">
        <v>40</v>
      </c>
      <c r="J259">
        <v>1920</v>
      </c>
      <c r="K259">
        <v>1080</v>
      </c>
      <c r="L259" s="1" t="s">
        <v>27</v>
      </c>
      <c r="M259" s="1" t="s">
        <v>28</v>
      </c>
      <c r="N259" s="1" t="s">
        <v>27</v>
      </c>
      <c r="O259" s="1" t="s">
        <v>29</v>
      </c>
      <c r="P259">
        <v>1.8</v>
      </c>
      <c r="Q259" s="1" t="s">
        <v>57</v>
      </c>
      <c r="R259" s="1" t="str">
        <f>_xlfn.CONCAT(laptop[[#This Row],[CPU_company]]," ",laptop[[#This Row],[CPU_model]])</f>
        <v>Intel Core i7 8550U</v>
      </c>
      <c r="S259">
        <v>1024</v>
      </c>
      <c r="T259">
        <v>0</v>
      </c>
      <c r="U259">
        <f>laptop[[#This Row],[PrimaryStorage]]+laptop[[#This Row],[SecondaryStorage]]</f>
        <v>1024</v>
      </c>
      <c r="V259" s="1" t="s">
        <v>51</v>
      </c>
      <c r="W259" s="1" t="s">
        <v>27</v>
      </c>
      <c r="X259" s="1" t="str">
        <f>IF(laptop[[#This Row],[PrimaryStorageType]]=laptop[[#This Row],[SecondaryStorageType]],laptop[[#This Row],[PrimaryStorageType]],"SSD &amp; HDD")</f>
        <v>SSD &amp; HDD</v>
      </c>
      <c r="Y259" s="1" t="s">
        <v>58</v>
      </c>
    </row>
    <row r="260" spans="1:25" x14ac:dyDescent="0.25">
      <c r="A260" s="1" t="s">
        <v>141</v>
      </c>
      <c r="B260" s="1" t="s">
        <v>303</v>
      </c>
      <c r="C260" s="1" t="s">
        <v>83</v>
      </c>
      <c r="D260">
        <v>17.3</v>
      </c>
      <c r="E260">
        <v>16</v>
      </c>
      <c r="F260" s="1" t="s">
        <v>48</v>
      </c>
      <c r="G260">
        <v>4.1399999999999997</v>
      </c>
      <c r="H260">
        <v>2499</v>
      </c>
      <c r="I260" s="1" t="s">
        <v>40</v>
      </c>
      <c r="J260">
        <v>1920</v>
      </c>
      <c r="K260">
        <v>1080</v>
      </c>
      <c r="L260" s="1" t="s">
        <v>27</v>
      </c>
      <c r="M260" s="1" t="s">
        <v>27</v>
      </c>
      <c r="N260" s="1" t="s">
        <v>27</v>
      </c>
      <c r="O260" s="1" t="s">
        <v>29</v>
      </c>
      <c r="P260">
        <v>2.8</v>
      </c>
      <c r="Q260" s="1" t="s">
        <v>118</v>
      </c>
      <c r="R260" s="1" t="str">
        <f>_xlfn.CONCAT(laptop[[#This Row],[CPU_company]]," ",laptop[[#This Row],[CPU_model]])</f>
        <v>Intel Core i7 7700HQ</v>
      </c>
      <c r="S260">
        <v>512</v>
      </c>
      <c r="T260">
        <v>1024</v>
      </c>
      <c r="U260">
        <f>laptop[[#This Row],[PrimaryStorage]]+laptop[[#This Row],[SecondaryStorage]]</f>
        <v>1536</v>
      </c>
      <c r="V260" s="1" t="s">
        <v>31</v>
      </c>
      <c r="W260" s="1" t="s">
        <v>51</v>
      </c>
      <c r="X260" s="1" t="str">
        <f>IF(laptop[[#This Row],[PrimaryStorageType]]=laptop[[#This Row],[SecondaryStorageType]],laptop[[#This Row],[PrimaryStorageType]],"SSD &amp; HDD")</f>
        <v>SSD &amp; HDD</v>
      </c>
      <c r="Y260" s="1" t="s">
        <v>143</v>
      </c>
    </row>
    <row r="261" spans="1:25" x14ac:dyDescent="0.25">
      <c r="A261" s="1" t="s">
        <v>73</v>
      </c>
      <c r="B261" s="1" t="s">
        <v>304</v>
      </c>
      <c r="C261" s="1" t="s">
        <v>90</v>
      </c>
      <c r="D261">
        <v>15.6</v>
      </c>
      <c r="E261">
        <v>8</v>
      </c>
      <c r="F261" s="1" t="s">
        <v>48</v>
      </c>
      <c r="G261">
        <v>2</v>
      </c>
      <c r="H261">
        <v>1699</v>
      </c>
      <c r="I261" s="1" t="s">
        <v>40</v>
      </c>
      <c r="J261">
        <v>1920</v>
      </c>
      <c r="K261">
        <v>1080</v>
      </c>
      <c r="L261" s="1" t="s">
        <v>28</v>
      </c>
      <c r="M261" s="1" t="s">
        <v>28</v>
      </c>
      <c r="N261" s="1" t="s">
        <v>27</v>
      </c>
      <c r="O261" s="1" t="s">
        <v>29</v>
      </c>
      <c r="P261">
        <v>2.8</v>
      </c>
      <c r="Q261" s="1" t="s">
        <v>118</v>
      </c>
      <c r="R261" s="1" t="str">
        <f>_xlfn.CONCAT(laptop[[#This Row],[CPU_company]]," ",laptop[[#This Row],[CPU_model]])</f>
        <v>Intel Core i7 7700HQ</v>
      </c>
      <c r="S261">
        <v>512</v>
      </c>
      <c r="T261">
        <v>0</v>
      </c>
      <c r="U261">
        <f>laptop[[#This Row],[PrimaryStorage]]+laptop[[#This Row],[SecondaryStorage]]</f>
        <v>512</v>
      </c>
      <c r="V261" s="1" t="s">
        <v>31</v>
      </c>
      <c r="W261" s="1" t="s">
        <v>27</v>
      </c>
      <c r="X261" s="1" t="str">
        <f>IF(laptop[[#This Row],[PrimaryStorageType]]=laptop[[#This Row],[SecondaryStorageType]],laptop[[#This Row],[PrimaryStorageType]],"SSD &amp; HDD")</f>
        <v>SSD &amp; HDD</v>
      </c>
      <c r="Y261" s="1" t="s">
        <v>209</v>
      </c>
    </row>
    <row r="262" spans="1:25" x14ac:dyDescent="0.25">
      <c r="A262" s="1" t="s">
        <v>65</v>
      </c>
      <c r="B262" s="1" t="s">
        <v>113</v>
      </c>
      <c r="C262" s="1" t="s">
        <v>38</v>
      </c>
      <c r="D262">
        <v>17.3</v>
      </c>
      <c r="E262">
        <v>8</v>
      </c>
      <c r="F262" s="1" t="s">
        <v>48</v>
      </c>
      <c r="G262">
        <v>2.8</v>
      </c>
      <c r="H262">
        <v>1142</v>
      </c>
      <c r="I262" s="1" t="s">
        <v>40</v>
      </c>
      <c r="J262">
        <v>1920</v>
      </c>
      <c r="K262">
        <v>1080</v>
      </c>
      <c r="L262" s="1" t="s">
        <v>27</v>
      </c>
      <c r="M262" s="1" t="s">
        <v>27</v>
      </c>
      <c r="N262" s="1" t="s">
        <v>27</v>
      </c>
      <c r="O262" s="1" t="s">
        <v>29</v>
      </c>
      <c r="P262">
        <v>1.8</v>
      </c>
      <c r="Q262" s="1" t="s">
        <v>57</v>
      </c>
      <c r="R262" s="1" t="str">
        <f>_xlfn.CONCAT(laptop[[#This Row],[CPU_company]]," ",laptop[[#This Row],[CPU_model]])</f>
        <v>Intel Core i7 8550U</v>
      </c>
      <c r="S262">
        <v>128</v>
      </c>
      <c r="T262">
        <v>1024</v>
      </c>
      <c r="U262">
        <f>laptop[[#This Row],[PrimaryStorage]]+laptop[[#This Row],[SecondaryStorage]]</f>
        <v>1152</v>
      </c>
      <c r="V262" s="1" t="s">
        <v>31</v>
      </c>
      <c r="W262" s="1" t="s">
        <v>51</v>
      </c>
      <c r="X262" s="1" t="str">
        <f>IF(laptop[[#This Row],[PrimaryStorageType]]=laptop[[#This Row],[SecondaryStorageType]],laptop[[#This Row],[PrimaryStorageType]],"SSD &amp; HDD")</f>
        <v>SSD &amp; HDD</v>
      </c>
      <c r="Y262" s="1" t="s">
        <v>94</v>
      </c>
    </row>
    <row r="263" spans="1:25" x14ac:dyDescent="0.25">
      <c r="A263" s="1" t="s">
        <v>73</v>
      </c>
      <c r="B263" s="1" t="s">
        <v>125</v>
      </c>
      <c r="C263" s="1" t="s">
        <v>38</v>
      </c>
      <c r="D263">
        <v>15.6</v>
      </c>
      <c r="E263">
        <v>4</v>
      </c>
      <c r="F263" s="1" t="s">
        <v>39</v>
      </c>
      <c r="G263">
        <v>2.2000000000000002</v>
      </c>
      <c r="H263">
        <v>444</v>
      </c>
      <c r="I263" s="1" t="s">
        <v>40</v>
      </c>
      <c r="J263">
        <v>1920</v>
      </c>
      <c r="K263">
        <v>1080</v>
      </c>
      <c r="L263" s="1" t="s">
        <v>27</v>
      </c>
      <c r="M263" s="1" t="s">
        <v>27</v>
      </c>
      <c r="N263" s="1" t="s">
        <v>27</v>
      </c>
      <c r="O263" s="1" t="s">
        <v>29</v>
      </c>
      <c r="P263">
        <v>2</v>
      </c>
      <c r="Q263" s="1" t="s">
        <v>62</v>
      </c>
      <c r="R263" s="1" t="str">
        <f>_xlfn.CONCAT(laptop[[#This Row],[CPU_company]]," ",laptop[[#This Row],[CPU_model]])</f>
        <v>Intel Core i3 6006U</v>
      </c>
      <c r="S263">
        <v>256</v>
      </c>
      <c r="T263">
        <v>0</v>
      </c>
      <c r="U263">
        <f>laptop[[#This Row],[PrimaryStorage]]+laptop[[#This Row],[SecondaryStorage]]</f>
        <v>256</v>
      </c>
      <c r="V263" s="1" t="s">
        <v>31</v>
      </c>
      <c r="W263" s="1" t="s">
        <v>27</v>
      </c>
      <c r="X263" s="1" t="str">
        <f>IF(laptop[[#This Row],[PrimaryStorageType]]=laptop[[#This Row],[SecondaryStorageType]],laptop[[#This Row],[PrimaryStorageType]],"SSD &amp; HDD")</f>
        <v>SSD &amp; HDD</v>
      </c>
      <c r="Y263" s="1" t="s">
        <v>63</v>
      </c>
    </row>
    <row r="264" spans="1:25" x14ac:dyDescent="0.25">
      <c r="A264" s="1" t="s">
        <v>36</v>
      </c>
      <c r="B264" s="1" t="s">
        <v>114</v>
      </c>
      <c r="C264" s="1" t="s">
        <v>38</v>
      </c>
      <c r="D264">
        <v>15.6</v>
      </c>
      <c r="E264">
        <v>4</v>
      </c>
      <c r="F264" s="1" t="s">
        <v>48</v>
      </c>
      <c r="G264">
        <v>2.1</v>
      </c>
      <c r="H264">
        <v>722</v>
      </c>
      <c r="I264" s="1" t="s">
        <v>40</v>
      </c>
      <c r="J264">
        <v>1920</v>
      </c>
      <c r="K264">
        <v>1080</v>
      </c>
      <c r="L264" s="1" t="s">
        <v>27</v>
      </c>
      <c r="M264" s="1" t="s">
        <v>28</v>
      </c>
      <c r="N264" s="1" t="s">
        <v>27</v>
      </c>
      <c r="O264" s="1" t="s">
        <v>29</v>
      </c>
      <c r="P264">
        <v>1.6</v>
      </c>
      <c r="Q264" s="1" t="s">
        <v>60</v>
      </c>
      <c r="R264" s="1" t="str">
        <f>_xlfn.CONCAT(laptop[[#This Row],[CPU_company]]," ",laptop[[#This Row],[CPU_model]])</f>
        <v>Intel Core i5 8250U</v>
      </c>
      <c r="S264">
        <v>500</v>
      </c>
      <c r="T264">
        <v>0</v>
      </c>
      <c r="U264">
        <f>laptop[[#This Row],[PrimaryStorage]]+laptop[[#This Row],[SecondaryStorage]]</f>
        <v>500</v>
      </c>
      <c r="V264" s="1" t="s">
        <v>51</v>
      </c>
      <c r="W264" s="1" t="s">
        <v>27</v>
      </c>
      <c r="X264" s="1" t="str">
        <f>IF(laptop[[#This Row],[PrimaryStorageType]]=laptop[[#This Row],[SecondaryStorageType]],laptop[[#This Row],[PrimaryStorageType]],"SSD &amp; HDD")</f>
        <v>SSD &amp; HDD</v>
      </c>
      <c r="Y264" s="1" t="s">
        <v>42</v>
      </c>
    </row>
    <row r="265" spans="1:25" x14ac:dyDescent="0.25">
      <c r="A265" s="1" t="s">
        <v>65</v>
      </c>
      <c r="B265" s="1" t="s">
        <v>305</v>
      </c>
      <c r="C265" s="1" t="s">
        <v>38</v>
      </c>
      <c r="D265">
        <v>15.6</v>
      </c>
      <c r="E265">
        <v>4</v>
      </c>
      <c r="F265" s="1" t="s">
        <v>48</v>
      </c>
      <c r="G265">
        <v>2.1800000000000002</v>
      </c>
      <c r="H265">
        <v>657</v>
      </c>
      <c r="I265" s="1" t="s">
        <v>40</v>
      </c>
      <c r="J265">
        <v>1920</v>
      </c>
      <c r="K265">
        <v>1080</v>
      </c>
      <c r="L265" s="1" t="s">
        <v>27</v>
      </c>
      <c r="M265" s="1" t="s">
        <v>27</v>
      </c>
      <c r="N265" s="1" t="s">
        <v>27</v>
      </c>
      <c r="O265" s="1" t="s">
        <v>29</v>
      </c>
      <c r="P265">
        <v>2.5</v>
      </c>
      <c r="Q265" s="1" t="s">
        <v>41</v>
      </c>
      <c r="R265" s="1" t="str">
        <f>_xlfn.CONCAT(laptop[[#This Row],[CPU_company]]," ",laptop[[#This Row],[CPU_model]])</f>
        <v>Intel Core i5 7200U</v>
      </c>
      <c r="S265">
        <v>1024</v>
      </c>
      <c r="T265">
        <v>0</v>
      </c>
      <c r="U265">
        <f>laptop[[#This Row],[PrimaryStorage]]+laptop[[#This Row],[SecondaryStorage]]</f>
        <v>1024</v>
      </c>
      <c r="V265" s="1" t="s">
        <v>51</v>
      </c>
      <c r="W265" s="1" t="s">
        <v>27</v>
      </c>
      <c r="X265" s="1" t="str">
        <f>IF(laptop[[#This Row],[PrimaryStorageType]]=laptop[[#This Row],[SecondaryStorageType]],laptop[[#This Row],[PrimaryStorageType]],"SSD &amp; HDD")</f>
        <v>SSD &amp; HDD</v>
      </c>
      <c r="Y265" s="1" t="s">
        <v>42</v>
      </c>
    </row>
    <row r="266" spans="1:25" x14ac:dyDescent="0.25">
      <c r="A266" s="1" t="s">
        <v>65</v>
      </c>
      <c r="B266" s="1" t="s">
        <v>66</v>
      </c>
      <c r="C266" s="1" t="s">
        <v>38</v>
      </c>
      <c r="D266">
        <v>15.6</v>
      </c>
      <c r="E266">
        <v>8</v>
      </c>
      <c r="F266" s="1" t="s">
        <v>48</v>
      </c>
      <c r="G266">
        <v>2.2400000000000002</v>
      </c>
      <c r="H266">
        <v>565</v>
      </c>
      <c r="I266" s="1" t="s">
        <v>40</v>
      </c>
      <c r="J266">
        <v>1920</v>
      </c>
      <c r="K266">
        <v>1080</v>
      </c>
      <c r="L266" s="1" t="s">
        <v>27</v>
      </c>
      <c r="M266" s="1" t="s">
        <v>27</v>
      </c>
      <c r="N266" s="1" t="s">
        <v>27</v>
      </c>
      <c r="O266" s="1" t="s">
        <v>29</v>
      </c>
      <c r="P266">
        <v>2.5</v>
      </c>
      <c r="Q266" s="1" t="s">
        <v>41</v>
      </c>
      <c r="R266" s="1" t="str">
        <f>_xlfn.CONCAT(laptop[[#This Row],[CPU_company]]," ",laptop[[#This Row],[CPU_model]])</f>
        <v>Intel Core i5 7200U</v>
      </c>
      <c r="S266">
        <v>1024</v>
      </c>
      <c r="T266">
        <v>0</v>
      </c>
      <c r="U266">
        <f>laptop[[#This Row],[PrimaryStorage]]+laptop[[#This Row],[SecondaryStorage]]</f>
        <v>1024</v>
      </c>
      <c r="V266" s="1" t="s">
        <v>51</v>
      </c>
      <c r="W266" s="1" t="s">
        <v>27</v>
      </c>
      <c r="X266" s="1" t="str">
        <f>IF(laptop[[#This Row],[PrimaryStorageType]]=laptop[[#This Row],[SecondaryStorageType]],laptop[[#This Row],[PrimaryStorageType]],"SSD &amp; HDD")</f>
        <v>SSD &amp; HDD</v>
      </c>
      <c r="Y266" s="1" t="s">
        <v>67</v>
      </c>
    </row>
    <row r="267" spans="1:25" x14ac:dyDescent="0.25">
      <c r="A267" s="1" t="s">
        <v>65</v>
      </c>
      <c r="B267" s="1" t="s">
        <v>231</v>
      </c>
      <c r="C267" s="1" t="s">
        <v>90</v>
      </c>
      <c r="D267">
        <v>15.6</v>
      </c>
      <c r="E267">
        <v>8</v>
      </c>
      <c r="F267" s="1" t="s">
        <v>48</v>
      </c>
      <c r="G267">
        <v>2.67</v>
      </c>
      <c r="H267">
        <v>799</v>
      </c>
      <c r="I267" s="1" t="s">
        <v>40</v>
      </c>
      <c r="J267">
        <v>1920</v>
      </c>
      <c r="K267">
        <v>1080</v>
      </c>
      <c r="L267" s="1" t="s">
        <v>28</v>
      </c>
      <c r="M267" s="1" t="s">
        <v>27</v>
      </c>
      <c r="N267" s="1" t="s">
        <v>27</v>
      </c>
      <c r="O267" s="1" t="s">
        <v>29</v>
      </c>
      <c r="P267">
        <v>1.6</v>
      </c>
      <c r="Q267" s="1" t="s">
        <v>60</v>
      </c>
      <c r="R267" s="1" t="str">
        <f>_xlfn.CONCAT(laptop[[#This Row],[CPU_company]]," ",laptop[[#This Row],[CPU_model]])</f>
        <v>Intel Core i5 8250U</v>
      </c>
      <c r="S267">
        <v>256</v>
      </c>
      <c r="T267">
        <v>0</v>
      </c>
      <c r="U267">
        <f>laptop[[#This Row],[PrimaryStorage]]+laptop[[#This Row],[SecondaryStorage]]</f>
        <v>256</v>
      </c>
      <c r="V267" s="1" t="s">
        <v>31</v>
      </c>
      <c r="W267" s="1" t="s">
        <v>27</v>
      </c>
      <c r="X267" s="1" t="str">
        <f>IF(laptop[[#This Row],[PrimaryStorageType]]=laptop[[#This Row],[SecondaryStorageType]],laptop[[#This Row],[PrimaryStorageType]],"SSD &amp; HDD")</f>
        <v>SSD &amp; HDD</v>
      </c>
      <c r="Y267" s="1" t="s">
        <v>61</v>
      </c>
    </row>
    <row r="268" spans="1:25" x14ac:dyDescent="0.25">
      <c r="A268" s="1" t="s">
        <v>55</v>
      </c>
      <c r="B268" s="1" t="s">
        <v>230</v>
      </c>
      <c r="C268" s="1" t="s">
        <v>90</v>
      </c>
      <c r="D268">
        <v>13.3</v>
      </c>
      <c r="E268">
        <v>8</v>
      </c>
      <c r="F268" s="1" t="s">
        <v>48</v>
      </c>
      <c r="G268">
        <v>1.1000000000000001</v>
      </c>
      <c r="H268">
        <v>1499</v>
      </c>
      <c r="I268" s="1" t="s">
        <v>40</v>
      </c>
      <c r="J268">
        <v>1920</v>
      </c>
      <c r="K268">
        <v>1080</v>
      </c>
      <c r="L268" s="1" t="s">
        <v>28</v>
      </c>
      <c r="M268" s="1" t="s">
        <v>27</v>
      </c>
      <c r="N268" s="1" t="s">
        <v>27</v>
      </c>
      <c r="O268" s="1" t="s">
        <v>29</v>
      </c>
      <c r="P268">
        <v>1.8</v>
      </c>
      <c r="Q268" s="1" t="s">
        <v>57</v>
      </c>
      <c r="R268" s="1" t="str">
        <f>_xlfn.CONCAT(laptop[[#This Row],[CPU_company]]," ",laptop[[#This Row],[CPU_model]])</f>
        <v>Intel Core i7 8550U</v>
      </c>
      <c r="S268">
        <v>512</v>
      </c>
      <c r="T268">
        <v>512</v>
      </c>
      <c r="U268">
        <f>laptop[[#This Row],[PrimaryStorage]]+laptop[[#This Row],[SecondaryStorage]]</f>
        <v>1024</v>
      </c>
      <c r="V268" s="1" t="s">
        <v>31</v>
      </c>
      <c r="W268" s="1" t="s">
        <v>31</v>
      </c>
      <c r="X268" s="1" t="str">
        <f>IF(laptop[[#This Row],[PrimaryStorageType]]=laptop[[#This Row],[SecondaryStorageType]],laptop[[#This Row],[PrimaryStorageType]],"SSD &amp; HDD")</f>
        <v>SSD</v>
      </c>
      <c r="Y268" s="1" t="s">
        <v>61</v>
      </c>
    </row>
    <row r="269" spans="1:25" x14ac:dyDescent="0.25">
      <c r="A269" s="1" t="s">
        <v>73</v>
      </c>
      <c r="B269" s="1" t="s">
        <v>161</v>
      </c>
      <c r="C269" s="1" t="s">
        <v>38</v>
      </c>
      <c r="D269">
        <v>15.6</v>
      </c>
      <c r="E269">
        <v>4</v>
      </c>
      <c r="F269" s="1" t="s">
        <v>39</v>
      </c>
      <c r="G269">
        <v>2.2000000000000002</v>
      </c>
      <c r="H269">
        <v>467</v>
      </c>
      <c r="I269" s="1" t="s">
        <v>40</v>
      </c>
      <c r="J269">
        <v>1920</v>
      </c>
      <c r="K269">
        <v>1080</v>
      </c>
      <c r="L269" s="1" t="s">
        <v>27</v>
      </c>
      <c r="M269" s="1" t="s">
        <v>27</v>
      </c>
      <c r="N269" s="1" t="s">
        <v>27</v>
      </c>
      <c r="O269" s="1" t="s">
        <v>29</v>
      </c>
      <c r="P269">
        <v>2.5</v>
      </c>
      <c r="Q269" s="1" t="s">
        <v>41</v>
      </c>
      <c r="R269" s="1" t="str">
        <f>_xlfn.CONCAT(laptop[[#This Row],[CPU_company]]," ",laptop[[#This Row],[CPU_model]])</f>
        <v>Intel Core i5 7200U</v>
      </c>
      <c r="S269">
        <v>1024</v>
      </c>
      <c r="T269">
        <v>0</v>
      </c>
      <c r="U269">
        <f>laptop[[#This Row],[PrimaryStorage]]+laptop[[#This Row],[SecondaryStorage]]</f>
        <v>1024</v>
      </c>
      <c r="V269" s="1" t="s">
        <v>51</v>
      </c>
      <c r="W269" s="1" t="s">
        <v>27</v>
      </c>
      <c r="X269" s="1" t="str">
        <f>IF(laptop[[#This Row],[PrimaryStorageType]]=laptop[[#This Row],[SecondaryStorageType]],laptop[[#This Row],[PrimaryStorageType]],"SSD &amp; HDD")</f>
        <v>SSD &amp; HDD</v>
      </c>
      <c r="Y269" s="1" t="s">
        <v>42</v>
      </c>
    </row>
    <row r="270" spans="1:25" x14ac:dyDescent="0.25">
      <c r="A270" s="1" t="s">
        <v>36</v>
      </c>
      <c r="B270" s="1" t="s">
        <v>197</v>
      </c>
      <c r="C270" s="1" t="s">
        <v>38</v>
      </c>
      <c r="D270">
        <v>17.3</v>
      </c>
      <c r="E270">
        <v>8</v>
      </c>
      <c r="F270" s="1" t="s">
        <v>48</v>
      </c>
      <c r="G270">
        <v>2.5</v>
      </c>
      <c r="H270">
        <v>1018</v>
      </c>
      <c r="I270" s="1" t="s">
        <v>40</v>
      </c>
      <c r="J270">
        <v>1920</v>
      </c>
      <c r="K270">
        <v>1080</v>
      </c>
      <c r="L270" s="1" t="s">
        <v>27</v>
      </c>
      <c r="M270" s="1" t="s">
        <v>27</v>
      </c>
      <c r="N270" s="1" t="s">
        <v>27</v>
      </c>
      <c r="O270" s="1" t="s">
        <v>29</v>
      </c>
      <c r="P270">
        <v>1.8</v>
      </c>
      <c r="Q270" s="1" t="s">
        <v>57</v>
      </c>
      <c r="R270" s="1" t="str">
        <f>_xlfn.CONCAT(laptop[[#This Row],[CPU_company]]," ",laptop[[#This Row],[CPU_model]])</f>
        <v>Intel Core i7 8550U</v>
      </c>
      <c r="S270">
        <v>1024</v>
      </c>
      <c r="T270">
        <v>0</v>
      </c>
      <c r="U270">
        <f>laptop[[#This Row],[PrimaryStorage]]+laptop[[#This Row],[SecondaryStorage]]</f>
        <v>1024</v>
      </c>
      <c r="V270" s="1" t="s">
        <v>51</v>
      </c>
      <c r="W270" s="1" t="s">
        <v>27</v>
      </c>
      <c r="X270" s="1" t="str">
        <f>IF(laptop[[#This Row],[PrimaryStorageType]]=laptop[[#This Row],[SecondaryStorageType]],laptop[[#This Row],[PrimaryStorageType]],"SSD &amp; HDD")</f>
        <v>SSD &amp; HDD</v>
      </c>
      <c r="Y270" s="1" t="s">
        <v>115</v>
      </c>
    </row>
    <row r="271" spans="1:25" x14ac:dyDescent="0.25">
      <c r="A271" s="1" t="s">
        <v>73</v>
      </c>
      <c r="B271" s="1" t="s">
        <v>306</v>
      </c>
      <c r="C271" s="1" t="s">
        <v>38</v>
      </c>
      <c r="D271">
        <v>15.6</v>
      </c>
      <c r="E271">
        <v>8</v>
      </c>
      <c r="F271" s="1" t="s">
        <v>48</v>
      </c>
      <c r="G271">
        <v>2.0499999999999998</v>
      </c>
      <c r="H271">
        <v>880</v>
      </c>
      <c r="I271" s="1" t="s">
        <v>40</v>
      </c>
      <c r="J271">
        <v>1920</v>
      </c>
      <c r="K271">
        <v>1080</v>
      </c>
      <c r="L271" s="1" t="s">
        <v>27</v>
      </c>
      <c r="M271" s="1" t="s">
        <v>27</v>
      </c>
      <c r="N271" s="1" t="s">
        <v>27</v>
      </c>
      <c r="O271" s="1" t="s">
        <v>29</v>
      </c>
      <c r="P271">
        <v>1.8</v>
      </c>
      <c r="Q271" s="1" t="s">
        <v>57</v>
      </c>
      <c r="R271" s="1" t="str">
        <f>_xlfn.CONCAT(laptop[[#This Row],[CPU_company]]," ",laptop[[#This Row],[CPU_model]])</f>
        <v>Intel Core i7 8550U</v>
      </c>
      <c r="S271">
        <v>256</v>
      </c>
      <c r="T271">
        <v>0</v>
      </c>
      <c r="U271">
        <f>laptop[[#This Row],[PrimaryStorage]]+laptop[[#This Row],[SecondaryStorage]]</f>
        <v>256</v>
      </c>
      <c r="V271" s="1" t="s">
        <v>31</v>
      </c>
      <c r="W271" s="1" t="s">
        <v>27</v>
      </c>
      <c r="X271" s="1" t="str">
        <f>IF(laptop[[#This Row],[PrimaryStorageType]]=laptop[[#This Row],[SecondaryStorageType]],laptop[[#This Row],[PrimaryStorageType]],"SSD &amp; HDD")</f>
        <v>SSD &amp; HDD</v>
      </c>
      <c r="Y271" s="1" t="s">
        <v>61</v>
      </c>
    </row>
    <row r="272" spans="1:25" x14ac:dyDescent="0.25">
      <c r="A272" s="1" t="s">
        <v>22</v>
      </c>
      <c r="B272" s="1" t="s">
        <v>23</v>
      </c>
      <c r="C272" s="1" t="s">
        <v>24</v>
      </c>
      <c r="D272">
        <v>13.3</v>
      </c>
      <c r="E272">
        <v>8</v>
      </c>
      <c r="F272" s="1" t="s">
        <v>25</v>
      </c>
      <c r="G272">
        <v>1.37</v>
      </c>
      <c r="H272">
        <v>1958.9</v>
      </c>
      <c r="I272" s="1" t="s">
        <v>26</v>
      </c>
      <c r="J272">
        <v>2560</v>
      </c>
      <c r="K272">
        <v>1600</v>
      </c>
      <c r="L272" s="1" t="s">
        <v>27</v>
      </c>
      <c r="M272" s="1" t="s">
        <v>28</v>
      </c>
      <c r="N272" s="1" t="s">
        <v>28</v>
      </c>
      <c r="O272" s="1" t="s">
        <v>29</v>
      </c>
      <c r="P272">
        <v>2.9</v>
      </c>
      <c r="Q272" s="1" t="s">
        <v>30</v>
      </c>
      <c r="R272" s="1" t="str">
        <f>_xlfn.CONCAT(laptop[[#This Row],[CPU_company]]," ",laptop[[#This Row],[CPU_model]])</f>
        <v>Intel Core i5</v>
      </c>
      <c r="S272">
        <v>512</v>
      </c>
      <c r="T272">
        <v>0</v>
      </c>
      <c r="U272">
        <f>laptop[[#This Row],[PrimaryStorage]]+laptop[[#This Row],[SecondaryStorage]]</f>
        <v>512</v>
      </c>
      <c r="V272" s="1" t="s">
        <v>31</v>
      </c>
      <c r="W272" s="1" t="s">
        <v>27</v>
      </c>
      <c r="X272" s="1" t="str">
        <f>IF(laptop[[#This Row],[PrimaryStorageType]]=laptop[[#This Row],[SecondaryStorageType]],laptop[[#This Row],[PrimaryStorageType]],"SSD &amp; HDD")</f>
        <v>SSD &amp; HDD</v>
      </c>
      <c r="Y272" s="1" t="s">
        <v>307</v>
      </c>
    </row>
    <row r="273" spans="1:25" x14ac:dyDescent="0.25">
      <c r="A273" s="1" t="s">
        <v>55</v>
      </c>
      <c r="B273" s="1" t="s">
        <v>126</v>
      </c>
      <c r="C273" s="1" t="s">
        <v>83</v>
      </c>
      <c r="D273">
        <v>17.3</v>
      </c>
      <c r="E273">
        <v>16</v>
      </c>
      <c r="F273" s="1" t="s">
        <v>48</v>
      </c>
      <c r="G273">
        <v>3.2</v>
      </c>
      <c r="H273">
        <v>1549</v>
      </c>
      <c r="I273" s="1" t="s">
        <v>40</v>
      </c>
      <c r="J273">
        <v>1920</v>
      </c>
      <c r="K273">
        <v>1080</v>
      </c>
      <c r="L273" s="1" t="s">
        <v>27</v>
      </c>
      <c r="M273" s="1" t="s">
        <v>27</v>
      </c>
      <c r="N273" s="1" t="s">
        <v>27</v>
      </c>
      <c r="O273" s="1" t="s">
        <v>49</v>
      </c>
      <c r="P273">
        <v>3</v>
      </c>
      <c r="Q273" s="1" t="s">
        <v>127</v>
      </c>
      <c r="R273" s="1" t="str">
        <f>_xlfn.CONCAT(laptop[[#This Row],[CPU_company]]," ",laptop[[#This Row],[CPU_model]])</f>
        <v>AMD Ryzen 1700</v>
      </c>
      <c r="S273">
        <v>256</v>
      </c>
      <c r="T273">
        <v>1024</v>
      </c>
      <c r="U273">
        <f>laptop[[#This Row],[PrimaryStorage]]+laptop[[#This Row],[SecondaryStorage]]</f>
        <v>1280</v>
      </c>
      <c r="V273" s="1" t="s">
        <v>31</v>
      </c>
      <c r="W273" s="1" t="s">
        <v>51</v>
      </c>
      <c r="X273" s="1" t="str">
        <f>IF(laptop[[#This Row],[PrimaryStorageType]]=laptop[[#This Row],[SecondaryStorageType]],laptop[[#This Row],[PrimaryStorageType]],"SSD &amp; HDD")</f>
        <v>SSD &amp; HDD</v>
      </c>
      <c r="Y273" s="1" t="s">
        <v>128</v>
      </c>
    </row>
    <row r="274" spans="1:25" x14ac:dyDescent="0.25">
      <c r="A274" s="1" t="s">
        <v>65</v>
      </c>
      <c r="B274" s="1" t="s">
        <v>137</v>
      </c>
      <c r="C274" s="1" t="s">
        <v>38</v>
      </c>
      <c r="D274">
        <v>15.6</v>
      </c>
      <c r="E274">
        <v>8</v>
      </c>
      <c r="F274" s="1" t="s">
        <v>111</v>
      </c>
      <c r="G274">
        <v>2.14</v>
      </c>
      <c r="H274">
        <v>735.07</v>
      </c>
      <c r="I274" s="1" t="s">
        <v>40</v>
      </c>
      <c r="J274">
        <v>1920</v>
      </c>
      <c r="K274">
        <v>1080</v>
      </c>
      <c r="L274" s="1" t="s">
        <v>27</v>
      </c>
      <c r="M274" s="1" t="s">
        <v>27</v>
      </c>
      <c r="N274" s="1" t="s">
        <v>27</v>
      </c>
      <c r="O274" s="1" t="s">
        <v>29</v>
      </c>
      <c r="P274">
        <v>1.8</v>
      </c>
      <c r="Q274" s="1" t="s">
        <v>57</v>
      </c>
      <c r="R274" s="1" t="str">
        <f>_xlfn.CONCAT(laptop[[#This Row],[CPU_company]]," ",laptop[[#This Row],[CPU_model]])</f>
        <v>Intel Core i7 8550U</v>
      </c>
      <c r="S274">
        <v>256</v>
      </c>
      <c r="T274">
        <v>0</v>
      </c>
      <c r="U274">
        <f>laptop[[#This Row],[PrimaryStorage]]+laptop[[#This Row],[SecondaryStorage]]</f>
        <v>256</v>
      </c>
      <c r="V274" s="1" t="s">
        <v>31</v>
      </c>
      <c r="W274" s="1" t="s">
        <v>27</v>
      </c>
      <c r="X274" s="1" t="str">
        <f>IF(laptop[[#This Row],[PrimaryStorageType]]=laptop[[#This Row],[SecondaryStorageType]],laptop[[#This Row],[PrimaryStorageType]],"SSD &amp; HDD")</f>
        <v>SSD &amp; HDD</v>
      </c>
      <c r="Y274" s="1" t="s">
        <v>138</v>
      </c>
    </row>
    <row r="275" spans="1:25" x14ac:dyDescent="0.25">
      <c r="A275" s="1" t="s">
        <v>73</v>
      </c>
      <c r="B275" s="1" t="s">
        <v>308</v>
      </c>
      <c r="C275" s="1" t="s">
        <v>90</v>
      </c>
      <c r="D275">
        <v>14</v>
      </c>
      <c r="E275">
        <v>16</v>
      </c>
      <c r="F275" s="1" t="s">
        <v>48</v>
      </c>
      <c r="G275">
        <v>1.36</v>
      </c>
      <c r="H275">
        <v>2499</v>
      </c>
      <c r="I275" s="1" t="s">
        <v>26</v>
      </c>
      <c r="J275">
        <v>2560</v>
      </c>
      <c r="K275">
        <v>1440</v>
      </c>
      <c r="L275" s="1" t="s">
        <v>28</v>
      </c>
      <c r="M275" s="1" t="s">
        <v>27</v>
      </c>
      <c r="N275" s="1" t="s">
        <v>27</v>
      </c>
      <c r="O275" s="1" t="s">
        <v>29</v>
      </c>
      <c r="P275">
        <v>2.6</v>
      </c>
      <c r="Q275" s="1" t="s">
        <v>309</v>
      </c>
      <c r="R275" s="1" t="str">
        <f>_xlfn.CONCAT(laptop[[#This Row],[CPU_company]]," ",laptop[[#This Row],[CPU_model]])</f>
        <v>Intel Core i7 6600U</v>
      </c>
      <c r="S275">
        <v>512</v>
      </c>
      <c r="T275">
        <v>0</v>
      </c>
      <c r="U275">
        <f>laptop[[#This Row],[PrimaryStorage]]+laptop[[#This Row],[SecondaryStorage]]</f>
        <v>512</v>
      </c>
      <c r="V275" s="1" t="s">
        <v>31</v>
      </c>
      <c r="W275" s="1" t="s">
        <v>27</v>
      </c>
      <c r="X275" s="1" t="str">
        <f>IF(laptop[[#This Row],[PrimaryStorageType]]=laptop[[#This Row],[SecondaryStorageType]],laptop[[#This Row],[PrimaryStorageType]],"SSD &amp; HDD")</f>
        <v>SSD &amp; HDD</v>
      </c>
      <c r="Y275" s="1" t="s">
        <v>63</v>
      </c>
    </row>
    <row r="276" spans="1:25" x14ac:dyDescent="0.25">
      <c r="A276" s="1" t="s">
        <v>210</v>
      </c>
      <c r="B276" s="1" t="s">
        <v>211</v>
      </c>
      <c r="C276" s="1" t="s">
        <v>38</v>
      </c>
      <c r="D276">
        <v>15.6</v>
      </c>
      <c r="E276">
        <v>8</v>
      </c>
      <c r="F276" s="1" t="s">
        <v>48</v>
      </c>
      <c r="G276">
        <v>2.2000000000000002</v>
      </c>
      <c r="H276">
        <v>812</v>
      </c>
      <c r="I276" s="1" t="s">
        <v>26</v>
      </c>
      <c r="J276">
        <v>1366</v>
      </c>
      <c r="K276">
        <v>768</v>
      </c>
      <c r="L276" s="1" t="s">
        <v>27</v>
      </c>
      <c r="M276" s="1" t="s">
        <v>27</v>
      </c>
      <c r="N276" s="1" t="s">
        <v>27</v>
      </c>
      <c r="O276" s="1" t="s">
        <v>29</v>
      </c>
      <c r="P276">
        <v>2.5</v>
      </c>
      <c r="Q276" s="1" t="s">
        <v>274</v>
      </c>
      <c r="R276" s="1" t="str">
        <f>_xlfn.CONCAT(laptop[[#This Row],[CPU_company]]," ",laptop[[#This Row],[CPU_model]])</f>
        <v>Intel Core i7 6500U</v>
      </c>
      <c r="S276">
        <v>500</v>
      </c>
      <c r="T276">
        <v>0</v>
      </c>
      <c r="U276">
        <f>laptop[[#This Row],[PrimaryStorage]]+laptop[[#This Row],[SecondaryStorage]]</f>
        <v>500</v>
      </c>
      <c r="V276" s="1" t="s">
        <v>51</v>
      </c>
      <c r="W276" s="1" t="s">
        <v>27</v>
      </c>
      <c r="X276" s="1" t="str">
        <f>IF(laptop[[#This Row],[PrimaryStorageType]]=laptop[[#This Row],[SecondaryStorageType]],laptop[[#This Row],[PrimaryStorageType]],"SSD &amp; HDD")</f>
        <v>SSD &amp; HDD</v>
      </c>
      <c r="Y276" s="1" t="s">
        <v>310</v>
      </c>
    </row>
    <row r="277" spans="1:25" x14ac:dyDescent="0.25">
      <c r="A277" s="1" t="s">
        <v>65</v>
      </c>
      <c r="B277" s="1" t="s">
        <v>200</v>
      </c>
      <c r="C277" s="1" t="s">
        <v>38</v>
      </c>
      <c r="D277">
        <v>15.6</v>
      </c>
      <c r="E277">
        <v>12</v>
      </c>
      <c r="F277" s="1" t="s">
        <v>48</v>
      </c>
      <c r="G277">
        <v>2.2999999999999998</v>
      </c>
      <c r="H277">
        <v>713.07</v>
      </c>
      <c r="I277" s="1" t="s">
        <v>26</v>
      </c>
      <c r="J277">
        <v>1366</v>
      </c>
      <c r="K277">
        <v>768</v>
      </c>
      <c r="L277" s="1" t="s">
        <v>27</v>
      </c>
      <c r="M277" s="1" t="s">
        <v>27</v>
      </c>
      <c r="N277" s="1" t="s">
        <v>27</v>
      </c>
      <c r="O277" s="1" t="s">
        <v>29</v>
      </c>
      <c r="P277">
        <v>2.7</v>
      </c>
      <c r="Q277" s="1" t="s">
        <v>71</v>
      </c>
      <c r="R277" s="1" t="str">
        <f>_xlfn.CONCAT(laptop[[#This Row],[CPU_company]]," ",laptop[[#This Row],[CPU_model]])</f>
        <v>Intel Core i7 7500U</v>
      </c>
      <c r="S277">
        <v>1024</v>
      </c>
      <c r="T277">
        <v>0</v>
      </c>
      <c r="U277">
        <f>laptop[[#This Row],[PrimaryStorage]]+laptop[[#This Row],[SecondaryStorage]]</f>
        <v>1024</v>
      </c>
      <c r="V277" s="1" t="s">
        <v>51</v>
      </c>
      <c r="W277" s="1" t="s">
        <v>27</v>
      </c>
      <c r="X277" s="1" t="str">
        <f>IF(laptop[[#This Row],[PrimaryStorageType]]=laptop[[#This Row],[SecondaryStorageType]],laptop[[#This Row],[PrimaryStorageType]],"SSD &amp; HDD")</f>
        <v>SSD &amp; HDD</v>
      </c>
      <c r="Y277" s="1" t="s">
        <v>42</v>
      </c>
    </row>
    <row r="278" spans="1:25" x14ac:dyDescent="0.25">
      <c r="A278" s="1" t="s">
        <v>65</v>
      </c>
      <c r="B278" s="1" t="s">
        <v>113</v>
      </c>
      <c r="C278" s="1" t="s">
        <v>38</v>
      </c>
      <c r="D278">
        <v>17.3</v>
      </c>
      <c r="E278">
        <v>8</v>
      </c>
      <c r="F278" s="1" t="s">
        <v>111</v>
      </c>
      <c r="G278">
        <v>2.8</v>
      </c>
      <c r="H278">
        <v>1099</v>
      </c>
      <c r="I278" s="1" t="s">
        <v>40</v>
      </c>
      <c r="J278">
        <v>1920</v>
      </c>
      <c r="K278">
        <v>1080</v>
      </c>
      <c r="L278" s="1" t="s">
        <v>27</v>
      </c>
      <c r="M278" s="1" t="s">
        <v>27</v>
      </c>
      <c r="N278" s="1" t="s">
        <v>27</v>
      </c>
      <c r="O278" s="1" t="s">
        <v>29</v>
      </c>
      <c r="P278">
        <v>1.8</v>
      </c>
      <c r="Q278" s="1" t="s">
        <v>57</v>
      </c>
      <c r="R278" s="1" t="str">
        <f>_xlfn.CONCAT(laptop[[#This Row],[CPU_company]]," ",laptop[[#This Row],[CPU_model]])</f>
        <v>Intel Core i7 8550U</v>
      </c>
      <c r="S278">
        <v>128</v>
      </c>
      <c r="T278">
        <v>1024</v>
      </c>
      <c r="U278">
        <f>laptop[[#This Row],[PrimaryStorage]]+laptop[[#This Row],[SecondaryStorage]]</f>
        <v>1152</v>
      </c>
      <c r="V278" s="1" t="s">
        <v>31</v>
      </c>
      <c r="W278" s="1" t="s">
        <v>51</v>
      </c>
      <c r="X278" s="1" t="str">
        <f>IF(laptop[[#This Row],[PrimaryStorageType]]=laptop[[#This Row],[SecondaryStorageType]],laptop[[#This Row],[PrimaryStorageType]],"SSD &amp; HDD")</f>
        <v>SSD &amp; HDD</v>
      </c>
      <c r="Y278" s="1" t="s">
        <v>94</v>
      </c>
    </row>
    <row r="279" spans="1:25" x14ac:dyDescent="0.25">
      <c r="A279" s="1" t="s">
        <v>46</v>
      </c>
      <c r="B279" s="1" t="s">
        <v>121</v>
      </c>
      <c r="C279" s="1" t="s">
        <v>38</v>
      </c>
      <c r="D279">
        <v>15.6</v>
      </c>
      <c r="E279">
        <v>8</v>
      </c>
      <c r="F279" s="1" t="s">
        <v>48</v>
      </c>
      <c r="G279">
        <v>2.2000000000000002</v>
      </c>
      <c r="H279">
        <v>745</v>
      </c>
      <c r="I279" s="1" t="s">
        <v>40</v>
      </c>
      <c r="J279">
        <v>1920</v>
      </c>
      <c r="K279">
        <v>1080</v>
      </c>
      <c r="L279" s="1" t="s">
        <v>27</v>
      </c>
      <c r="M279" s="1" t="s">
        <v>28</v>
      </c>
      <c r="N279" s="1" t="s">
        <v>27</v>
      </c>
      <c r="O279" s="1" t="s">
        <v>29</v>
      </c>
      <c r="P279">
        <v>1.8</v>
      </c>
      <c r="Q279" s="1" t="s">
        <v>57</v>
      </c>
      <c r="R279" s="1" t="str">
        <f>_xlfn.CONCAT(laptop[[#This Row],[CPU_company]]," ",laptop[[#This Row],[CPU_model]])</f>
        <v>Intel Core i7 8550U</v>
      </c>
      <c r="S279">
        <v>1024</v>
      </c>
      <c r="T279">
        <v>0</v>
      </c>
      <c r="U279">
        <f>laptop[[#This Row],[PrimaryStorage]]+laptop[[#This Row],[SecondaryStorage]]</f>
        <v>1024</v>
      </c>
      <c r="V279" s="1" t="s">
        <v>51</v>
      </c>
      <c r="W279" s="1" t="s">
        <v>27</v>
      </c>
      <c r="X279" s="1" t="str">
        <f>IF(laptop[[#This Row],[PrimaryStorageType]]=laptop[[#This Row],[SecondaryStorageType]],laptop[[#This Row],[PrimaryStorageType]],"SSD &amp; HDD")</f>
        <v>SSD &amp; HDD</v>
      </c>
      <c r="Y279" s="1" t="s">
        <v>163</v>
      </c>
    </row>
    <row r="280" spans="1:25" x14ac:dyDescent="0.25">
      <c r="A280" s="1" t="s">
        <v>73</v>
      </c>
      <c r="B280" s="1" t="s">
        <v>311</v>
      </c>
      <c r="C280" s="1" t="s">
        <v>38</v>
      </c>
      <c r="D280">
        <v>17.3</v>
      </c>
      <c r="E280">
        <v>4</v>
      </c>
      <c r="F280" s="1" t="s">
        <v>48</v>
      </c>
      <c r="G280">
        <v>2.8</v>
      </c>
      <c r="H280">
        <v>489</v>
      </c>
      <c r="I280" s="1" t="s">
        <v>26</v>
      </c>
      <c r="J280">
        <v>1600</v>
      </c>
      <c r="K280">
        <v>900</v>
      </c>
      <c r="L280" s="1" t="s">
        <v>27</v>
      </c>
      <c r="M280" s="1" t="s">
        <v>27</v>
      </c>
      <c r="N280" s="1" t="s">
        <v>27</v>
      </c>
      <c r="O280" s="1" t="s">
        <v>29</v>
      </c>
      <c r="P280">
        <v>2</v>
      </c>
      <c r="Q280" s="1" t="s">
        <v>62</v>
      </c>
      <c r="R280" s="1" t="str">
        <f>_xlfn.CONCAT(laptop[[#This Row],[CPU_company]]," ",laptop[[#This Row],[CPU_model]])</f>
        <v>Intel Core i3 6006U</v>
      </c>
      <c r="S280">
        <v>1024</v>
      </c>
      <c r="T280">
        <v>0</v>
      </c>
      <c r="U280">
        <f>laptop[[#This Row],[PrimaryStorage]]+laptop[[#This Row],[SecondaryStorage]]</f>
        <v>1024</v>
      </c>
      <c r="V280" s="1" t="s">
        <v>51</v>
      </c>
      <c r="W280" s="1" t="s">
        <v>27</v>
      </c>
      <c r="X280" s="1" t="str">
        <f>IF(laptop[[#This Row],[PrimaryStorageType]]=laptop[[#This Row],[SecondaryStorageType]],laptop[[#This Row],[PrimaryStorageType]],"SSD &amp; HDD")</f>
        <v>SSD &amp; HDD</v>
      </c>
      <c r="Y280" s="1" t="s">
        <v>63</v>
      </c>
    </row>
    <row r="281" spans="1:25" x14ac:dyDescent="0.25">
      <c r="A281" s="1" t="s">
        <v>73</v>
      </c>
      <c r="B281" s="1" t="s">
        <v>255</v>
      </c>
      <c r="C281" s="1" t="s">
        <v>38</v>
      </c>
      <c r="D281">
        <v>17.3</v>
      </c>
      <c r="E281">
        <v>8</v>
      </c>
      <c r="F281" s="1" t="s">
        <v>39</v>
      </c>
      <c r="G281">
        <v>2.8</v>
      </c>
      <c r="H281">
        <v>849</v>
      </c>
      <c r="I281" s="1" t="s">
        <v>40</v>
      </c>
      <c r="J281">
        <v>1920</v>
      </c>
      <c r="K281">
        <v>1080</v>
      </c>
      <c r="L281" s="1" t="s">
        <v>27</v>
      </c>
      <c r="M281" s="1" t="s">
        <v>27</v>
      </c>
      <c r="N281" s="1" t="s">
        <v>27</v>
      </c>
      <c r="O281" s="1" t="s">
        <v>29</v>
      </c>
      <c r="P281">
        <v>1.8</v>
      </c>
      <c r="Q281" s="1" t="s">
        <v>57</v>
      </c>
      <c r="R281" s="1" t="str">
        <f>_xlfn.CONCAT(laptop[[#This Row],[CPU_company]]," ",laptop[[#This Row],[CPU_model]])</f>
        <v>Intel Core i7 8550U</v>
      </c>
      <c r="S281">
        <v>2048</v>
      </c>
      <c r="T281">
        <v>0</v>
      </c>
      <c r="U281">
        <f>laptop[[#This Row],[PrimaryStorage]]+laptop[[#This Row],[SecondaryStorage]]</f>
        <v>2048</v>
      </c>
      <c r="V281" s="1" t="s">
        <v>51</v>
      </c>
      <c r="W281" s="1" t="s">
        <v>27</v>
      </c>
      <c r="X281" s="1" t="str">
        <f>IF(laptop[[#This Row],[PrimaryStorageType]]=laptop[[#This Row],[SecondaryStorageType]],laptop[[#This Row],[PrimaryStorageType]],"SSD &amp; HDD")</f>
        <v>SSD &amp; HDD</v>
      </c>
      <c r="Y281" s="1" t="s">
        <v>58</v>
      </c>
    </row>
    <row r="282" spans="1:25" x14ac:dyDescent="0.25">
      <c r="A282" s="1" t="s">
        <v>73</v>
      </c>
      <c r="B282" s="1" t="s">
        <v>271</v>
      </c>
      <c r="C282" s="1" t="s">
        <v>38</v>
      </c>
      <c r="D282">
        <v>17.3</v>
      </c>
      <c r="E282">
        <v>6</v>
      </c>
      <c r="F282" s="1" t="s">
        <v>48</v>
      </c>
      <c r="G282">
        <v>2.8</v>
      </c>
      <c r="H282">
        <v>859</v>
      </c>
      <c r="I282" s="1" t="s">
        <v>26</v>
      </c>
      <c r="J282">
        <v>1600</v>
      </c>
      <c r="K282">
        <v>900</v>
      </c>
      <c r="L282" s="1" t="s">
        <v>27</v>
      </c>
      <c r="M282" s="1" t="s">
        <v>27</v>
      </c>
      <c r="N282" s="1" t="s">
        <v>27</v>
      </c>
      <c r="O282" s="1" t="s">
        <v>29</v>
      </c>
      <c r="P282">
        <v>2.7</v>
      </c>
      <c r="Q282" s="1" t="s">
        <v>71</v>
      </c>
      <c r="R282" s="1" t="str">
        <f>_xlfn.CONCAT(laptop[[#This Row],[CPU_company]]," ",laptop[[#This Row],[CPU_model]])</f>
        <v>Intel Core i7 7500U</v>
      </c>
      <c r="S282">
        <v>128</v>
      </c>
      <c r="T282">
        <v>1024</v>
      </c>
      <c r="U282">
        <f>laptop[[#This Row],[PrimaryStorage]]+laptop[[#This Row],[SecondaryStorage]]</f>
        <v>1152</v>
      </c>
      <c r="V282" s="1" t="s">
        <v>31</v>
      </c>
      <c r="W282" s="1" t="s">
        <v>51</v>
      </c>
      <c r="X282" s="1" t="str">
        <f>IF(laptop[[#This Row],[PrimaryStorageType]]=laptop[[#This Row],[SecondaryStorageType]],laptop[[#This Row],[PrimaryStorageType]],"SSD &amp; HDD")</f>
        <v>SSD &amp; HDD</v>
      </c>
      <c r="Y282" s="1" t="s">
        <v>76</v>
      </c>
    </row>
    <row r="283" spans="1:25" x14ac:dyDescent="0.25">
      <c r="A283" s="1" t="s">
        <v>65</v>
      </c>
      <c r="B283" s="1" t="s">
        <v>66</v>
      </c>
      <c r="C283" s="1" t="s">
        <v>38</v>
      </c>
      <c r="D283">
        <v>15.6</v>
      </c>
      <c r="E283">
        <v>4</v>
      </c>
      <c r="F283" s="1" t="s">
        <v>111</v>
      </c>
      <c r="G283">
        <v>2.25</v>
      </c>
      <c r="H283">
        <v>428</v>
      </c>
      <c r="I283" s="1" t="s">
        <v>40</v>
      </c>
      <c r="J283">
        <v>1920</v>
      </c>
      <c r="K283">
        <v>1080</v>
      </c>
      <c r="L283" s="1" t="s">
        <v>27</v>
      </c>
      <c r="M283" s="1" t="s">
        <v>27</v>
      </c>
      <c r="N283" s="1" t="s">
        <v>27</v>
      </c>
      <c r="O283" s="1" t="s">
        <v>29</v>
      </c>
      <c r="P283">
        <v>2</v>
      </c>
      <c r="Q283" s="1" t="s">
        <v>62</v>
      </c>
      <c r="R283" s="1" t="str">
        <f>_xlfn.CONCAT(laptop[[#This Row],[CPU_company]]," ",laptop[[#This Row],[CPU_model]])</f>
        <v>Intel Core i3 6006U</v>
      </c>
      <c r="S283">
        <v>1024</v>
      </c>
      <c r="T283">
        <v>0</v>
      </c>
      <c r="U283">
        <f>laptop[[#This Row],[PrimaryStorage]]+laptop[[#This Row],[SecondaryStorage]]</f>
        <v>1024</v>
      </c>
      <c r="V283" s="1" t="s">
        <v>51</v>
      </c>
      <c r="W283" s="1" t="s">
        <v>27</v>
      </c>
      <c r="X283" s="1" t="str">
        <f>IF(laptop[[#This Row],[PrimaryStorageType]]=laptop[[#This Row],[SecondaryStorageType]],laptop[[#This Row],[PrimaryStorageType]],"SSD &amp; HDD")</f>
        <v>SSD &amp; HDD</v>
      </c>
      <c r="Y283" s="1" t="s">
        <v>67</v>
      </c>
    </row>
    <row r="284" spans="1:25" x14ac:dyDescent="0.25">
      <c r="A284" s="1" t="s">
        <v>73</v>
      </c>
      <c r="B284" s="1" t="s">
        <v>82</v>
      </c>
      <c r="C284" s="1" t="s">
        <v>83</v>
      </c>
      <c r="D284">
        <v>15.6</v>
      </c>
      <c r="E284">
        <v>8</v>
      </c>
      <c r="F284" s="1" t="s">
        <v>48</v>
      </c>
      <c r="G284">
        <v>2.5</v>
      </c>
      <c r="H284">
        <v>829</v>
      </c>
      <c r="I284" s="1" t="s">
        <v>40</v>
      </c>
      <c r="J284">
        <v>1920</v>
      </c>
      <c r="K284">
        <v>1080</v>
      </c>
      <c r="L284" s="1" t="s">
        <v>27</v>
      </c>
      <c r="M284" s="1" t="s">
        <v>28</v>
      </c>
      <c r="N284" s="1" t="s">
        <v>27</v>
      </c>
      <c r="O284" s="1" t="s">
        <v>29</v>
      </c>
      <c r="P284">
        <v>2.5</v>
      </c>
      <c r="Q284" s="1" t="s">
        <v>84</v>
      </c>
      <c r="R284" s="1" t="str">
        <f>_xlfn.CONCAT(laptop[[#This Row],[CPU_company]]," ",laptop[[#This Row],[CPU_model]])</f>
        <v>Intel Core i5 7300HQ</v>
      </c>
      <c r="S284">
        <v>256</v>
      </c>
      <c r="T284">
        <v>0</v>
      </c>
      <c r="U284">
        <f>laptop[[#This Row],[PrimaryStorage]]+laptop[[#This Row],[SecondaryStorage]]</f>
        <v>256</v>
      </c>
      <c r="V284" s="1" t="s">
        <v>31</v>
      </c>
      <c r="W284" s="1" t="s">
        <v>27</v>
      </c>
      <c r="X284" s="1" t="str">
        <f>IF(laptop[[#This Row],[PrimaryStorageType]]=laptop[[#This Row],[SecondaryStorageType]],laptop[[#This Row],[PrimaryStorageType]],"SSD &amp; HDD")</f>
        <v>SSD &amp; HDD</v>
      </c>
      <c r="Y284" s="1" t="s">
        <v>85</v>
      </c>
    </row>
    <row r="285" spans="1:25" x14ac:dyDescent="0.25">
      <c r="A285" s="1" t="s">
        <v>73</v>
      </c>
      <c r="B285" s="1" t="s">
        <v>312</v>
      </c>
      <c r="C285" s="1" t="s">
        <v>38</v>
      </c>
      <c r="D285">
        <v>15.6</v>
      </c>
      <c r="E285">
        <v>6</v>
      </c>
      <c r="F285" s="1" t="s">
        <v>48</v>
      </c>
      <c r="G285">
        <v>2.2000000000000002</v>
      </c>
      <c r="H285">
        <v>579</v>
      </c>
      <c r="I285" s="1" t="s">
        <v>40</v>
      </c>
      <c r="J285">
        <v>1920</v>
      </c>
      <c r="K285">
        <v>1080</v>
      </c>
      <c r="L285" s="1" t="s">
        <v>27</v>
      </c>
      <c r="M285" s="1" t="s">
        <v>27</v>
      </c>
      <c r="N285" s="1" t="s">
        <v>27</v>
      </c>
      <c r="O285" s="1" t="s">
        <v>29</v>
      </c>
      <c r="P285">
        <v>2.5</v>
      </c>
      <c r="Q285" s="1" t="s">
        <v>41</v>
      </c>
      <c r="R285" s="1" t="str">
        <f>_xlfn.CONCAT(laptop[[#This Row],[CPU_company]]," ",laptop[[#This Row],[CPU_model]])</f>
        <v>Intel Core i5 7200U</v>
      </c>
      <c r="S285">
        <v>256</v>
      </c>
      <c r="T285">
        <v>0</v>
      </c>
      <c r="U285">
        <f>laptop[[#This Row],[PrimaryStorage]]+laptop[[#This Row],[SecondaryStorage]]</f>
        <v>256</v>
      </c>
      <c r="V285" s="1" t="s">
        <v>31</v>
      </c>
      <c r="W285" s="1" t="s">
        <v>27</v>
      </c>
      <c r="X285" s="1" t="str">
        <f>IF(laptop[[#This Row],[PrimaryStorageType]]=laptop[[#This Row],[SecondaryStorageType]],laptop[[#This Row],[PrimaryStorageType]],"SSD &amp; HDD")</f>
        <v>SSD &amp; HDD</v>
      </c>
      <c r="Y285" s="1" t="s">
        <v>42</v>
      </c>
    </row>
    <row r="286" spans="1:25" x14ac:dyDescent="0.25">
      <c r="A286" s="1" t="s">
        <v>46</v>
      </c>
      <c r="B286" s="1" t="s">
        <v>234</v>
      </c>
      <c r="C286" s="1" t="s">
        <v>38</v>
      </c>
      <c r="D286">
        <v>15.6</v>
      </c>
      <c r="E286">
        <v>8</v>
      </c>
      <c r="F286" s="1" t="s">
        <v>48</v>
      </c>
      <c r="G286">
        <v>3</v>
      </c>
      <c r="H286">
        <v>951</v>
      </c>
      <c r="I286" s="1" t="s">
        <v>40</v>
      </c>
      <c r="J286">
        <v>1920</v>
      </c>
      <c r="K286">
        <v>1080</v>
      </c>
      <c r="L286" s="1" t="s">
        <v>27</v>
      </c>
      <c r="M286" s="1" t="s">
        <v>28</v>
      </c>
      <c r="N286" s="1" t="s">
        <v>27</v>
      </c>
      <c r="O286" s="1" t="s">
        <v>29</v>
      </c>
      <c r="P286">
        <v>1.8</v>
      </c>
      <c r="Q286" s="1" t="s">
        <v>57</v>
      </c>
      <c r="R286" s="1" t="str">
        <f>_xlfn.CONCAT(laptop[[#This Row],[CPU_company]]," ",laptop[[#This Row],[CPU_model]])</f>
        <v>Intel Core i7 8550U</v>
      </c>
      <c r="S286">
        <v>256</v>
      </c>
      <c r="T286">
        <v>0</v>
      </c>
      <c r="U286">
        <f>laptop[[#This Row],[PrimaryStorage]]+laptop[[#This Row],[SecondaryStorage]]</f>
        <v>256</v>
      </c>
      <c r="V286" s="1" t="s">
        <v>31</v>
      </c>
      <c r="W286" s="1" t="s">
        <v>27</v>
      </c>
      <c r="X286" s="1" t="str">
        <f>IF(laptop[[#This Row],[PrimaryStorageType]]=laptop[[#This Row],[SecondaryStorageType]],laptop[[#This Row],[PrimaryStorageType]],"SSD &amp; HDD")</f>
        <v>SSD &amp; HDD</v>
      </c>
      <c r="Y286" s="1" t="s">
        <v>58</v>
      </c>
    </row>
    <row r="287" spans="1:25" x14ac:dyDescent="0.25">
      <c r="A287" s="1" t="s">
        <v>46</v>
      </c>
      <c r="B287" s="1" t="s">
        <v>313</v>
      </c>
      <c r="C287" s="1" t="s">
        <v>38</v>
      </c>
      <c r="D287">
        <v>15.6</v>
      </c>
      <c r="E287">
        <v>12</v>
      </c>
      <c r="F287" s="1" t="s">
        <v>48</v>
      </c>
      <c r="G287">
        <v>2.15</v>
      </c>
      <c r="H287">
        <v>659</v>
      </c>
      <c r="I287" s="1" t="s">
        <v>40</v>
      </c>
      <c r="J287">
        <v>1920</v>
      </c>
      <c r="K287">
        <v>1080</v>
      </c>
      <c r="L287" s="1" t="s">
        <v>28</v>
      </c>
      <c r="M287" s="1" t="s">
        <v>28</v>
      </c>
      <c r="N287" s="1" t="s">
        <v>27</v>
      </c>
      <c r="O287" s="1" t="s">
        <v>29</v>
      </c>
      <c r="P287">
        <v>2.7</v>
      </c>
      <c r="Q287" s="1" t="s">
        <v>71</v>
      </c>
      <c r="R287" s="1" t="str">
        <f>_xlfn.CONCAT(laptop[[#This Row],[CPU_company]]," ",laptop[[#This Row],[CPU_model]])</f>
        <v>Intel Core i7 7500U</v>
      </c>
      <c r="S287">
        <v>1024</v>
      </c>
      <c r="T287">
        <v>0</v>
      </c>
      <c r="U287">
        <f>laptop[[#This Row],[PrimaryStorage]]+laptop[[#This Row],[SecondaryStorage]]</f>
        <v>1024</v>
      </c>
      <c r="V287" s="1" t="s">
        <v>51</v>
      </c>
      <c r="W287" s="1" t="s">
        <v>27</v>
      </c>
      <c r="X287" s="1" t="str">
        <f>IF(laptop[[#This Row],[PrimaryStorageType]]=laptop[[#This Row],[SecondaryStorageType]],laptop[[#This Row],[PrimaryStorageType]],"SSD &amp; HDD")</f>
        <v>SSD &amp; HDD</v>
      </c>
      <c r="Y287" s="1" t="s">
        <v>42</v>
      </c>
    </row>
    <row r="288" spans="1:25" x14ac:dyDescent="0.25">
      <c r="A288" s="1" t="s">
        <v>73</v>
      </c>
      <c r="B288" s="1" t="s">
        <v>314</v>
      </c>
      <c r="C288" s="1" t="s">
        <v>38</v>
      </c>
      <c r="D288">
        <v>15.6</v>
      </c>
      <c r="E288">
        <v>8</v>
      </c>
      <c r="F288" s="1" t="s">
        <v>48</v>
      </c>
      <c r="G288">
        <v>1.95</v>
      </c>
      <c r="H288">
        <v>1097</v>
      </c>
      <c r="I288" s="1" t="s">
        <v>40</v>
      </c>
      <c r="J288">
        <v>1920</v>
      </c>
      <c r="K288">
        <v>1080</v>
      </c>
      <c r="L288" s="1" t="s">
        <v>27</v>
      </c>
      <c r="M288" s="1" t="s">
        <v>28</v>
      </c>
      <c r="N288" s="1" t="s">
        <v>27</v>
      </c>
      <c r="O288" s="1" t="s">
        <v>29</v>
      </c>
      <c r="P288">
        <v>2.7</v>
      </c>
      <c r="Q288" s="1" t="s">
        <v>71</v>
      </c>
      <c r="R288" s="1" t="str">
        <f>_xlfn.CONCAT(laptop[[#This Row],[CPU_company]]," ",laptop[[#This Row],[CPU_model]])</f>
        <v>Intel Core i7 7500U</v>
      </c>
      <c r="S288">
        <v>256</v>
      </c>
      <c r="T288">
        <v>0</v>
      </c>
      <c r="U288">
        <f>laptop[[#This Row],[PrimaryStorage]]+laptop[[#This Row],[SecondaryStorage]]</f>
        <v>256</v>
      </c>
      <c r="V288" s="1" t="s">
        <v>31</v>
      </c>
      <c r="W288" s="1" t="s">
        <v>27</v>
      </c>
      <c r="X288" s="1" t="str">
        <f>IF(laptop[[#This Row],[PrimaryStorageType]]=laptop[[#This Row],[SecondaryStorageType]],laptop[[#This Row],[PrimaryStorageType]],"SSD &amp; HDD")</f>
        <v>SSD &amp; HDD</v>
      </c>
      <c r="Y288" s="1" t="s">
        <v>315</v>
      </c>
    </row>
    <row r="289" spans="1:25" x14ac:dyDescent="0.25">
      <c r="A289" s="1" t="s">
        <v>55</v>
      </c>
      <c r="B289" s="1" t="s">
        <v>188</v>
      </c>
      <c r="C289" s="1" t="s">
        <v>24</v>
      </c>
      <c r="D289">
        <v>15.6</v>
      </c>
      <c r="E289">
        <v>8</v>
      </c>
      <c r="F289" s="1" t="s">
        <v>48</v>
      </c>
      <c r="G289">
        <v>1.7</v>
      </c>
      <c r="H289">
        <v>977</v>
      </c>
      <c r="I289" s="1" t="s">
        <v>40</v>
      </c>
      <c r="J289">
        <v>1920</v>
      </c>
      <c r="K289">
        <v>1080</v>
      </c>
      <c r="L289" s="1" t="s">
        <v>27</v>
      </c>
      <c r="M289" s="1" t="s">
        <v>27</v>
      </c>
      <c r="N289" s="1" t="s">
        <v>27</v>
      </c>
      <c r="O289" s="1" t="s">
        <v>29</v>
      </c>
      <c r="P289">
        <v>2.5</v>
      </c>
      <c r="Q289" s="1" t="s">
        <v>41</v>
      </c>
      <c r="R289" s="1" t="str">
        <f>_xlfn.CONCAT(laptop[[#This Row],[CPU_company]]," ",laptop[[#This Row],[CPU_model]])</f>
        <v>Intel Core i5 7200U</v>
      </c>
      <c r="S289">
        <v>256</v>
      </c>
      <c r="T289">
        <v>0</v>
      </c>
      <c r="U289">
        <f>laptop[[#This Row],[PrimaryStorage]]+laptop[[#This Row],[SecondaryStorage]]</f>
        <v>256</v>
      </c>
      <c r="V289" s="1" t="s">
        <v>31</v>
      </c>
      <c r="W289" s="1" t="s">
        <v>27</v>
      </c>
      <c r="X289" s="1" t="str">
        <f>IF(laptop[[#This Row],[PrimaryStorageType]]=laptop[[#This Row],[SecondaryStorageType]],laptop[[#This Row],[PrimaryStorageType]],"SSD &amp; HDD")</f>
        <v>SSD &amp; HDD</v>
      </c>
      <c r="Y289" s="1" t="s">
        <v>76</v>
      </c>
    </row>
    <row r="290" spans="1:25" x14ac:dyDescent="0.25">
      <c r="A290" s="1" t="s">
        <v>73</v>
      </c>
      <c r="B290" s="1" t="s">
        <v>82</v>
      </c>
      <c r="C290" s="1" t="s">
        <v>83</v>
      </c>
      <c r="D290">
        <v>15.6</v>
      </c>
      <c r="E290">
        <v>16</v>
      </c>
      <c r="F290" s="1" t="s">
        <v>48</v>
      </c>
      <c r="G290">
        <v>2.5</v>
      </c>
      <c r="H290">
        <v>1179</v>
      </c>
      <c r="I290" s="1" t="s">
        <v>40</v>
      </c>
      <c r="J290">
        <v>1920</v>
      </c>
      <c r="K290">
        <v>1080</v>
      </c>
      <c r="L290" s="1" t="s">
        <v>27</v>
      </c>
      <c r="M290" s="1" t="s">
        <v>28</v>
      </c>
      <c r="N290" s="1" t="s">
        <v>27</v>
      </c>
      <c r="O290" s="1" t="s">
        <v>29</v>
      </c>
      <c r="P290">
        <v>2.8</v>
      </c>
      <c r="Q290" s="1" t="s">
        <v>118</v>
      </c>
      <c r="R290" s="1" t="str">
        <f>_xlfn.CONCAT(laptop[[#This Row],[CPU_company]]," ",laptop[[#This Row],[CPU_model]])</f>
        <v>Intel Core i7 7700HQ</v>
      </c>
      <c r="S290">
        <v>256</v>
      </c>
      <c r="T290">
        <v>1024</v>
      </c>
      <c r="U290">
        <f>laptop[[#This Row],[PrimaryStorage]]+laptop[[#This Row],[SecondaryStorage]]</f>
        <v>1280</v>
      </c>
      <c r="V290" s="1" t="s">
        <v>31</v>
      </c>
      <c r="W290" s="1" t="s">
        <v>51</v>
      </c>
      <c r="X290" s="1" t="str">
        <f>IF(laptop[[#This Row],[PrimaryStorageType]]=laptop[[#This Row],[SecondaryStorageType]],laptop[[#This Row],[PrimaryStorageType]],"SSD &amp; HDD")</f>
        <v>SSD &amp; HDD</v>
      </c>
      <c r="Y290" s="1" t="s">
        <v>149</v>
      </c>
    </row>
    <row r="291" spans="1:25" x14ac:dyDescent="0.25">
      <c r="A291" s="1" t="s">
        <v>73</v>
      </c>
      <c r="B291" s="1" t="s">
        <v>74</v>
      </c>
      <c r="C291" s="1" t="s">
        <v>38</v>
      </c>
      <c r="D291">
        <v>15.6</v>
      </c>
      <c r="E291">
        <v>8</v>
      </c>
      <c r="F291" s="1" t="s">
        <v>39</v>
      </c>
      <c r="G291">
        <v>2.2000000000000002</v>
      </c>
      <c r="H291">
        <v>659.01</v>
      </c>
      <c r="I291" s="1" t="s">
        <v>40</v>
      </c>
      <c r="J291">
        <v>1920</v>
      </c>
      <c r="K291">
        <v>1080</v>
      </c>
      <c r="L291" s="1" t="s">
        <v>27</v>
      </c>
      <c r="M291" s="1" t="s">
        <v>27</v>
      </c>
      <c r="N291" s="1" t="s">
        <v>27</v>
      </c>
      <c r="O291" s="1" t="s">
        <v>29</v>
      </c>
      <c r="P291">
        <v>2.7</v>
      </c>
      <c r="Q291" s="1" t="s">
        <v>71</v>
      </c>
      <c r="R291" s="1" t="str">
        <f>_xlfn.CONCAT(laptop[[#This Row],[CPU_company]]," ",laptop[[#This Row],[CPU_model]])</f>
        <v>Intel Core i7 7500U</v>
      </c>
      <c r="S291">
        <v>1024</v>
      </c>
      <c r="T291">
        <v>0</v>
      </c>
      <c r="U291">
        <f>laptop[[#This Row],[PrimaryStorage]]+laptop[[#This Row],[SecondaryStorage]]</f>
        <v>1024</v>
      </c>
      <c r="V291" s="1" t="s">
        <v>51</v>
      </c>
      <c r="W291" s="1" t="s">
        <v>27</v>
      </c>
      <c r="X291" s="1" t="str">
        <f>IF(laptop[[#This Row],[PrimaryStorageType]]=laptop[[#This Row],[SecondaryStorageType]],laptop[[#This Row],[PrimaryStorageType]],"SSD &amp; HDD")</f>
        <v>SSD &amp; HDD</v>
      </c>
      <c r="Y291" s="1" t="s">
        <v>76</v>
      </c>
    </row>
    <row r="292" spans="1:25" x14ac:dyDescent="0.25">
      <c r="A292" s="1" t="s">
        <v>46</v>
      </c>
      <c r="B292" s="1" t="s">
        <v>316</v>
      </c>
      <c r="C292" s="1" t="s">
        <v>38</v>
      </c>
      <c r="D292">
        <v>15.6</v>
      </c>
      <c r="E292">
        <v>2</v>
      </c>
      <c r="F292" s="1" t="s">
        <v>317</v>
      </c>
      <c r="G292">
        <v>2.19</v>
      </c>
      <c r="H292">
        <v>199</v>
      </c>
      <c r="I292" s="1" t="s">
        <v>26</v>
      </c>
      <c r="J292">
        <v>1366</v>
      </c>
      <c r="K292">
        <v>768</v>
      </c>
      <c r="L292" s="1" t="s">
        <v>27</v>
      </c>
      <c r="M292" s="1" t="s">
        <v>27</v>
      </c>
      <c r="N292" s="1" t="s">
        <v>27</v>
      </c>
      <c r="O292" s="1" t="s">
        <v>29</v>
      </c>
      <c r="P292">
        <v>1.5</v>
      </c>
      <c r="Q292" s="1" t="s">
        <v>318</v>
      </c>
      <c r="R292" s="1" t="str">
        <f>_xlfn.CONCAT(laptop[[#This Row],[CPU_company]]," ",laptop[[#This Row],[CPU_model]])</f>
        <v>Intel Celeron Dual Core 3205U</v>
      </c>
      <c r="S292">
        <v>16</v>
      </c>
      <c r="T292">
        <v>0</v>
      </c>
      <c r="U292">
        <f>laptop[[#This Row],[PrimaryStorage]]+laptop[[#This Row],[SecondaryStorage]]</f>
        <v>16</v>
      </c>
      <c r="V292" s="1" t="s">
        <v>31</v>
      </c>
      <c r="W292" s="1" t="s">
        <v>27</v>
      </c>
      <c r="X292" s="1" t="str">
        <f>IF(laptop[[#This Row],[PrimaryStorageType]]=laptop[[#This Row],[SecondaryStorageType]],laptop[[#This Row],[PrimaryStorageType]],"SSD &amp; HDD")</f>
        <v>SSD &amp; HDD</v>
      </c>
      <c r="Y292" s="1" t="s">
        <v>102</v>
      </c>
    </row>
    <row r="293" spans="1:25" x14ac:dyDescent="0.25">
      <c r="A293" s="1" t="s">
        <v>55</v>
      </c>
      <c r="B293" s="1" t="s">
        <v>319</v>
      </c>
      <c r="C293" s="1" t="s">
        <v>83</v>
      </c>
      <c r="D293">
        <v>17.3</v>
      </c>
      <c r="E293">
        <v>8</v>
      </c>
      <c r="F293" s="1" t="s">
        <v>48</v>
      </c>
      <c r="G293">
        <v>3</v>
      </c>
      <c r="H293">
        <v>1187</v>
      </c>
      <c r="I293" s="1" t="s">
        <v>40</v>
      </c>
      <c r="J293">
        <v>1920</v>
      </c>
      <c r="K293">
        <v>1080</v>
      </c>
      <c r="L293" s="1" t="s">
        <v>27</v>
      </c>
      <c r="M293" s="1" t="s">
        <v>27</v>
      </c>
      <c r="N293" s="1" t="s">
        <v>27</v>
      </c>
      <c r="O293" s="1" t="s">
        <v>29</v>
      </c>
      <c r="P293">
        <v>2.8</v>
      </c>
      <c r="Q293" s="1" t="s">
        <v>118</v>
      </c>
      <c r="R293" s="1" t="str">
        <f>_xlfn.CONCAT(laptop[[#This Row],[CPU_company]]," ",laptop[[#This Row],[CPU_model]])</f>
        <v>Intel Core i7 7700HQ</v>
      </c>
      <c r="S293">
        <v>1024</v>
      </c>
      <c r="T293">
        <v>0</v>
      </c>
      <c r="U293">
        <f>laptop[[#This Row],[PrimaryStorage]]+laptop[[#This Row],[SecondaryStorage]]</f>
        <v>1024</v>
      </c>
      <c r="V293" s="1" t="s">
        <v>51</v>
      </c>
      <c r="W293" s="1" t="s">
        <v>27</v>
      </c>
      <c r="X293" s="1" t="str">
        <f>IF(laptop[[#This Row],[PrimaryStorageType]]=laptop[[#This Row],[SecondaryStorageType]],laptop[[#This Row],[PrimaryStorageType]],"SSD &amp; HDD")</f>
        <v>SSD &amp; HDD</v>
      </c>
      <c r="Y293" s="1" t="s">
        <v>85</v>
      </c>
    </row>
    <row r="294" spans="1:25" x14ac:dyDescent="0.25">
      <c r="A294" s="1" t="s">
        <v>36</v>
      </c>
      <c r="B294" s="1" t="s">
        <v>320</v>
      </c>
      <c r="C294" s="1" t="s">
        <v>38</v>
      </c>
      <c r="D294">
        <v>17.3</v>
      </c>
      <c r="E294">
        <v>8</v>
      </c>
      <c r="F294" s="1" t="s">
        <v>48</v>
      </c>
      <c r="G294">
        <v>2.54</v>
      </c>
      <c r="H294">
        <v>489</v>
      </c>
      <c r="I294" s="1" t="s">
        <v>26</v>
      </c>
      <c r="J294">
        <v>1600</v>
      </c>
      <c r="K294">
        <v>900</v>
      </c>
      <c r="L294" s="1" t="s">
        <v>27</v>
      </c>
      <c r="M294" s="1" t="s">
        <v>27</v>
      </c>
      <c r="N294" s="1" t="s">
        <v>27</v>
      </c>
      <c r="O294" s="1" t="s">
        <v>29</v>
      </c>
      <c r="P294">
        <v>2</v>
      </c>
      <c r="Q294" s="1" t="s">
        <v>62</v>
      </c>
      <c r="R294" s="1" t="str">
        <f>_xlfn.CONCAT(laptop[[#This Row],[CPU_company]]," ",laptop[[#This Row],[CPU_model]])</f>
        <v>Intel Core i3 6006U</v>
      </c>
      <c r="S294">
        <v>1024</v>
      </c>
      <c r="T294">
        <v>0</v>
      </c>
      <c r="U294">
        <f>laptop[[#This Row],[PrimaryStorage]]+laptop[[#This Row],[SecondaryStorage]]</f>
        <v>1024</v>
      </c>
      <c r="V294" s="1" t="s">
        <v>51</v>
      </c>
      <c r="W294" s="1" t="s">
        <v>27</v>
      </c>
      <c r="X294" s="1" t="str">
        <f>IF(laptop[[#This Row],[PrimaryStorageType]]=laptop[[#This Row],[SecondaryStorageType]],laptop[[#This Row],[PrimaryStorageType]],"SSD &amp; HDD")</f>
        <v>SSD &amp; HDD</v>
      </c>
      <c r="Y294" s="1" t="s">
        <v>63</v>
      </c>
    </row>
    <row r="295" spans="1:25" x14ac:dyDescent="0.25">
      <c r="A295" s="1" t="s">
        <v>65</v>
      </c>
      <c r="B295" s="1" t="s">
        <v>249</v>
      </c>
      <c r="C295" s="1" t="s">
        <v>38</v>
      </c>
      <c r="D295">
        <v>15.6</v>
      </c>
      <c r="E295">
        <v>8</v>
      </c>
      <c r="F295" s="1" t="s">
        <v>48</v>
      </c>
      <c r="G295">
        <v>2</v>
      </c>
      <c r="H295">
        <v>1829</v>
      </c>
      <c r="I295" s="1" t="s">
        <v>40</v>
      </c>
      <c r="J295">
        <v>1920</v>
      </c>
      <c r="K295">
        <v>1080</v>
      </c>
      <c r="L295" s="1" t="s">
        <v>27</v>
      </c>
      <c r="M295" s="1" t="s">
        <v>27</v>
      </c>
      <c r="N295" s="1" t="s">
        <v>27</v>
      </c>
      <c r="O295" s="1" t="s">
        <v>29</v>
      </c>
      <c r="P295">
        <v>2.8</v>
      </c>
      <c r="Q295" s="1" t="s">
        <v>118</v>
      </c>
      <c r="R295" s="1" t="str">
        <f>_xlfn.CONCAT(laptop[[#This Row],[CPU_company]]," ",laptop[[#This Row],[CPU_model]])</f>
        <v>Intel Core i7 7700HQ</v>
      </c>
      <c r="S295">
        <v>256</v>
      </c>
      <c r="T295">
        <v>0</v>
      </c>
      <c r="U295">
        <f>laptop[[#This Row],[PrimaryStorage]]+laptop[[#This Row],[SecondaryStorage]]</f>
        <v>256</v>
      </c>
      <c r="V295" s="1" t="s">
        <v>31</v>
      </c>
      <c r="W295" s="1" t="s">
        <v>27</v>
      </c>
      <c r="X295" s="1" t="str">
        <f>IF(laptop[[#This Row],[PrimaryStorageType]]=laptop[[#This Row],[SecondaryStorageType]],laptop[[#This Row],[PrimaryStorageType]],"SSD &amp; HDD")</f>
        <v>SSD &amp; HDD</v>
      </c>
      <c r="Y295" s="1" t="s">
        <v>85</v>
      </c>
    </row>
    <row r="296" spans="1:25" x14ac:dyDescent="0.25">
      <c r="A296" s="1" t="s">
        <v>73</v>
      </c>
      <c r="B296" s="1" t="s">
        <v>321</v>
      </c>
      <c r="C296" s="1" t="s">
        <v>38</v>
      </c>
      <c r="D296">
        <v>15.6</v>
      </c>
      <c r="E296">
        <v>8</v>
      </c>
      <c r="F296" s="1" t="s">
        <v>48</v>
      </c>
      <c r="G296">
        <v>2.0499999999999998</v>
      </c>
      <c r="H296">
        <v>739</v>
      </c>
      <c r="I296" s="1" t="s">
        <v>40</v>
      </c>
      <c r="J296">
        <v>1920</v>
      </c>
      <c r="K296">
        <v>1080</v>
      </c>
      <c r="L296" s="1" t="s">
        <v>27</v>
      </c>
      <c r="M296" s="1" t="s">
        <v>27</v>
      </c>
      <c r="N296" s="1" t="s">
        <v>27</v>
      </c>
      <c r="O296" s="1" t="s">
        <v>29</v>
      </c>
      <c r="P296">
        <v>1.6</v>
      </c>
      <c r="Q296" s="1" t="s">
        <v>60</v>
      </c>
      <c r="R296" s="1" t="str">
        <f>_xlfn.CONCAT(laptop[[#This Row],[CPU_company]]," ",laptop[[#This Row],[CPU_model]])</f>
        <v>Intel Core i5 8250U</v>
      </c>
      <c r="S296">
        <v>256</v>
      </c>
      <c r="T296">
        <v>0</v>
      </c>
      <c r="U296">
        <f>laptop[[#This Row],[PrimaryStorage]]+laptop[[#This Row],[SecondaryStorage]]</f>
        <v>256</v>
      </c>
      <c r="V296" s="1" t="s">
        <v>31</v>
      </c>
      <c r="W296" s="1" t="s">
        <v>27</v>
      </c>
      <c r="X296" s="1" t="str">
        <f>IF(laptop[[#This Row],[PrimaryStorageType]]=laptop[[#This Row],[SecondaryStorageType]],laptop[[#This Row],[PrimaryStorageType]],"SSD &amp; HDD")</f>
        <v>SSD &amp; HDD</v>
      </c>
      <c r="Y296" s="1" t="s">
        <v>61</v>
      </c>
    </row>
    <row r="297" spans="1:25" x14ac:dyDescent="0.25">
      <c r="A297" s="1" t="s">
        <v>73</v>
      </c>
      <c r="B297" s="1" t="s">
        <v>263</v>
      </c>
      <c r="C297" s="1" t="s">
        <v>83</v>
      </c>
      <c r="D297">
        <v>15.6</v>
      </c>
      <c r="E297">
        <v>8</v>
      </c>
      <c r="F297" s="1" t="s">
        <v>48</v>
      </c>
      <c r="G297">
        <v>3.2</v>
      </c>
      <c r="H297">
        <v>1299</v>
      </c>
      <c r="I297" s="1" t="s">
        <v>40</v>
      </c>
      <c r="J297">
        <v>1920</v>
      </c>
      <c r="K297">
        <v>1080</v>
      </c>
      <c r="L297" s="1" t="s">
        <v>27</v>
      </c>
      <c r="M297" s="1" t="s">
        <v>28</v>
      </c>
      <c r="N297" s="1" t="s">
        <v>27</v>
      </c>
      <c r="O297" s="1" t="s">
        <v>29</v>
      </c>
      <c r="P297">
        <v>2.8</v>
      </c>
      <c r="Q297" s="1" t="s">
        <v>118</v>
      </c>
      <c r="R297" s="1" t="str">
        <f>_xlfn.CONCAT(laptop[[#This Row],[CPU_company]]," ",laptop[[#This Row],[CPU_model]])</f>
        <v>Intel Core i7 7700HQ</v>
      </c>
      <c r="S297">
        <v>1024</v>
      </c>
      <c r="T297">
        <v>0</v>
      </c>
      <c r="U297">
        <f>laptop[[#This Row],[PrimaryStorage]]+laptop[[#This Row],[SecondaryStorage]]</f>
        <v>1024</v>
      </c>
      <c r="V297" s="1" t="s">
        <v>51</v>
      </c>
      <c r="W297" s="1" t="s">
        <v>27</v>
      </c>
      <c r="X297" s="1" t="str">
        <f>IF(laptop[[#This Row],[PrimaryStorageType]]=laptop[[#This Row],[SecondaryStorageType]],laptop[[#This Row],[PrimaryStorageType]],"SSD &amp; HDD")</f>
        <v>SSD &amp; HDD</v>
      </c>
      <c r="Y297" s="1" t="s">
        <v>119</v>
      </c>
    </row>
    <row r="298" spans="1:25" x14ac:dyDescent="0.25">
      <c r="A298" s="1" t="s">
        <v>46</v>
      </c>
      <c r="B298" s="1" t="s">
        <v>322</v>
      </c>
      <c r="C298" s="1" t="s">
        <v>38</v>
      </c>
      <c r="D298">
        <v>15.6</v>
      </c>
      <c r="E298">
        <v>8</v>
      </c>
      <c r="F298" s="1" t="s">
        <v>111</v>
      </c>
      <c r="G298">
        <v>2.5</v>
      </c>
      <c r="H298">
        <v>979</v>
      </c>
      <c r="I298" s="1" t="s">
        <v>40</v>
      </c>
      <c r="J298">
        <v>1920</v>
      </c>
      <c r="K298">
        <v>1080</v>
      </c>
      <c r="L298" s="1" t="s">
        <v>27</v>
      </c>
      <c r="M298" s="1" t="s">
        <v>27</v>
      </c>
      <c r="N298" s="1" t="s">
        <v>27</v>
      </c>
      <c r="O298" s="1" t="s">
        <v>29</v>
      </c>
      <c r="P298">
        <v>2.8</v>
      </c>
      <c r="Q298" s="1" t="s">
        <v>118</v>
      </c>
      <c r="R298" s="1" t="str">
        <f>_xlfn.CONCAT(laptop[[#This Row],[CPU_company]]," ",laptop[[#This Row],[CPU_model]])</f>
        <v>Intel Core i7 7700HQ</v>
      </c>
      <c r="S298">
        <v>256</v>
      </c>
      <c r="T298">
        <v>0</v>
      </c>
      <c r="U298">
        <f>laptop[[#This Row],[PrimaryStorage]]+laptop[[#This Row],[SecondaryStorage]]</f>
        <v>256</v>
      </c>
      <c r="V298" s="1" t="s">
        <v>31</v>
      </c>
      <c r="W298" s="1" t="s">
        <v>27</v>
      </c>
      <c r="X298" s="1" t="str">
        <f>IF(laptop[[#This Row],[PrimaryStorageType]]=laptop[[#This Row],[SecondaryStorageType]],laptop[[#This Row],[PrimaryStorageType]],"SSD &amp; HDD")</f>
        <v>SSD &amp; HDD</v>
      </c>
      <c r="Y298" s="1" t="s">
        <v>149</v>
      </c>
    </row>
    <row r="299" spans="1:25" x14ac:dyDescent="0.25">
      <c r="A299" s="1" t="s">
        <v>65</v>
      </c>
      <c r="B299" s="1" t="s">
        <v>323</v>
      </c>
      <c r="C299" s="1" t="s">
        <v>265</v>
      </c>
      <c r="D299">
        <v>17.3</v>
      </c>
      <c r="E299">
        <v>16</v>
      </c>
      <c r="F299" s="1" t="s">
        <v>48</v>
      </c>
      <c r="G299">
        <v>3.42</v>
      </c>
      <c r="H299">
        <v>2884.86</v>
      </c>
      <c r="I299" s="1" t="s">
        <v>40</v>
      </c>
      <c r="J299">
        <v>1920</v>
      </c>
      <c r="K299">
        <v>1080</v>
      </c>
      <c r="L299" s="1" t="s">
        <v>27</v>
      </c>
      <c r="M299" s="1" t="s">
        <v>27</v>
      </c>
      <c r="N299" s="1" t="s">
        <v>27</v>
      </c>
      <c r="O299" s="1" t="s">
        <v>29</v>
      </c>
      <c r="P299">
        <v>2.9</v>
      </c>
      <c r="Q299" s="1" t="s">
        <v>324</v>
      </c>
      <c r="R299" s="1" t="str">
        <f>_xlfn.CONCAT(laptop[[#This Row],[CPU_company]]," ",laptop[[#This Row],[CPU_model]])</f>
        <v>Intel Core i7 7820HQ</v>
      </c>
      <c r="S299">
        <v>256</v>
      </c>
      <c r="T299">
        <v>0</v>
      </c>
      <c r="U299">
        <f>laptop[[#This Row],[PrimaryStorage]]+laptop[[#This Row],[SecondaryStorage]]</f>
        <v>256</v>
      </c>
      <c r="V299" s="1" t="s">
        <v>31</v>
      </c>
      <c r="W299" s="1" t="s">
        <v>27</v>
      </c>
      <c r="X299" s="1" t="str">
        <f>IF(laptop[[#This Row],[PrimaryStorageType]]=laptop[[#This Row],[SecondaryStorageType]],laptop[[#This Row],[PrimaryStorageType]],"SSD &amp; HDD")</f>
        <v>SSD &amp; HDD</v>
      </c>
      <c r="Y299" s="1" t="s">
        <v>267</v>
      </c>
    </row>
    <row r="300" spans="1:25" x14ac:dyDescent="0.25">
      <c r="A300" s="1" t="s">
        <v>73</v>
      </c>
      <c r="B300" s="1" t="s">
        <v>325</v>
      </c>
      <c r="C300" s="1" t="s">
        <v>38</v>
      </c>
      <c r="D300">
        <v>15.6</v>
      </c>
      <c r="E300">
        <v>6</v>
      </c>
      <c r="F300" s="1" t="s">
        <v>48</v>
      </c>
      <c r="G300">
        <v>2.4</v>
      </c>
      <c r="H300">
        <v>499</v>
      </c>
      <c r="I300" s="1" t="s">
        <v>40</v>
      </c>
      <c r="J300">
        <v>1920</v>
      </c>
      <c r="K300">
        <v>1080</v>
      </c>
      <c r="L300" s="1" t="s">
        <v>27</v>
      </c>
      <c r="M300" s="1" t="s">
        <v>27</v>
      </c>
      <c r="N300" s="1" t="s">
        <v>27</v>
      </c>
      <c r="O300" s="1" t="s">
        <v>49</v>
      </c>
      <c r="P300">
        <v>2.4</v>
      </c>
      <c r="Q300" s="1" t="s">
        <v>326</v>
      </c>
      <c r="R300" s="1" t="str">
        <f>_xlfn.CONCAT(laptop[[#This Row],[CPU_company]]," ",laptop[[#This Row],[CPU_model]])</f>
        <v>AMD A10-Series 9600P</v>
      </c>
      <c r="S300">
        <v>1024</v>
      </c>
      <c r="T300">
        <v>0</v>
      </c>
      <c r="U300">
        <f>laptop[[#This Row],[PrimaryStorage]]+laptop[[#This Row],[SecondaryStorage]]</f>
        <v>1024</v>
      </c>
      <c r="V300" s="1" t="s">
        <v>51</v>
      </c>
      <c r="W300" s="1" t="s">
        <v>27</v>
      </c>
      <c r="X300" s="1" t="str">
        <f>IF(laptop[[#This Row],[PrimaryStorageType]]=laptop[[#This Row],[SecondaryStorageType]],laptop[[#This Row],[PrimaryStorageType]],"SSD &amp; HDD")</f>
        <v>SSD &amp; HDD</v>
      </c>
      <c r="Y300" s="1" t="s">
        <v>327</v>
      </c>
    </row>
    <row r="301" spans="1:25" x14ac:dyDescent="0.25">
      <c r="A301" s="1" t="s">
        <v>55</v>
      </c>
      <c r="B301" s="1" t="s">
        <v>328</v>
      </c>
      <c r="C301" s="1" t="s">
        <v>24</v>
      </c>
      <c r="D301">
        <v>15.6</v>
      </c>
      <c r="E301">
        <v>16</v>
      </c>
      <c r="F301" s="1" t="s">
        <v>48</v>
      </c>
      <c r="G301">
        <v>1.63</v>
      </c>
      <c r="H301">
        <v>1468</v>
      </c>
      <c r="I301" s="1" t="s">
        <v>40</v>
      </c>
      <c r="J301">
        <v>1920</v>
      </c>
      <c r="K301">
        <v>1080</v>
      </c>
      <c r="L301" s="1" t="s">
        <v>27</v>
      </c>
      <c r="M301" s="1" t="s">
        <v>27</v>
      </c>
      <c r="N301" s="1" t="s">
        <v>27</v>
      </c>
      <c r="O301" s="1" t="s">
        <v>29</v>
      </c>
      <c r="P301">
        <v>2.7</v>
      </c>
      <c r="Q301" s="1" t="s">
        <v>71</v>
      </c>
      <c r="R301" s="1" t="str">
        <f>_xlfn.CONCAT(laptop[[#This Row],[CPU_company]]," ",laptop[[#This Row],[CPU_model]])</f>
        <v>Intel Core i7 7500U</v>
      </c>
      <c r="S301">
        <v>512</v>
      </c>
      <c r="T301">
        <v>0</v>
      </c>
      <c r="U301">
        <f>laptop[[#This Row],[PrimaryStorage]]+laptop[[#This Row],[SecondaryStorage]]</f>
        <v>512</v>
      </c>
      <c r="V301" s="1" t="s">
        <v>31</v>
      </c>
      <c r="W301" s="1" t="s">
        <v>27</v>
      </c>
      <c r="X301" s="1" t="str">
        <f>IF(laptop[[#This Row],[PrimaryStorageType]]=laptop[[#This Row],[SecondaryStorageType]],laptop[[#This Row],[PrimaryStorageType]],"SSD &amp; HDD")</f>
        <v>SSD &amp; HDD</v>
      </c>
      <c r="Y301" s="1" t="s">
        <v>76</v>
      </c>
    </row>
    <row r="302" spans="1:25" x14ac:dyDescent="0.25">
      <c r="A302" s="1" t="s">
        <v>55</v>
      </c>
      <c r="B302" s="1" t="s">
        <v>329</v>
      </c>
      <c r="C302" s="1" t="s">
        <v>38</v>
      </c>
      <c r="D302">
        <v>14</v>
      </c>
      <c r="E302">
        <v>4</v>
      </c>
      <c r="F302" s="1" t="s">
        <v>48</v>
      </c>
      <c r="G302">
        <v>1.3</v>
      </c>
      <c r="H302">
        <v>509</v>
      </c>
      <c r="I302" s="1" t="s">
        <v>26</v>
      </c>
      <c r="J302">
        <v>1366</v>
      </c>
      <c r="K302">
        <v>768</v>
      </c>
      <c r="L302" s="1" t="s">
        <v>27</v>
      </c>
      <c r="M302" s="1" t="s">
        <v>27</v>
      </c>
      <c r="N302" s="1" t="s">
        <v>27</v>
      </c>
      <c r="O302" s="1" t="s">
        <v>29</v>
      </c>
      <c r="P302">
        <v>2.4</v>
      </c>
      <c r="Q302" s="1" t="s">
        <v>75</v>
      </c>
      <c r="R302" s="1" t="str">
        <f>_xlfn.CONCAT(laptop[[#This Row],[CPU_company]]," ",laptop[[#This Row],[CPU_model]])</f>
        <v>Intel Core i3 7100U</v>
      </c>
      <c r="S302">
        <v>128</v>
      </c>
      <c r="T302">
        <v>0</v>
      </c>
      <c r="U302">
        <f>laptop[[#This Row],[PrimaryStorage]]+laptop[[#This Row],[SecondaryStorage]]</f>
        <v>128</v>
      </c>
      <c r="V302" s="1" t="s">
        <v>31</v>
      </c>
      <c r="W302" s="1" t="s">
        <v>27</v>
      </c>
      <c r="X302" s="1" t="str">
        <f>IF(laptop[[#This Row],[PrimaryStorageType]]=laptop[[#This Row],[SecondaryStorageType]],laptop[[#This Row],[PrimaryStorageType]],"SSD &amp; HDD")</f>
        <v>SSD &amp; HDD</v>
      </c>
      <c r="Y302" s="1" t="s">
        <v>42</v>
      </c>
    </row>
    <row r="303" spans="1:25" x14ac:dyDescent="0.25">
      <c r="A303" s="1" t="s">
        <v>55</v>
      </c>
      <c r="B303" s="1" t="s">
        <v>330</v>
      </c>
      <c r="C303" s="1" t="s">
        <v>83</v>
      </c>
      <c r="D303">
        <v>17.3</v>
      </c>
      <c r="E303">
        <v>16</v>
      </c>
      <c r="F303" s="1" t="s">
        <v>48</v>
      </c>
      <c r="G303">
        <v>2.9</v>
      </c>
      <c r="H303">
        <v>2122</v>
      </c>
      <c r="I303" s="1" t="s">
        <v>40</v>
      </c>
      <c r="J303">
        <v>1920</v>
      </c>
      <c r="K303">
        <v>1080</v>
      </c>
      <c r="L303" s="1" t="s">
        <v>27</v>
      </c>
      <c r="M303" s="1" t="s">
        <v>27</v>
      </c>
      <c r="N303" s="1" t="s">
        <v>27</v>
      </c>
      <c r="O303" s="1" t="s">
        <v>29</v>
      </c>
      <c r="P303">
        <v>2.8</v>
      </c>
      <c r="Q303" s="1" t="s">
        <v>118</v>
      </c>
      <c r="R303" s="1" t="str">
        <f>_xlfn.CONCAT(laptop[[#This Row],[CPU_company]]," ",laptop[[#This Row],[CPU_model]])</f>
        <v>Intel Core i7 7700HQ</v>
      </c>
      <c r="S303">
        <v>256</v>
      </c>
      <c r="T303">
        <v>1024</v>
      </c>
      <c r="U303">
        <f>laptop[[#This Row],[PrimaryStorage]]+laptop[[#This Row],[SecondaryStorage]]</f>
        <v>1280</v>
      </c>
      <c r="V303" s="1" t="s">
        <v>31</v>
      </c>
      <c r="W303" s="1" t="s">
        <v>51</v>
      </c>
      <c r="X303" s="1" t="str">
        <f>IF(laptop[[#This Row],[PrimaryStorageType]]=laptop[[#This Row],[SecondaryStorageType]],laptop[[#This Row],[PrimaryStorageType]],"SSD &amp; HDD")</f>
        <v>SSD &amp; HDD</v>
      </c>
      <c r="Y303" s="1" t="s">
        <v>143</v>
      </c>
    </row>
    <row r="304" spans="1:25" x14ac:dyDescent="0.25">
      <c r="A304" s="1" t="s">
        <v>73</v>
      </c>
      <c r="B304" s="1" t="s">
        <v>271</v>
      </c>
      <c r="C304" s="1" t="s">
        <v>38</v>
      </c>
      <c r="D304">
        <v>17.3</v>
      </c>
      <c r="E304">
        <v>6</v>
      </c>
      <c r="F304" s="1" t="s">
        <v>48</v>
      </c>
      <c r="G304">
        <v>2.8</v>
      </c>
      <c r="H304">
        <v>649</v>
      </c>
      <c r="I304" s="1" t="s">
        <v>26</v>
      </c>
      <c r="J304">
        <v>1600</v>
      </c>
      <c r="K304">
        <v>900</v>
      </c>
      <c r="L304" s="1" t="s">
        <v>27</v>
      </c>
      <c r="M304" s="1" t="s">
        <v>27</v>
      </c>
      <c r="N304" s="1" t="s">
        <v>27</v>
      </c>
      <c r="O304" s="1" t="s">
        <v>29</v>
      </c>
      <c r="P304">
        <v>2.5</v>
      </c>
      <c r="Q304" s="1" t="s">
        <v>41</v>
      </c>
      <c r="R304" s="1" t="str">
        <f>_xlfn.CONCAT(laptop[[#This Row],[CPU_company]]," ",laptop[[#This Row],[CPU_model]])</f>
        <v>Intel Core i5 7200U</v>
      </c>
      <c r="S304">
        <v>1024</v>
      </c>
      <c r="T304">
        <v>0</v>
      </c>
      <c r="U304">
        <f>laptop[[#This Row],[PrimaryStorage]]+laptop[[#This Row],[SecondaryStorage]]</f>
        <v>1024</v>
      </c>
      <c r="V304" s="1" t="s">
        <v>51</v>
      </c>
      <c r="W304" s="1" t="s">
        <v>27</v>
      </c>
      <c r="X304" s="1" t="str">
        <f>IF(laptop[[#This Row],[PrimaryStorageType]]=laptop[[#This Row],[SecondaryStorageType]],laptop[[#This Row],[PrimaryStorageType]],"SSD &amp; HDD")</f>
        <v>SSD &amp; HDD</v>
      </c>
      <c r="Y304" s="1" t="s">
        <v>331</v>
      </c>
    </row>
    <row r="305" spans="1:25" x14ac:dyDescent="0.25">
      <c r="A305" s="1" t="s">
        <v>73</v>
      </c>
      <c r="B305" s="1" t="s">
        <v>161</v>
      </c>
      <c r="C305" s="1" t="s">
        <v>38</v>
      </c>
      <c r="D305">
        <v>15.6</v>
      </c>
      <c r="E305">
        <v>8</v>
      </c>
      <c r="F305" s="1" t="s">
        <v>39</v>
      </c>
      <c r="G305">
        <v>2.2000000000000002</v>
      </c>
      <c r="H305">
        <v>549</v>
      </c>
      <c r="I305" s="1" t="s">
        <v>26</v>
      </c>
      <c r="J305">
        <v>1366</v>
      </c>
      <c r="K305">
        <v>768</v>
      </c>
      <c r="L305" s="1" t="s">
        <v>27</v>
      </c>
      <c r="M305" s="1" t="s">
        <v>27</v>
      </c>
      <c r="N305" s="1" t="s">
        <v>27</v>
      </c>
      <c r="O305" s="1" t="s">
        <v>29</v>
      </c>
      <c r="P305">
        <v>2.5</v>
      </c>
      <c r="Q305" s="1" t="s">
        <v>41</v>
      </c>
      <c r="R305" s="1" t="str">
        <f>_xlfn.CONCAT(laptop[[#This Row],[CPU_company]]," ",laptop[[#This Row],[CPU_model]])</f>
        <v>Intel Core i5 7200U</v>
      </c>
      <c r="S305">
        <v>2048</v>
      </c>
      <c r="T305">
        <v>0</v>
      </c>
      <c r="U305">
        <f>laptop[[#This Row],[PrimaryStorage]]+laptop[[#This Row],[SecondaryStorage]]</f>
        <v>2048</v>
      </c>
      <c r="V305" s="1" t="s">
        <v>51</v>
      </c>
      <c r="W305" s="1" t="s">
        <v>27</v>
      </c>
      <c r="X305" s="1" t="str">
        <f>IF(laptop[[#This Row],[PrimaryStorageType]]=laptop[[#This Row],[SecondaryStorageType]],laptop[[#This Row],[PrimaryStorageType]],"SSD &amp; HDD")</f>
        <v>SSD &amp; HDD</v>
      </c>
      <c r="Y305" s="1" t="s">
        <v>76</v>
      </c>
    </row>
    <row r="306" spans="1:25" x14ac:dyDescent="0.25">
      <c r="A306" s="1" t="s">
        <v>55</v>
      </c>
      <c r="B306" s="1" t="s">
        <v>332</v>
      </c>
      <c r="C306" s="1" t="s">
        <v>83</v>
      </c>
      <c r="D306">
        <v>15.6</v>
      </c>
      <c r="E306">
        <v>8</v>
      </c>
      <c r="F306" s="1" t="s">
        <v>48</v>
      </c>
      <c r="G306">
        <v>2.5</v>
      </c>
      <c r="H306">
        <v>1265</v>
      </c>
      <c r="I306" s="1" t="s">
        <v>40</v>
      </c>
      <c r="J306">
        <v>1920</v>
      </c>
      <c r="K306">
        <v>1080</v>
      </c>
      <c r="L306" s="1" t="s">
        <v>27</v>
      </c>
      <c r="M306" s="1" t="s">
        <v>27</v>
      </c>
      <c r="N306" s="1" t="s">
        <v>27</v>
      </c>
      <c r="O306" s="1" t="s">
        <v>29</v>
      </c>
      <c r="P306">
        <v>2.8</v>
      </c>
      <c r="Q306" s="1" t="s">
        <v>118</v>
      </c>
      <c r="R306" s="1" t="str">
        <f>_xlfn.CONCAT(laptop[[#This Row],[CPU_company]]," ",laptop[[#This Row],[CPU_model]])</f>
        <v>Intel Core i7 7700HQ</v>
      </c>
      <c r="S306">
        <v>128</v>
      </c>
      <c r="T306">
        <v>1024</v>
      </c>
      <c r="U306">
        <f>laptop[[#This Row],[PrimaryStorage]]+laptop[[#This Row],[SecondaryStorage]]</f>
        <v>1152</v>
      </c>
      <c r="V306" s="1" t="s">
        <v>31</v>
      </c>
      <c r="W306" s="1" t="s">
        <v>51</v>
      </c>
      <c r="X306" s="1" t="str">
        <f>IF(laptop[[#This Row],[PrimaryStorageType]]=laptop[[#This Row],[SecondaryStorageType]],laptop[[#This Row],[PrimaryStorageType]],"SSD &amp; HDD")</f>
        <v>SSD &amp; HDD</v>
      </c>
      <c r="Y306" s="1" t="s">
        <v>149</v>
      </c>
    </row>
    <row r="307" spans="1:25" x14ac:dyDescent="0.25">
      <c r="A307" s="1" t="s">
        <v>73</v>
      </c>
      <c r="B307" s="1" t="s">
        <v>333</v>
      </c>
      <c r="C307" s="1" t="s">
        <v>38</v>
      </c>
      <c r="D307">
        <v>15.6</v>
      </c>
      <c r="E307">
        <v>4</v>
      </c>
      <c r="F307" s="1" t="s">
        <v>39</v>
      </c>
      <c r="G307">
        <v>2.2000000000000002</v>
      </c>
      <c r="H307">
        <v>359.99</v>
      </c>
      <c r="I307" s="1" t="s">
        <v>26</v>
      </c>
      <c r="J307">
        <v>1366</v>
      </c>
      <c r="K307">
        <v>768</v>
      </c>
      <c r="L307" s="1" t="s">
        <v>27</v>
      </c>
      <c r="M307" s="1" t="s">
        <v>27</v>
      </c>
      <c r="N307" s="1" t="s">
        <v>27</v>
      </c>
      <c r="O307" s="1" t="s">
        <v>29</v>
      </c>
      <c r="P307">
        <v>1.1000000000000001</v>
      </c>
      <c r="Q307" s="1" t="s">
        <v>130</v>
      </c>
      <c r="R307" s="1" t="str">
        <f>_xlfn.CONCAT(laptop[[#This Row],[CPU_company]]," ",laptop[[#This Row],[CPU_model]])</f>
        <v>Intel Pentium Quad Core N4200</v>
      </c>
      <c r="S307">
        <v>1024</v>
      </c>
      <c r="T307">
        <v>0</v>
      </c>
      <c r="U307">
        <f>laptop[[#This Row],[PrimaryStorage]]+laptop[[#This Row],[SecondaryStorage]]</f>
        <v>1024</v>
      </c>
      <c r="V307" s="1" t="s">
        <v>51</v>
      </c>
      <c r="W307" s="1" t="s">
        <v>27</v>
      </c>
      <c r="X307" s="1" t="str">
        <f>IF(laptop[[#This Row],[PrimaryStorageType]]=laptop[[#This Row],[SecondaryStorageType]],laptop[[#This Row],[PrimaryStorageType]],"SSD &amp; HDD")</f>
        <v>SSD &amp; HDD</v>
      </c>
      <c r="Y307" s="1" t="s">
        <v>237</v>
      </c>
    </row>
    <row r="308" spans="1:25" x14ac:dyDescent="0.25">
      <c r="A308" s="1" t="s">
        <v>36</v>
      </c>
      <c r="B308" s="1" t="s">
        <v>334</v>
      </c>
      <c r="C308" s="1" t="s">
        <v>90</v>
      </c>
      <c r="D308">
        <v>13.3</v>
      </c>
      <c r="E308">
        <v>16</v>
      </c>
      <c r="F308" s="1" t="s">
        <v>48</v>
      </c>
      <c r="G308">
        <v>1.28</v>
      </c>
      <c r="H308">
        <v>1975</v>
      </c>
      <c r="I308" s="1" t="s">
        <v>40</v>
      </c>
      <c r="J308">
        <v>1920</v>
      </c>
      <c r="K308">
        <v>1080</v>
      </c>
      <c r="L308" s="1" t="s">
        <v>28</v>
      </c>
      <c r="M308" s="1" t="s">
        <v>27</v>
      </c>
      <c r="N308" s="1" t="s">
        <v>27</v>
      </c>
      <c r="O308" s="1" t="s">
        <v>29</v>
      </c>
      <c r="P308">
        <v>2.8</v>
      </c>
      <c r="Q308" s="1" t="s">
        <v>335</v>
      </c>
      <c r="R308" s="1" t="str">
        <f>_xlfn.CONCAT(laptop[[#This Row],[CPU_company]]," ",laptop[[#This Row],[CPU_model]])</f>
        <v>Intel Core i7 7600U</v>
      </c>
      <c r="S308">
        <v>256</v>
      </c>
      <c r="T308">
        <v>0</v>
      </c>
      <c r="U308">
        <f>laptop[[#This Row],[PrimaryStorage]]+laptop[[#This Row],[SecondaryStorage]]</f>
        <v>256</v>
      </c>
      <c r="V308" s="1" t="s">
        <v>31</v>
      </c>
      <c r="W308" s="1" t="s">
        <v>27</v>
      </c>
      <c r="X308" s="1" t="str">
        <f>IF(laptop[[#This Row],[PrimaryStorageType]]=laptop[[#This Row],[SecondaryStorageType]],laptop[[#This Row],[PrimaryStorageType]],"SSD &amp; HDD")</f>
        <v>SSD &amp; HDD</v>
      </c>
      <c r="Y308" s="1" t="s">
        <v>42</v>
      </c>
    </row>
    <row r="309" spans="1:25" x14ac:dyDescent="0.25">
      <c r="A309" s="1" t="s">
        <v>210</v>
      </c>
      <c r="B309" s="1" t="s">
        <v>211</v>
      </c>
      <c r="C309" s="1" t="s">
        <v>38</v>
      </c>
      <c r="D309">
        <v>15.6</v>
      </c>
      <c r="E309">
        <v>8</v>
      </c>
      <c r="F309" s="1" t="s">
        <v>48</v>
      </c>
      <c r="G309">
        <v>2.2000000000000002</v>
      </c>
      <c r="H309">
        <v>1043</v>
      </c>
      <c r="I309" s="1" t="s">
        <v>40</v>
      </c>
      <c r="J309">
        <v>1920</v>
      </c>
      <c r="K309">
        <v>1080</v>
      </c>
      <c r="L309" s="1" t="s">
        <v>27</v>
      </c>
      <c r="M309" s="1" t="s">
        <v>28</v>
      </c>
      <c r="N309" s="1" t="s">
        <v>27</v>
      </c>
      <c r="O309" s="1" t="s">
        <v>29</v>
      </c>
      <c r="P309">
        <v>2.5</v>
      </c>
      <c r="Q309" s="1" t="s">
        <v>274</v>
      </c>
      <c r="R309" s="1" t="str">
        <f>_xlfn.CONCAT(laptop[[#This Row],[CPU_company]]," ",laptop[[#This Row],[CPU_model]])</f>
        <v>Intel Core i7 6500U</v>
      </c>
      <c r="S309">
        <v>256</v>
      </c>
      <c r="T309">
        <v>0</v>
      </c>
      <c r="U309">
        <f>laptop[[#This Row],[PrimaryStorage]]+laptop[[#This Row],[SecondaryStorage]]</f>
        <v>256</v>
      </c>
      <c r="V309" s="1" t="s">
        <v>31</v>
      </c>
      <c r="W309" s="1" t="s">
        <v>27</v>
      </c>
      <c r="X309" s="1" t="str">
        <f>IF(laptop[[#This Row],[PrimaryStorageType]]=laptop[[#This Row],[SecondaryStorageType]],laptop[[#This Row],[PrimaryStorageType]],"SSD &amp; HDD")</f>
        <v>SSD &amp; HDD</v>
      </c>
      <c r="Y309" s="1" t="s">
        <v>310</v>
      </c>
    </row>
    <row r="310" spans="1:25" x14ac:dyDescent="0.25">
      <c r="A310" s="1" t="s">
        <v>73</v>
      </c>
      <c r="B310" s="1" t="s">
        <v>74</v>
      </c>
      <c r="C310" s="1" t="s">
        <v>38</v>
      </c>
      <c r="D310">
        <v>15.6</v>
      </c>
      <c r="E310">
        <v>8</v>
      </c>
      <c r="F310" s="1" t="s">
        <v>48</v>
      </c>
      <c r="G310">
        <v>2.2999999999999998</v>
      </c>
      <c r="H310">
        <v>819</v>
      </c>
      <c r="I310" s="1" t="s">
        <v>40</v>
      </c>
      <c r="J310">
        <v>1920</v>
      </c>
      <c r="K310">
        <v>1080</v>
      </c>
      <c r="L310" s="1" t="s">
        <v>27</v>
      </c>
      <c r="M310" s="1" t="s">
        <v>27</v>
      </c>
      <c r="N310" s="1" t="s">
        <v>27</v>
      </c>
      <c r="O310" s="1" t="s">
        <v>29</v>
      </c>
      <c r="P310">
        <v>2.5</v>
      </c>
      <c r="Q310" s="1" t="s">
        <v>41</v>
      </c>
      <c r="R310" s="1" t="str">
        <f>_xlfn.CONCAT(laptop[[#This Row],[CPU_company]]," ",laptop[[#This Row],[CPU_model]])</f>
        <v>Intel Core i5 7200U</v>
      </c>
      <c r="S310">
        <v>128</v>
      </c>
      <c r="T310">
        <v>1024</v>
      </c>
      <c r="U310">
        <f>laptop[[#This Row],[PrimaryStorage]]+laptop[[#This Row],[SecondaryStorage]]</f>
        <v>1152</v>
      </c>
      <c r="V310" s="1" t="s">
        <v>31</v>
      </c>
      <c r="W310" s="1" t="s">
        <v>51</v>
      </c>
      <c r="X310" s="1" t="str">
        <f>IF(laptop[[#This Row],[PrimaryStorageType]]=laptop[[#This Row],[SecondaryStorageType]],laptop[[#This Row],[PrimaryStorageType]],"SSD &amp; HDD")</f>
        <v>SSD &amp; HDD</v>
      </c>
      <c r="Y310" s="1" t="s">
        <v>76</v>
      </c>
    </row>
    <row r="311" spans="1:25" x14ac:dyDescent="0.25">
      <c r="A311" s="1" t="s">
        <v>36</v>
      </c>
      <c r="B311" s="1" t="s">
        <v>37</v>
      </c>
      <c r="C311" s="1" t="s">
        <v>38</v>
      </c>
      <c r="D311">
        <v>15.6</v>
      </c>
      <c r="E311">
        <v>4</v>
      </c>
      <c r="F311" s="1" t="s">
        <v>48</v>
      </c>
      <c r="G311">
        <v>1.86</v>
      </c>
      <c r="H311">
        <v>469</v>
      </c>
      <c r="I311" s="1" t="s">
        <v>40</v>
      </c>
      <c r="J311">
        <v>1920</v>
      </c>
      <c r="K311">
        <v>1080</v>
      </c>
      <c r="L311" s="1" t="s">
        <v>27</v>
      </c>
      <c r="M311" s="1" t="s">
        <v>27</v>
      </c>
      <c r="N311" s="1" t="s">
        <v>27</v>
      </c>
      <c r="O311" s="1" t="s">
        <v>29</v>
      </c>
      <c r="P311">
        <v>2</v>
      </c>
      <c r="Q311" s="1" t="s">
        <v>62</v>
      </c>
      <c r="R311" s="1" t="str">
        <f>_xlfn.CONCAT(laptop[[#This Row],[CPU_company]]," ",laptop[[#This Row],[CPU_model]])</f>
        <v>Intel Core i3 6006U</v>
      </c>
      <c r="S311">
        <v>1024</v>
      </c>
      <c r="T311">
        <v>0</v>
      </c>
      <c r="U311">
        <f>laptop[[#This Row],[PrimaryStorage]]+laptop[[#This Row],[SecondaryStorage]]</f>
        <v>1024</v>
      </c>
      <c r="V311" s="1" t="s">
        <v>51</v>
      </c>
      <c r="W311" s="1" t="s">
        <v>27</v>
      </c>
      <c r="X311" s="1" t="str">
        <f>IF(laptop[[#This Row],[PrimaryStorageType]]=laptop[[#This Row],[SecondaryStorageType]],laptop[[#This Row],[PrimaryStorageType]],"SSD &amp; HDD")</f>
        <v>SSD &amp; HDD</v>
      </c>
      <c r="Y311" s="1" t="s">
        <v>63</v>
      </c>
    </row>
    <row r="312" spans="1:25" x14ac:dyDescent="0.25">
      <c r="A312" s="1" t="s">
        <v>73</v>
      </c>
      <c r="B312" s="1" t="s">
        <v>336</v>
      </c>
      <c r="C312" s="1" t="s">
        <v>38</v>
      </c>
      <c r="D312">
        <v>13.3</v>
      </c>
      <c r="E312">
        <v>8</v>
      </c>
      <c r="F312" s="1" t="s">
        <v>48</v>
      </c>
      <c r="G312">
        <v>1.1000000000000001</v>
      </c>
      <c r="H312">
        <v>999</v>
      </c>
      <c r="I312" s="1" t="s">
        <v>40</v>
      </c>
      <c r="J312">
        <v>1920</v>
      </c>
      <c r="K312">
        <v>1080</v>
      </c>
      <c r="L312" s="1" t="s">
        <v>27</v>
      </c>
      <c r="M312" s="1" t="s">
        <v>28</v>
      </c>
      <c r="N312" s="1" t="s">
        <v>27</v>
      </c>
      <c r="O312" s="1" t="s">
        <v>29</v>
      </c>
      <c r="P312">
        <v>2.5</v>
      </c>
      <c r="Q312" s="1" t="s">
        <v>41</v>
      </c>
      <c r="R312" s="1" t="str">
        <f>_xlfn.CONCAT(laptop[[#This Row],[CPU_company]]," ",laptop[[#This Row],[CPU_model]])</f>
        <v>Intel Core i5 7200U</v>
      </c>
      <c r="S312">
        <v>256</v>
      </c>
      <c r="T312">
        <v>0</v>
      </c>
      <c r="U312">
        <f>laptop[[#This Row],[PrimaryStorage]]+laptop[[#This Row],[SecondaryStorage]]</f>
        <v>256</v>
      </c>
      <c r="V312" s="1" t="s">
        <v>31</v>
      </c>
      <c r="W312" s="1" t="s">
        <v>27</v>
      </c>
      <c r="X312" s="1" t="str">
        <f>IF(laptop[[#This Row],[PrimaryStorageType]]=laptop[[#This Row],[SecondaryStorageType]],laptop[[#This Row],[PrimaryStorageType]],"SSD &amp; HDD")</f>
        <v>SSD &amp; HDD</v>
      </c>
      <c r="Y312" s="1" t="s">
        <v>42</v>
      </c>
    </row>
    <row r="313" spans="1:25" x14ac:dyDescent="0.25">
      <c r="A313" s="1" t="s">
        <v>65</v>
      </c>
      <c r="B313" s="1" t="s">
        <v>77</v>
      </c>
      <c r="C313" s="1" t="s">
        <v>24</v>
      </c>
      <c r="D313">
        <v>13.3</v>
      </c>
      <c r="E313">
        <v>16</v>
      </c>
      <c r="F313" s="1" t="s">
        <v>48</v>
      </c>
      <c r="G313">
        <v>1.21</v>
      </c>
      <c r="H313">
        <v>2499</v>
      </c>
      <c r="I313" s="1" t="s">
        <v>215</v>
      </c>
      <c r="J313">
        <v>3840</v>
      </c>
      <c r="K313">
        <v>2160</v>
      </c>
      <c r="L313" s="1" t="s">
        <v>28</v>
      </c>
      <c r="M313" s="1" t="s">
        <v>28</v>
      </c>
      <c r="N313" s="1" t="s">
        <v>27</v>
      </c>
      <c r="O313" s="1" t="s">
        <v>29</v>
      </c>
      <c r="P313">
        <v>1.8</v>
      </c>
      <c r="Q313" s="1" t="s">
        <v>57</v>
      </c>
      <c r="R313" s="1" t="str">
        <f>_xlfn.CONCAT(laptop[[#This Row],[CPU_company]]," ",laptop[[#This Row],[CPU_model]])</f>
        <v>Intel Core i7 8550U</v>
      </c>
      <c r="S313">
        <v>1024</v>
      </c>
      <c r="T313">
        <v>0</v>
      </c>
      <c r="U313">
        <f>laptop[[#This Row],[PrimaryStorage]]+laptop[[#This Row],[SecondaryStorage]]</f>
        <v>1024</v>
      </c>
      <c r="V313" s="1" t="s">
        <v>31</v>
      </c>
      <c r="W313" s="1" t="s">
        <v>27</v>
      </c>
      <c r="X313" s="1" t="str">
        <f>IF(laptop[[#This Row],[PrimaryStorageType]]=laptop[[#This Row],[SecondaryStorageType]],laptop[[#This Row],[PrimaryStorageType]],"SSD &amp; HDD")</f>
        <v>SSD &amp; HDD</v>
      </c>
      <c r="Y313" s="1" t="s">
        <v>61</v>
      </c>
    </row>
    <row r="314" spans="1:25" x14ac:dyDescent="0.25">
      <c r="A314" s="1" t="s">
        <v>141</v>
      </c>
      <c r="B314" s="1" t="s">
        <v>337</v>
      </c>
      <c r="C314" s="1" t="s">
        <v>83</v>
      </c>
      <c r="D314">
        <v>15.6</v>
      </c>
      <c r="E314">
        <v>16</v>
      </c>
      <c r="F314" s="1" t="s">
        <v>48</v>
      </c>
      <c r="G314">
        <v>2.8</v>
      </c>
      <c r="H314">
        <v>2099</v>
      </c>
      <c r="I314" s="1" t="s">
        <v>40</v>
      </c>
      <c r="J314">
        <v>1920</v>
      </c>
      <c r="K314">
        <v>1080</v>
      </c>
      <c r="L314" s="1" t="s">
        <v>27</v>
      </c>
      <c r="M314" s="1" t="s">
        <v>28</v>
      </c>
      <c r="N314" s="1" t="s">
        <v>27</v>
      </c>
      <c r="O314" s="1" t="s">
        <v>29</v>
      </c>
      <c r="P314">
        <v>2.8</v>
      </c>
      <c r="Q314" s="1" t="s">
        <v>118</v>
      </c>
      <c r="R314" s="1" t="str">
        <f>_xlfn.CONCAT(laptop[[#This Row],[CPU_company]]," ",laptop[[#This Row],[CPU_model]])</f>
        <v>Intel Core i7 7700HQ</v>
      </c>
      <c r="S314">
        <v>256</v>
      </c>
      <c r="T314">
        <v>1024</v>
      </c>
      <c r="U314">
        <f>laptop[[#This Row],[PrimaryStorage]]+laptop[[#This Row],[SecondaryStorage]]</f>
        <v>1280</v>
      </c>
      <c r="V314" s="1" t="s">
        <v>31</v>
      </c>
      <c r="W314" s="1" t="s">
        <v>51</v>
      </c>
      <c r="X314" s="1" t="str">
        <f>IF(laptop[[#This Row],[PrimaryStorageType]]=laptop[[#This Row],[SecondaryStorageType]],laptop[[#This Row],[PrimaryStorageType]],"SSD &amp; HDD")</f>
        <v>SSD &amp; HDD</v>
      </c>
      <c r="Y314" s="1" t="s">
        <v>143</v>
      </c>
    </row>
    <row r="315" spans="1:25" x14ac:dyDescent="0.25">
      <c r="A315" s="1" t="s">
        <v>46</v>
      </c>
      <c r="B315" s="1" t="s">
        <v>338</v>
      </c>
      <c r="C315" s="1" t="s">
        <v>38</v>
      </c>
      <c r="D315">
        <v>15.6</v>
      </c>
      <c r="E315">
        <v>8</v>
      </c>
      <c r="F315" s="1" t="s">
        <v>48</v>
      </c>
      <c r="G315">
        <v>2.23</v>
      </c>
      <c r="H315">
        <v>469</v>
      </c>
      <c r="I315" s="1" t="s">
        <v>40</v>
      </c>
      <c r="J315">
        <v>1920</v>
      </c>
      <c r="K315">
        <v>1080</v>
      </c>
      <c r="L315" s="1" t="s">
        <v>27</v>
      </c>
      <c r="M315" s="1" t="s">
        <v>27</v>
      </c>
      <c r="N315" s="1" t="s">
        <v>27</v>
      </c>
      <c r="O315" s="1" t="s">
        <v>49</v>
      </c>
      <c r="P315">
        <v>2.2000000000000002</v>
      </c>
      <c r="Q315" s="1" t="s">
        <v>339</v>
      </c>
      <c r="R315" s="1" t="str">
        <f>_xlfn.CONCAT(laptop[[#This Row],[CPU_company]]," ",laptop[[#This Row],[CPU_model]])</f>
        <v>AMD A8-Series 7410</v>
      </c>
      <c r="S315">
        <v>256</v>
      </c>
      <c r="T315">
        <v>0</v>
      </c>
      <c r="U315">
        <f>laptop[[#This Row],[PrimaryStorage]]+laptop[[#This Row],[SecondaryStorage]]</f>
        <v>256</v>
      </c>
      <c r="V315" s="1" t="s">
        <v>31</v>
      </c>
      <c r="W315" s="1" t="s">
        <v>27</v>
      </c>
      <c r="X315" s="1" t="str">
        <f>IF(laptop[[#This Row],[PrimaryStorageType]]=laptop[[#This Row],[SecondaryStorageType]],laptop[[#This Row],[PrimaryStorageType]],"SSD &amp; HDD")</f>
        <v>SSD &amp; HDD</v>
      </c>
      <c r="Y315" s="1" t="s">
        <v>52</v>
      </c>
    </row>
    <row r="316" spans="1:25" x14ac:dyDescent="0.25">
      <c r="A316" s="1" t="s">
        <v>55</v>
      </c>
      <c r="B316" s="1" t="s">
        <v>340</v>
      </c>
      <c r="C316" s="1" t="s">
        <v>90</v>
      </c>
      <c r="D316">
        <v>11.6</v>
      </c>
      <c r="E316">
        <v>2</v>
      </c>
      <c r="F316" s="1" t="s">
        <v>48</v>
      </c>
      <c r="G316">
        <v>1.1000000000000001</v>
      </c>
      <c r="H316">
        <v>275</v>
      </c>
      <c r="I316" s="1" t="s">
        <v>26</v>
      </c>
      <c r="J316">
        <v>1366</v>
      </c>
      <c r="K316">
        <v>768</v>
      </c>
      <c r="L316" s="1" t="s">
        <v>28</v>
      </c>
      <c r="M316" s="1" t="s">
        <v>27</v>
      </c>
      <c r="N316" s="1" t="s">
        <v>27</v>
      </c>
      <c r="O316" s="1" t="s">
        <v>29</v>
      </c>
      <c r="P316">
        <v>1.1000000000000001</v>
      </c>
      <c r="Q316" s="1" t="s">
        <v>109</v>
      </c>
      <c r="R316" s="1" t="str">
        <f>_xlfn.CONCAT(laptop[[#This Row],[CPU_company]]," ",laptop[[#This Row],[CPU_model]])</f>
        <v>Intel Celeron Dual Core N3350</v>
      </c>
      <c r="S316">
        <v>32</v>
      </c>
      <c r="T316">
        <v>0</v>
      </c>
      <c r="U316">
        <f>laptop[[#This Row],[PrimaryStorage]]+laptop[[#This Row],[SecondaryStorage]]</f>
        <v>32</v>
      </c>
      <c r="V316" s="1" t="s">
        <v>34</v>
      </c>
      <c r="W316" s="1" t="s">
        <v>27</v>
      </c>
      <c r="X316" s="1" t="str">
        <f>IF(laptop[[#This Row],[PrimaryStorageType]]=laptop[[#This Row],[SecondaryStorageType]],laptop[[#This Row],[PrimaryStorageType]],"SSD &amp; HDD")</f>
        <v>SSD &amp; HDD</v>
      </c>
      <c r="Y316" s="1" t="s">
        <v>110</v>
      </c>
    </row>
    <row r="317" spans="1:25" x14ac:dyDescent="0.25">
      <c r="A317" s="1" t="s">
        <v>65</v>
      </c>
      <c r="B317" s="1" t="s">
        <v>93</v>
      </c>
      <c r="C317" s="1" t="s">
        <v>38</v>
      </c>
      <c r="D317">
        <v>15.6</v>
      </c>
      <c r="E317">
        <v>8</v>
      </c>
      <c r="F317" s="1" t="s">
        <v>48</v>
      </c>
      <c r="G317">
        <v>2.33</v>
      </c>
      <c r="H317">
        <v>844</v>
      </c>
      <c r="I317" s="1" t="s">
        <v>40</v>
      </c>
      <c r="J317">
        <v>1920</v>
      </c>
      <c r="K317">
        <v>1080</v>
      </c>
      <c r="L317" s="1" t="s">
        <v>27</v>
      </c>
      <c r="M317" s="1" t="s">
        <v>27</v>
      </c>
      <c r="N317" s="1" t="s">
        <v>27</v>
      </c>
      <c r="O317" s="1" t="s">
        <v>29</v>
      </c>
      <c r="P317">
        <v>1.6</v>
      </c>
      <c r="Q317" s="1" t="s">
        <v>60</v>
      </c>
      <c r="R317" s="1" t="str">
        <f>_xlfn.CONCAT(laptop[[#This Row],[CPU_company]]," ",laptop[[#This Row],[CPU_model]])</f>
        <v>Intel Core i5 8250U</v>
      </c>
      <c r="S317">
        <v>128</v>
      </c>
      <c r="T317">
        <v>1024</v>
      </c>
      <c r="U317">
        <f>laptop[[#This Row],[PrimaryStorage]]+laptop[[#This Row],[SecondaryStorage]]</f>
        <v>1152</v>
      </c>
      <c r="V317" s="1" t="s">
        <v>31</v>
      </c>
      <c r="W317" s="1" t="s">
        <v>51</v>
      </c>
      <c r="X317" s="1" t="str">
        <f>IF(laptop[[#This Row],[PrimaryStorageType]]=laptop[[#This Row],[SecondaryStorageType]],laptop[[#This Row],[PrimaryStorageType]],"SSD &amp; HDD")</f>
        <v>SSD &amp; HDD</v>
      </c>
      <c r="Y317" s="1" t="s">
        <v>94</v>
      </c>
    </row>
    <row r="318" spans="1:25" x14ac:dyDescent="0.25">
      <c r="A318" s="1" t="s">
        <v>36</v>
      </c>
      <c r="B318" s="1" t="s">
        <v>192</v>
      </c>
      <c r="C318" s="1" t="s">
        <v>90</v>
      </c>
      <c r="D318">
        <v>13.3</v>
      </c>
      <c r="E318">
        <v>16</v>
      </c>
      <c r="F318" s="1" t="s">
        <v>48</v>
      </c>
      <c r="G318">
        <v>1.29</v>
      </c>
      <c r="H318">
        <v>2449</v>
      </c>
      <c r="I318" s="1" t="s">
        <v>215</v>
      </c>
      <c r="J318">
        <v>3840</v>
      </c>
      <c r="K318">
        <v>2160</v>
      </c>
      <c r="L318" s="1" t="s">
        <v>28</v>
      </c>
      <c r="M318" s="1" t="s">
        <v>28</v>
      </c>
      <c r="N318" s="1" t="s">
        <v>27</v>
      </c>
      <c r="O318" s="1" t="s">
        <v>29</v>
      </c>
      <c r="P318">
        <v>1.8</v>
      </c>
      <c r="Q318" s="1" t="s">
        <v>57</v>
      </c>
      <c r="R318" s="1" t="str">
        <f>_xlfn.CONCAT(laptop[[#This Row],[CPU_company]]," ",laptop[[#This Row],[CPU_model]])</f>
        <v>Intel Core i7 8550U</v>
      </c>
      <c r="S318">
        <v>1024</v>
      </c>
      <c r="T318">
        <v>0</v>
      </c>
      <c r="U318">
        <f>laptop[[#This Row],[PrimaryStorage]]+laptop[[#This Row],[SecondaryStorage]]</f>
        <v>1024</v>
      </c>
      <c r="V318" s="1" t="s">
        <v>31</v>
      </c>
      <c r="W318" s="1" t="s">
        <v>27</v>
      </c>
      <c r="X318" s="1" t="str">
        <f>IF(laptop[[#This Row],[PrimaryStorageType]]=laptop[[#This Row],[SecondaryStorageType]],laptop[[#This Row],[PrimaryStorageType]],"SSD &amp; HDD")</f>
        <v>SSD &amp; HDD</v>
      </c>
      <c r="Y318" s="1" t="s">
        <v>61</v>
      </c>
    </row>
    <row r="319" spans="1:25" x14ac:dyDescent="0.25">
      <c r="A319" s="1" t="s">
        <v>73</v>
      </c>
      <c r="B319" s="1" t="s">
        <v>341</v>
      </c>
      <c r="C319" s="1" t="s">
        <v>38</v>
      </c>
      <c r="D319">
        <v>13.3</v>
      </c>
      <c r="E319">
        <v>4</v>
      </c>
      <c r="F319" s="1" t="s">
        <v>317</v>
      </c>
      <c r="G319">
        <v>1.45</v>
      </c>
      <c r="H319">
        <v>459.9</v>
      </c>
      <c r="I319" s="1" t="s">
        <v>26</v>
      </c>
      <c r="J319">
        <v>1366</v>
      </c>
      <c r="K319">
        <v>768</v>
      </c>
      <c r="L319" s="1" t="s">
        <v>27</v>
      </c>
      <c r="M319" s="1" t="s">
        <v>27</v>
      </c>
      <c r="N319" s="1" t="s">
        <v>27</v>
      </c>
      <c r="O319" s="1" t="s">
        <v>29</v>
      </c>
      <c r="P319">
        <v>1.6</v>
      </c>
      <c r="Q319" s="1" t="s">
        <v>342</v>
      </c>
      <c r="R319" s="1" t="str">
        <f>_xlfn.CONCAT(laptop[[#This Row],[CPU_company]]," ",laptop[[#This Row],[CPU_model]])</f>
        <v>Intel Celeron Dual Core 3855U</v>
      </c>
      <c r="S319">
        <v>16</v>
      </c>
      <c r="T319">
        <v>0</v>
      </c>
      <c r="U319">
        <f>laptop[[#This Row],[PrimaryStorage]]+laptop[[#This Row],[SecondaryStorage]]</f>
        <v>16</v>
      </c>
      <c r="V319" s="1" t="s">
        <v>34</v>
      </c>
      <c r="W319" s="1" t="s">
        <v>27</v>
      </c>
      <c r="X319" s="1" t="str">
        <f>IF(laptop[[#This Row],[PrimaryStorageType]]=laptop[[#This Row],[SecondaryStorageType]],laptop[[#This Row],[PrimaryStorageType]],"SSD &amp; HDD")</f>
        <v>SSD &amp; HDD</v>
      </c>
      <c r="Y319" s="1" t="s">
        <v>343</v>
      </c>
    </row>
    <row r="320" spans="1:25" x14ac:dyDescent="0.25">
      <c r="A320" s="1" t="s">
        <v>36</v>
      </c>
      <c r="B320" s="1" t="s">
        <v>344</v>
      </c>
      <c r="C320" s="1" t="s">
        <v>38</v>
      </c>
      <c r="D320">
        <v>14</v>
      </c>
      <c r="E320">
        <v>8</v>
      </c>
      <c r="F320" s="1" t="s">
        <v>48</v>
      </c>
      <c r="G320">
        <v>1.95</v>
      </c>
      <c r="H320">
        <v>980</v>
      </c>
      <c r="I320" s="1" t="s">
        <v>40</v>
      </c>
      <c r="J320">
        <v>1920</v>
      </c>
      <c r="K320">
        <v>1080</v>
      </c>
      <c r="L320" s="1" t="s">
        <v>27</v>
      </c>
      <c r="M320" s="1" t="s">
        <v>27</v>
      </c>
      <c r="N320" s="1" t="s">
        <v>27</v>
      </c>
      <c r="O320" s="1" t="s">
        <v>29</v>
      </c>
      <c r="P320">
        <v>2.5</v>
      </c>
      <c r="Q320" s="1" t="s">
        <v>41</v>
      </c>
      <c r="R320" s="1" t="str">
        <f>_xlfn.CONCAT(laptop[[#This Row],[CPU_company]]," ",laptop[[#This Row],[CPU_model]])</f>
        <v>Intel Core i5 7200U</v>
      </c>
      <c r="S320">
        <v>256</v>
      </c>
      <c r="T320">
        <v>0</v>
      </c>
      <c r="U320">
        <f>laptop[[#This Row],[PrimaryStorage]]+laptop[[#This Row],[SecondaryStorage]]</f>
        <v>256</v>
      </c>
      <c r="V320" s="1" t="s">
        <v>31</v>
      </c>
      <c r="W320" s="1" t="s">
        <v>27</v>
      </c>
      <c r="X320" s="1" t="str">
        <f>IF(laptop[[#This Row],[PrimaryStorageType]]=laptop[[#This Row],[SecondaryStorageType]],laptop[[#This Row],[PrimaryStorageType]],"SSD &amp; HDD")</f>
        <v>SSD &amp; HDD</v>
      </c>
      <c r="Y320" s="1" t="s">
        <v>42</v>
      </c>
    </row>
    <row r="321" spans="1:25" x14ac:dyDescent="0.25">
      <c r="A321" s="1" t="s">
        <v>46</v>
      </c>
      <c r="B321" s="1" t="s">
        <v>345</v>
      </c>
      <c r="C321" s="1" t="s">
        <v>38</v>
      </c>
      <c r="D321">
        <v>11.6</v>
      </c>
      <c r="E321">
        <v>4</v>
      </c>
      <c r="F321" s="1" t="s">
        <v>48</v>
      </c>
      <c r="G321">
        <v>1.4</v>
      </c>
      <c r="H321">
        <v>485</v>
      </c>
      <c r="I321" s="1" t="s">
        <v>26</v>
      </c>
      <c r="J321">
        <v>1366</v>
      </c>
      <c r="K321">
        <v>768</v>
      </c>
      <c r="L321" s="1" t="s">
        <v>27</v>
      </c>
      <c r="M321" s="1" t="s">
        <v>27</v>
      </c>
      <c r="N321" s="1" t="s">
        <v>27</v>
      </c>
      <c r="O321" s="1" t="s">
        <v>29</v>
      </c>
      <c r="P321">
        <v>1.6</v>
      </c>
      <c r="Q321" s="1" t="s">
        <v>346</v>
      </c>
      <c r="R321" s="1" t="str">
        <f>_xlfn.CONCAT(laptop[[#This Row],[CPU_company]]," ",laptop[[#This Row],[CPU_model]])</f>
        <v>Intel Pentium Quad Core N3710</v>
      </c>
      <c r="S321">
        <v>128</v>
      </c>
      <c r="T321">
        <v>0</v>
      </c>
      <c r="U321">
        <f>laptop[[#This Row],[PrimaryStorage]]+laptop[[#This Row],[SecondaryStorage]]</f>
        <v>128</v>
      </c>
      <c r="V321" s="1" t="s">
        <v>34</v>
      </c>
      <c r="W321" s="1" t="s">
        <v>27</v>
      </c>
      <c r="X321" s="1" t="str">
        <f>IF(laptop[[#This Row],[PrimaryStorageType]]=laptop[[#This Row],[SecondaryStorageType]],laptop[[#This Row],[PrimaryStorageType]],"SSD &amp; HDD")</f>
        <v>SSD &amp; HDD</v>
      </c>
      <c r="Y321" s="1" t="s">
        <v>347</v>
      </c>
    </row>
    <row r="322" spans="1:25" x14ac:dyDescent="0.25">
      <c r="A322" s="1" t="s">
        <v>36</v>
      </c>
      <c r="B322" s="1" t="s">
        <v>348</v>
      </c>
      <c r="C322" s="1" t="s">
        <v>38</v>
      </c>
      <c r="D322">
        <v>14</v>
      </c>
      <c r="E322">
        <v>8</v>
      </c>
      <c r="F322" s="1" t="s">
        <v>48</v>
      </c>
      <c r="G322">
        <v>1.48</v>
      </c>
      <c r="H322">
        <v>1292</v>
      </c>
      <c r="I322" s="1" t="s">
        <v>40</v>
      </c>
      <c r="J322">
        <v>1920</v>
      </c>
      <c r="K322">
        <v>1080</v>
      </c>
      <c r="L322" s="1" t="s">
        <v>27</v>
      </c>
      <c r="M322" s="1" t="s">
        <v>27</v>
      </c>
      <c r="N322" s="1" t="s">
        <v>27</v>
      </c>
      <c r="O322" s="1" t="s">
        <v>29</v>
      </c>
      <c r="P322">
        <v>2.7</v>
      </c>
      <c r="Q322" s="1" t="s">
        <v>71</v>
      </c>
      <c r="R322" s="1" t="str">
        <f>_xlfn.CONCAT(laptop[[#This Row],[CPU_company]]," ",laptop[[#This Row],[CPU_model]])</f>
        <v>Intel Core i7 7500U</v>
      </c>
      <c r="S322">
        <v>256</v>
      </c>
      <c r="T322">
        <v>0</v>
      </c>
      <c r="U322">
        <f>laptop[[#This Row],[PrimaryStorage]]+laptop[[#This Row],[SecondaryStorage]]</f>
        <v>256</v>
      </c>
      <c r="V322" s="1" t="s">
        <v>31</v>
      </c>
      <c r="W322" s="1" t="s">
        <v>27</v>
      </c>
      <c r="X322" s="1" t="str">
        <f>IF(laptop[[#This Row],[PrimaryStorageType]]=laptop[[#This Row],[SecondaryStorageType]],laptop[[#This Row],[PrimaryStorageType]],"SSD &amp; HDD")</f>
        <v>SSD &amp; HDD</v>
      </c>
      <c r="Y322" s="1" t="s">
        <v>42</v>
      </c>
    </row>
    <row r="323" spans="1:25" x14ac:dyDescent="0.25">
      <c r="A323" s="1" t="s">
        <v>73</v>
      </c>
      <c r="B323" s="1" t="s">
        <v>271</v>
      </c>
      <c r="C323" s="1" t="s">
        <v>38</v>
      </c>
      <c r="D323">
        <v>17.3</v>
      </c>
      <c r="E323">
        <v>4</v>
      </c>
      <c r="F323" s="1" t="s">
        <v>48</v>
      </c>
      <c r="G323">
        <v>2.79</v>
      </c>
      <c r="H323">
        <v>589</v>
      </c>
      <c r="I323" s="1" t="s">
        <v>26</v>
      </c>
      <c r="J323">
        <v>1600</v>
      </c>
      <c r="K323">
        <v>900</v>
      </c>
      <c r="L323" s="1" t="s">
        <v>27</v>
      </c>
      <c r="M323" s="1" t="s">
        <v>27</v>
      </c>
      <c r="N323" s="1" t="s">
        <v>27</v>
      </c>
      <c r="O323" s="1" t="s">
        <v>29</v>
      </c>
      <c r="P323">
        <v>2.5</v>
      </c>
      <c r="Q323" s="1" t="s">
        <v>41</v>
      </c>
      <c r="R323" s="1" t="str">
        <f>_xlfn.CONCAT(laptop[[#This Row],[CPU_company]]," ",laptop[[#This Row],[CPU_model]])</f>
        <v>Intel Core i5 7200U</v>
      </c>
      <c r="S323">
        <v>1024</v>
      </c>
      <c r="T323">
        <v>0</v>
      </c>
      <c r="U323">
        <f>laptop[[#This Row],[PrimaryStorage]]+laptop[[#This Row],[SecondaryStorage]]</f>
        <v>1024</v>
      </c>
      <c r="V323" s="1" t="s">
        <v>51</v>
      </c>
      <c r="W323" s="1" t="s">
        <v>27</v>
      </c>
      <c r="X323" s="1" t="str">
        <f>IF(laptop[[#This Row],[PrimaryStorageType]]=laptop[[#This Row],[SecondaryStorageType]],laptop[[#This Row],[PrimaryStorageType]],"SSD &amp; HDD")</f>
        <v>SSD &amp; HDD</v>
      </c>
      <c r="Y323" s="1" t="s">
        <v>131</v>
      </c>
    </row>
    <row r="324" spans="1:25" x14ac:dyDescent="0.25">
      <c r="A324" s="1" t="s">
        <v>55</v>
      </c>
      <c r="B324" s="1" t="s">
        <v>349</v>
      </c>
      <c r="C324" s="1" t="s">
        <v>38</v>
      </c>
      <c r="D324">
        <v>14</v>
      </c>
      <c r="E324">
        <v>8</v>
      </c>
      <c r="F324" s="1" t="s">
        <v>48</v>
      </c>
      <c r="G324">
        <v>2</v>
      </c>
      <c r="H324">
        <v>1094</v>
      </c>
      <c r="I324" s="1" t="s">
        <v>40</v>
      </c>
      <c r="J324">
        <v>1920</v>
      </c>
      <c r="K324">
        <v>1080</v>
      </c>
      <c r="L324" s="1" t="s">
        <v>27</v>
      </c>
      <c r="M324" s="1" t="s">
        <v>27</v>
      </c>
      <c r="N324" s="1" t="s">
        <v>27</v>
      </c>
      <c r="O324" s="1" t="s">
        <v>29</v>
      </c>
      <c r="P324">
        <v>2.7</v>
      </c>
      <c r="Q324" s="1" t="s">
        <v>71</v>
      </c>
      <c r="R324" s="1" t="str">
        <f>_xlfn.CONCAT(laptop[[#This Row],[CPU_company]]," ",laptop[[#This Row],[CPU_model]])</f>
        <v>Intel Core i7 7500U</v>
      </c>
      <c r="S324">
        <v>256</v>
      </c>
      <c r="T324">
        <v>0</v>
      </c>
      <c r="U324">
        <f>laptop[[#This Row],[PrimaryStorage]]+laptop[[#This Row],[SecondaryStorage]]</f>
        <v>256</v>
      </c>
      <c r="V324" s="1" t="s">
        <v>31</v>
      </c>
      <c r="W324" s="1" t="s">
        <v>27</v>
      </c>
      <c r="X324" s="1" t="str">
        <f>IF(laptop[[#This Row],[PrimaryStorageType]]=laptop[[#This Row],[SecondaryStorageType]],laptop[[#This Row],[PrimaryStorageType]],"SSD &amp; HDD")</f>
        <v>SSD &amp; HDD</v>
      </c>
      <c r="Y324" s="1" t="s">
        <v>42</v>
      </c>
    </row>
    <row r="325" spans="1:25" x14ac:dyDescent="0.25">
      <c r="A325" s="1" t="s">
        <v>36</v>
      </c>
      <c r="B325" s="1" t="s">
        <v>114</v>
      </c>
      <c r="C325" s="1" t="s">
        <v>38</v>
      </c>
      <c r="D325">
        <v>15.6</v>
      </c>
      <c r="E325">
        <v>8</v>
      </c>
      <c r="F325" s="1" t="s">
        <v>48</v>
      </c>
      <c r="G325">
        <v>2.1</v>
      </c>
      <c r="H325">
        <v>902</v>
      </c>
      <c r="I325" s="1" t="s">
        <v>40</v>
      </c>
      <c r="J325">
        <v>1366</v>
      </c>
      <c r="K325">
        <v>768</v>
      </c>
      <c r="L325" s="1" t="s">
        <v>27</v>
      </c>
      <c r="M325" s="1" t="s">
        <v>28</v>
      </c>
      <c r="N325" s="1" t="s">
        <v>27</v>
      </c>
      <c r="O325" s="1" t="s">
        <v>29</v>
      </c>
      <c r="P325">
        <v>1.8</v>
      </c>
      <c r="Q325" s="1" t="s">
        <v>57</v>
      </c>
      <c r="R325" s="1" t="str">
        <f>_xlfn.CONCAT(laptop[[#This Row],[CPU_company]]," ",laptop[[#This Row],[CPU_model]])</f>
        <v>Intel Core i7 8550U</v>
      </c>
      <c r="S325">
        <v>1024</v>
      </c>
      <c r="T325">
        <v>0</v>
      </c>
      <c r="U325">
        <f>laptop[[#This Row],[PrimaryStorage]]+laptop[[#This Row],[SecondaryStorage]]</f>
        <v>1024</v>
      </c>
      <c r="V325" s="1" t="s">
        <v>51</v>
      </c>
      <c r="W325" s="1" t="s">
        <v>27</v>
      </c>
      <c r="X325" s="1" t="str">
        <f>IF(laptop[[#This Row],[PrimaryStorageType]]=laptop[[#This Row],[SecondaryStorageType]],laptop[[#This Row],[PrimaryStorageType]],"SSD &amp; HDD")</f>
        <v>SSD &amp; HDD</v>
      </c>
      <c r="Y325" s="1" t="s">
        <v>61</v>
      </c>
    </row>
    <row r="326" spans="1:25" x14ac:dyDescent="0.25">
      <c r="A326" s="1" t="s">
        <v>46</v>
      </c>
      <c r="B326" s="1" t="s">
        <v>173</v>
      </c>
      <c r="C326" s="1" t="s">
        <v>38</v>
      </c>
      <c r="D326">
        <v>15.6</v>
      </c>
      <c r="E326">
        <v>8</v>
      </c>
      <c r="F326" s="1" t="s">
        <v>48</v>
      </c>
      <c r="G326">
        <v>2.2000000000000002</v>
      </c>
      <c r="H326">
        <v>659</v>
      </c>
      <c r="I326" s="1" t="s">
        <v>26</v>
      </c>
      <c r="J326">
        <v>1366</v>
      </c>
      <c r="K326">
        <v>768</v>
      </c>
      <c r="L326" s="1" t="s">
        <v>27</v>
      </c>
      <c r="M326" s="1" t="s">
        <v>27</v>
      </c>
      <c r="N326" s="1" t="s">
        <v>27</v>
      </c>
      <c r="O326" s="1" t="s">
        <v>49</v>
      </c>
      <c r="P326">
        <v>2.7</v>
      </c>
      <c r="Q326" s="1" t="s">
        <v>350</v>
      </c>
      <c r="R326" s="1" t="str">
        <f>_xlfn.CONCAT(laptop[[#This Row],[CPU_company]]," ",laptop[[#This Row],[CPU_model]])</f>
        <v>AMD A12-Series 9720P</v>
      </c>
      <c r="S326">
        <v>256</v>
      </c>
      <c r="T326">
        <v>0</v>
      </c>
      <c r="U326">
        <f>laptop[[#This Row],[PrimaryStorage]]+laptop[[#This Row],[SecondaryStorage]]</f>
        <v>256</v>
      </c>
      <c r="V326" s="1" t="s">
        <v>31</v>
      </c>
      <c r="W326" s="1" t="s">
        <v>27</v>
      </c>
      <c r="X326" s="1" t="str">
        <f>IF(laptop[[#This Row],[PrimaryStorageType]]=laptop[[#This Row],[SecondaryStorageType]],laptop[[#This Row],[PrimaryStorageType]],"SSD &amp; HDD")</f>
        <v>SSD &amp; HDD</v>
      </c>
      <c r="Y326" s="1" t="s">
        <v>351</v>
      </c>
    </row>
    <row r="327" spans="1:25" x14ac:dyDescent="0.25">
      <c r="A327" s="1" t="s">
        <v>73</v>
      </c>
      <c r="B327" s="1" t="s">
        <v>108</v>
      </c>
      <c r="C327" s="1" t="s">
        <v>38</v>
      </c>
      <c r="D327">
        <v>14</v>
      </c>
      <c r="E327">
        <v>4</v>
      </c>
      <c r="F327" s="1" t="s">
        <v>48</v>
      </c>
      <c r="G327">
        <v>1.44</v>
      </c>
      <c r="H327">
        <v>292</v>
      </c>
      <c r="I327" s="1" t="s">
        <v>26</v>
      </c>
      <c r="J327">
        <v>1366</v>
      </c>
      <c r="K327">
        <v>768</v>
      </c>
      <c r="L327" s="1" t="s">
        <v>27</v>
      </c>
      <c r="M327" s="1" t="s">
        <v>27</v>
      </c>
      <c r="N327" s="1" t="s">
        <v>27</v>
      </c>
      <c r="O327" s="1" t="s">
        <v>29</v>
      </c>
      <c r="P327">
        <v>1.1000000000000001</v>
      </c>
      <c r="Q327" s="1" t="s">
        <v>109</v>
      </c>
      <c r="R327" s="1" t="str">
        <f>_xlfn.CONCAT(laptop[[#This Row],[CPU_company]]," ",laptop[[#This Row],[CPU_model]])</f>
        <v>Intel Celeron Dual Core N3350</v>
      </c>
      <c r="S327">
        <v>32</v>
      </c>
      <c r="T327">
        <v>0</v>
      </c>
      <c r="U327">
        <f>laptop[[#This Row],[PrimaryStorage]]+laptop[[#This Row],[SecondaryStorage]]</f>
        <v>32</v>
      </c>
      <c r="V327" s="1" t="s">
        <v>34</v>
      </c>
      <c r="W327" s="1" t="s">
        <v>27</v>
      </c>
      <c r="X327" s="1" t="str">
        <f>IF(laptop[[#This Row],[PrimaryStorageType]]=laptop[[#This Row],[SecondaryStorageType]],laptop[[#This Row],[PrimaryStorageType]],"SSD &amp; HDD")</f>
        <v>SSD &amp; HDD</v>
      </c>
      <c r="Y327" s="1" t="s">
        <v>110</v>
      </c>
    </row>
    <row r="328" spans="1:25" x14ac:dyDescent="0.25">
      <c r="A328" s="1" t="s">
        <v>46</v>
      </c>
      <c r="B328" s="1" t="s">
        <v>352</v>
      </c>
      <c r="C328" s="1" t="s">
        <v>38</v>
      </c>
      <c r="D328">
        <v>15.6</v>
      </c>
      <c r="E328">
        <v>6</v>
      </c>
      <c r="F328" s="1" t="s">
        <v>48</v>
      </c>
      <c r="G328">
        <v>2.23</v>
      </c>
      <c r="H328">
        <v>549</v>
      </c>
      <c r="I328" s="1" t="s">
        <v>26</v>
      </c>
      <c r="J328">
        <v>1366</v>
      </c>
      <c r="K328">
        <v>768</v>
      </c>
      <c r="L328" s="1" t="s">
        <v>27</v>
      </c>
      <c r="M328" s="1" t="s">
        <v>27</v>
      </c>
      <c r="N328" s="1" t="s">
        <v>27</v>
      </c>
      <c r="O328" s="1" t="s">
        <v>29</v>
      </c>
      <c r="P328">
        <v>2.5</v>
      </c>
      <c r="Q328" s="1" t="s">
        <v>41</v>
      </c>
      <c r="R328" s="1" t="str">
        <f>_xlfn.CONCAT(laptop[[#This Row],[CPU_company]]," ",laptop[[#This Row],[CPU_model]])</f>
        <v>Intel Core i5 7200U</v>
      </c>
      <c r="S328">
        <v>1024</v>
      </c>
      <c r="T328">
        <v>0</v>
      </c>
      <c r="U328">
        <f>laptop[[#This Row],[PrimaryStorage]]+laptop[[#This Row],[SecondaryStorage]]</f>
        <v>1024</v>
      </c>
      <c r="V328" s="1" t="s">
        <v>51</v>
      </c>
      <c r="W328" s="1" t="s">
        <v>27</v>
      </c>
      <c r="X328" s="1" t="str">
        <f>IF(laptop[[#This Row],[PrimaryStorageType]]=laptop[[#This Row],[SecondaryStorageType]],laptop[[#This Row],[PrimaryStorageType]],"SSD &amp; HDD")</f>
        <v>SSD &amp; HDD</v>
      </c>
      <c r="Y328" s="1" t="s">
        <v>42</v>
      </c>
    </row>
    <row r="329" spans="1:25" x14ac:dyDescent="0.25">
      <c r="A329" s="1" t="s">
        <v>55</v>
      </c>
      <c r="B329" s="1" t="s">
        <v>188</v>
      </c>
      <c r="C329" s="1" t="s">
        <v>24</v>
      </c>
      <c r="D329">
        <v>15.6</v>
      </c>
      <c r="E329">
        <v>8</v>
      </c>
      <c r="F329" s="1" t="s">
        <v>48</v>
      </c>
      <c r="G329">
        <v>1.7</v>
      </c>
      <c r="H329">
        <v>1049.9000000000001</v>
      </c>
      <c r="I329" s="1" t="s">
        <v>40</v>
      </c>
      <c r="J329">
        <v>1920</v>
      </c>
      <c r="K329">
        <v>1080</v>
      </c>
      <c r="L329" s="1" t="s">
        <v>27</v>
      </c>
      <c r="M329" s="1" t="s">
        <v>27</v>
      </c>
      <c r="N329" s="1" t="s">
        <v>27</v>
      </c>
      <c r="O329" s="1" t="s">
        <v>29</v>
      </c>
      <c r="P329">
        <v>2.7</v>
      </c>
      <c r="Q329" s="1" t="s">
        <v>71</v>
      </c>
      <c r="R329" s="1" t="str">
        <f>_xlfn.CONCAT(laptop[[#This Row],[CPU_company]]," ",laptop[[#This Row],[CPU_model]])</f>
        <v>Intel Core i7 7500U</v>
      </c>
      <c r="S329">
        <v>256</v>
      </c>
      <c r="T329">
        <v>0</v>
      </c>
      <c r="U329">
        <f>laptop[[#This Row],[PrimaryStorage]]+laptop[[#This Row],[SecondaryStorage]]</f>
        <v>256</v>
      </c>
      <c r="V329" s="1" t="s">
        <v>31</v>
      </c>
      <c r="W329" s="1" t="s">
        <v>27</v>
      </c>
      <c r="X329" s="1" t="str">
        <f>IF(laptop[[#This Row],[PrimaryStorageType]]=laptop[[#This Row],[SecondaryStorageType]],laptop[[#This Row],[PrimaryStorageType]],"SSD &amp; HDD")</f>
        <v>SSD &amp; HDD</v>
      </c>
      <c r="Y329" s="1" t="s">
        <v>76</v>
      </c>
    </row>
    <row r="330" spans="1:25" x14ac:dyDescent="0.25">
      <c r="A330" s="1" t="s">
        <v>36</v>
      </c>
      <c r="B330" s="1" t="s">
        <v>353</v>
      </c>
      <c r="C330" s="1" t="s">
        <v>24</v>
      </c>
      <c r="D330">
        <v>12.5</v>
      </c>
      <c r="E330">
        <v>8</v>
      </c>
      <c r="F330" s="1" t="s">
        <v>48</v>
      </c>
      <c r="G330">
        <v>1.26</v>
      </c>
      <c r="H330">
        <v>1335</v>
      </c>
      <c r="I330" s="1" t="s">
        <v>40</v>
      </c>
      <c r="J330">
        <v>1920</v>
      </c>
      <c r="K330">
        <v>1080</v>
      </c>
      <c r="L330" s="1" t="s">
        <v>27</v>
      </c>
      <c r="M330" s="1" t="s">
        <v>27</v>
      </c>
      <c r="N330" s="1" t="s">
        <v>27</v>
      </c>
      <c r="O330" s="1" t="s">
        <v>29</v>
      </c>
      <c r="P330">
        <v>2.7</v>
      </c>
      <c r="Q330" s="1" t="s">
        <v>71</v>
      </c>
      <c r="R330" s="1" t="str">
        <f>_xlfn.CONCAT(laptop[[#This Row],[CPU_company]]," ",laptop[[#This Row],[CPU_model]])</f>
        <v>Intel Core i7 7500U</v>
      </c>
      <c r="S330">
        <v>256</v>
      </c>
      <c r="T330">
        <v>0</v>
      </c>
      <c r="U330">
        <f>laptop[[#This Row],[PrimaryStorage]]+laptop[[#This Row],[SecondaryStorage]]</f>
        <v>256</v>
      </c>
      <c r="V330" s="1" t="s">
        <v>31</v>
      </c>
      <c r="W330" s="1" t="s">
        <v>27</v>
      </c>
      <c r="X330" s="1" t="str">
        <f>IF(laptop[[#This Row],[PrimaryStorageType]]=laptop[[#This Row],[SecondaryStorageType]],laptop[[#This Row],[PrimaryStorageType]],"SSD &amp; HDD")</f>
        <v>SSD &amp; HDD</v>
      </c>
      <c r="Y330" s="1" t="s">
        <v>42</v>
      </c>
    </row>
    <row r="331" spans="1:25" x14ac:dyDescent="0.25">
      <c r="A331" s="1" t="s">
        <v>65</v>
      </c>
      <c r="B331" s="1" t="s">
        <v>249</v>
      </c>
      <c r="C331" s="1" t="s">
        <v>38</v>
      </c>
      <c r="D331">
        <v>15.6</v>
      </c>
      <c r="E331">
        <v>32</v>
      </c>
      <c r="F331" s="1" t="s">
        <v>48</v>
      </c>
      <c r="G331">
        <v>2.06</v>
      </c>
      <c r="H331">
        <v>2639</v>
      </c>
      <c r="I331" s="1" t="s">
        <v>215</v>
      </c>
      <c r="J331">
        <v>3840</v>
      </c>
      <c r="K331">
        <v>2160</v>
      </c>
      <c r="L331" s="1" t="s">
        <v>28</v>
      </c>
      <c r="M331" s="1" t="s">
        <v>27</v>
      </c>
      <c r="N331" s="1" t="s">
        <v>27</v>
      </c>
      <c r="O331" s="1" t="s">
        <v>29</v>
      </c>
      <c r="P331">
        <v>2.8</v>
      </c>
      <c r="Q331" s="1" t="s">
        <v>118</v>
      </c>
      <c r="R331" s="1" t="str">
        <f>_xlfn.CONCAT(laptop[[#This Row],[CPU_company]]," ",laptop[[#This Row],[CPU_model]])</f>
        <v>Intel Core i7 7700HQ</v>
      </c>
      <c r="S331">
        <v>1024</v>
      </c>
      <c r="T331">
        <v>0</v>
      </c>
      <c r="U331">
        <f>laptop[[#This Row],[PrimaryStorage]]+laptop[[#This Row],[SecondaryStorage]]</f>
        <v>1024</v>
      </c>
      <c r="V331" s="1" t="s">
        <v>31</v>
      </c>
      <c r="W331" s="1" t="s">
        <v>27</v>
      </c>
      <c r="X331" s="1" t="str">
        <f>IF(laptop[[#This Row],[PrimaryStorageType]]=laptop[[#This Row],[SecondaryStorageType]],laptop[[#This Row],[PrimaryStorageType]],"SSD &amp; HDD")</f>
        <v>SSD &amp; HDD</v>
      </c>
      <c r="Y331" s="1" t="s">
        <v>85</v>
      </c>
    </row>
    <row r="332" spans="1:25" x14ac:dyDescent="0.25">
      <c r="A332" s="1" t="s">
        <v>141</v>
      </c>
      <c r="B332" s="1" t="s">
        <v>354</v>
      </c>
      <c r="C332" s="1" t="s">
        <v>83</v>
      </c>
      <c r="D332">
        <v>17.3</v>
      </c>
      <c r="E332">
        <v>8</v>
      </c>
      <c r="F332" s="1" t="s">
        <v>48</v>
      </c>
      <c r="G332">
        <v>2.7</v>
      </c>
      <c r="H332">
        <v>1199</v>
      </c>
      <c r="I332" s="1" t="s">
        <v>40</v>
      </c>
      <c r="J332">
        <v>1920</v>
      </c>
      <c r="K332">
        <v>1080</v>
      </c>
      <c r="L332" s="1" t="s">
        <v>27</v>
      </c>
      <c r="M332" s="1" t="s">
        <v>27</v>
      </c>
      <c r="N332" s="1" t="s">
        <v>27</v>
      </c>
      <c r="O332" s="1" t="s">
        <v>29</v>
      </c>
      <c r="P332">
        <v>2.8</v>
      </c>
      <c r="Q332" s="1" t="s">
        <v>118</v>
      </c>
      <c r="R332" s="1" t="str">
        <f>_xlfn.CONCAT(laptop[[#This Row],[CPU_company]]," ",laptop[[#This Row],[CPU_model]])</f>
        <v>Intel Core i7 7700HQ</v>
      </c>
      <c r="S332">
        <v>256</v>
      </c>
      <c r="T332">
        <v>1024</v>
      </c>
      <c r="U332">
        <f>laptop[[#This Row],[PrimaryStorage]]+laptop[[#This Row],[SecondaryStorage]]</f>
        <v>1280</v>
      </c>
      <c r="V332" s="1" t="s">
        <v>31</v>
      </c>
      <c r="W332" s="1" t="s">
        <v>51</v>
      </c>
      <c r="X332" s="1" t="str">
        <f>IF(laptop[[#This Row],[PrimaryStorageType]]=laptop[[#This Row],[SecondaryStorageType]],laptop[[#This Row],[PrimaryStorageType]],"SSD &amp; HDD")</f>
        <v>SSD &amp; HDD</v>
      </c>
      <c r="Y332" s="1" t="s">
        <v>149</v>
      </c>
    </row>
    <row r="333" spans="1:25" x14ac:dyDescent="0.25">
      <c r="A333" s="1" t="s">
        <v>210</v>
      </c>
      <c r="B333" s="1" t="s">
        <v>211</v>
      </c>
      <c r="C333" s="1" t="s">
        <v>38</v>
      </c>
      <c r="D333">
        <v>15.6</v>
      </c>
      <c r="E333">
        <v>8</v>
      </c>
      <c r="F333" s="1" t="s">
        <v>48</v>
      </c>
      <c r="G333">
        <v>2</v>
      </c>
      <c r="H333">
        <v>943</v>
      </c>
      <c r="I333" s="1" t="s">
        <v>40</v>
      </c>
      <c r="J333">
        <v>1920</v>
      </c>
      <c r="K333">
        <v>1080</v>
      </c>
      <c r="L333" s="1" t="s">
        <v>27</v>
      </c>
      <c r="M333" s="1" t="s">
        <v>28</v>
      </c>
      <c r="N333" s="1" t="s">
        <v>27</v>
      </c>
      <c r="O333" s="1" t="s">
        <v>29</v>
      </c>
      <c r="P333">
        <v>2.5</v>
      </c>
      <c r="Q333" s="1" t="s">
        <v>41</v>
      </c>
      <c r="R333" s="1" t="str">
        <f>_xlfn.CONCAT(laptop[[#This Row],[CPU_company]]," ",laptop[[#This Row],[CPU_model]])</f>
        <v>Intel Core i5 7200U</v>
      </c>
      <c r="S333">
        <v>256</v>
      </c>
      <c r="T333">
        <v>0</v>
      </c>
      <c r="U333">
        <f>laptop[[#This Row],[PrimaryStorage]]+laptop[[#This Row],[SecondaryStorage]]</f>
        <v>256</v>
      </c>
      <c r="V333" s="1" t="s">
        <v>31</v>
      </c>
      <c r="W333" s="1" t="s">
        <v>27</v>
      </c>
      <c r="X333" s="1" t="str">
        <f>IF(laptop[[#This Row],[PrimaryStorageType]]=laptop[[#This Row],[SecondaryStorageType]],laptop[[#This Row],[PrimaryStorageType]],"SSD &amp; HDD")</f>
        <v>SSD &amp; HDD</v>
      </c>
      <c r="Y333" s="1" t="s">
        <v>42</v>
      </c>
    </row>
    <row r="334" spans="1:25" x14ac:dyDescent="0.25">
      <c r="A334" s="1" t="s">
        <v>55</v>
      </c>
      <c r="B334" s="1" t="s">
        <v>355</v>
      </c>
      <c r="C334" s="1" t="s">
        <v>38</v>
      </c>
      <c r="D334">
        <v>14</v>
      </c>
      <c r="E334">
        <v>8</v>
      </c>
      <c r="F334" s="1" t="s">
        <v>48</v>
      </c>
      <c r="G334">
        <v>2</v>
      </c>
      <c r="H334">
        <v>1334</v>
      </c>
      <c r="I334" s="1" t="s">
        <v>40</v>
      </c>
      <c r="J334">
        <v>1920</v>
      </c>
      <c r="K334">
        <v>1080</v>
      </c>
      <c r="L334" s="1" t="s">
        <v>27</v>
      </c>
      <c r="M334" s="1" t="s">
        <v>27</v>
      </c>
      <c r="N334" s="1" t="s">
        <v>27</v>
      </c>
      <c r="O334" s="1" t="s">
        <v>29</v>
      </c>
      <c r="P334">
        <v>2.7</v>
      </c>
      <c r="Q334" s="1" t="s">
        <v>71</v>
      </c>
      <c r="R334" s="1" t="str">
        <f>_xlfn.CONCAT(laptop[[#This Row],[CPU_company]]," ",laptop[[#This Row],[CPU_model]])</f>
        <v>Intel Core i7 7500U</v>
      </c>
      <c r="S334">
        <v>256</v>
      </c>
      <c r="T334">
        <v>1024</v>
      </c>
      <c r="U334">
        <f>laptop[[#This Row],[PrimaryStorage]]+laptop[[#This Row],[SecondaryStorage]]</f>
        <v>1280</v>
      </c>
      <c r="V334" s="1" t="s">
        <v>31</v>
      </c>
      <c r="W334" s="1" t="s">
        <v>51</v>
      </c>
      <c r="X334" s="1" t="str">
        <f>IF(laptop[[#This Row],[PrimaryStorageType]]=laptop[[#This Row],[SecondaryStorageType]],laptop[[#This Row],[PrimaryStorageType]],"SSD &amp; HDD")</f>
        <v>SSD &amp; HDD</v>
      </c>
      <c r="Y334" s="1" t="s">
        <v>42</v>
      </c>
    </row>
    <row r="335" spans="1:25" x14ac:dyDescent="0.25">
      <c r="A335" s="1" t="s">
        <v>73</v>
      </c>
      <c r="B335" s="1" t="s">
        <v>356</v>
      </c>
      <c r="C335" s="1" t="s">
        <v>38</v>
      </c>
      <c r="D335">
        <v>15.6</v>
      </c>
      <c r="E335">
        <v>4</v>
      </c>
      <c r="F335" s="1" t="s">
        <v>48</v>
      </c>
      <c r="G335">
        <v>1.85</v>
      </c>
      <c r="H335">
        <v>449</v>
      </c>
      <c r="I335" s="1" t="s">
        <v>40</v>
      </c>
      <c r="J335">
        <v>1920</v>
      </c>
      <c r="K335">
        <v>1080</v>
      </c>
      <c r="L335" s="1" t="s">
        <v>27</v>
      </c>
      <c r="M335" s="1" t="s">
        <v>27</v>
      </c>
      <c r="N335" s="1" t="s">
        <v>27</v>
      </c>
      <c r="O335" s="1" t="s">
        <v>29</v>
      </c>
      <c r="P335">
        <v>2</v>
      </c>
      <c r="Q335" s="1" t="s">
        <v>62</v>
      </c>
      <c r="R335" s="1" t="str">
        <f>_xlfn.CONCAT(laptop[[#This Row],[CPU_company]]," ",laptop[[#This Row],[CPU_model]])</f>
        <v>Intel Core i3 6006U</v>
      </c>
      <c r="S335">
        <v>1024</v>
      </c>
      <c r="T335">
        <v>0</v>
      </c>
      <c r="U335">
        <f>laptop[[#This Row],[PrimaryStorage]]+laptop[[#This Row],[SecondaryStorage]]</f>
        <v>1024</v>
      </c>
      <c r="V335" s="1" t="s">
        <v>51</v>
      </c>
      <c r="W335" s="1" t="s">
        <v>27</v>
      </c>
      <c r="X335" s="1" t="str">
        <f>IF(laptop[[#This Row],[PrimaryStorageType]]=laptop[[#This Row],[SecondaryStorageType]],laptop[[#This Row],[PrimaryStorageType]],"SSD &amp; HDD")</f>
        <v>SSD &amp; HDD</v>
      </c>
      <c r="Y335" s="1" t="s">
        <v>63</v>
      </c>
    </row>
    <row r="336" spans="1:25" x14ac:dyDescent="0.25">
      <c r="A336" s="1" t="s">
        <v>55</v>
      </c>
      <c r="B336" s="1" t="s">
        <v>357</v>
      </c>
      <c r="C336" s="1" t="s">
        <v>83</v>
      </c>
      <c r="D336">
        <v>15.6</v>
      </c>
      <c r="E336">
        <v>8</v>
      </c>
      <c r="F336" s="1" t="s">
        <v>48</v>
      </c>
      <c r="G336">
        <v>2.5</v>
      </c>
      <c r="H336">
        <v>999</v>
      </c>
      <c r="I336" s="1" t="s">
        <v>40</v>
      </c>
      <c r="J336">
        <v>1920</v>
      </c>
      <c r="K336">
        <v>1080</v>
      </c>
      <c r="L336" s="1" t="s">
        <v>27</v>
      </c>
      <c r="M336" s="1" t="s">
        <v>27</v>
      </c>
      <c r="N336" s="1" t="s">
        <v>27</v>
      </c>
      <c r="O336" s="1" t="s">
        <v>29</v>
      </c>
      <c r="P336">
        <v>2.8</v>
      </c>
      <c r="Q336" s="1" t="s">
        <v>118</v>
      </c>
      <c r="R336" s="1" t="str">
        <f>_xlfn.CONCAT(laptop[[#This Row],[CPU_company]]," ",laptop[[#This Row],[CPU_model]])</f>
        <v>Intel Core i7 7700HQ</v>
      </c>
      <c r="S336">
        <v>256</v>
      </c>
      <c r="T336">
        <v>0</v>
      </c>
      <c r="U336">
        <f>laptop[[#This Row],[PrimaryStorage]]+laptop[[#This Row],[SecondaryStorage]]</f>
        <v>256</v>
      </c>
      <c r="V336" s="1" t="s">
        <v>31</v>
      </c>
      <c r="W336" s="1" t="s">
        <v>27</v>
      </c>
      <c r="X336" s="1" t="str">
        <f>IF(laptop[[#This Row],[PrimaryStorageType]]=laptop[[#This Row],[SecondaryStorageType]],laptop[[#This Row],[PrimaryStorageType]],"SSD &amp; HDD")</f>
        <v>SSD &amp; HDD</v>
      </c>
      <c r="Y336" s="1" t="s">
        <v>85</v>
      </c>
    </row>
    <row r="337" spans="1:25" x14ac:dyDescent="0.25">
      <c r="A337" s="1" t="s">
        <v>36</v>
      </c>
      <c r="B337" s="1" t="s">
        <v>226</v>
      </c>
      <c r="C337" s="1" t="s">
        <v>38</v>
      </c>
      <c r="D337">
        <v>14</v>
      </c>
      <c r="E337">
        <v>8</v>
      </c>
      <c r="F337" s="1" t="s">
        <v>48</v>
      </c>
      <c r="G337">
        <v>1.48</v>
      </c>
      <c r="H337">
        <v>1268</v>
      </c>
      <c r="I337" s="1" t="s">
        <v>40</v>
      </c>
      <c r="J337">
        <v>1920</v>
      </c>
      <c r="K337">
        <v>1080</v>
      </c>
      <c r="L337" s="1" t="s">
        <v>27</v>
      </c>
      <c r="M337" s="1" t="s">
        <v>27</v>
      </c>
      <c r="N337" s="1" t="s">
        <v>27</v>
      </c>
      <c r="O337" s="1" t="s">
        <v>29</v>
      </c>
      <c r="P337">
        <v>2.6</v>
      </c>
      <c r="Q337" s="1" t="s">
        <v>358</v>
      </c>
      <c r="R337" s="1" t="str">
        <f>_xlfn.CONCAT(laptop[[#This Row],[CPU_company]]," ",laptop[[#This Row],[CPU_model]])</f>
        <v>Intel Core i5 7300U</v>
      </c>
      <c r="S337">
        <v>256</v>
      </c>
      <c r="T337">
        <v>0</v>
      </c>
      <c r="U337">
        <f>laptop[[#This Row],[PrimaryStorage]]+laptop[[#This Row],[SecondaryStorage]]</f>
        <v>256</v>
      </c>
      <c r="V337" s="1" t="s">
        <v>31</v>
      </c>
      <c r="W337" s="1" t="s">
        <v>27</v>
      </c>
      <c r="X337" s="1" t="str">
        <f>IF(laptop[[#This Row],[PrimaryStorageType]]=laptop[[#This Row],[SecondaryStorageType]],laptop[[#This Row],[PrimaryStorageType]],"SSD &amp; HDD")</f>
        <v>SSD &amp; HDD</v>
      </c>
      <c r="Y337" s="1" t="s">
        <v>42</v>
      </c>
    </row>
    <row r="338" spans="1:25" x14ac:dyDescent="0.25">
      <c r="A338" s="1" t="s">
        <v>65</v>
      </c>
      <c r="B338" s="1" t="s">
        <v>193</v>
      </c>
      <c r="C338" s="1" t="s">
        <v>24</v>
      </c>
      <c r="D338">
        <v>15.6</v>
      </c>
      <c r="E338">
        <v>8</v>
      </c>
      <c r="F338" s="1" t="s">
        <v>48</v>
      </c>
      <c r="G338">
        <v>1.9</v>
      </c>
      <c r="H338">
        <v>1049</v>
      </c>
      <c r="I338" s="1" t="s">
        <v>40</v>
      </c>
      <c r="J338">
        <v>1920</v>
      </c>
      <c r="K338">
        <v>1080</v>
      </c>
      <c r="L338" s="1" t="s">
        <v>27</v>
      </c>
      <c r="M338" s="1" t="s">
        <v>28</v>
      </c>
      <c r="N338" s="1" t="s">
        <v>27</v>
      </c>
      <c r="O338" s="1" t="s">
        <v>29</v>
      </c>
      <c r="P338">
        <v>1.6</v>
      </c>
      <c r="Q338" s="1" t="s">
        <v>60</v>
      </c>
      <c r="R338" s="1" t="str">
        <f>_xlfn.CONCAT(laptop[[#This Row],[CPU_company]]," ",laptop[[#This Row],[CPU_model]])</f>
        <v>Intel Core i5 8250U</v>
      </c>
      <c r="S338">
        <v>128</v>
      </c>
      <c r="T338">
        <v>1024</v>
      </c>
      <c r="U338">
        <f>laptop[[#This Row],[PrimaryStorage]]+laptop[[#This Row],[SecondaryStorage]]</f>
        <v>1152</v>
      </c>
      <c r="V338" s="1" t="s">
        <v>31</v>
      </c>
      <c r="W338" s="1" t="s">
        <v>51</v>
      </c>
      <c r="X338" s="1" t="str">
        <f>IF(laptop[[#This Row],[PrimaryStorageType]]=laptop[[#This Row],[SecondaryStorageType]],laptop[[#This Row],[PrimaryStorageType]],"SSD &amp; HDD")</f>
        <v>SSD &amp; HDD</v>
      </c>
      <c r="Y338" s="1" t="s">
        <v>76</v>
      </c>
    </row>
    <row r="339" spans="1:25" x14ac:dyDescent="0.25">
      <c r="A339" s="1" t="s">
        <v>36</v>
      </c>
      <c r="B339" s="1" t="s">
        <v>359</v>
      </c>
      <c r="C339" s="1" t="s">
        <v>38</v>
      </c>
      <c r="D339">
        <v>15.6</v>
      </c>
      <c r="E339">
        <v>8</v>
      </c>
      <c r="F339" s="1" t="s">
        <v>48</v>
      </c>
      <c r="G339">
        <v>1.84</v>
      </c>
      <c r="H339">
        <v>1144</v>
      </c>
      <c r="I339" s="1" t="s">
        <v>40</v>
      </c>
      <c r="J339">
        <v>1920</v>
      </c>
      <c r="K339">
        <v>1080</v>
      </c>
      <c r="L339" s="1" t="s">
        <v>27</v>
      </c>
      <c r="M339" s="1" t="s">
        <v>27</v>
      </c>
      <c r="N339" s="1" t="s">
        <v>27</v>
      </c>
      <c r="O339" s="1" t="s">
        <v>29</v>
      </c>
      <c r="P339">
        <v>2.5</v>
      </c>
      <c r="Q339" s="1" t="s">
        <v>41</v>
      </c>
      <c r="R339" s="1" t="str">
        <f>_xlfn.CONCAT(laptop[[#This Row],[CPU_company]]," ",laptop[[#This Row],[CPU_model]])</f>
        <v>Intel Core i5 7200U</v>
      </c>
      <c r="S339">
        <v>256</v>
      </c>
      <c r="T339">
        <v>0</v>
      </c>
      <c r="U339">
        <f>laptop[[#This Row],[PrimaryStorage]]+laptop[[#This Row],[SecondaryStorage]]</f>
        <v>256</v>
      </c>
      <c r="V339" s="1" t="s">
        <v>31</v>
      </c>
      <c r="W339" s="1" t="s">
        <v>27</v>
      </c>
      <c r="X339" s="1" t="str">
        <f>IF(laptop[[#This Row],[PrimaryStorageType]]=laptop[[#This Row],[SecondaryStorageType]],laptop[[#This Row],[PrimaryStorageType]],"SSD &amp; HDD")</f>
        <v>SSD &amp; HDD</v>
      </c>
      <c r="Y339" s="1" t="s">
        <v>42</v>
      </c>
    </row>
    <row r="340" spans="1:25" x14ac:dyDescent="0.25">
      <c r="A340" s="1" t="s">
        <v>55</v>
      </c>
      <c r="B340" s="1" t="s">
        <v>360</v>
      </c>
      <c r="C340" s="1" t="s">
        <v>38</v>
      </c>
      <c r="D340">
        <v>15.6</v>
      </c>
      <c r="E340">
        <v>4</v>
      </c>
      <c r="F340" s="1" t="s">
        <v>111</v>
      </c>
      <c r="G340">
        <v>2</v>
      </c>
      <c r="H340">
        <v>274.99</v>
      </c>
      <c r="I340" s="1" t="s">
        <v>26</v>
      </c>
      <c r="J340">
        <v>1366</v>
      </c>
      <c r="K340">
        <v>768</v>
      </c>
      <c r="L340" s="1" t="s">
        <v>27</v>
      </c>
      <c r="M340" s="1" t="s">
        <v>27</v>
      </c>
      <c r="N340" s="1" t="s">
        <v>27</v>
      </c>
      <c r="O340" s="1" t="s">
        <v>29</v>
      </c>
      <c r="P340">
        <v>1.1000000000000001</v>
      </c>
      <c r="Q340" s="1" t="s">
        <v>109</v>
      </c>
      <c r="R340" s="1" t="str">
        <f>_xlfn.CONCAT(laptop[[#This Row],[CPU_company]]," ",laptop[[#This Row],[CPU_model]])</f>
        <v>Intel Celeron Dual Core N3350</v>
      </c>
      <c r="S340">
        <v>1024</v>
      </c>
      <c r="T340">
        <v>0</v>
      </c>
      <c r="U340">
        <f>laptop[[#This Row],[PrimaryStorage]]+laptop[[#This Row],[SecondaryStorage]]</f>
        <v>1024</v>
      </c>
      <c r="V340" s="1" t="s">
        <v>51</v>
      </c>
      <c r="W340" s="1" t="s">
        <v>27</v>
      </c>
      <c r="X340" s="1" t="str">
        <f>IF(laptop[[#This Row],[PrimaryStorageType]]=laptop[[#This Row],[SecondaryStorageType]],laptop[[#This Row],[PrimaryStorageType]],"SSD &amp; HDD")</f>
        <v>SSD &amp; HDD</v>
      </c>
      <c r="Y340" s="1" t="s">
        <v>110</v>
      </c>
    </row>
    <row r="341" spans="1:25" x14ac:dyDescent="0.25">
      <c r="A341" s="1" t="s">
        <v>65</v>
      </c>
      <c r="B341" s="1" t="s">
        <v>193</v>
      </c>
      <c r="C341" s="1" t="s">
        <v>38</v>
      </c>
      <c r="D341">
        <v>15.6</v>
      </c>
      <c r="E341">
        <v>8</v>
      </c>
      <c r="F341" s="1" t="s">
        <v>48</v>
      </c>
      <c r="G341">
        <v>2</v>
      </c>
      <c r="H341">
        <v>1142.75</v>
      </c>
      <c r="I341" s="1" t="s">
        <v>40</v>
      </c>
      <c r="J341">
        <v>1920</v>
      </c>
      <c r="K341">
        <v>1080</v>
      </c>
      <c r="L341" s="1" t="s">
        <v>27</v>
      </c>
      <c r="M341" s="1" t="s">
        <v>27</v>
      </c>
      <c r="N341" s="1" t="s">
        <v>27</v>
      </c>
      <c r="O341" s="1" t="s">
        <v>29</v>
      </c>
      <c r="P341">
        <v>1.6</v>
      </c>
      <c r="Q341" s="1" t="s">
        <v>60</v>
      </c>
      <c r="R341" s="1" t="str">
        <f>_xlfn.CONCAT(laptop[[#This Row],[CPU_company]]," ",laptop[[#This Row],[CPU_model]])</f>
        <v>Intel Core i5 8250U</v>
      </c>
      <c r="S341">
        <v>256</v>
      </c>
      <c r="T341">
        <v>0</v>
      </c>
      <c r="U341">
        <f>laptop[[#This Row],[PrimaryStorage]]+laptop[[#This Row],[SecondaryStorage]]</f>
        <v>256</v>
      </c>
      <c r="V341" s="1" t="s">
        <v>31</v>
      </c>
      <c r="W341" s="1" t="s">
        <v>27</v>
      </c>
      <c r="X341" s="1" t="str">
        <f>IF(laptop[[#This Row],[PrimaryStorageType]]=laptop[[#This Row],[SecondaryStorageType]],laptop[[#This Row],[PrimaryStorageType]],"SSD &amp; HDD")</f>
        <v>SSD &amp; HDD</v>
      </c>
      <c r="Y341" s="1" t="s">
        <v>76</v>
      </c>
    </row>
    <row r="342" spans="1:25" x14ac:dyDescent="0.25">
      <c r="A342" s="1" t="s">
        <v>65</v>
      </c>
      <c r="B342" s="1" t="s">
        <v>361</v>
      </c>
      <c r="C342" s="1" t="s">
        <v>38</v>
      </c>
      <c r="D342">
        <v>15.6</v>
      </c>
      <c r="E342">
        <v>4</v>
      </c>
      <c r="F342" s="1" t="s">
        <v>111</v>
      </c>
      <c r="G342">
        <v>2.2000000000000002</v>
      </c>
      <c r="H342">
        <v>274.89999999999998</v>
      </c>
      <c r="I342" s="1" t="s">
        <v>26</v>
      </c>
      <c r="J342">
        <v>1366</v>
      </c>
      <c r="K342">
        <v>768</v>
      </c>
      <c r="L342" s="1" t="s">
        <v>27</v>
      </c>
      <c r="M342" s="1" t="s">
        <v>27</v>
      </c>
      <c r="N342" s="1" t="s">
        <v>27</v>
      </c>
      <c r="O342" s="1" t="s">
        <v>29</v>
      </c>
      <c r="P342">
        <v>1.6</v>
      </c>
      <c r="Q342" s="1" t="s">
        <v>151</v>
      </c>
      <c r="R342" s="1" t="str">
        <f>_xlfn.CONCAT(laptop[[#This Row],[CPU_company]]," ",laptop[[#This Row],[CPU_model]])</f>
        <v>Intel Celeron Dual Core N3060</v>
      </c>
      <c r="S342">
        <v>500</v>
      </c>
      <c r="T342">
        <v>0</v>
      </c>
      <c r="U342">
        <f>laptop[[#This Row],[PrimaryStorage]]+laptop[[#This Row],[SecondaryStorage]]</f>
        <v>500</v>
      </c>
      <c r="V342" s="1" t="s">
        <v>51</v>
      </c>
      <c r="W342" s="1" t="s">
        <v>27</v>
      </c>
      <c r="X342" s="1" t="str">
        <f>IF(laptop[[#This Row],[PrimaryStorageType]]=laptop[[#This Row],[SecondaryStorageType]],laptop[[#This Row],[PrimaryStorageType]],"SSD &amp; HDD")</f>
        <v>SSD &amp; HDD</v>
      </c>
      <c r="Y342" s="1" t="s">
        <v>102</v>
      </c>
    </row>
    <row r="343" spans="1:25" x14ac:dyDescent="0.25">
      <c r="A343" s="1" t="s">
        <v>73</v>
      </c>
      <c r="B343" s="1" t="s">
        <v>362</v>
      </c>
      <c r="C343" s="1" t="s">
        <v>38</v>
      </c>
      <c r="D343">
        <v>15.6</v>
      </c>
      <c r="E343">
        <v>12</v>
      </c>
      <c r="F343" s="1" t="s">
        <v>48</v>
      </c>
      <c r="G343">
        <v>2.2000000000000002</v>
      </c>
      <c r="H343">
        <v>899</v>
      </c>
      <c r="I343" s="1" t="s">
        <v>40</v>
      </c>
      <c r="J343">
        <v>1920</v>
      </c>
      <c r="K343">
        <v>1080</v>
      </c>
      <c r="L343" s="1" t="s">
        <v>27</v>
      </c>
      <c r="M343" s="1" t="s">
        <v>27</v>
      </c>
      <c r="N343" s="1" t="s">
        <v>27</v>
      </c>
      <c r="O343" s="1" t="s">
        <v>49</v>
      </c>
      <c r="P343">
        <v>3.6</v>
      </c>
      <c r="Q343" s="1" t="s">
        <v>350</v>
      </c>
      <c r="R343" s="1" t="str">
        <f>_xlfn.CONCAT(laptop[[#This Row],[CPU_company]]," ",laptop[[#This Row],[CPU_model]])</f>
        <v>AMD A12-Series 9720P</v>
      </c>
      <c r="S343">
        <v>2048</v>
      </c>
      <c r="T343">
        <v>0</v>
      </c>
      <c r="U343">
        <f>laptop[[#This Row],[PrimaryStorage]]+laptop[[#This Row],[SecondaryStorage]]</f>
        <v>2048</v>
      </c>
      <c r="V343" s="1" t="s">
        <v>51</v>
      </c>
      <c r="W343" s="1" t="s">
        <v>27</v>
      </c>
      <c r="X343" s="1" t="str">
        <f>IF(laptop[[#This Row],[PrimaryStorageType]]=laptop[[#This Row],[SecondaryStorageType]],laptop[[#This Row],[PrimaryStorageType]],"SSD &amp; HDD")</f>
        <v>SSD &amp; HDD</v>
      </c>
      <c r="Y343" s="1" t="s">
        <v>94</v>
      </c>
    </row>
    <row r="344" spans="1:25" x14ac:dyDescent="0.25">
      <c r="A344" s="1" t="s">
        <v>36</v>
      </c>
      <c r="B344" s="1" t="s">
        <v>114</v>
      </c>
      <c r="C344" s="1" t="s">
        <v>38</v>
      </c>
      <c r="D344">
        <v>15.6</v>
      </c>
      <c r="E344">
        <v>8</v>
      </c>
      <c r="F344" s="1" t="s">
        <v>48</v>
      </c>
      <c r="G344">
        <v>2.1</v>
      </c>
      <c r="H344">
        <v>716</v>
      </c>
      <c r="I344" s="1" t="s">
        <v>40</v>
      </c>
      <c r="J344">
        <v>1920</v>
      </c>
      <c r="K344">
        <v>1080</v>
      </c>
      <c r="L344" s="1" t="s">
        <v>27</v>
      </c>
      <c r="M344" s="1" t="s">
        <v>28</v>
      </c>
      <c r="N344" s="1" t="s">
        <v>27</v>
      </c>
      <c r="O344" s="1" t="s">
        <v>29</v>
      </c>
      <c r="P344">
        <v>2.4</v>
      </c>
      <c r="Q344" s="1" t="s">
        <v>75</v>
      </c>
      <c r="R344" s="1" t="str">
        <f>_xlfn.CONCAT(laptop[[#This Row],[CPU_company]]," ",laptop[[#This Row],[CPU_model]])</f>
        <v>Intel Core i3 7100U</v>
      </c>
      <c r="S344">
        <v>1024</v>
      </c>
      <c r="T344">
        <v>0</v>
      </c>
      <c r="U344">
        <f>laptop[[#This Row],[PrimaryStorage]]+laptop[[#This Row],[SecondaryStorage]]</f>
        <v>1024</v>
      </c>
      <c r="V344" s="1" t="s">
        <v>51</v>
      </c>
      <c r="W344" s="1" t="s">
        <v>27</v>
      </c>
      <c r="X344" s="1" t="str">
        <f>IF(laptop[[#This Row],[PrimaryStorageType]]=laptop[[#This Row],[SecondaryStorageType]],laptop[[#This Row],[PrimaryStorageType]],"SSD &amp; HDD")</f>
        <v>SSD &amp; HDD</v>
      </c>
      <c r="Y344" s="1" t="s">
        <v>115</v>
      </c>
    </row>
    <row r="345" spans="1:25" x14ac:dyDescent="0.25">
      <c r="A345" s="1" t="s">
        <v>73</v>
      </c>
      <c r="B345" s="1" t="s">
        <v>246</v>
      </c>
      <c r="C345" s="1" t="s">
        <v>90</v>
      </c>
      <c r="D345">
        <v>13.9</v>
      </c>
      <c r="E345">
        <v>16</v>
      </c>
      <c r="F345" s="1" t="s">
        <v>48</v>
      </c>
      <c r="G345">
        <v>1.4</v>
      </c>
      <c r="H345">
        <v>2099</v>
      </c>
      <c r="I345" s="1" t="s">
        <v>215</v>
      </c>
      <c r="J345">
        <v>3840</v>
      </c>
      <c r="K345">
        <v>2160</v>
      </c>
      <c r="L345" s="1" t="s">
        <v>28</v>
      </c>
      <c r="M345" s="1" t="s">
        <v>28</v>
      </c>
      <c r="N345" s="1" t="s">
        <v>27</v>
      </c>
      <c r="O345" s="1" t="s">
        <v>29</v>
      </c>
      <c r="P345">
        <v>1.8</v>
      </c>
      <c r="Q345" s="1" t="s">
        <v>57</v>
      </c>
      <c r="R345" s="1" t="str">
        <f>_xlfn.CONCAT(laptop[[#This Row],[CPU_company]]," ",laptop[[#This Row],[CPU_model]])</f>
        <v>Intel Core i7 8550U</v>
      </c>
      <c r="S345">
        <v>512</v>
      </c>
      <c r="T345">
        <v>0</v>
      </c>
      <c r="U345">
        <f>laptop[[#This Row],[PrimaryStorage]]+laptop[[#This Row],[SecondaryStorage]]</f>
        <v>512</v>
      </c>
      <c r="V345" s="1" t="s">
        <v>31</v>
      </c>
      <c r="W345" s="1" t="s">
        <v>27</v>
      </c>
      <c r="X345" s="1" t="str">
        <f>IF(laptop[[#This Row],[PrimaryStorageType]]=laptop[[#This Row],[SecondaryStorageType]],laptop[[#This Row],[PrimaryStorageType]],"SSD &amp; HDD")</f>
        <v>SSD &amp; HDD</v>
      </c>
      <c r="Y345" s="1" t="s">
        <v>61</v>
      </c>
    </row>
    <row r="346" spans="1:25" x14ac:dyDescent="0.25">
      <c r="A346" s="1" t="s">
        <v>65</v>
      </c>
      <c r="B346" s="1" t="s">
        <v>77</v>
      </c>
      <c r="C346" s="1" t="s">
        <v>24</v>
      </c>
      <c r="D346">
        <v>13.3</v>
      </c>
      <c r="E346">
        <v>8</v>
      </c>
      <c r="F346" s="1" t="s">
        <v>48</v>
      </c>
      <c r="G346">
        <v>1.2</v>
      </c>
      <c r="H346">
        <v>1579</v>
      </c>
      <c r="I346" s="1" t="s">
        <v>40</v>
      </c>
      <c r="J346">
        <v>1920</v>
      </c>
      <c r="K346">
        <v>1080</v>
      </c>
      <c r="L346" s="1" t="s">
        <v>27</v>
      </c>
      <c r="M346" s="1" t="s">
        <v>27</v>
      </c>
      <c r="N346" s="1" t="s">
        <v>27</v>
      </c>
      <c r="O346" s="1" t="s">
        <v>29</v>
      </c>
      <c r="P346">
        <v>1.8</v>
      </c>
      <c r="Q346" s="1" t="s">
        <v>57</v>
      </c>
      <c r="R346" s="1" t="str">
        <f>_xlfn.CONCAT(laptop[[#This Row],[CPU_company]]," ",laptop[[#This Row],[CPU_model]])</f>
        <v>Intel Core i7 8550U</v>
      </c>
      <c r="S346">
        <v>256</v>
      </c>
      <c r="T346">
        <v>0</v>
      </c>
      <c r="U346">
        <f>laptop[[#This Row],[PrimaryStorage]]+laptop[[#This Row],[SecondaryStorage]]</f>
        <v>256</v>
      </c>
      <c r="V346" s="1" t="s">
        <v>31</v>
      </c>
      <c r="W346" s="1" t="s">
        <v>27</v>
      </c>
      <c r="X346" s="1" t="str">
        <f>IF(laptop[[#This Row],[PrimaryStorageType]]=laptop[[#This Row],[SecondaryStorageType]],laptop[[#This Row],[PrimaryStorageType]],"SSD &amp; HDD")</f>
        <v>SSD &amp; HDD</v>
      </c>
      <c r="Y346" s="1" t="s">
        <v>61</v>
      </c>
    </row>
    <row r="347" spans="1:25" x14ac:dyDescent="0.25">
      <c r="A347" s="1" t="s">
        <v>73</v>
      </c>
      <c r="B347" s="1" t="s">
        <v>82</v>
      </c>
      <c r="C347" s="1" t="s">
        <v>83</v>
      </c>
      <c r="D347">
        <v>15.6</v>
      </c>
      <c r="E347">
        <v>16</v>
      </c>
      <c r="F347" s="1" t="s">
        <v>48</v>
      </c>
      <c r="G347">
        <v>2.4</v>
      </c>
      <c r="H347">
        <v>1129</v>
      </c>
      <c r="I347" s="1" t="s">
        <v>40</v>
      </c>
      <c r="J347">
        <v>1920</v>
      </c>
      <c r="K347">
        <v>1080</v>
      </c>
      <c r="L347" s="1" t="s">
        <v>27</v>
      </c>
      <c r="M347" s="1" t="s">
        <v>28</v>
      </c>
      <c r="N347" s="1" t="s">
        <v>27</v>
      </c>
      <c r="O347" s="1" t="s">
        <v>29</v>
      </c>
      <c r="P347">
        <v>2.8</v>
      </c>
      <c r="Q347" s="1" t="s">
        <v>118</v>
      </c>
      <c r="R347" s="1" t="str">
        <f>_xlfn.CONCAT(laptop[[#This Row],[CPU_company]]," ",laptop[[#This Row],[CPU_model]])</f>
        <v>Intel Core i7 7700HQ</v>
      </c>
      <c r="S347">
        <v>256</v>
      </c>
      <c r="T347">
        <v>2048</v>
      </c>
      <c r="U347">
        <f>laptop[[#This Row],[PrimaryStorage]]+laptop[[#This Row],[SecondaryStorage]]</f>
        <v>2304</v>
      </c>
      <c r="V347" s="1" t="s">
        <v>31</v>
      </c>
      <c r="W347" s="1" t="s">
        <v>51</v>
      </c>
      <c r="X347" s="1" t="str">
        <f>IF(laptop[[#This Row],[PrimaryStorageType]]=laptop[[#This Row],[SecondaryStorageType]],laptop[[#This Row],[PrimaryStorageType]],"SSD &amp; HDD")</f>
        <v>SSD &amp; HDD</v>
      </c>
      <c r="Y347" s="1" t="s">
        <v>149</v>
      </c>
    </row>
    <row r="348" spans="1:25" x14ac:dyDescent="0.25">
      <c r="A348" s="1" t="s">
        <v>36</v>
      </c>
      <c r="B348" s="1" t="s">
        <v>363</v>
      </c>
      <c r="C348" s="1" t="s">
        <v>38</v>
      </c>
      <c r="D348">
        <v>14</v>
      </c>
      <c r="E348">
        <v>2</v>
      </c>
      <c r="F348" s="1" t="s">
        <v>48</v>
      </c>
      <c r="G348">
        <v>1.44</v>
      </c>
      <c r="H348">
        <v>279</v>
      </c>
      <c r="I348" s="1" t="s">
        <v>26</v>
      </c>
      <c r="J348">
        <v>1366</v>
      </c>
      <c r="K348">
        <v>768</v>
      </c>
      <c r="L348" s="1" t="s">
        <v>27</v>
      </c>
      <c r="M348" s="1" t="s">
        <v>27</v>
      </c>
      <c r="N348" s="1" t="s">
        <v>27</v>
      </c>
      <c r="O348" s="1" t="s">
        <v>29</v>
      </c>
      <c r="P348">
        <v>1.6</v>
      </c>
      <c r="Q348" s="1" t="s">
        <v>151</v>
      </c>
      <c r="R348" s="1" t="str">
        <f>_xlfn.CONCAT(laptop[[#This Row],[CPU_company]]," ",laptop[[#This Row],[CPU_model]])</f>
        <v>Intel Celeron Dual Core N3060</v>
      </c>
      <c r="S348">
        <v>32</v>
      </c>
      <c r="T348">
        <v>0</v>
      </c>
      <c r="U348">
        <f>laptop[[#This Row],[PrimaryStorage]]+laptop[[#This Row],[SecondaryStorage]]</f>
        <v>32</v>
      </c>
      <c r="V348" s="1" t="s">
        <v>34</v>
      </c>
      <c r="W348" s="1" t="s">
        <v>27</v>
      </c>
      <c r="X348" s="1" t="str">
        <f>IF(laptop[[#This Row],[PrimaryStorageType]]=laptop[[#This Row],[SecondaryStorageType]],laptop[[#This Row],[PrimaryStorageType]],"SSD &amp; HDD")</f>
        <v>SSD &amp; HDD</v>
      </c>
      <c r="Y348" s="1" t="s">
        <v>81</v>
      </c>
    </row>
    <row r="349" spans="1:25" x14ac:dyDescent="0.25">
      <c r="A349" s="1" t="s">
        <v>65</v>
      </c>
      <c r="B349" s="1" t="s">
        <v>95</v>
      </c>
      <c r="C349" s="1" t="s">
        <v>24</v>
      </c>
      <c r="D349">
        <v>15.6</v>
      </c>
      <c r="E349">
        <v>16</v>
      </c>
      <c r="F349" s="1" t="s">
        <v>48</v>
      </c>
      <c r="G349">
        <v>1.88</v>
      </c>
      <c r="H349">
        <v>1607.96</v>
      </c>
      <c r="I349" s="1" t="s">
        <v>40</v>
      </c>
      <c r="J349">
        <v>1920</v>
      </c>
      <c r="K349">
        <v>1080</v>
      </c>
      <c r="L349" s="1" t="s">
        <v>27</v>
      </c>
      <c r="M349" s="1" t="s">
        <v>27</v>
      </c>
      <c r="N349" s="1" t="s">
        <v>27</v>
      </c>
      <c r="O349" s="1" t="s">
        <v>29</v>
      </c>
      <c r="P349">
        <v>1.9</v>
      </c>
      <c r="Q349" s="1" t="s">
        <v>96</v>
      </c>
      <c r="R349" s="1" t="str">
        <f>_xlfn.CONCAT(laptop[[#This Row],[CPU_company]]," ",laptop[[#This Row],[CPU_model]])</f>
        <v>Intel Core i7 8650U</v>
      </c>
      <c r="S349">
        <v>512</v>
      </c>
      <c r="T349">
        <v>256</v>
      </c>
      <c r="U349">
        <f>laptop[[#This Row],[PrimaryStorage]]+laptop[[#This Row],[SecondaryStorage]]</f>
        <v>768</v>
      </c>
      <c r="V349" s="1" t="s">
        <v>31</v>
      </c>
      <c r="W349" s="1" t="s">
        <v>31</v>
      </c>
      <c r="X349" s="1" t="str">
        <f>IF(laptop[[#This Row],[PrimaryStorageType]]=laptop[[#This Row],[SecondaryStorageType]],laptop[[#This Row],[PrimaryStorageType]],"SSD &amp; HDD")</f>
        <v>SSD</v>
      </c>
      <c r="Y349" s="1" t="s">
        <v>61</v>
      </c>
    </row>
    <row r="350" spans="1:25" x14ac:dyDescent="0.25">
      <c r="A350" s="1" t="s">
        <v>55</v>
      </c>
      <c r="B350" s="1" t="s">
        <v>340</v>
      </c>
      <c r="C350" s="1" t="s">
        <v>90</v>
      </c>
      <c r="D350">
        <v>11.6</v>
      </c>
      <c r="E350">
        <v>4</v>
      </c>
      <c r="F350" s="1" t="s">
        <v>48</v>
      </c>
      <c r="G350">
        <v>1.5</v>
      </c>
      <c r="H350">
        <v>375</v>
      </c>
      <c r="I350" s="1" t="s">
        <v>26</v>
      </c>
      <c r="J350">
        <v>1366</v>
      </c>
      <c r="K350">
        <v>768</v>
      </c>
      <c r="L350" s="1" t="s">
        <v>28</v>
      </c>
      <c r="M350" s="1" t="s">
        <v>27</v>
      </c>
      <c r="N350" s="1" t="s">
        <v>27</v>
      </c>
      <c r="O350" s="1" t="s">
        <v>29</v>
      </c>
      <c r="P350">
        <v>1.1000000000000001</v>
      </c>
      <c r="Q350" s="1" t="s">
        <v>109</v>
      </c>
      <c r="R350" s="1" t="str">
        <f>_xlfn.CONCAT(laptop[[#This Row],[CPU_company]]," ",laptop[[#This Row],[CPU_model]])</f>
        <v>Intel Celeron Dual Core N3350</v>
      </c>
      <c r="S350">
        <v>32</v>
      </c>
      <c r="T350">
        <v>0</v>
      </c>
      <c r="U350">
        <f>laptop[[#This Row],[PrimaryStorage]]+laptop[[#This Row],[SecondaryStorage]]</f>
        <v>32</v>
      </c>
      <c r="V350" s="1" t="s">
        <v>34</v>
      </c>
      <c r="W350" s="1" t="s">
        <v>27</v>
      </c>
      <c r="X350" s="1" t="str">
        <f>IF(laptop[[#This Row],[PrimaryStorageType]]=laptop[[#This Row],[SecondaryStorageType]],laptop[[#This Row],[PrimaryStorageType]],"SSD &amp; HDD")</f>
        <v>SSD &amp; HDD</v>
      </c>
      <c r="Y350" s="1" t="s">
        <v>110</v>
      </c>
    </row>
    <row r="351" spans="1:25" x14ac:dyDescent="0.25">
      <c r="A351" s="1" t="s">
        <v>65</v>
      </c>
      <c r="B351" s="1" t="s">
        <v>93</v>
      </c>
      <c r="C351" s="1" t="s">
        <v>24</v>
      </c>
      <c r="D351">
        <v>15.6</v>
      </c>
      <c r="E351">
        <v>8</v>
      </c>
      <c r="F351" s="1" t="s">
        <v>48</v>
      </c>
      <c r="G351">
        <v>1.9</v>
      </c>
      <c r="H351">
        <v>663</v>
      </c>
      <c r="I351" s="1" t="s">
        <v>40</v>
      </c>
      <c r="J351">
        <v>1920</v>
      </c>
      <c r="K351">
        <v>1080</v>
      </c>
      <c r="L351" s="1" t="s">
        <v>27</v>
      </c>
      <c r="M351" s="1" t="s">
        <v>27</v>
      </c>
      <c r="N351" s="1" t="s">
        <v>27</v>
      </c>
      <c r="O351" s="1" t="s">
        <v>29</v>
      </c>
      <c r="P351">
        <v>1.6</v>
      </c>
      <c r="Q351" s="1" t="s">
        <v>60</v>
      </c>
      <c r="R351" s="1" t="str">
        <f>_xlfn.CONCAT(laptop[[#This Row],[CPU_company]]," ",laptop[[#This Row],[CPU_model]])</f>
        <v>Intel Core i5 8250U</v>
      </c>
      <c r="S351">
        <v>1024</v>
      </c>
      <c r="T351">
        <v>0</v>
      </c>
      <c r="U351">
        <f>laptop[[#This Row],[PrimaryStorage]]+laptop[[#This Row],[SecondaryStorage]]</f>
        <v>1024</v>
      </c>
      <c r="V351" s="1" t="s">
        <v>51</v>
      </c>
      <c r="W351" s="1" t="s">
        <v>27</v>
      </c>
      <c r="X351" s="1" t="str">
        <f>IF(laptop[[#This Row],[PrimaryStorageType]]=laptop[[#This Row],[SecondaryStorageType]],laptop[[#This Row],[PrimaryStorageType]],"SSD &amp; HDD")</f>
        <v>SSD &amp; HDD</v>
      </c>
      <c r="Y351" s="1" t="s">
        <v>94</v>
      </c>
    </row>
    <row r="352" spans="1:25" x14ac:dyDescent="0.25">
      <c r="A352" s="1" t="s">
        <v>65</v>
      </c>
      <c r="B352" s="1" t="s">
        <v>249</v>
      </c>
      <c r="C352" s="1" t="s">
        <v>38</v>
      </c>
      <c r="D352">
        <v>15.6</v>
      </c>
      <c r="E352">
        <v>16</v>
      </c>
      <c r="F352" s="1" t="s">
        <v>48</v>
      </c>
      <c r="G352">
        <v>2.06</v>
      </c>
      <c r="H352">
        <v>2027.42</v>
      </c>
      <c r="I352" s="1" t="s">
        <v>215</v>
      </c>
      <c r="J352">
        <v>3840</v>
      </c>
      <c r="K352">
        <v>2160</v>
      </c>
      <c r="L352" s="1" t="s">
        <v>28</v>
      </c>
      <c r="M352" s="1" t="s">
        <v>27</v>
      </c>
      <c r="N352" s="1" t="s">
        <v>27</v>
      </c>
      <c r="O352" s="1" t="s">
        <v>29</v>
      </c>
      <c r="P352">
        <v>2.8</v>
      </c>
      <c r="Q352" s="1" t="s">
        <v>118</v>
      </c>
      <c r="R352" s="1" t="str">
        <f>_xlfn.CONCAT(laptop[[#This Row],[CPU_company]]," ",laptop[[#This Row],[CPU_model]])</f>
        <v>Intel Core i7 7700HQ</v>
      </c>
      <c r="S352">
        <v>512</v>
      </c>
      <c r="T352">
        <v>0</v>
      </c>
      <c r="U352">
        <f>laptop[[#This Row],[PrimaryStorage]]+laptop[[#This Row],[SecondaryStorage]]</f>
        <v>512</v>
      </c>
      <c r="V352" s="1" t="s">
        <v>31</v>
      </c>
      <c r="W352" s="1" t="s">
        <v>27</v>
      </c>
      <c r="X352" s="1" t="str">
        <f>IF(laptop[[#This Row],[PrimaryStorageType]]=laptop[[#This Row],[SecondaryStorageType]],laptop[[#This Row],[PrimaryStorageType]],"SSD &amp; HDD")</f>
        <v>SSD &amp; HDD</v>
      </c>
      <c r="Y352" s="1" t="s">
        <v>85</v>
      </c>
    </row>
    <row r="353" spans="1:25" x14ac:dyDescent="0.25">
      <c r="A353" s="1" t="s">
        <v>36</v>
      </c>
      <c r="B353" s="1" t="s">
        <v>359</v>
      </c>
      <c r="C353" s="1" t="s">
        <v>38</v>
      </c>
      <c r="D353">
        <v>15.6</v>
      </c>
      <c r="E353">
        <v>8</v>
      </c>
      <c r="F353" s="1" t="s">
        <v>48</v>
      </c>
      <c r="G353">
        <v>1.84</v>
      </c>
      <c r="H353">
        <v>1304</v>
      </c>
      <c r="I353" s="1" t="s">
        <v>40</v>
      </c>
      <c r="J353">
        <v>1920</v>
      </c>
      <c r="K353">
        <v>1080</v>
      </c>
      <c r="L353" s="1" t="s">
        <v>27</v>
      </c>
      <c r="M353" s="1" t="s">
        <v>27</v>
      </c>
      <c r="N353" s="1" t="s">
        <v>27</v>
      </c>
      <c r="O353" s="1" t="s">
        <v>29</v>
      </c>
      <c r="P353">
        <v>2.7</v>
      </c>
      <c r="Q353" s="1" t="s">
        <v>71</v>
      </c>
      <c r="R353" s="1" t="str">
        <f>_xlfn.CONCAT(laptop[[#This Row],[CPU_company]]," ",laptop[[#This Row],[CPU_model]])</f>
        <v>Intel Core i7 7500U</v>
      </c>
      <c r="S353">
        <v>256</v>
      </c>
      <c r="T353">
        <v>0</v>
      </c>
      <c r="U353">
        <f>laptop[[#This Row],[PrimaryStorage]]+laptop[[#This Row],[SecondaryStorage]]</f>
        <v>256</v>
      </c>
      <c r="V353" s="1" t="s">
        <v>31</v>
      </c>
      <c r="W353" s="1" t="s">
        <v>27</v>
      </c>
      <c r="X353" s="1" t="str">
        <f>IF(laptop[[#This Row],[PrimaryStorageType]]=laptop[[#This Row],[SecondaryStorageType]],laptop[[#This Row],[PrimaryStorageType]],"SSD &amp; HDD")</f>
        <v>SSD &amp; HDD</v>
      </c>
      <c r="Y353" s="1" t="s">
        <v>42</v>
      </c>
    </row>
    <row r="354" spans="1:25" x14ac:dyDescent="0.25">
      <c r="A354" s="1" t="s">
        <v>141</v>
      </c>
      <c r="B354" s="1" t="s">
        <v>364</v>
      </c>
      <c r="C354" s="1" t="s">
        <v>83</v>
      </c>
      <c r="D354">
        <v>17.3</v>
      </c>
      <c r="E354">
        <v>8</v>
      </c>
      <c r="F354" s="1" t="s">
        <v>48</v>
      </c>
      <c r="G354">
        <v>2.7</v>
      </c>
      <c r="H354">
        <v>1409</v>
      </c>
      <c r="I354" s="1" t="s">
        <v>40</v>
      </c>
      <c r="J354">
        <v>1920</v>
      </c>
      <c r="K354">
        <v>1080</v>
      </c>
      <c r="L354" s="1" t="s">
        <v>27</v>
      </c>
      <c r="M354" s="1" t="s">
        <v>27</v>
      </c>
      <c r="N354" s="1" t="s">
        <v>27</v>
      </c>
      <c r="O354" s="1" t="s">
        <v>29</v>
      </c>
      <c r="P354">
        <v>2.8</v>
      </c>
      <c r="Q354" s="1" t="s">
        <v>118</v>
      </c>
      <c r="R354" s="1" t="str">
        <f>_xlfn.CONCAT(laptop[[#This Row],[CPU_company]]," ",laptop[[#This Row],[CPU_model]])</f>
        <v>Intel Core i7 7700HQ</v>
      </c>
      <c r="S354">
        <v>128</v>
      </c>
      <c r="T354">
        <v>1024</v>
      </c>
      <c r="U354">
        <f>laptop[[#This Row],[PrimaryStorage]]+laptop[[#This Row],[SecondaryStorage]]</f>
        <v>1152</v>
      </c>
      <c r="V354" s="1" t="s">
        <v>31</v>
      </c>
      <c r="W354" s="1" t="s">
        <v>51</v>
      </c>
      <c r="X354" s="1" t="str">
        <f>IF(laptop[[#This Row],[PrimaryStorageType]]=laptop[[#This Row],[SecondaryStorageType]],laptop[[#This Row],[PrimaryStorageType]],"SSD &amp; HDD")</f>
        <v>SSD &amp; HDD</v>
      </c>
      <c r="Y354" s="1" t="s">
        <v>119</v>
      </c>
    </row>
    <row r="355" spans="1:25" x14ac:dyDescent="0.25">
      <c r="A355" s="1" t="s">
        <v>36</v>
      </c>
      <c r="B355" s="1" t="s">
        <v>365</v>
      </c>
      <c r="C355" s="1" t="s">
        <v>265</v>
      </c>
      <c r="D355">
        <v>15.6</v>
      </c>
      <c r="E355">
        <v>8</v>
      </c>
      <c r="F355" s="1" t="s">
        <v>48</v>
      </c>
      <c r="G355">
        <v>2.6</v>
      </c>
      <c r="H355">
        <v>1738.27</v>
      </c>
      <c r="I355" s="1" t="s">
        <v>40</v>
      </c>
      <c r="J355">
        <v>1920</v>
      </c>
      <c r="K355">
        <v>1080</v>
      </c>
      <c r="L355" s="1" t="s">
        <v>27</v>
      </c>
      <c r="M355" s="1" t="s">
        <v>27</v>
      </c>
      <c r="N355" s="1" t="s">
        <v>27</v>
      </c>
      <c r="O355" s="1" t="s">
        <v>29</v>
      </c>
      <c r="P355">
        <v>2.8</v>
      </c>
      <c r="Q355" s="1" t="s">
        <v>118</v>
      </c>
      <c r="R355" s="1" t="str">
        <f>_xlfn.CONCAT(laptop[[#This Row],[CPU_company]]," ",laptop[[#This Row],[CPU_model]])</f>
        <v>Intel Core i7 7700HQ</v>
      </c>
      <c r="S355">
        <v>256</v>
      </c>
      <c r="T355">
        <v>0</v>
      </c>
      <c r="U355">
        <f>laptop[[#This Row],[PrimaryStorage]]+laptop[[#This Row],[SecondaryStorage]]</f>
        <v>256</v>
      </c>
      <c r="V355" s="1" t="s">
        <v>31</v>
      </c>
      <c r="W355" s="1" t="s">
        <v>27</v>
      </c>
      <c r="X355" s="1" t="str">
        <f>IF(laptop[[#This Row],[PrimaryStorageType]]=laptop[[#This Row],[SecondaryStorageType]],laptop[[#This Row],[PrimaryStorageType]],"SSD &amp; HDD")</f>
        <v>SSD &amp; HDD</v>
      </c>
      <c r="Y355" s="1" t="s">
        <v>267</v>
      </c>
    </row>
    <row r="356" spans="1:25" x14ac:dyDescent="0.25">
      <c r="A356" s="1" t="s">
        <v>210</v>
      </c>
      <c r="B356" s="1" t="s">
        <v>366</v>
      </c>
      <c r="C356" s="1" t="s">
        <v>38</v>
      </c>
      <c r="D356">
        <v>15.6</v>
      </c>
      <c r="E356">
        <v>16</v>
      </c>
      <c r="F356" s="1" t="s">
        <v>48</v>
      </c>
      <c r="G356">
        <v>2.4</v>
      </c>
      <c r="H356">
        <v>1403</v>
      </c>
      <c r="I356" s="1" t="s">
        <v>40</v>
      </c>
      <c r="J356">
        <v>1920</v>
      </c>
      <c r="K356">
        <v>1080</v>
      </c>
      <c r="L356" s="1" t="s">
        <v>27</v>
      </c>
      <c r="M356" s="1" t="s">
        <v>28</v>
      </c>
      <c r="N356" s="1" t="s">
        <v>27</v>
      </c>
      <c r="O356" s="1" t="s">
        <v>29</v>
      </c>
      <c r="P356">
        <v>2.5</v>
      </c>
      <c r="Q356" s="1" t="s">
        <v>274</v>
      </c>
      <c r="R356" s="1" t="str">
        <f>_xlfn.CONCAT(laptop[[#This Row],[CPU_company]]," ",laptop[[#This Row],[CPU_model]])</f>
        <v>Intel Core i7 6500U</v>
      </c>
      <c r="S356">
        <v>512</v>
      </c>
      <c r="T356">
        <v>0</v>
      </c>
      <c r="U356">
        <f>laptop[[#This Row],[PrimaryStorage]]+laptop[[#This Row],[SecondaryStorage]]</f>
        <v>512</v>
      </c>
      <c r="V356" s="1" t="s">
        <v>31</v>
      </c>
      <c r="W356" s="1" t="s">
        <v>27</v>
      </c>
      <c r="X356" s="1" t="str">
        <f>IF(laptop[[#This Row],[PrimaryStorageType]]=laptop[[#This Row],[SecondaryStorageType]],laptop[[#This Row],[PrimaryStorageType]],"SSD &amp; HDD")</f>
        <v>SSD &amp; HDD</v>
      </c>
      <c r="Y356" s="1" t="s">
        <v>310</v>
      </c>
    </row>
    <row r="357" spans="1:25" x14ac:dyDescent="0.25">
      <c r="A357" s="1" t="s">
        <v>65</v>
      </c>
      <c r="B357" s="1" t="s">
        <v>93</v>
      </c>
      <c r="C357" s="1" t="s">
        <v>38</v>
      </c>
      <c r="D357">
        <v>15.6</v>
      </c>
      <c r="E357">
        <v>8</v>
      </c>
      <c r="F357" s="1" t="s">
        <v>48</v>
      </c>
      <c r="G357">
        <v>2.02</v>
      </c>
      <c r="H357">
        <v>970.9</v>
      </c>
      <c r="I357" s="1" t="s">
        <v>40</v>
      </c>
      <c r="J357">
        <v>1920</v>
      </c>
      <c r="K357">
        <v>1080</v>
      </c>
      <c r="L357" s="1" t="s">
        <v>27</v>
      </c>
      <c r="M357" s="1" t="s">
        <v>27</v>
      </c>
      <c r="N357" s="1" t="s">
        <v>27</v>
      </c>
      <c r="O357" s="1" t="s">
        <v>29</v>
      </c>
      <c r="P357">
        <v>1.8</v>
      </c>
      <c r="Q357" s="1" t="s">
        <v>57</v>
      </c>
      <c r="R357" s="1" t="str">
        <f>_xlfn.CONCAT(laptop[[#This Row],[CPU_company]]," ",laptop[[#This Row],[CPU_model]])</f>
        <v>Intel Core i7 8550U</v>
      </c>
      <c r="S357">
        <v>128</v>
      </c>
      <c r="T357">
        <v>2048</v>
      </c>
      <c r="U357">
        <f>laptop[[#This Row],[PrimaryStorage]]+laptop[[#This Row],[SecondaryStorage]]</f>
        <v>2176</v>
      </c>
      <c r="V357" s="1" t="s">
        <v>31</v>
      </c>
      <c r="W357" s="1" t="s">
        <v>51</v>
      </c>
      <c r="X357" s="1" t="str">
        <f>IF(laptop[[#This Row],[PrimaryStorageType]]=laptop[[#This Row],[SecondaryStorageType]],laptop[[#This Row],[PrimaryStorageType]],"SSD &amp; HDD")</f>
        <v>SSD &amp; HDD</v>
      </c>
      <c r="Y357" s="1" t="s">
        <v>94</v>
      </c>
    </row>
    <row r="358" spans="1:25" x14ac:dyDescent="0.25">
      <c r="A358" s="1" t="s">
        <v>73</v>
      </c>
      <c r="B358" s="1" t="s">
        <v>333</v>
      </c>
      <c r="C358" s="1" t="s">
        <v>38</v>
      </c>
      <c r="D358">
        <v>15.6</v>
      </c>
      <c r="E358">
        <v>4</v>
      </c>
      <c r="F358" s="1" t="s">
        <v>39</v>
      </c>
      <c r="G358">
        <v>2.2000000000000002</v>
      </c>
      <c r="H358">
        <v>321.99</v>
      </c>
      <c r="I358" s="1" t="s">
        <v>26</v>
      </c>
      <c r="J358">
        <v>1366</v>
      </c>
      <c r="K358">
        <v>768</v>
      </c>
      <c r="L358" s="1" t="s">
        <v>27</v>
      </c>
      <c r="M358" s="1" t="s">
        <v>27</v>
      </c>
      <c r="N358" s="1" t="s">
        <v>27</v>
      </c>
      <c r="O358" s="1" t="s">
        <v>29</v>
      </c>
      <c r="P358">
        <v>1.1000000000000001</v>
      </c>
      <c r="Q358" s="1" t="s">
        <v>109</v>
      </c>
      <c r="R358" s="1" t="str">
        <f>_xlfn.CONCAT(laptop[[#This Row],[CPU_company]]," ",laptop[[#This Row],[CPU_model]])</f>
        <v>Intel Celeron Dual Core N3350</v>
      </c>
      <c r="S358">
        <v>1024</v>
      </c>
      <c r="T358">
        <v>0</v>
      </c>
      <c r="U358">
        <f>laptop[[#This Row],[PrimaryStorage]]+laptop[[#This Row],[SecondaryStorage]]</f>
        <v>1024</v>
      </c>
      <c r="V358" s="1" t="s">
        <v>51</v>
      </c>
      <c r="W358" s="1" t="s">
        <v>27</v>
      </c>
      <c r="X358" s="1" t="str">
        <f>IF(laptop[[#This Row],[PrimaryStorageType]]=laptop[[#This Row],[SecondaryStorageType]],laptop[[#This Row],[PrimaryStorageType]],"SSD &amp; HDD")</f>
        <v>SSD &amp; HDD</v>
      </c>
      <c r="Y358" s="1" t="s">
        <v>110</v>
      </c>
    </row>
    <row r="359" spans="1:25" x14ac:dyDescent="0.25">
      <c r="A359" s="1" t="s">
        <v>65</v>
      </c>
      <c r="B359" s="1" t="s">
        <v>117</v>
      </c>
      <c r="C359" s="1" t="s">
        <v>83</v>
      </c>
      <c r="D359">
        <v>15.6</v>
      </c>
      <c r="E359">
        <v>8</v>
      </c>
      <c r="F359" s="1" t="s">
        <v>48</v>
      </c>
      <c r="G359">
        <v>2.65</v>
      </c>
      <c r="H359">
        <v>999</v>
      </c>
      <c r="I359" s="1" t="s">
        <v>40</v>
      </c>
      <c r="J359">
        <v>1920</v>
      </c>
      <c r="K359">
        <v>1080</v>
      </c>
      <c r="L359" s="1" t="s">
        <v>27</v>
      </c>
      <c r="M359" s="1" t="s">
        <v>27</v>
      </c>
      <c r="N359" s="1" t="s">
        <v>27</v>
      </c>
      <c r="O359" s="1" t="s">
        <v>29</v>
      </c>
      <c r="P359">
        <v>2.5</v>
      </c>
      <c r="Q359" s="1" t="s">
        <v>84</v>
      </c>
      <c r="R359" s="1" t="str">
        <f>_xlfn.CONCAT(laptop[[#This Row],[CPU_company]]," ",laptop[[#This Row],[CPU_model]])</f>
        <v>Intel Core i5 7300HQ</v>
      </c>
      <c r="S359">
        <v>1024</v>
      </c>
      <c r="T359">
        <v>0</v>
      </c>
      <c r="U359">
        <f>laptop[[#This Row],[PrimaryStorage]]+laptop[[#This Row],[SecondaryStorage]]</f>
        <v>1024</v>
      </c>
      <c r="V359" s="1" t="s">
        <v>51</v>
      </c>
      <c r="W359" s="1" t="s">
        <v>27</v>
      </c>
      <c r="X359" s="1" t="str">
        <f>IF(laptop[[#This Row],[PrimaryStorageType]]=laptop[[#This Row],[SecondaryStorageType]],laptop[[#This Row],[PrimaryStorageType]],"SSD &amp; HDD")</f>
        <v>SSD &amp; HDD</v>
      </c>
      <c r="Y359" s="1" t="s">
        <v>85</v>
      </c>
    </row>
    <row r="360" spans="1:25" x14ac:dyDescent="0.25">
      <c r="A360" s="1" t="s">
        <v>65</v>
      </c>
      <c r="B360" s="1" t="s">
        <v>66</v>
      </c>
      <c r="C360" s="1" t="s">
        <v>38</v>
      </c>
      <c r="D360">
        <v>15.6</v>
      </c>
      <c r="E360">
        <v>8</v>
      </c>
      <c r="F360" s="1" t="s">
        <v>48</v>
      </c>
      <c r="G360">
        <v>2.36</v>
      </c>
      <c r="H360">
        <v>557.37</v>
      </c>
      <c r="I360" s="1" t="s">
        <v>26</v>
      </c>
      <c r="J360">
        <v>1366</v>
      </c>
      <c r="K360">
        <v>768</v>
      </c>
      <c r="L360" s="1" t="s">
        <v>28</v>
      </c>
      <c r="M360" s="1" t="s">
        <v>27</v>
      </c>
      <c r="N360" s="1" t="s">
        <v>27</v>
      </c>
      <c r="O360" s="1" t="s">
        <v>29</v>
      </c>
      <c r="P360">
        <v>2.5</v>
      </c>
      <c r="Q360" s="1" t="s">
        <v>41</v>
      </c>
      <c r="R360" s="1" t="str">
        <f>_xlfn.CONCAT(laptop[[#This Row],[CPU_company]]," ",laptop[[#This Row],[CPU_model]])</f>
        <v>Intel Core i5 7200U</v>
      </c>
      <c r="S360">
        <v>2048</v>
      </c>
      <c r="T360">
        <v>0</v>
      </c>
      <c r="U360">
        <f>laptop[[#This Row],[PrimaryStorage]]+laptop[[#This Row],[SecondaryStorage]]</f>
        <v>2048</v>
      </c>
      <c r="V360" s="1" t="s">
        <v>51</v>
      </c>
      <c r="W360" s="1" t="s">
        <v>27</v>
      </c>
      <c r="X360" s="1" t="str">
        <f>IF(laptop[[#This Row],[PrimaryStorageType]]=laptop[[#This Row],[SecondaryStorageType]],laptop[[#This Row],[PrimaryStorageType]],"SSD &amp; HDD")</f>
        <v>SSD &amp; HDD</v>
      </c>
      <c r="Y360" s="1" t="s">
        <v>42</v>
      </c>
    </row>
    <row r="361" spans="1:25" x14ac:dyDescent="0.25">
      <c r="A361" s="1" t="s">
        <v>65</v>
      </c>
      <c r="B361" s="1" t="s">
        <v>367</v>
      </c>
      <c r="C361" s="1" t="s">
        <v>38</v>
      </c>
      <c r="D361">
        <v>14</v>
      </c>
      <c r="E361">
        <v>8</v>
      </c>
      <c r="F361" s="1" t="s">
        <v>48</v>
      </c>
      <c r="G361">
        <v>1.36</v>
      </c>
      <c r="H361">
        <v>1427</v>
      </c>
      <c r="I361" s="1" t="s">
        <v>40</v>
      </c>
      <c r="J361">
        <v>1920</v>
      </c>
      <c r="K361">
        <v>1080</v>
      </c>
      <c r="L361" s="1" t="s">
        <v>27</v>
      </c>
      <c r="M361" s="1" t="s">
        <v>27</v>
      </c>
      <c r="N361" s="1" t="s">
        <v>27</v>
      </c>
      <c r="O361" s="1" t="s">
        <v>29</v>
      </c>
      <c r="P361">
        <v>2.6</v>
      </c>
      <c r="Q361" s="1" t="s">
        <v>358</v>
      </c>
      <c r="R361" s="1" t="str">
        <f>_xlfn.CONCAT(laptop[[#This Row],[CPU_company]]," ",laptop[[#This Row],[CPU_model]])</f>
        <v>Intel Core i5 7300U</v>
      </c>
      <c r="S361">
        <v>256</v>
      </c>
      <c r="T361">
        <v>0</v>
      </c>
      <c r="U361">
        <f>laptop[[#This Row],[PrimaryStorage]]+laptop[[#This Row],[SecondaryStorage]]</f>
        <v>256</v>
      </c>
      <c r="V361" s="1" t="s">
        <v>31</v>
      </c>
      <c r="W361" s="1" t="s">
        <v>27</v>
      </c>
      <c r="X361" s="1" t="str">
        <f>IF(laptop[[#This Row],[PrimaryStorageType]]=laptop[[#This Row],[SecondaryStorageType]],laptop[[#This Row],[PrimaryStorageType]],"SSD &amp; HDD")</f>
        <v>SSD &amp; HDD</v>
      </c>
      <c r="Y361" s="1" t="s">
        <v>42</v>
      </c>
    </row>
    <row r="362" spans="1:25" x14ac:dyDescent="0.25">
      <c r="A362" s="1" t="s">
        <v>36</v>
      </c>
      <c r="B362" s="1" t="s">
        <v>37</v>
      </c>
      <c r="C362" s="1" t="s">
        <v>38</v>
      </c>
      <c r="D362">
        <v>15.6</v>
      </c>
      <c r="E362">
        <v>4</v>
      </c>
      <c r="F362" s="1" t="s">
        <v>48</v>
      </c>
      <c r="G362">
        <v>1.86</v>
      </c>
      <c r="H362">
        <v>439</v>
      </c>
      <c r="I362" s="1" t="s">
        <v>26</v>
      </c>
      <c r="J362">
        <v>1366</v>
      </c>
      <c r="K362">
        <v>768</v>
      </c>
      <c r="L362" s="1" t="s">
        <v>27</v>
      </c>
      <c r="M362" s="1" t="s">
        <v>27</v>
      </c>
      <c r="N362" s="1" t="s">
        <v>27</v>
      </c>
      <c r="O362" s="1" t="s">
        <v>29</v>
      </c>
      <c r="P362">
        <v>2</v>
      </c>
      <c r="Q362" s="1" t="s">
        <v>62</v>
      </c>
      <c r="R362" s="1" t="str">
        <f>_xlfn.CONCAT(laptop[[#This Row],[CPU_company]]," ",laptop[[#This Row],[CPU_model]])</f>
        <v>Intel Core i3 6006U</v>
      </c>
      <c r="S362">
        <v>500</v>
      </c>
      <c r="T362">
        <v>0</v>
      </c>
      <c r="U362">
        <f>laptop[[#This Row],[PrimaryStorage]]+laptop[[#This Row],[SecondaryStorage]]</f>
        <v>500</v>
      </c>
      <c r="V362" s="1" t="s">
        <v>51</v>
      </c>
      <c r="W362" s="1" t="s">
        <v>27</v>
      </c>
      <c r="X362" s="1" t="str">
        <f>IF(laptop[[#This Row],[PrimaryStorageType]]=laptop[[#This Row],[SecondaryStorageType]],laptop[[#This Row],[PrimaryStorageType]],"SSD &amp; HDD")</f>
        <v>SSD &amp; HDD</v>
      </c>
      <c r="Y362" s="1" t="s">
        <v>63</v>
      </c>
    </row>
    <row r="363" spans="1:25" x14ac:dyDescent="0.25">
      <c r="A363" s="1" t="s">
        <v>55</v>
      </c>
      <c r="B363" s="1" t="s">
        <v>368</v>
      </c>
      <c r="C363" s="1" t="s">
        <v>38</v>
      </c>
      <c r="D363">
        <v>14</v>
      </c>
      <c r="E363">
        <v>8</v>
      </c>
      <c r="F363" s="1" t="s">
        <v>48</v>
      </c>
      <c r="G363">
        <v>2</v>
      </c>
      <c r="H363">
        <v>945</v>
      </c>
      <c r="I363" s="1" t="s">
        <v>40</v>
      </c>
      <c r="J363">
        <v>1920</v>
      </c>
      <c r="K363">
        <v>1080</v>
      </c>
      <c r="L363" s="1" t="s">
        <v>27</v>
      </c>
      <c r="M363" s="1" t="s">
        <v>27</v>
      </c>
      <c r="N363" s="1" t="s">
        <v>27</v>
      </c>
      <c r="O363" s="1" t="s">
        <v>29</v>
      </c>
      <c r="P363">
        <v>2.5</v>
      </c>
      <c r="Q363" s="1" t="s">
        <v>41</v>
      </c>
      <c r="R363" s="1" t="str">
        <f>_xlfn.CONCAT(laptop[[#This Row],[CPU_company]]," ",laptop[[#This Row],[CPU_model]])</f>
        <v>Intel Core i5 7200U</v>
      </c>
      <c r="S363">
        <v>256</v>
      </c>
      <c r="T363">
        <v>0</v>
      </c>
      <c r="U363">
        <f>laptop[[#This Row],[PrimaryStorage]]+laptop[[#This Row],[SecondaryStorage]]</f>
        <v>256</v>
      </c>
      <c r="V363" s="1" t="s">
        <v>31</v>
      </c>
      <c r="W363" s="1" t="s">
        <v>27</v>
      </c>
      <c r="X363" s="1" t="str">
        <f>IF(laptop[[#This Row],[PrimaryStorageType]]=laptop[[#This Row],[SecondaryStorageType]],laptop[[#This Row],[PrimaryStorageType]],"SSD &amp; HDD")</f>
        <v>SSD &amp; HDD</v>
      </c>
      <c r="Y363" s="1" t="s">
        <v>42</v>
      </c>
    </row>
    <row r="364" spans="1:25" x14ac:dyDescent="0.25">
      <c r="A364" s="1" t="s">
        <v>73</v>
      </c>
      <c r="B364" s="1" t="s">
        <v>271</v>
      </c>
      <c r="C364" s="1" t="s">
        <v>38</v>
      </c>
      <c r="D364">
        <v>17.3</v>
      </c>
      <c r="E364">
        <v>6</v>
      </c>
      <c r="F364" s="1" t="s">
        <v>48</v>
      </c>
      <c r="G364">
        <v>2.8</v>
      </c>
      <c r="H364">
        <v>719</v>
      </c>
      <c r="I364" s="1" t="s">
        <v>26</v>
      </c>
      <c r="J364">
        <v>1600</v>
      </c>
      <c r="K364">
        <v>900</v>
      </c>
      <c r="L364" s="1" t="s">
        <v>27</v>
      </c>
      <c r="M364" s="1" t="s">
        <v>27</v>
      </c>
      <c r="N364" s="1" t="s">
        <v>27</v>
      </c>
      <c r="O364" s="1" t="s">
        <v>29</v>
      </c>
      <c r="P364">
        <v>2.5</v>
      </c>
      <c r="Q364" s="1" t="s">
        <v>41</v>
      </c>
      <c r="R364" s="1" t="str">
        <f>_xlfn.CONCAT(laptop[[#This Row],[CPU_company]]," ",laptop[[#This Row],[CPU_model]])</f>
        <v>Intel Core i5 7200U</v>
      </c>
      <c r="S364">
        <v>128</v>
      </c>
      <c r="T364">
        <v>1024</v>
      </c>
      <c r="U364">
        <f>laptop[[#This Row],[PrimaryStorage]]+laptop[[#This Row],[SecondaryStorage]]</f>
        <v>1152</v>
      </c>
      <c r="V364" s="1" t="s">
        <v>31</v>
      </c>
      <c r="W364" s="1" t="s">
        <v>51</v>
      </c>
      <c r="X364" s="1" t="str">
        <f>IF(laptop[[#This Row],[PrimaryStorageType]]=laptop[[#This Row],[SecondaryStorageType]],laptop[[#This Row],[PrimaryStorageType]],"SSD &amp; HDD")</f>
        <v>SSD &amp; HDD</v>
      </c>
      <c r="Y364" s="1" t="s">
        <v>168</v>
      </c>
    </row>
    <row r="365" spans="1:25" x14ac:dyDescent="0.25">
      <c r="A365" s="1" t="s">
        <v>36</v>
      </c>
      <c r="B365" s="1" t="s">
        <v>37</v>
      </c>
      <c r="C365" s="1" t="s">
        <v>38</v>
      </c>
      <c r="D365">
        <v>15.6</v>
      </c>
      <c r="E365">
        <v>8</v>
      </c>
      <c r="F365" s="1" t="s">
        <v>48</v>
      </c>
      <c r="G365">
        <v>1.86</v>
      </c>
      <c r="H365">
        <v>639</v>
      </c>
      <c r="I365" s="1" t="s">
        <v>40</v>
      </c>
      <c r="J365">
        <v>1920</v>
      </c>
      <c r="K365">
        <v>1080</v>
      </c>
      <c r="L365" s="1" t="s">
        <v>27</v>
      </c>
      <c r="M365" s="1" t="s">
        <v>27</v>
      </c>
      <c r="N365" s="1" t="s">
        <v>27</v>
      </c>
      <c r="O365" s="1" t="s">
        <v>29</v>
      </c>
      <c r="P365">
        <v>2.5</v>
      </c>
      <c r="Q365" s="1" t="s">
        <v>41</v>
      </c>
      <c r="R365" s="1" t="str">
        <f>_xlfn.CONCAT(laptop[[#This Row],[CPU_company]]," ",laptop[[#This Row],[CPU_model]])</f>
        <v>Intel Core i5 7200U</v>
      </c>
      <c r="S365">
        <v>1024</v>
      </c>
      <c r="T365">
        <v>0</v>
      </c>
      <c r="U365">
        <f>laptop[[#This Row],[PrimaryStorage]]+laptop[[#This Row],[SecondaryStorage]]</f>
        <v>1024</v>
      </c>
      <c r="V365" s="1" t="s">
        <v>51</v>
      </c>
      <c r="W365" s="1" t="s">
        <v>27</v>
      </c>
      <c r="X365" s="1" t="str">
        <f>IF(laptop[[#This Row],[PrimaryStorageType]]=laptop[[#This Row],[SecondaryStorageType]],laptop[[#This Row],[PrimaryStorageType]],"SSD &amp; HDD")</f>
        <v>SSD &amp; HDD</v>
      </c>
      <c r="Y365" s="1" t="s">
        <v>42</v>
      </c>
    </row>
    <row r="366" spans="1:25" x14ac:dyDescent="0.25">
      <c r="A366" s="1" t="s">
        <v>73</v>
      </c>
      <c r="B366" s="1" t="s">
        <v>125</v>
      </c>
      <c r="C366" s="1" t="s">
        <v>38</v>
      </c>
      <c r="D366">
        <v>15.6</v>
      </c>
      <c r="E366">
        <v>8</v>
      </c>
      <c r="F366" s="1" t="s">
        <v>39</v>
      </c>
      <c r="G366">
        <v>2.2000000000000002</v>
      </c>
      <c r="H366">
        <v>499</v>
      </c>
      <c r="I366" s="1" t="s">
        <v>26</v>
      </c>
      <c r="J366">
        <v>1366</v>
      </c>
      <c r="K366">
        <v>768</v>
      </c>
      <c r="L366" s="1" t="s">
        <v>27</v>
      </c>
      <c r="M366" s="1" t="s">
        <v>27</v>
      </c>
      <c r="N366" s="1" t="s">
        <v>27</v>
      </c>
      <c r="O366" s="1" t="s">
        <v>29</v>
      </c>
      <c r="P366">
        <v>2</v>
      </c>
      <c r="Q366" s="1" t="s">
        <v>62</v>
      </c>
      <c r="R366" s="1" t="str">
        <f>_xlfn.CONCAT(laptop[[#This Row],[CPU_company]]," ",laptop[[#This Row],[CPU_model]])</f>
        <v>Intel Core i3 6006U</v>
      </c>
      <c r="S366">
        <v>256</v>
      </c>
      <c r="T366">
        <v>0</v>
      </c>
      <c r="U366">
        <f>laptop[[#This Row],[PrimaryStorage]]+laptop[[#This Row],[SecondaryStorage]]</f>
        <v>256</v>
      </c>
      <c r="V366" s="1" t="s">
        <v>31</v>
      </c>
      <c r="W366" s="1" t="s">
        <v>27</v>
      </c>
      <c r="X366" s="1" t="str">
        <f>IF(laptop[[#This Row],[PrimaryStorageType]]=laptop[[#This Row],[SecondaryStorageType]],laptop[[#This Row],[PrimaryStorageType]],"SSD &amp; HDD")</f>
        <v>SSD &amp; HDD</v>
      </c>
      <c r="Y366" s="1" t="s">
        <v>277</v>
      </c>
    </row>
    <row r="367" spans="1:25" x14ac:dyDescent="0.25">
      <c r="A367" s="1" t="s">
        <v>36</v>
      </c>
      <c r="B367" s="1" t="s">
        <v>369</v>
      </c>
      <c r="C367" s="1" t="s">
        <v>38</v>
      </c>
      <c r="D367">
        <v>15.6</v>
      </c>
      <c r="E367">
        <v>8</v>
      </c>
      <c r="F367" s="1" t="s">
        <v>48</v>
      </c>
      <c r="G367">
        <v>2.04</v>
      </c>
      <c r="H367">
        <v>389</v>
      </c>
      <c r="I367" s="1" t="s">
        <v>26</v>
      </c>
      <c r="J367">
        <v>1366</v>
      </c>
      <c r="K367">
        <v>768</v>
      </c>
      <c r="L367" s="1" t="s">
        <v>27</v>
      </c>
      <c r="M367" s="1" t="s">
        <v>27</v>
      </c>
      <c r="N367" s="1" t="s">
        <v>27</v>
      </c>
      <c r="O367" s="1" t="s">
        <v>29</v>
      </c>
      <c r="P367">
        <v>1.6</v>
      </c>
      <c r="Q367" s="1" t="s">
        <v>346</v>
      </c>
      <c r="R367" s="1" t="str">
        <f>_xlfn.CONCAT(laptop[[#This Row],[CPU_company]]," ",laptop[[#This Row],[CPU_model]])</f>
        <v>Intel Pentium Quad Core N3710</v>
      </c>
      <c r="S367">
        <v>2048</v>
      </c>
      <c r="T367">
        <v>0</v>
      </c>
      <c r="U367">
        <f>laptop[[#This Row],[PrimaryStorage]]+laptop[[#This Row],[SecondaryStorage]]</f>
        <v>2048</v>
      </c>
      <c r="V367" s="1" t="s">
        <v>51</v>
      </c>
      <c r="W367" s="1" t="s">
        <v>27</v>
      </c>
      <c r="X367" s="1" t="str">
        <f>IF(laptop[[#This Row],[PrimaryStorageType]]=laptop[[#This Row],[SecondaryStorageType]],laptop[[#This Row],[PrimaryStorageType]],"SSD &amp; HDD")</f>
        <v>SSD &amp; HDD</v>
      </c>
      <c r="Y367" s="1" t="s">
        <v>347</v>
      </c>
    </row>
    <row r="368" spans="1:25" x14ac:dyDescent="0.25">
      <c r="A368" s="1" t="s">
        <v>65</v>
      </c>
      <c r="B368" s="1" t="s">
        <v>113</v>
      </c>
      <c r="C368" s="1" t="s">
        <v>38</v>
      </c>
      <c r="D368">
        <v>17.3</v>
      </c>
      <c r="E368">
        <v>8</v>
      </c>
      <c r="F368" s="1" t="s">
        <v>48</v>
      </c>
      <c r="G368">
        <v>2.8</v>
      </c>
      <c r="H368">
        <v>1085</v>
      </c>
      <c r="I368" s="1" t="s">
        <v>40</v>
      </c>
      <c r="J368">
        <v>1920</v>
      </c>
      <c r="K368">
        <v>1080</v>
      </c>
      <c r="L368" s="1" t="s">
        <v>27</v>
      </c>
      <c r="M368" s="1" t="s">
        <v>27</v>
      </c>
      <c r="N368" s="1" t="s">
        <v>27</v>
      </c>
      <c r="O368" s="1" t="s">
        <v>29</v>
      </c>
      <c r="P368">
        <v>1.6</v>
      </c>
      <c r="Q368" s="1" t="s">
        <v>60</v>
      </c>
      <c r="R368" s="1" t="str">
        <f>_xlfn.CONCAT(laptop[[#This Row],[CPU_company]]," ",laptop[[#This Row],[CPU_model]])</f>
        <v>Intel Core i5 8250U</v>
      </c>
      <c r="S368">
        <v>128</v>
      </c>
      <c r="T368">
        <v>1024</v>
      </c>
      <c r="U368">
        <f>laptop[[#This Row],[PrimaryStorage]]+laptop[[#This Row],[SecondaryStorage]]</f>
        <v>1152</v>
      </c>
      <c r="V368" s="1" t="s">
        <v>31</v>
      </c>
      <c r="W368" s="1" t="s">
        <v>51</v>
      </c>
      <c r="X368" s="1" t="str">
        <f>IF(laptop[[#This Row],[PrimaryStorageType]]=laptop[[#This Row],[SecondaryStorageType]],laptop[[#This Row],[PrimaryStorageType]],"SSD &amp; HDD")</f>
        <v>SSD &amp; HDD</v>
      </c>
      <c r="Y368" s="1" t="s">
        <v>94</v>
      </c>
    </row>
    <row r="369" spans="1:25" x14ac:dyDescent="0.25">
      <c r="A369" s="1" t="s">
        <v>73</v>
      </c>
      <c r="B369" s="1" t="s">
        <v>82</v>
      </c>
      <c r="C369" s="1" t="s">
        <v>83</v>
      </c>
      <c r="D369">
        <v>15.6</v>
      </c>
      <c r="E369">
        <v>8</v>
      </c>
      <c r="F369" s="1" t="s">
        <v>39</v>
      </c>
      <c r="G369">
        <v>2.4</v>
      </c>
      <c r="H369">
        <v>809</v>
      </c>
      <c r="I369" s="1" t="s">
        <v>40</v>
      </c>
      <c r="J369">
        <v>1920</v>
      </c>
      <c r="K369">
        <v>1080</v>
      </c>
      <c r="L369" s="1" t="s">
        <v>27</v>
      </c>
      <c r="M369" s="1" t="s">
        <v>28</v>
      </c>
      <c r="N369" s="1" t="s">
        <v>27</v>
      </c>
      <c r="O369" s="1" t="s">
        <v>29</v>
      </c>
      <c r="P369">
        <v>2.5</v>
      </c>
      <c r="Q369" s="1" t="s">
        <v>84</v>
      </c>
      <c r="R369" s="1" t="str">
        <f>_xlfn.CONCAT(laptop[[#This Row],[CPU_company]]," ",laptop[[#This Row],[CPU_model]])</f>
        <v>Intel Core i5 7300HQ</v>
      </c>
      <c r="S369">
        <v>128</v>
      </c>
      <c r="T369">
        <v>1024</v>
      </c>
      <c r="U369">
        <f>laptop[[#This Row],[PrimaryStorage]]+laptop[[#This Row],[SecondaryStorage]]</f>
        <v>1152</v>
      </c>
      <c r="V369" s="1" t="s">
        <v>31</v>
      </c>
      <c r="W369" s="1" t="s">
        <v>51</v>
      </c>
      <c r="X369" s="1" t="str">
        <f>IF(laptop[[#This Row],[PrimaryStorageType]]=laptop[[#This Row],[SecondaryStorageType]],laptop[[#This Row],[PrimaryStorageType]],"SSD &amp; HDD")</f>
        <v>SSD &amp; HDD</v>
      </c>
      <c r="Y369" s="1" t="s">
        <v>85</v>
      </c>
    </row>
    <row r="370" spans="1:25" x14ac:dyDescent="0.25">
      <c r="A370" s="1" t="s">
        <v>65</v>
      </c>
      <c r="B370" s="1" t="s">
        <v>200</v>
      </c>
      <c r="C370" s="1" t="s">
        <v>38</v>
      </c>
      <c r="D370">
        <v>15.6</v>
      </c>
      <c r="E370">
        <v>8</v>
      </c>
      <c r="F370" s="1" t="s">
        <v>48</v>
      </c>
      <c r="G370">
        <v>2.33</v>
      </c>
      <c r="H370">
        <v>899</v>
      </c>
      <c r="I370" s="1" t="s">
        <v>40</v>
      </c>
      <c r="J370">
        <v>1920</v>
      </c>
      <c r="K370">
        <v>1080</v>
      </c>
      <c r="L370" s="1" t="s">
        <v>27</v>
      </c>
      <c r="M370" s="1" t="s">
        <v>27</v>
      </c>
      <c r="N370" s="1" t="s">
        <v>27</v>
      </c>
      <c r="O370" s="1" t="s">
        <v>29</v>
      </c>
      <c r="P370">
        <v>2.7</v>
      </c>
      <c r="Q370" s="1" t="s">
        <v>71</v>
      </c>
      <c r="R370" s="1" t="str">
        <f>_xlfn.CONCAT(laptop[[#This Row],[CPU_company]]," ",laptop[[#This Row],[CPU_model]])</f>
        <v>Intel Core i7 7500U</v>
      </c>
      <c r="S370">
        <v>256</v>
      </c>
      <c r="T370">
        <v>0</v>
      </c>
      <c r="U370">
        <f>laptop[[#This Row],[PrimaryStorage]]+laptop[[#This Row],[SecondaryStorage]]</f>
        <v>256</v>
      </c>
      <c r="V370" s="1" t="s">
        <v>31</v>
      </c>
      <c r="W370" s="1" t="s">
        <v>27</v>
      </c>
      <c r="X370" s="1" t="str">
        <f>IF(laptop[[#This Row],[PrimaryStorageType]]=laptop[[#This Row],[SecondaryStorageType]],laptop[[#This Row],[PrimaryStorageType]],"SSD &amp; HDD")</f>
        <v>SSD &amp; HDD</v>
      </c>
      <c r="Y370" s="1" t="s">
        <v>201</v>
      </c>
    </row>
    <row r="371" spans="1:25" x14ac:dyDescent="0.25">
      <c r="A371" s="1" t="s">
        <v>36</v>
      </c>
      <c r="B371" s="1" t="s">
        <v>370</v>
      </c>
      <c r="C371" s="1" t="s">
        <v>24</v>
      </c>
      <c r="D371">
        <v>14</v>
      </c>
      <c r="E371">
        <v>8</v>
      </c>
      <c r="F371" s="1" t="s">
        <v>48</v>
      </c>
      <c r="G371">
        <v>1.36</v>
      </c>
      <c r="H371">
        <v>1750</v>
      </c>
      <c r="I371" s="1" t="s">
        <v>40</v>
      </c>
      <c r="J371">
        <v>1920</v>
      </c>
      <c r="K371">
        <v>1080</v>
      </c>
      <c r="L371" s="1" t="s">
        <v>27</v>
      </c>
      <c r="M371" s="1" t="s">
        <v>28</v>
      </c>
      <c r="N371" s="1" t="s">
        <v>27</v>
      </c>
      <c r="O371" s="1" t="s">
        <v>29</v>
      </c>
      <c r="P371">
        <v>2.7</v>
      </c>
      <c r="Q371" s="1" t="s">
        <v>71</v>
      </c>
      <c r="R371" s="1" t="str">
        <f>_xlfn.CONCAT(laptop[[#This Row],[CPU_company]]," ",laptop[[#This Row],[CPU_model]])</f>
        <v>Intel Core i7 7500U</v>
      </c>
      <c r="S371">
        <v>256</v>
      </c>
      <c r="T371">
        <v>0</v>
      </c>
      <c r="U371">
        <f>laptop[[#This Row],[PrimaryStorage]]+laptop[[#This Row],[SecondaryStorage]]</f>
        <v>256</v>
      </c>
      <c r="V371" s="1" t="s">
        <v>31</v>
      </c>
      <c r="W371" s="1" t="s">
        <v>27</v>
      </c>
      <c r="X371" s="1" t="str">
        <f>IF(laptop[[#This Row],[PrimaryStorageType]]=laptop[[#This Row],[SecondaryStorageType]],laptop[[#This Row],[PrimaryStorageType]],"SSD &amp; HDD")</f>
        <v>SSD &amp; HDD</v>
      </c>
      <c r="Y371" s="1" t="s">
        <v>42</v>
      </c>
    </row>
    <row r="372" spans="1:25" x14ac:dyDescent="0.25">
      <c r="A372" s="1" t="s">
        <v>55</v>
      </c>
      <c r="B372" s="1" t="s">
        <v>230</v>
      </c>
      <c r="C372" s="1" t="s">
        <v>90</v>
      </c>
      <c r="D372">
        <v>15.6</v>
      </c>
      <c r="E372">
        <v>12</v>
      </c>
      <c r="F372" s="1" t="s">
        <v>48</v>
      </c>
      <c r="G372">
        <v>2.2599999999999998</v>
      </c>
      <c r="H372">
        <v>1099</v>
      </c>
      <c r="I372" s="1" t="s">
        <v>40</v>
      </c>
      <c r="J372">
        <v>1920</v>
      </c>
      <c r="K372">
        <v>1080</v>
      </c>
      <c r="L372" s="1" t="s">
        <v>28</v>
      </c>
      <c r="M372" s="1" t="s">
        <v>27</v>
      </c>
      <c r="N372" s="1" t="s">
        <v>27</v>
      </c>
      <c r="O372" s="1" t="s">
        <v>29</v>
      </c>
      <c r="P372">
        <v>2.7</v>
      </c>
      <c r="Q372" s="1" t="s">
        <v>71</v>
      </c>
      <c r="R372" s="1" t="str">
        <f>_xlfn.CONCAT(laptop[[#This Row],[CPU_company]]," ",laptop[[#This Row],[CPU_model]])</f>
        <v>Intel Core i7 7500U</v>
      </c>
      <c r="S372">
        <v>512</v>
      </c>
      <c r="T372">
        <v>2048</v>
      </c>
      <c r="U372">
        <f>laptop[[#This Row],[PrimaryStorage]]+laptop[[#This Row],[SecondaryStorage]]</f>
        <v>2560</v>
      </c>
      <c r="V372" s="1" t="s">
        <v>31</v>
      </c>
      <c r="W372" s="1" t="s">
        <v>51</v>
      </c>
      <c r="X372" s="1" t="str">
        <f>IF(laptop[[#This Row],[PrimaryStorageType]]=laptop[[#This Row],[SecondaryStorageType]],laptop[[#This Row],[PrimaryStorageType]],"SSD &amp; HDD")</f>
        <v>SSD &amp; HDD</v>
      </c>
      <c r="Y372" s="1" t="s">
        <v>371</v>
      </c>
    </row>
    <row r="373" spans="1:25" x14ac:dyDescent="0.25">
      <c r="A373" s="1" t="s">
        <v>46</v>
      </c>
      <c r="B373" s="1" t="s">
        <v>47</v>
      </c>
      <c r="C373" s="1" t="s">
        <v>38</v>
      </c>
      <c r="D373">
        <v>15.6</v>
      </c>
      <c r="E373">
        <v>4</v>
      </c>
      <c r="F373" s="1" t="s">
        <v>48</v>
      </c>
      <c r="G373">
        <v>2.1</v>
      </c>
      <c r="H373">
        <v>426</v>
      </c>
      <c r="I373" s="1" t="s">
        <v>26</v>
      </c>
      <c r="J373">
        <v>1366</v>
      </c>
      <c r="K373">
        <v>768</v>
      </c>
      <c r="L373" s="1" t="s">
        <v>27</v>
      </c>
      <c r="M373" s="1" t="s">
        <v>27</v>
      </c>
      <c r="N373" s="1" t="s">
        <v>27</v>
      </c>
      <c r="O373" s="1" t="s">
        <v>49</v>
      </c>
      <c r="P373">
        <v>3</v>
      </c>
      <c r="Q373" s="1" t="s">
        <v>50</v>
      </c>
      <c r="R373" s="1" t="str">
        <f>_xlfn.CONCAT(laptop[[#This Row],[CPU_company]]," ",laptop[[#This Row],[CPU_model]])</f>
        <v>AMD A9-Series 9420</v>
      </c>
      <c r="S373">
        <v>128</v>
      </c>
      <c r="T373">
        <v>0</v>
      </c>
      <c r="U373">
        <f>laptop[[#This Row],[PrimaryStorage]]+laptop[[#This Row],[SecondaryStorage]]</f>
        <v>128</v>
      </c>
      <c r="V373" s="1" t="s">
        <v>31</v>
      </c>
      <c r="W373" s="1" t="s">
        <v>27</v>
      </c>
      <c r="X373" s="1" t="str">
        <f>IF(laptop[[#This Row],[PrimaryStorageType]]=laptop[[#This Row],[SecondaryStorageType]],laptop[[#This Row],[PrimaryStorageType]],"SSD &amp; HDD")</f>
        <v>SSD &amp; HDD</v>
      </c>
      <c r="Y373" s="1" t="s">
        <v>52</v>
      </c>
    </row>
    <row r="374" spans="1:25" x14ac:dyDescent="0.25">
      <c r="A374" s="1" t="s">
        <v>55</v>
      </c>
      <c r="B374" s="1" t="s">
        <v>126</v>
      </c>
      <c r="C374" s="1" t="s">
        <v>83</v>
      </c>
      <c r="D374">
        <v>17.3</v>
      </c>
      <c r="E374">
        <v>16</v>
      </c>
      <c r="F374" s="1" t="s">
        <v>48</v>
      </c>
      <c r="G374">
        <v>3.25</v>
      </c>
      <c r="H374">
        <v>2199</v>
      </c>
      <c r="I374" s="1" t="s">
        <v>40</v>
      </c>
      <c r="J374">
        <v>1920</v>
      </c>
      <c r="K374">
        <v>1080</v>
      </c>
      <c r="L374" s="1" t="s">
        <v>27</v>
      </c>
      <c r="M374" s="1" t="s">
        <v>28</v>
      </c>
      <c r="N374" s="1" t="s">
        <v>27</v>
      </c>
      <c r="O374" s="1" t="s">
        <v>49</v>
      </c>
      <c r="P374">
        <v>3</v>
      </c>
      <c r="Q374" s="1" t="s">
        <v>127</v>
      </c>
      <c r="R374" s="1" t="str">
        <f>_xlfn.CONCAT(laptop[[#This Row],[CPU_company]]," ",laptop[[#This Row],[CPU_model]])</f>
        <v>AMD Ryzen 1700</v>
      </c>
      <c r="S374">
        <v>256</v>
      </c>
      <c r="T374">
        <v>1024</v>
      </c>
      <c r="U374">
        <f>laptop[[#This Row],[PrimaryStorage]]+laptop[[#This Row],[SecondaryStorage]]</f>
        <v>1280</v>
      </c>
      <c r="V374" s="1" t="s">
        <v>31</v>
      </c>
      <c r="W374" s="1" t="s">
        <v>51</v>
      </c>
      <c r="X374" s="1" t="str">
        <f>IF(laptop[[#This Row],[PrimaryStorageType]]=laptop[[#This Row],[SecondaryStorageType]],laptop[[#This Row],[PrimaryStorageType]],"SSD &amp; HDD")</f>
        <v>SSD &amp; HDD</v>
      </c>
      <c r="Y374" s="1" t="s">
        <v>128</v>
      </c>
    </row>
    <row r="375" spans="1:25" x14ac:dyDescent="0.25">
      <c r="A375" s="1" t="s">
        <v>73</v>
      </c>
      <c r="B375" s="1" t="s">
        <v>372</v>
      </c>
      <c r="C375" s="1" t="s">
        <v>38</v>
      </c>
      <c r="D375">
        <v>17.3</v>
      </c>
      <c r="E375">
        <v>4</v>
      </c>
      <c r="F375" s="1" t="s">
        <v>48</v>
      </c>
      <c r="G375">
        <v>2.6</v>
      </c>
      <c r="H375">
        <v>489</v>
      </c>
      <c r="I375" s="1" t="s">
        <v>26</v>
      </c>
      <c r="J375">
        <v>1600</v>
      </c>
      <c r="K375">
        <v>900</v>
      </c>
      <c r="L375" s="1" t="s">
        <v>27</v>
      </c>
      <c r="M375" s="1" t="s">
        <v>27</v>
      </c>
      <c r="N375" s="1" t="s">
        <v>27</v>
      </c>
      <c r="O375" s="1" t="s">
        <v>49</v>
      </c>
      <c r="P375">
        <v>2.2000000000000002</v>
      </c>
      <c r="Q375" s="1" t="s">
        <v>339</v>
      </c>
      <c r="R375" s="1" t="str">
        <f>_xlfn.CONCAT(laptop[[#This Row],[CPU_company]]," ",laptop[[#This Row],[CPU_model]])</f>
        <v>AMD A8-Series 7410</v>
      </c>
      <c r="S375">
        <v>128</v>
      </c>
      <c r="T375">
        <v>0</v>
      </c>
      <c r="U375">
        <f>laptop[[#This Row],[PrimaryStorage]]+laptop[[#This Row],[SecondaryStorage]]</f>
        <v>128</v>
      </c>
      <c r="V375" s="1" t="s">
        <v>31</v>
      </c>
      <c r="W375" s="1" t="s">
        <v>27</v>
      </c>
      <c r="X375" s="1" t="str">
        <f>IF(laptop[[#This Row],[PrimaryStorageType]]=laptop[[#This Row],[SecondaryStorageType]],laptop[[#This Row],[PrimaryStorageType]],"SSD &amp; HDD")</f>
        <v>SSD &amp; HDD</v>
      </c>
      <c r="Y375" s="1" t="s">
        <v>52</v>
      </c>
    </row>
    <row r="376" spans="1:25" x14ac:dyDescent="0.25">
      <c r="A376" s="1" t="s">
        <v>65</v>
      </c>
      <c r="B376" s="1" t="s">
        <v>89</v>
      </c>
      <c r="C376" s="1" t="s">
        <v>90</v>
      </c>
      <c r="D376">
        <v>13.3</v>
      </c>
      <c r="E376">
        <v>8</v>
      </c>
      <c r="F376" s="1" t="s">
        <v>48</v>
      </c>
      <c r="G376">
        <v>1.62</v>
      </c>
      <c r="H376">
        <v>869.01</v>
      </c>
      <c r="I376" s="1" t="s">
        <v>40</v>
      </c>
      <c r="J376">
        <v>1920</v>
      </c>
      <c r="K376">
        <v>1080</v>
      </c>
      <c r="L376" s="1" t="s">
        <v>28</v>
      </c>
      <c r="M376" s="1" t="s">
        <v>27</v>
      </c>
      <c r="N376" s="1" t="s">
        <v>27</v>
      </c>
      <c r="O376" s="1" t="s">
        <v>29</v>
      </c>
      <c r="P376">
        <v>1.8</v>
      </c>
      <c r="Q376" s="1" t="s">
        <v>57</v>
      </c>
      <c r="R376" s="1" t="str">
        <f>_xlfn.CONCAT(laptop[[#This Row],[CPU_company]]," ",laptop[[#This Row],[CPU_model]])</f>
        <v>Intel Core i7 8550U</v>
      </c>
      <c r="S376">
        <v>256</v>
      </c>
      <c r="T376">
        <v>0</v>
      </c>
      <c r="U376">
        <f>laptop[[#This Row],[PrimaryStorage]]+laptop[[#This Row],[SecondaryStorage]]</f>
        <v>256</v>
      </c>
      <c r="V376" s="1" t="s">
        <v>31</v>
      </c>
      <c r="W376" s="1" t="s">
        <v>27</v>
      </c>
      <c r="X376" s="1" t="str">
        <f>IF(laptop[[#This Row],[PrimaryStorageType]]=laptop[[#This Row],[SecondaryStorageType]],laptop[[#This Row],[PrimaryStorageType]],"SSD &amp; HDD")</f>
        <v>SSD &amp; HDD</v>
      </c>
      <c r="Y376" s="1" t="s">
        <v>61</v>
      </c>
    </row>
    <row r="377" spans="1:25" x14ac:dyDescent="0.25">
      <c r="A377" s="1" t="s">
        <v>36</v>
      </c>
      <c r="B377" s="1" t="s">
        <v>373</v>
      </c>
      <c r="C377" s="1" t="s">
        <v>38</v>
      </c>
      <c r="D377">
        <v>15.6</v>
      </c>
      <c r="E377">
        <v>4</v>
      </c>
      <c r="F377" s="1" t="s">
        <v>48</v>
      </c>
      <c r="G377">
        <v>1.91</v>
      </c>
      <c r="H377">
        <v>488.99</v>
      </c>
      <c r="I377" s="1" t="s">
        <v>40</v>
      </c>
      <c r="J377">
        <v>1920</v>
      </c>
      <c r="K377">
        <v>1080</v>
      </c>
      <c r="L377" s="1" t="s">
        <v>27</v>
      </c>
      <c r="M377" s="1" t="s">
        <v>27</v>
      </c>
      <c r="N377" s="1" t="s">
        <v>27</v>
      </c>
      <c r="O377" s="1" t="s">
        <v>49</v>
      </c>
      <c r="P377">
        <v>3</v>
      </c>
      <c r="Q377" s="1" t="s">
        <v>50</v>
      </c>
      <c r="R377" s="1" t="str">
        <f>_xlfn.CONCAT(laptop[[#This Row],[CPU_company]]," ",laptop[[#This Row],[CPU_model]])</f>
        <v>AMD A9-Series 9420</v>
      </c>
      <c r="S377">
        <v>256</v>
      </c>
      <c r="T377">
        <v>0</v>
      </c>
      <c r="U377">
        <f>laptop[[#This Row],[PrimaryStorage]]+laptop[[#This Row],[SecondaryStorage]]</f>
        <v>256</v>
      </c>
      <c r="V377" s="1" t="s">
        <v>31</v>
      </c>
      <c r="W377" s="1" t="s">
        <v>27</v>
      </c>
      <c r="X377" s="1" t="str">
        <f>IF(laptop[[#This Row],[PrimaryStorageType]]=laptop[[#This Row],[SecondaryStorageType]],laptop[[#This Row],[PrimaryStorageType]],"SSD &amp; HDD")</f>
        <v>SSD &amp; HDD</v>
      </c>
      <c r="Y377" s="1" t="s">
        <v>52</v>
      </c>
    </row>
    <row r="378" spans="1:25" x14ac:dyDescent="0.25">
      <c r="A378" s="1" t="s">
        <v>73</v>
      </c>
      <c r="B378" s="1" t="s">
        <v>374</v>
      </c>
      <c r="C378" s="1" t="s">
        <v>79</v>
      </c>
      <c r="D378">
        <v>11.6</v>
      </c>
      <c r="E378">
        <v>4</v>
      </c>
      <c r="F378" s="1" t="s">
        <v>48</v>
      </c>
      <c r="G378">
        <v>1.59</v>
      </c>
      <c r="H378">
        <v>553</v>
      </c>
      <c r="I378" s="1" t="s">
        <v>26</v>
      </c>
      <c r="J378">
        <v>1366</v>
      </c>
      <c r="K378">
        <v>768</v>
      </c>
      <c r="L378" s="1" t="s">
        <v>27</v>
      </c>
      <c r="M378" s="1" t="s">
        <v>28</v>
      </c>
      <c r="N378" s="1" t="s">
        <v>27</v>
      </c>
      <c r="O378" s="1" t="s">
        <v>29</v>
      </c>
      <c r="P378">
        <v>1.1000000000000001</v>
      </c>
      <c r="Q378" s="1" t="s">
        <v>375</v>
      </c>
      <c r="R378" s="1" t="str">
        <f>_xlfn.CONCAT(laptop[[#This Row],[CPU_company]]," ",laptop[[#This Row],[CPU_model]])</f>
        <v>Intel Celeron Quad Core N3450</v>
      </c>
      <c r="S378">
        <v>128</v>
      </c>
      <c r="T378">
        <v>0</v>
      </c>
      <c r="U378">
        <f>laptop[[#This Row],[PrimaryStorage]]+laptop[[#This Row],[SecondaryStorage]]</f>
        <v>128</v>
      </c>
      <c r="V378" s="1" t="s">
        <v>31</v>
      </c>
      <c r="W378" s="1" t="s">
        <v>27</v>
      </c>
      <c r="X378" s="1" t="str">
        <f>IF(laptop[[#This Row],[PrimaryStorageType]]=laptop[[#This Row],[SecondaryStorageType]],laptop[[#This Row],[PrimaryStorageType]],"SSD &amp; HDD")</f>
        <v>SSD &amp; HDD</v>
      </c>
      <c r="Y378" s="1" t="s">
        <v>110</v>
      </c>
    </row>
    <row r="379" spans="1:25" x14ac:dyDescent="0.25">
      <c r="A379" s="1" t="s">
        <v>65</v>
      </c>
      <c r="B379" s="1" t="s">
        <v>361</v>
      </c>
      <c r="C379" s="1" t="s">
        <v>38</v>
      </c>
      <c r="D379">
        <v>15.6</v>
      </c>
      <c r="E379">
        <v>4</v>
      </c>
      <c r="F379" s="1" t="s">
        <v>48</v>
      </c>
      <c r="G379">
        <v>1.8</v>
      </c>
      <c r="H379">
        <v>309</v>
      </c>
      <c r="I379" s="1" t="s">
        <v>26</v>
      </c>
      <c r="J379">
        <v>1366</v>
      </c>
      <c r="K379">
        <v>768</v>
      </c>
      <c r="L379" s="1" t="s">
        <v>27</v>
      </c>
      <c r="M379" s="1" t="s">
        <v>27</v>
      </c>
      <c r="N379" s="1" t="s">
        <v>27</v>
      </c>
      <c r="O379" s="1" t="s">
        <v>29</v>
      </c>
      <c r="P379">
        <v>1.6</v>
      </c>
      <c r="Q379" s="1" t="s">
        <v>151</v>
      </c>
      <c r="R379" s="1" t="str">
        <f>_xlfn.CONCAT(laptop[[#This Row],[CPU_company]]," ",laptop[[#This Row],[CPU_model]])</f>
        <v>Intel Celeron Dual Core N3060</v>
      </c>
      <c r="S379">
        <v>500</v>
      </c>
      <c r="T379">
        <v>0</v>
      </c>
      <c r="U379">
        <f>laptop[[#This Row],[PrimaryStorage]]+laptop[[#This Row],[SecondaryStorage]]</f>
        <v>500</v>
      </c>
      <c r="V379" s="1" t="s">
        <v>51</v>
      </c>
      <c r="W379" s="1" t="s">
        <v>27</v>
      </c>
      <c r="X379" s="1" t="str">
        <f>IF(laptop[[#This Row],[PrimaryStorageType]]=laptop[[#This Row],[SecondaryStorageType]],laptop[[#This Row],[PrimaryStorageType]],"SSD &amp; HDD")</f>
        <v>SSD &amp; HDD</v>
      </c>
      <c r="Y379" s="1" t="s">
        <v>81</v>
      </c>
    </row>
    <row r="380" spans="1:25" x14ac:dyDescent="0.25">
      <c r="A380" s="1" t="s">
        <v>55</v>
      </c>
      <c r="B380" s="1" t="s">
        <v>376</v>
      </c>
      <c r="C380" s="1" t="s">
        <v>38</v>
      </c>
      <c r="D380">
        <v>14</v>
      </c>
      <c r="E380">
        <v>4</v>
      </c>
      <c r="F380" s="1" t="s">
        <v>48</v>
      </c>
      <c r="G380">
        <v>1.5</v>
      </c>
      <c r="H380">
        <v>286</v>
      </c>
      <c r="I380" s="1" t="s">
        <v>26</v>
      </c>
      <c r="J380">
        <v>1366</v>
      </c>
      <c r="K380">
        <v>768</v>
      </c>
      <c r="L380" s="1" t="s">
        <v>27</v>
      </c>
      <c r="M380" s="1" t="s">
        <v>27</v>
      </c>
      <c r="N380" s="1" t="s">
        <v>27</v>
      </c>
      <c r="O380" s="1" t="s">
        <v>29</v>
      </c>
      <c r="P380">
        <v>1.1000000000000001</v>
      </c>
      <c r="Q380" s="1" t="s">
        <v>109</v>
      </c>
      <c r="R380" s="1" t="str">
        <f>_xlfn.CONCAT(laptop[[#This Row],[CPU_company]]," ",laptop[[#This Row],[CPU_model]])</f>
        <v>Intel Celeron Dual Core N3350</v>
      </c>
      <c r="S380">
        <v>32</v>
      </c>
      <c r="T380">
        <v>0</v>
      </c>
      <c r="U380">
        <f>laptop[[#This Row],[PrimaryStorage]]+laptop[[#This Row],[SecondaryStorage]]</f>
        <v>32</v>
      </c>
      <c r="V380" s="1" t="s">
        <v>34</v>
      </c>
      <c r="W380" s="1" t="s">
        <v>27</v>
      </c>
      <c r="X380" s="1" t="str">
        <f>IF(laptop[[#This Row],[PrimaryStorageType]]=laptop[[#This Row],[SecondaryStorageType]],laptop[[#This Row],[PrimaryStorageType]],"SSD &amp; HDD")</f>
        <v>SSD &amp; HDD</v>
      </c>
      <c r="Y380" s="1" t="s">
        <v>110</v>
      </c>
    </row>
    <row r="381" spans="1:25" x14ac:dyDescent="0.25">
      <c r="A381" s="1" t="s">
        <v>46</v>
      </c>
      <c r="B381" s="1" t="s">
        <v>268</v>
      </c>
      <c r="C381" s="1" t="s">
        <v>38</v>
      </c>
      <c r="D381">
        <v>15.6</v>
      </c>
      <c r="E381">
        <v>8</v>
      </c>
      <c r="F381" s="1" t="s">
        <v>111</v>
      </c>
      <c r="G381">
        <v>2.4</v>
      </c>
      <c r="H381">
        <v>846</v>
      </c>
      <c r="I381" s="1" t="s">
        <v>40</v>
      </c>
      <c r="J381">
        <v>1920</v>
      </c>
      <c r="K381">
        <v>1080</v>
      </c>
      <c r="L381" s="1" t="s">
        <v>27</v>
      </c>
      <c r="M381" s="1" t="s">
        <v>27</v>
      </c>
      <c r="N381" s="1" t="s">
        <v>27</v>
      </c>
      <c r="O381" s="1" t="s">
        <v>29</v>
      </c>
      <c r="P381">
        <v>2.8</v>
      </c>
      <c r="Q381" s="1" t="s">
        <v>118</v>
      </c>
      <c r="R381" s="1" t="str">
        <f>_xlfn.CONCAT(laptop[[#This Row],[CPU_company]]," ",laptop[[#This Row],[CPU_model]])</f>
        <v>Intel Core i7 7700HQ</v>
      </c>
      <c r="S381">
        <v>1024</v>
      </c>
      <c r="T381">
        <v>0</v>
      </c>
      <c r="U381">
        <f>laptop[[#This Row],[PrimaryStorage]]+laptop[[#This Row],[SecondaryStorage]]</f>
        <v>1024</v>
      </c>
      <c r="V381" s="1" t="s">
        <v>51</v>
      </c>
      <c r="W381" s="1" t="s">
        <v>27</v>
      </c>
      <c r="X381" s="1" t="str">
        <f>IF(laptop[[#This Row],[PrimaryStorageType]]=laptop[[#This Row],[SecondaryStorageType]],laptop[[#This Row],[PrimaryStorageType]],"SSD &amp; HDD")</f>
        <v>SSD &amp; HDD</v>
      </c>
      <c r="Y381" s="1" t="s">
        <v>85</v>
      </c>
    </row>
    <row r="382" spans="1:25" x14ac:dyDescent="0.25">
      <c r="A382" s="1" t="s">
        <v>36</v>
      </c>
      <c r="B382" s="1" t="s">
        <v>377</v>
      </c>
      <c r="C382" s="1" t="s">
        <v>83</v>
      </c>
      <c r="D382">
        <v>17.3</v>
      </c>
      <c r="E382">
        <v>8</v>
      </c>
      <c r="F382" s="1" t="s">
        <v>48</v>
      </c>
      <c r="G382">
        <v>3.35</v>
      </c>
      <c r="H382">
        <v>1191</v>
      </c>
      <c r="I382" s="1" t="s">
        <v>40</v>
      </c>
      <c r="J382">
        <v>1920</v>
      </c>
      <c r="K382">
        <v>1080</v>
      </c>
      <c r="L382" s="1" t="s">
        <v>27</v>
      </c>
      <c r="M382" s="1" t="s">
        <v>28</v>
      </c>
      <c r="N382" s="1" t="s">
        <v>27</v>
      </c>
      <c r="O382" s="1" t="s">
        <v>29</v>
      </c>
      <c r="P382">
        <v>2.8</v>
      </c>
      <c r="Q382" s="1" t="s">
        <v>118</v>
      </c>
      <c r="R382" s="1" t="str">
        <f>_xlfn.CONCAT(laptop[[#This Row],[CPU_company]]," ",laptop[[#This Row],[CPU_model]])</f>
        <v>Intel Core i7 7700HQ</v>
      </c>
      <c r="S382">
        <v>128</v>
      </c>
      <c r="T382">
        <v>1024</v>
      </c>
      <c r="U382">
        <f>laptop[[#This Row],[PrimaryStorage]]+laptop[[#This Row],[SecondaryStorage]]</f>
        <v>1152</v>
      </c>
      <c r="V382" s="1" t="s">
        <v>31</v>
      </c>
      <c r="W382" s="1" t="s">
        <v>51</v>
      </c>
      <c r="X382" s="1" t="str">
        <f>IF(laptop[[#This Row],[PrimaryStorageType]]=laptop[[#This Row],[SecondaryStorageType]],laptop[[#This Row],[PrimaryStorageType]],"SSD &amp; HDD")</f>
        <v>SSD &amp; HDD</v>
      </c>
      <c r="Y382" s="1" t="s">
        <v>85</v>
      </c>
    </row>
    <row r="383" spans="1:25" x14ac:dyDescent="0.25">
      <c r="A383" s="1" t="s">
        <v>73</v>
      </c>
      <c r="B383" s="1" t="s">
        <v>378</v>
      </c>
      <c r="C383" s="1" t="s">
        <v>38</v>
      </c>
      <c r="D383">
        <v>15.6</v>
      </c>
      <c r="E383">
        <v>4</v>
      </c>
      <c r="F383" s="1" t="s">
        <v>39</v>
      </c>
      <c r="G383">
        <v>1.85</v>
      </c>
      <c r="H383">
        <v>403.5</v>
      </c>
      <c r="I383" s="1" t="s">
        <v>40</v>
      </c>
      <c r="J383">
        <v>1920</v>
      </c>
      <c r="K383">
        <v>1080</v>
      </c>
      <c r="L383" s="1" t="s">
        <v>27</v>
      </c>
      <c r="M383" s="1" t="s">
        <v>27</v>
      </c>
      <c r="N383" s="1" t="s">
        <v>27</v>
      </c>
      <c r="O383" s="1" t="s">
        <v>29</v>
      </c>
      <c r="P383">
        <v>2</v>
      </c>
      <c r="Q383" s="1" t="s">
        <v>62</v>
      </c>
      <c r="R383" s="1" t="str">
        <f>_xlfn.CONCAT(laptop[[#This Row],[CPU_company]]," ",laptop[[#This Row],[CPU_model]])</f>
        <v>Intel Core i3 6006U</v>
      </c>
      <c r="S383">
        <v>128</v>
      </c>
      <c r="T383">
        <v>0</v>
      </c>
      <c r="U383">
        <f>laptop[[#This Row],[PrimaryStorage]]+laptop[[#This Row],[SecondaryStorage]]</f>
        <v>128</v>
      </c>
      <c r="V383" s="1" t="s">
        <v>31</v>
      </c>
      <c r="W383" s="1" t="s">
        <v>27</v>
      </c>
      <c r="X383" s="1" t="str">
        <f>IF(laptop[[#This Row],[PrimaryStorageType]]=laptop[[#This Row],[SecondaryStorageType]],laptop[[#This Row],[PrimaryStorageType]],"SSD &amp; HDD")</f>
        <v>SSD &amp; HDD</v>
      </c>
      <c r="Y383" s="1" t="s">
        <v>63</v>
      </c>
    </row>
    <row r="384" spans="1:25" x14ac:dyDescent="0.25">
      <c r="A384" s="1" t="s">
        <v>55</v>
      </c>
      <c r="B384" s="1" t="s">
        <v>379</v>
      </c>
      <c r="C384" s="1" t="s">
        <v>83</v>
      </c>
      <c r="D384">
        <v>15.6</v>
      </c>
      <c r="E384">
        <v>8</v>
      </c>
      <c r="F384" s="1" t="s">
        <v>48</v>
      </c>
      <c r="G384">
        <v>2.2999999999999998</v>
      </c>
      <c r="H384">
        <v>1655</v>
      </c>
      <c r="I384" s="1" t="s">
        <v>40</v>
      </c>
      <c r="J384">
        <v>1920</v>
      </c>
      <c r="K384">
        <v>1080</v>
      </c>
      <c r="L384" s="1" t="s">
        <v>27</v>
      </c>
      <c r="M384" s="1" t="s">
        <v>28</v>
      </c>
      <c r="N384" s="1" t="s">
        <v>27</v>
      </c>
      <c r="O384" s="1" t="s">
        <v>29</v>
      </c>
      <c r="P384">
        <v>2.8</v>
      </c>
      <c r="Q384" s="1" t="s">
        <v>118</v>
      </c>
      <c r="R384" s="1" t="str">
        <f>_xlfn.CONCAT(laptop[[#This Row],[CPU_company]]," ",laptop[[#This Row],[CPU_model]])</f>
        <v>Intel Core i7 7700HQ</v>
      </c>
      <c r="S384">
        <v>128</v>
      </c>
      <c r="T384">
        <v>1024</v>
      </c>
      <c r="U384">
        <f>laptop[[#This Row],[PrimaryStorage]]+laptop[[#This Row],[SecondaryStorage]]</f>
        <v>1152</v>
      </c>
      <c r="V384" s="1" t="s">
        <v>31</v>
      </c>
      <c r="W384" s="1" t="s">
        <v>51</v>
      </c>
      <c r="X384" s="1" t="str">
        <f>IF(laptop[[#This Row],[PrimaryStorageType]]=laptop[[#This Row],[SecondaryStorageType]],laptop[[#This Row],[PrimaryStorageType]],"SSD &amp; HDD")</f>
        <v>SSD &amp; HDD</v>
      </c>
      <c r="Y384" s="1" t="s">
        <v>119</v>
      </c>
    </row>
    <row r="385" spans="1:25" x14ac:dyDescent="0.25">
      <c r="A385" s="1" t="s">
        <v>73</v>
      </c>
      <c r="B385" s="1" t="s">
        <v>380</v>
      </c>
      <c r="C385" s="1" t="s">
        <v>38</v>
      </c>
      <c r="D385">
        <v>14</v>
      </c>
      <c r="E385">
        <v>8</v>
      </c>
      <c r="F385" s="1" t="s">
        <v>48</v>
      </c>
      <c r="G385">
        <v>1.5</v>
      </c>
      <c r="H385">
        <v>1099</v>
      </c>
      <c r="I385" s="1" t="s">
        <v>40</v>
      </c>
      <c r="J385">
        <v>1920</v>
      </c>
      <c r="K385">
        <v>1080</v>
      </c>
      <c r="L385" s="1" t="s">
        <v>27</v>
      </c>
      <c r="M385" s="1" t="s">
        <v>28</v>
      </c>
      <c r="N385" s="1" t="s">
        <v>27</v>
      </c>
      <c r="O385" s="1" t="s">
        <v>29</v>
      </c>
      <c r="P385">
        <v>2.5</v>
      </c>
      <c r="Q385" s="1" t="s">
        <v>41</v>
      </c>
      <c r="R385" s="1" t="str">
        <f>_xlfn.CONCAT(laptop[[#This Row],[CPU_company]]," ",laptop[[#This Row],[CPU_model]])</f>
        <v>Intel Core i5 7200U</v>
      </c>
      <c r="S385">
        <v>256</v>
      </c>
      <c r="T385">
        <v>0</v>
      </c>
      <c r="U385">
        <f>laptop[[#This Row],[PrimaryStorage]]+laptop[[#This Row],[SecondaryStorage]]</f>
        <v>256</v>
      </c>
      <c r="V385" s="1" t="s">
        <v>31</v>
      </c>
      <c r="W385" s="1" t="s">
        <v>27</v>
      </c>
      <c r="X385" s="1" t="str">
        <f>IF(laptop[[#This Row],[PrimaryStorageType]]=laptop[[#This Row],[SecondaryStorageType]],laptop[[#This Row],[PrimaryStorageType]],"SSD &amp; HDD")</f>
        <v>SSD &amp; HDD</v>
      </c>
      <c r="Y385" s="1" t="s">
        <v>76</v>
      </c>
    </row>
    <row r="386" spans="1:25" x14ac:dyDescent="0.25">
      <c r="A386" s="1" t="s">
        <v>55</v>
      </c>
      <c r="B386" s="1" t="s">
        <v>381</v>
      </c>
      <c r="C386" s="1" t="s">
        <v>24</v>
      </c>
      <c r="D386">
        <v>13.3</v>
      </c>
      <c r="E386">
        <v>16</v>
      </c>
      <c r="F386" s="1" t="s">
        <v>48</v>
      </c>
      <c r="G386">
        <v>1.1000000000000001</v>
      </c>
      <c r="H386">
        <v>1748.9</v>
      </c>
      <c r="I386" s="1" t="s">
        <v>40</v>
      </c>
      <c r="J386">
        <v>1920</v>
      </c>
      <c r="K386">
        <v>1080</v>
      </c>
      <c r="L386" s="1" t="s">
        <v>28</v>
      </c>
      <c r="M386" s="1" t="s">
        <v>27</v>
      </c>
      <c r="N386" s="1" t="s">
        <v>27</v>
      </c>
      <c r="O386" s="1" t="s">
        <v>29</v>
      </c>
      <c r="P386">
        <v>2.7</v>
      </c>
      <c r="Q386" s="1" t="s">
        <v>71</v>
      </c>
      <c r="R386" s="1" t="str">
        <f>_xlfn.CONCAT(laptop[[#This Row],[CPU_company]]," ",laptop[[#This Row],[CPU_model]])</f>
        <v>Intel Core i7 7500U</v>
      </c>
      <c r="S386">
        <v>512</v>
      </c>
      <c r="T386">
        <v>0</v>
      </c>
      <c r="U386">
        <f>laptop[[#This Row],[PrimaryStorage]]+laptop[[#This Row],[SecondaryStorage]]</f>
        <v>512</v>
      </c>
      <c r="V386" s="1" t="s">
        <v>31</v>
      </c>
      <c r="W386" s="1" t="s">
        <v>27</v>
      </c>
      <c r="X386" s="1" t="str">
        <f>IF(laptop[[#This Row],[PrimaryStorageType]]=laptop[[#This Row],[SecondaryStorageType]],laptop[[#This Row],[PrimaryStorageType]],"SSD &amp; HDD")</f>
        <v>SSD &amp; HDD</v>
      </c>
      <c r="Y386" s="1" t="s">
        <v>42</v>
      </c>
    </row>
    <row r="387" spans="1:25" x14ac:dyDescent="0.25">
      <c r="A387" s="1" t="s">
        <v>73</v>
      </c>
      <c r="B387" s="1" t="s">
        <v>382</v>
      </c>
      <c r="C387" s="1" t="s">
        <v>24</v>
      </c>
      <c r="D387">
        <v>14</v>
      </c>
      <c r="E387">
        <v>8</v>
      </c>
      <c r="F387" s="1" t="s">
        <v>48</v>
      </c>
      <c r="G387">
        <v>1.1299999999999999</v>
      </c>
      <c r="H387">
        <v>2282</v>
      </c>
      <c r="I387" s="1" t="s">
        <v>26</v>
      </c>
      <c r="J387">
        <v>2560</v>
      </c>
      <c r="K387">
        <v>1440</v>
      </c>
      <c r="L387" s="1" t="s">
        <v>27</v>
      </c>
      <c r="M387" s="1" t="s">
        <v>28</v>
      </c>
      <c r="N387" s="1" t="s">
        <v>27</v>
      </c>
      <c r="O387" s="1" t="s">
        <v>29</v>
      </c>
      <c r="P387">
        <v>2.7</v>
      </c>
      <c r="Q387" s="1" t="s">
        <v>71</v>
      </c>
      <c r="R387" s="1" t="str">
        <f>_xlfn.CONCAT(laptop[[#This Row],[CPU_company]]," ",laptop[[#This Row],[CPU_model]])</f>
        <v>Intel Core i7 7500U</v>
      </c>
      <c r="S387">
        <v>512</v>
      </c>
      <c r="T387">
        <v>0</v>
      </c>
      <c r="U387">
        <f>laptop[[#This Row],[PrimaryStorage]]+laptop[[#This Row],[SecondaryStorage]]</f>
        <v>512</v>
      </c>
      <c r="V387" s="1" t="s">
        <v>31</v>
      </c>
      <c r="W387" s="1" t="s">
        <v>27</v>
      </c>
      <c r="X387" s="1" t="str">
        <f>IF(laptop[[#This Row],[PrimaryStorageType]]=laptop[[#This Row],[SecondaryStorageType]],laptop[[#This Row],[PrimaryStorageType]],"SSD &amp; HDD")</f>
        <v>SSD &amp; HDD</v>
      </c>
      <c r="Y387" s="1" t="s">
        <v>42</v>
      </c>
    </row>
    <row r="388" spans="1:25" x14ac:dyDescent="0.25">
      <c r="A388" s="1" t="s">
        <v>73</v>
      </c>
      <c r="B388" s="1" t="s">
        <v>383</v>
      </c>
      <c r="C388" s="1" t="s">
        <v>38</v>
      </c>
      <c r="D388">
        <v>13.3</v>
      </c>
      <c r="E388">
        <v>4</v>
      </c>
      <c r="F388" s="1" t="s">
        <v>48</v>
      </c>
      <c r="G388">
        <v>1.5</v>
      </c>
      <c r="H388">
        <v>549</v>
      </c>
      <c r="I388" s="1" t="s">
        <v>40</v>
      </c>
      <c r="J388">
        <v>1920</v>
      </c>
      <c r="K388">
        <v>1080</v>
      </c>
      <c r="L388" s="1" t="s">
        <v>27</v>
      </c>
      <c r="M388" s="1" t="s">
        <v>28</v>
      </c>
      <c r="N388" s="1" t="s">
        <v>27</v>
      </c>
      <c r="O388" s="1" t="s">
        <v>29</v>
      </c>
      <c r="P388">
        <v>2.4</v>
      </c>
      <c r="Q388" s="1" t="s">
        <v>75</v>
      </c>
      <c r="R388" s="1" t="str">
        <f>_xlfn.CONCAT(laptop[[#This Row],[CPU_company]]," ",laptop[[#This Row],[CPU_model]])</f>
        <v>Intel Core i3 7100U</v>
      </c>
      <c r="S388">
        <v>128</v>
      </c>
      <c r="T388">
        <v>0</v>
      </c>
      <c r="U388">
        <f>laptop[[#This Row],[PrimaryStorage]]+laptop[[#This Row],[SecondaryStorage]]</f>
        <v>128</v>
      </c>
      <c r="V388" s="1" t="s">
        <v>31</v>
      </c>
      <c r="W388" s="1" t="s">
        <v>27</v>
      </c>
      <c r="X388" s="1" t="str">
        <f>IF(laptop[[#This Row],[PrimaryStorageType]]=laptop[[#This Row],[SecondaryStorageType]],laptop[[#This Row],[PrimaryStorageType]],"SSD &amp; HDD")</f>
        <v>SSD &amp; HDD</v>
      </c>
      <c r="Y388" s="1" t="s">
        <v>42</v>
      </c>
    </row>
    <row r="389" spans="1:25" x14ac:dyDescent="0.25">
      <c r="A389" s="1" t="s">
        <v>65</v>
      </c>
      <c r="B389" s="1" t="s">
        <v>384</v>
      </c>
      <c r="C389" s="1" t="s">
        <v>265</v>
      </c>
      <c r="D389">
        <v>15.6</v>
      </c>
      <c r="E389">
        <v>8</v>
      </c>
      <c r="F389" s="1" t="s">
        <v>48</v>
      </c>
      <c r="G389">
        <v>2.23</v>
      </c>
      <c r="H389">
        <v>1369</v>
      </c>
      <c r="I389" s="1" t="s">
        <v>40</v>
      </c>
      <c r="J389">
        <v>1920</v>
      </c>
      <c r="K389">
        <v>1080</v>
      </c>
      <c r="L389" s="1" t="s">
        <v>27</v>
      </c>
      <c r="M389" s="1" t="s">
        <v>27</v>
      </c>
      <c r="N389" s="1" t="s">
        <v>27</v>
      </c>
      <c r="O389" s="1" t="s">
        <v>29</v>
      </c>
      <c r="P389">
        <v>2.6</v>
      </c>
      <c r="Q389" s="1" t="s">
        <v>385</v>
      </c>
      <c r="R389" s="1" t="str">
        <f>_xlfn.CONCAT(laptop[[#This Row],[CPU_company]]," ",laptop[[#This Row],[CPU_model]])</f>
        <v>Intel Core i5 6440HQ</v>
      </c>
      <c r="S389">
        <v>500</v>
      </c>
      <c r="T389">
        <v>0</v>
      </c>
      <c r="U389">
        <f>laptop[[#This Row],[PrimaryStorage]]+laptop[[#This Row],[SecondaryStorage]]</f>
        <v>500</v>
      </c>
      <c r="V389" s="1" t="s">
        <v>51</v>
      </c>
      <c r="W389" s="1" t="s">
        <v>27</v>
      </c>
      <c r="X389" s="1" t="str">
        <f>IF(laptop[[#This Row],[PrimaryStorageType]]=laptop[[#This Row],[SecondaryStorageType]],laptop[[#This Row],[PrimaryStorageType]],"SSD &amp; HDD")</f>
        <v>SSD &amp; HDD</v>
      </c>
      <c r="Y389" s="1" t="s">
        <v>386</v>
      </c>
    </row>
    <row r="390" spans="1:25" x14ac:dyDescent="0.25">
      <c r="A390" s="1" t="s">
        <v>65</v>
      </c>
      <c r="B390" s="1" t="s">
        <v>387</v>
      </c>
      <c r="C390" s="1" t="s">
        <v>265</v>
      </c>
      <c r="D390">
        <v>15.6</v>
      </c>
      <c r="E390">
        <v>8</v>
      </c>
      <c r="F390" s="1" t="s">
        <v>48</v>
      </c>
      <c r="G390">
        <v>2</v>
      </c>
      <c r="H390">
        <v>2135</v>
      </c>
      <c r="I390" s="1" t="s">
        <v>40</v>
      </c>
      <c r="J390">
        <v>1920</v>
      </c>
      <c r="K390">
        <v>1080</v>
      </c>
      <c r="L390" s="1" t="s">
        <v>27</v>
      </c>
      <c r="M390" s="1" t="s">
        <v>28</v>
      </c>
      <c r="N390" s="1" t="s">
        <v>27</v>
      </c>
      <c r="O390" s="1" t="s">
        <v>29</v>
      </c>
      <c r="P390">
        <v>2.7</v>
      </c>
      <c r="Q390" s="1" t="s">
        <v>388</v>
      </c>
      <c r="R390" s="1" t="str">
        <f>_xlfn.CONCAT(laptop[[#This Row],[CPU_company]]," ",laptop[[#This Row],[CPU_model]])</f>
        <v>Intel Core i7 6820HQ</v>
      </c>
      <c r="S390">
        <v>256</v>
      </c>
      <c r="T390">
        <v>0</v>
      </c>
      <c r="U390">
        <f>laptop[[#This Row],[PrimaryStorage]]+laptop[[#This Row],[SecondaryStorage]]</f>
        <v>256</v>
      </c>
      <c r="V390" s="1" t="s">
        <v>31</v>
      </c>
      <c r="W390" s="1" t="s">
        <v>27</v>
      </c>
      <c r="X390" s="1" t="str">
        <f>IF(laptop[[#This Row],[PrimaryStorageType]]=laptop[[#This Row],[SecondaryStorageType]],laptop[[#This Row],[PrimaryStorageType]],"SSD &amp; HDD")</f>
        <v>SSD &amp; HDD</v>
      </c>
      <c r="Y390" s="1" t="s">
        <v>267</v>
      </c>
    </row>
    <row r="391" spans="1:25" x14ac:dyDescent="0.25">
      <c r="A391" s="1" t="s">
        <v>73</v>
      </c>
      <c r="B391" s="1" t="s">
        <v>308</v>
      </c>
      <c r="C391" s="1" t="s">
        <v>90</v>
      </c>
      <c r="D391">
        <v>14</v>
      </c>
      <c r="E391">
        <v>16</v>
      </c>
      <c r="F391" s="1" t="s">
        <v>48</v>
      </c>
      <c r="G391">
        <v>1.42</v>
      </c>
      <c r="H391">
        <v>2509</v>
      </c>
      <c r="I391" s="1" t="s">
        <v>26</v>
      </c>
      <c r="J391">
        <v>2560</v>
      </c>
      <c r="K391">
        <v>1440</v>
      </c>
      <c r="L391" s="1" t="s">
        <v>28</v>
      </c>
      <c r="M391" s="1" t="s">
        <v>27</v>
      </c>
      <c r="N391" s="1" t="s">
        <v>27</v>
      </c>
      <c r="O391" s="1" t="s">
        <v>29</v>
      </c>
      <c r="P391">
        <v>2.7</v>
      </c>
      <c r="Q391" s="1" t="s">
        <v>71</v>
      </c>
      <c r="R391" s="1" t="str">
        <f>_xlfn.CONCAT(laptop[[#This Row],[CPU_company]]," ",laptop[[#This Row],[CPU_model]])</f>
        <v>Intel Core i7 7500U</v>
      </c>
      <c r="S391">
        <v>512</v>
      </c>
      <c r="T391">
        <v>0</v>
      </c>
      <c r="U391">
        <f>laptop[[#This Row],[PrimaryStorage]]+laptop[[#This Row],[SecondaryStorage]]</f>
        <v>512</v>
      </c>
      <c r="V391" s="1" t="s">
        <v>31</v>
      </c>
      <c r="W391" s="1" t="s">
        <v>27</v>
      </c>
      <c r="X391" s="1" t="str">
        <f>IF(laptop[[#This Row],[PrimaryStorageType]]=laptop[[#This Row],[SecondaryStorageType]],laptop[[#This Row],[PrimaryStorageType]],"SSD &amp; HDD")</f>
        <v>SSD &amp; HDD</v>
      </c>
      <c r="Y391" s="1" t="s">
        <v>42</v>
      </c>
    </row>
    <row r="392" spans="1:25" x14ac:dyDescent="0.25">
      <c r="A392" s="1" t="s">
        <v>55</v>
      </c>
      <c r="B392" s="1" t="s">
        <v>389</v>
      </c>
      <c r="C392" s="1" t="s">
        <v>83</v>
      </c>
      <c r="D392">
        <v>17.3</v>
      </c>
      <c r="E392">
        <v>8</v>
      </c>
      <c r="F392" s="1" t="s">
        <v>48</v>
      </c>
      <c r="G392">
        <v>3</v>
      </c>
      <c r="H392">
        <v>1039</v>
      </c>
      <c r="I392" s="1" t="s">
        <v>40</v>
      </c>
      <c r="J392">
        <v>1920</v>
      </c>
      <c r="K392">
        <v>1080</v>
      </c>
      <c r="L392" s="1" t="s">
        <v>27</v>
      </c>
      <c r="M392" s="1" t="s">
        <v>27</v>
      </c>
      <c r="N392" s="1" t="s">
        <v>27</v>
      </c>
      <c r="O392" s="1" t="s">
        <v>29</v>
      </c>
      <c r="P392">
        <v>2.8</v>
      </c>
      <c r="Q392" s="1" t="s">
        <v>118</v>
      </c>
      <c r="R392" s="1" t="str">
        <f>_xlfn.CONCAT(laptop[[#This Row],[CPU_company]]," ",laptop[[#This Row],[CPU_model]])</f>
        <v>Intel Core i7 7700HQ</v>
      </c>
      <c r="S392">
        <v>1024</v>
      </c>
      <c r="T392">
        <v>0</v>
      </c>
      <c r="U392">
        <f>laptop[[#This Row],[PrimaryStorage]]+laptop[[#This Row],[SecondaryStorage]]</f>
        <v>1024</v>
      </c>
      <c r="V392" s="1" t="s">
        <v>51</v>
      </c>
      <c r="W392" s="1" t="s">
        <v>27</v>
      </c>
      <c r="X392" s="1" t="str">
        <f>IF(laptop[[#This Row],[PrimaryStorageType]]=laptop[[#This Row],[SecondaryStorageType]],laptop[[#This Row],[PrimaryStorageType]],"SSD &amp; HDD")</f>
        <v>SSD &amp; HDD</v>
      </c>
      <c r="Y392" s="1" t="s">
        <v>85</v>
      </c>
    </row>
    <row r="393" spans="1:25" x14ac:dyDescent="0.25">
      <c r="A393" s="1" t="s">
        <v>55</v>
      </c>
      <c r="B393" s="1" t="s">
        <v>390</v>
      </c>
      <c r="C393" s="1" t="s">
        <v>83</v>
      </c>
      <c r="D393">
        <v>17.3</v>
      </c>
      <c r="E393">
        <v>16</v>
      </c>
      <c r="F393" s="1" t="s">
        <v>48</v>
      </c>
      <c r="G393">
        <v>3</v>
      </c>
      <c r="H393">
        <v>1591</v>
      </c>
      <c r="I393" s="1" t="s">
        <v>40</v>
      </c>
      <c r="J393">
        <v>1920</v>
      </c>
      <c r="K393">
        <v>1080</v>
      </c>
      <c r="L393" s="1" t="s">
        <v>27</v>
      </c>
      <c r="M393" s="1" t="s">
        <v>27</v>
      </c>
      <c r="N393" s="1" t="s">
        <v>27</v>
      </c>
      <c r="O393" s="1" t="s">
        <v>29</v>
      </c>
      <c r="P393">
        <v>2.8</v>
      </c>
      <c r="Q393" s="1" t="s">
        <v>118</v>
      </c>
      <c r="R393" s="1" t="str">
        <f>_xlfn.CONCAT(laptop[[#This Row],[CPU_company]]," ",laptop[[#This Row],[CPU_model]])</f>
        <v>Intel Core i7 7700HQ</v>
      </c>
      <c r="S393">
        <v>256</v>
      </c>
      <c r="T393">
        <v>1024</v>
      </c>
      <c r="U393">
        <f>laptop[[#This Row],[PrimaryStorage]]+laptop[[#This Row],[SecondaryStorage]]</f>
        <v>1280</v>
      </c>
      <c r="V393" s="1" t="s">
        <v>31</v>
      </c>
      <c r="W393" s="1" t="s">
        <v>51</v>
      </c>
      <c r="X393" s="1" t="str">
        <f>IF(laptop[[#This Row],[PrimaryStorageType]]=laptop[[#This Row],[SecondaryStorageType]],laptop[[#This Row],[PrimaryStorageType]],"SSD &amp; HDD")</f>
        <v>SSD &amp; HDD</v>
      </c>
      <c r="Y393" s="1" t="s">
        <v>149</v>
      </c>
    </row>
    <row r="394" spans="1:25" x14ac:dyDescent="0.25">
      <c r="A394" s="1" t="s">
        <v>46</v>
      </c>
      <c r="B394" s="1" t="s">
        <v>173</v>
      </c>
      <c r="C394" s="1" t="s">
        <v>38</v>
      </c>
      <c r="D394">
        <v>15.6</v>
      </c>
      <c r="E394">
        <v>12</v>
      </c>
      <c r="F394" s="1" t="s">
        <v>48</v>
      </c>
      <c r="G394">
        <v>2.2000000000000002</v>
      </c>
      <c r="H394">
        <v>693.99</v>
      </c>
      <c r="I394" s="1" t="s">
        <v>26</v>
      </c>
      <c r="J394">
        <v>1366</v>
      </c>
      <c r="K394">
        <v>768</v>
      </c>
      <c r="L394" s="1" t="s">
        <v>27</v>
      </c>
      <c r="M394" s="1" t="s">
        <v>28</v>
      </c>
      <c r="N394" s="1" t="s">
        <v>27</v>
      </c>
      <c r="O394" s="1" t="s">
        <v>29</v>
      </c>
      <c r="P394">
        <v>1.6</v>
      </c>
      <c r="Q394" s="1" t="s">
        <v>60</v>
      </c>
      <c r="R394" s="1" t="str">
        <f>_xlfn.CONCAT(laptop[[#This Row],[CPU_company]]," ",laptop[[#This Row],[CPU_model]])</f>
        <v>Intel Core i5 8250U</v>
      </c>
      <c r="S394">
        <v>1024</v>
      </c>
      <c r="T394">
        <v>0</v>
      </c>
      <c r="U394">
        <f>laptop[[#This Row],[PrimaryStorage]]+laptop[[#This Row],[SecondaryStorage]]</f>
        <v>1024</v>
      </c>
      <c r="V394" s="1" t="s">
        <v>51</v>
      </c>
      <c r="W394" s="1" t="s">
        <v>27</v>
      </c>
      <c r="X394" s="1" t="str">
        <f>IF(laptop[[#This Row],[PrimaryStorageType]]=laptop[[#This Row],[SecondaryStorageType]],laptop[[#This Row],[PrimaryStorageType]],"SSD &amp; HDD")</f>
        <v>SSD &amp; HDD</v>
      </c>
      <c r="Y394" s="1" t="s">
        <v>163</v>
      </c>
    </row>
    <row r="395" spans="1:25" x14ac:dyDescent="0.25">
      <c r="A395" s="1" t="s">
        <v>141</v>
      </c>
      <c r="B395" s="1" t="s">
        <v>391</v>
      </c>
      <c r="C395" s="1" t="s">
        <v>83</v>
      </c>
      <c r="D395">
        <v>17.3</v>
      </c>
      <c r="E395">
        <v>8</v>
      </c>
      <c r="F395" s="1" t="s">
        <v>48</v>
      </c>
      <c r="G395">
        <v>2.7</v>
      </c>
      <c r="H395">
        <v>1349</v>
      </c>
      <c r="I395" s="1" t="s">
        <v>40</v>
      </c>
      <c r="J395">
        <v>1920</v>
      </c>
      <c r="K395">
        <v>1080</v>
      </c>
      <c r="L395" s="1" t="s">
        <v>27</v>
      </c>
      <c r="M395" s="1" t="s">
        <v>27</v>
      </c>
      <c r="N395" s="1" t="s">
        <v>27</v>
      </c>
      <c r="O395" s="1" t="s">
        <v>29</v>
      </c>
      <c r="P395">
        <v>2.8</v>
      </c>
      <c r="Q395" s="1" t="s">
        <v>118</v>
      </c>
      <c r="R395" s="1" t="str">
        <f>_xlfn.CONCAT(laptop[[#This Row],[CPU_company]]," ",laptop[[#This Row],[CPU_model]])</f>
        <v>Intel Core i7 7700HQ</v>
      </c>
      <c r="S395">
        <v>256</v>
      </c>
      <c r="T395">
        <v>0</v>
      </c>
      <c r="U395">
        <f>laptop[[#This Row],[PrimaryStorage]]+laptop[[#This Row],[SecondaryStorage]]</f>
        <v>256</v>
      </c>
      <c r="V395" s="1" t="s">
        <v>31</v>
      </c>
      <c r="W395" s="1" t="s">
        <v>27</v>
      </c>
      <c r="X395" s="1" t="str">
        <f>IF(laptop[[#This Row],[PrimaryStorageType]]=laptop[[#This Row],[SecondaryStorageType]],laptop[[#This Row],[PrimaryStorageType]],"SSD &amp; HDD")</f>
        <v>SSD &amp; HDD</v>
      </c>
      <c r="Y395" s="1" t="s">
        <v>149</v>
      </c>
    </row>
    <row r="396" spans="1:25" x14ac:dyDescent="0.25">
      <c r="A396" s="1" t="s">
        <v>65</v>
      </c>
      <c r="B396" s="1" t="s">
        <v>200</v>
      </c>
      <c r="C396" s="1" t="s">
        <v>38</v>
      </c>
      <c r="D396">
        <v>15.6</v>
      </c>
      <c r="E396">
        <v>8</v>
      </c>
      <c r="F396" s="1" t="s">
        <v>111</v>
      </c>
      <c r="G396">
        <v>2.33</v>
      </c>
      <c r="H396">
        <v>778.87</v>
      </c>
      <c r="I396" s="1" t="s">
        <v>40</v>
      </c>
      <c r="J396">
        <v>1920</v>
      </c>
      <c r="K396">
        <v>1080</v>
      </c>
      <c r="L396" s="1" t="s">
        <v>27</v>
      </c>
      <c r="M396" s="1" t="s">
        <v>27</v>
      </c>
      <c r="N396" s="1" t="s">
        <v>27</v>
      </c>
      <c r="O396" s="1" t="s">
        <v>29</v>
      </c>
      <c r="P396">
        <v>2.7</v>
      </c>
      <c r="Q396" s="1" t="s">
        <v>71</v>
      </c>
      <c r="R396" s="1" t="str">
        <f>_xlfn.CONCAT(laptop[[#This Row],[CPU_company]]," ",laptop[[#This Row],[CPU_model]])</f>
        <v>Intel Core i7 7500U</v>
      </c>
      <c r="S396">
        <v>256</v>
      </c>
      <c r="T396">
        <v>0</v>
      </c>
      <c r="U396">
        <f>laptop[[#This Row],[PrimaryStorage]]+laptop[[#This Row],[SecondaryStorage]]</f>
        <v>256</v>
      </c>
      <c r="V396" s="1" t="s">
        <v>31</v>
      </c>
      <c r="W396" s="1" t="s">
        <v>27</v>
      </c>
      <c r="X396" s="1" t="str">
        <f>IF(laptop[[#This Row],[PrimaryStorageType]]=laptop[[#This Row],[SecondaryStorageType]],laptop[[#This Row],[PrimaryStorageType]],"SSD &amp; HDD")</f>
        <v>SSD &amp; HDD</v>
      </c>
      <c r="Y396" s="1" t="s">
        <v>201</v>
      </c>
    </row>
    <row r="397" spans="1:25" x14ac:dyDescent="0.25">
      <c r="A397" s="1" t="s">
        <v>36</v>
      </c>
      <c r="B397" s="1" t="s">
        <v>392</v>
      </c>
      <c r="C397" s="1" t="s">
        <v>24</v>
      </c>
      <c r="D397">
        <v>15.6</v>
      </c>
      <c r="E397">
        <v>4</v>
      </c>
      <c r="F397" s="1" t="s">
        <v>48</v>
      </c>
      <c r="G397">
        <v>1.91</v>
      </c>
      <c r="H397">
        <v>499</v>
      </c>
      <c r="I397" s="1" t="s">
        <v>40</v>
      </c>
      <c r="J397">
        <v>1920</v>
      </c>
      <c r="K397">
        <v>1080</v>
      </c>
      <c r="L397" s="1" t="s">
        <v>27</v>
      </c>
      <c r="M397" s="1" t="s">
        <v>27</v>
      </c>
      <c r="N397" s="1" t="s">
        <v>27</v>
      </c>
      <c r="O397" s="1" t="s">
        <v>49</v>
      </c>
      <c r="P397">
        <v>3</v>
      </c>
      <c r="Q397" s="1" t="s">
        <v>50</v>
      </c>
      <c r="R397" s="1" t="str">
        <f>_xlfn.CONCAT(laptop[[#This Row],[CPU_company]]," ",laptop[[#This Row],[CPU_model]])</f>
        <v>AMD A9-Series 9420</v>
      </c>
      <c r="S397">
        <v>256</v>
      </c>
      <c r="T397">
        <v>0</v>
      </c>
      <c r="U397">
        <f>laptop[[#This Row],[PrimaryStorage]]+laptop[[#This Row],[SecondaryStorage]]</f>
        <v>256</v>
      </c>
      <c r="V397" s="1" t="s">
        <v>31</v>
      </c>
      <c r="W397" s="1" t="s">
        <v>27</v>
      </c>
      <c r="X397" s="1" t="str">
        <f>IF(laptop[[#This Row],[PrimaryStorageType]]=laptop[[#This Row],[SecondaryStorageType]],laptop[[#This Row],[PrimaryStorageType]],"SSD &amp; HDD")</f>
        <v>SSD &amp; HDD</v>
      </c>
      <c r="Y397" s="1" t="s">
        <v>138</v>
      </c>
    </row>
    <row r="398" spans="1:25" x14ac:dyDescent="0.25">
      <c r="A398" s="1" t="s">
        <v>73</v>
      </c>
      <c r="B398" s="1" t="s">
        <v>393</v>
      </c>
      <c r="C398" s="1" t="s">
        <v>38</v>
      </c>
      <c r="D398">
        <v>15.6</v>
      </c>
      <c r="E398">
        <v>8</v>
      </c>
      <c r="F398" s="1" t="s">
        <v>48</v>
      </c>
      <c r="G398">
        <v>2.1</v>
      </c>
      <c r="H398">
        <v>1229.56</v>
      </c>
      <c r="I398" s="1" t="s">
        <v>40</v>
      </c>
      <c r="J398">
        <v>1920</v>
      </c>
      <c r="K398">
        <v>1080</v>
      </c>
      <c r="L398" s="1" t="s">
        <v>27</v>
      </c>
      <c r="M398" s="1" t="s">
        <v>28</v>
      </c>
      <c r="N398" s="1" t="s">
        <v>27</v>
      </c>
      <c r="O398" s="1" t="s">
        <v>29</v>
      </c>
      <c r="P398">
        <v>1.8</v>
      </c>
      <c r="Q398" s="1" t="s">
        <v>57</v>
      </c>
      <c r="R398" s="1" t="str">
        <f>_xlfn.CONCAT(laptop[[#This Row],[CPU_company]]," ",laptop[[#This Row],[CPU_model]])</f>
        <v>Intel Core i7 8550U</v>
      </c>
      <c r="S398">
        <v>256</v>
      </c>
      <c r="T398">
        <v>0</v>
      </c>
      <c r="U398">
        <f>laptop[[#This Row],[PrimaryStorage]]+laptop[[#This Row],[SecondaryStorage]]</f>
        <v>256</v>
      </c>
      <c r="V398" s="1" t="s">
        <v>31</v>
      </c>
      <c r="W398" s="1" t="s">
        <v>27</v>
      </c>
      <c r="X398" s="1" t="str">
        <f>IF(laptop[[#This Row],[PrimaryStorageType]]=laptop[[#This Row],[SecondaryStorageType]],laptop[[#This Row],[PrimaryStorageType]],"SSD &amp; HDD")</f>
        <v>SSD &amp; HDD</v>
      </c>
      <c r="Y398" s="1" t="s">
        <v>208</v>
      </c>
    </row>
    <row r="399" spans="1:25" x14ac:dyDescent="0.25">
      <c r="A399" s="1" t="s">
        <v>73</v>
      </c>
      <c r="B399" s="1" t="s">
        <v>394</v>
      </c>
      <c r="C399" s="1" t="s">
        <v>38</v>
      </c>
      <c r="D399">
        <v>14</v>
      </c>
      <c r="E399">
        <v>8</v>
      </c>
      <c r="F399" s="1" t="s">
        <v>48</v>
      </c>
      <c r="G399">
        <v>1.9</v>
      </c>
      <c r="H399">
        <v>938</v>
      </c>
      <c r="I399" s="1" t="s">
        <v>40</v>
      </c>
      <c r="J399">
        <v>1920</v>
      </c>
      <c r="K399">
        <v>1080</v>
      </c>
      <c r="L399" s="1" t="s">
        <v>27</v>
      </c>
      <c r="M399" s="1" t="s">
        <v>28</v>
      </c>
      <c r="N399" s="1" t="s">
        <v>27</v>
      </c>
      <c r="O399" s="1" t="s">
        <v>29</v>
      </c>
      <c r="P399">
        <v>2.5</v>
      </c>
      <c r="Q399" s="1" t="s">
        <v>41</v>
      </c>
      <c r="R399" s="1" t="str">
        <f>_xlfn.CONCAT(laptop[[#This Row],[CPU_company]]," ",laptop[[#This Row],[CPU_model]])</f>
        <v>Intel Core i5 7200U</v>
      </c>
      <c r="S399">
        <v>256</v>
      </c>
      <c r="T399">
        <v>0</v>
      </c>
      <c r="U399">
        <f>laptop[[#This Row],[PrimaryStorage]]+laptop[[#This Row],[SecondaryStorage]]</f>
        <v>256</v>
      </c>
      <c r="V399" s="1" t="s">
        <v>31</v>
      </c>
      <c r="W399" s="1" t="s">
        <v>27</v>
      </c>
      <c r="X399" s="1" t="str">
        <f>IF(laptop[[#This Row],[PrimaryStorageType]]=laptop[[#This Row],[SecondaryStorageType]],laptop[[#This Row],[PrimaryStorageType]],"SSD &amp; HDD")</f>
        <v>SSD &amp; HDD</v>
      </c>
      <c r="Y399" s="1" t="s">
        <v>42</v>
      </c>
    </row>
    <row r="400" spans="1:25" x14ac:dyDescent="0.25">
      <c r="A400" s="1" t="s">
        <v>65</v>
      </c>
      <c r="B400" s="1" t="s">
        <v>395</v>
      </c>
      <c r="C400" s="1" t="s">
        <v>265</v>
      </c>
      <c r="D400">
        <v>15.6</v>
      </c>
      <c r="E400">
        <v>8</v>
      </c>
      <c r="F400" s="1" t="s">
        <v>48</v>
      </c>
      <c r="G400">
        <v>1.78</v>
      </c>
      <c r="H400">
        <v>2712</v>
      </c>
      <c r="I400" s="1" t="s">
        <v>215</v>
      </c>
      <c r="J400">
        <v>3840</v>
      </c>
      <c r="K400">
        <v>2160</v>
      </c>
      <c r="L400" s="1" t="s">
        <v>28</v>
      </c>
      <c r="M400" s="1" t="s">
        <v>27</v>
      </c>
      <c r="N400" s="1" t="s">
        <v>27</v>
      </c>
      <c r="O400" s="1" t="s">
        <v>29</v>
      </c>
      <c r="P400">
        <v>2.8</v>
      </c>
      <c r="Q400" s="1" t="s">
        <v>118</v>
      </c>
      <c r="R400" s="1" t="str">
        <f>_xlfn.CONCAT(laptop[[#This Row],[CPU_company]]," ",laptop[[#This Row],[CPU_model]])</f>
        <v>Intel Core i7 7700HQ</v>
      </c>
      <c r="S400">
        <v>256</v>
      </c>
      <c r="T400">
        <v>0</v>
      </c>
      <c r="U400">
        <f>laptop[[#This Row],[PrimaryStorage]]+laptop[[#This Row],[SecondaryStorage]]</f>
        <v>256</v>
      </c>
      <c r="V400" s="1" t="s">
        <v>31</v>
      </c>
      <c r="W400" s="1" t="s">
        <v>27</v>
      </c>
      <c r="X400" s="1" t="str">
        <f>IF(laptop[[#This Row],[PrimaryStorageType]]=laptop[[#This Row],[SecondaryStorageType]],laptop[[#This Row],[PrimaryStorageType]],"SSD &amp; HDD")</f>
        <v>SSD &amp; HDD</v>
      </c>
      <c r="Y400" s="1" t="s">
        <v>267</v>
      </c>
    </row>
    <row r="401" spans="1:25" x14ac:dyDescent="0.25">
      <c r="A401" s="1" t="s">
        <v>73</v>
      </c>
      <c r="B401" s="1" t="s">
        <v>382</v>
      </c>
      <c r="C401" s="1" t="s">
        <v>24</v>
      </c>
      <c r="D401">
        <v>14</v>
      </c>
      <c r="E401">
        <v>16</v>
      </c>
      <c r="F401" s="1" t="s">
        <v>48</v>
      </c>
      <c r="G401">
        <v>1.1299999999999999</v>
      </c>
      <c r="H401">
        <v>2625</v>
      </c>
      <c r="I401" s="1" t="s">
        <v>26</v>
      </c>
      <c r="J401">
        <v>2560</v>
      </c>
      <c r="K401">
        <v>1440</v>
      </c>
      <c r="L401" s="1" t="s">
        <v>27</v>
      </c>
      <c r="M401" s="1" t="s">
        <v>28</v>
      </c>
      <c r="N401" s="1" t="s">
        <v>27</v>
      </c>
      <c r="O401" s="1" t="s">
        <v>29</v>
      </c>
      <c r="P401">
        <v>2.7</v>
      </c>
      <c r="Q401" s="1" t="s">
        <v>71</v>
      </c>
      <c r="R401" s="1" t="str">
        <f>_xlfn.CONCAT(laptop[[#This Row],[CPU_company]]," ",laptop[[#This Row],[CPU_model]])</f>
        <v>Intel Core i7 7500U</v>
      </c>
      <c r="S401">
        <v>1024</v>
      </c>
      <c r="T401">
        <v>0</v>
      </c>
      <c r="U401">
        <f>laptop[[#This Row],[PrimaryStorage]]+laptop[[#This Row],[SecondaryStorage]]</f>
        <v>1024</v>
      </c>
      <c r="V401" s="1" t="s">
        <v>31</v>
      </c>
      <c r="W401" s="1" t="s">
        <v>27</v>
      </c>
      <c r="X401" s="1" t="str">
        <f>IF(laptop[[#This Row],[PrimaryStorageType]]=laptop[[#This Row],[SecondaryStorageType]],laptop[[#This Row],[PrimaryStorageType]],"SSD &amp; HDD")</f>
        <v>SSD &amp; HDD</v>
      </c>
      <c r="Y401" s="1" t="s">
        <v>42</v>
      </c>
    </row>
    <row r="402" spans="1:25" x14ac:dyDescent="0.25">
      <c r="A402" s="1" t="s">
        <v>73</v>
      </c>
      <c r="B402" s="1" t="s">
        <v>333</v>
      </c>
      <c r="C402" s="1" t="s">
        <v>38</v>
      </c>
      <c r="D402">
        <v>15.6</v>
      </c>
      <c r="E402">
        <v>4</v>
      </c>
      <c r="F402" s="1" t="s">
        <v>48</v>
      </c>
      <c r="G402">
        <v>2.2000000000000002</v>
      </c>
      <c r="H402">
        <v>306</v>
      </c>
      <c r="I402" s="1" t="s">
        <v>26</v>
      </c>
      <c r="J402">
        <v>1366</v>
      </c>
      <c r="K402">
        <v>768</v>
      </c>
      <c r="L402" s="1" t="s">
        <v>27</v>
      </c>
      <c r="M402" s="1" t="s">
        <v>27</v>
      </c>
      <c r="N402" s="1" t="s">
        <v>27</v>
      </c>
      <c r="O402" s="1" t="s">
        <v>29</v>
      </c>
      <c r="P402">
        <v>1.1000000000000001</v>
      </c>
      <c r="Q402" s="1" t="s">
        <v>109</v>
      </c>
      <c r="R402" s="1" t="str">
        <f>_xlfn.CONCAT(laptop[[#This Row],[CPU_company]]," ",laptop[[#This Row],[CPU_model]])</f>
        <v>Intel Celeron Dual Core N3350</v>
      </c>
      <c r="S402">
        <v>1024</v>
      </c>
      <c r="T402">
        <v>0</v>
      </c>
      <c r="U402">
        <f>laptop[[#This Row],[PrimaryStorage]]+laptop[[#This Row],[SecondaryStorage]]</f>
        <v>1024</v>
      </c>
      <c r="V402" s="1" t="s">
        <v>51</v>
      </c>
      <c r="W402" s="1" t="s">
        <v>27</v>
      </c>
      <c r="X402" s="1" t="str">
        <f>IF(laptop[[#This Row],[PrimaryStorageType]]=laptop[[#This Row],[SecondaryStorageType]],laptop[[#This Row],[PrimaryStorageType]],"SSD &amp; HDD")</f>
        <v>SSD &amp; HDD</v>
      </c>
      <c r="Y402" s="1" t="s">
        <v>110</v>
      </c>
    </row>
    <row r="403" spans="1:25" x14ac:dyDescent="0.25">
      <c r="A403" s="1" t="s">
        <v>55</v>
      </c>
      <c r="B403" s="1" t="s">
        <v>396</v>
      </c>
      <c r="C403" s="1" t="s">
        <v>83</v>
      </c>
      <c r="D403">
        <v>17.3</v>
      </c>
      <c r="E403">
        <v>16</v>
      </c>
      <c r="F403" s="1" t="s">
        <v>48</v>
      </c>
      <c r="G403">
        <v>2.9</v>
      </c>
      <c r="H403">
        <v>1529</v>
      </c>
      <c r="I403" s="1" t="s">
        <v>40</v>
      </c>
      <c r="J403">
        <v>1920</v>
      </c>
      <c r="K403">
        <v>1080</v>
      </c>
      <c r="L403" s="1" t="s">
        <v>27</v>
      </c>
      <c r="M403" s="1" t="s">
        <v>27</v>
      </c>
      <c r="N403" s="1" t="s">
        <v>27</v>
      </c>
      <c r="O403" s="1" t="s">
        <v>29</v>
      </c>
      <c r="P403">
        <v>2.8</v>
      </c>
      <c r="Q403" s="1" t="s">
        <v>118</v>
      </c>
      <c r="R403" s="1" t="str">
        <f>_xlfn.CONCAT(laptop[[#This Row],[CPU_company]]," ",laptop[[#This Row],[CPU_model]])</f>
        <v>Intel Core i7 7700HQ</v>
      </c>
      <c r="S403">
        <v>256</v>
      </c>
      <c r="T403">
        <v>1024</v>
      </c>
      <c r="U403">
        <f>laptop[[#This Row],[PrimaryStorage]]+laptop[[#This Row],[SecondaryStorage]]</f>
        <v>1280</v>
      </c>
      <c r="V403" s="1" t="s">
        <v>31</v>
      </c>
      <c r="W403" s="1" t="s">
        <v>51</v>
      </c>
      <c r="X403" s="1" t="str">
        <f>IF(laptop[[#This Row],[PrimaryStorageType]]=laptop[[#This Row],[SecondaryStorageType]],laptop[[#This Row],[PrimaryStorageType]],"SSD &amp; HDD")</f>
        <v>SSD &amp; HDD</v>
      </c>
      <c r="Y403" s="1" t="s">
        <v>85</v>
      </c>
    </row>
    <row r="404" spans="1:25" x14ac:dyDescent="0.25">
      <c r="A404" s="1" t="s">
        <v>73</v>
      </c>
      <c r="B404" s="1" t="s">
        <v>393</v>
      </c>
      <c r="C404" s="1" t="s">
        <v>38</v>
      </c>
      <c r="D404">
        <v>15.6</v>
      </c>
      <c r="E404">
        <v>8</v>
      </c>
      <c r="F404" s="1" t="s">
        <v>48</v>
      </c>
      <c r="G404">
        <v>2.1</v>
      </c>
      <c r="H404">
        <v>1144.5</v>
      </c>
      <c r="I404" s="1" t="s">
        <v>40</v>
      </c>
      <c r="J404">
        <v>1920</v>
      </c>
      <c r="K404">
        <v>1080</v>
      </c>
      <c r="L404" s="1" t="s">
        <v>27</v>
      </c>
      <c r="M404" s="1" t="s">
        <v>28</v>
      </c>
      <c r="N404" s="1" t="s">
        <v>27</v>
      </c>
      <c r="O404" s="1" t="s">
        <v>29</v>
      </c>
      <c r="P404">
        <v>1.6</v>
      </c>
      <c r="Q404" s="1" t="s">
        <v>60</v>
      </c>
      <c r="R404" s="1" t="str">
        <f>_xlfn.CONCAT(laptop[[#This Row],[CPU_company]]," ",laptop[[#This Row],[CPU_model]])</f>
        <v>Intel Core i5 8250U</v>
      </c>
      <c r="S404">
        <v>256</v>
      </c>
      <c r="T404">
        <v>1024</v>
      </c>
      <c r="U404">
        <f>laptop[[#This Row],[PrimaryStorage]]+laptop[[#This Row],[SecondaryStorage]]</f>
        <v>1280</v>
      </c>
      <c r="V404" s="1" t="s">
        <v>31</v>
      </c>
      <c r="W404" s="1" t="s">
        <v>51</v>
      </c>
      <c r="X404" s="1" t="str">
        <f>IF(laptop[[#This Row],[PrimaryStorageType]]=laptop[[#This Row],[SecondaryStorageType]],laptop[[#This Row],[PrimaryStorageType]],"SSD &amp; HDD")</f>
        <v>SSD &amp; HDD</v>
      </c>
      <c r="Y404" s="1" t="s">
        <v>208</v>
      </c>
    </row>
    <row r="405" spans="1:25" x14ac:dyDescent="0.25">
      <c r="A405" s="1" t="s">
        <v>46</v>
      </c>
      <c r="B405" s="1" t="s">
        <v>268</v>
      </c>
      <c r="C405" s="1" t="s">
        <v>38</v>
      </c>
      <c r="D405">
        <v>15.6</v>
      </c>
      <c r="E405">
        <v>8</v>
      </c>
      <c r="F405" s="1" t="s">
        <v>111</v>
      </c>
      <c r="G405">
        <v>2.5</v>
      </c>
      <c r="H405">
        <v>879</v>
      </c>
      <c r="I405" s="1" t="s">
        <v>40</v>
      </c>
      <c r="J405">
        <v>1920</v>
      </c>
      <c r="K405">
        <v>1080</v>
      </c>
      <c r="L405" s="1" t="s">
        <v>27</v>
      </c>
      <c r="M405" s="1" t="s">
        <v>27</v>
      </c>
      <c r="N405" s="1" t="s">
        <v>27</v>
      </c>
      <c r="O405" s="1" t="s">
        <v>29</v>
      </c>
      <c r="P405">
        <v>2.8</v>
      </c>
      <c r="Q405" s="1" t="s">
        <v>118</v>
      </c>
      <c r="R405" s="1" t="str">
        <f>_xlfn.CONCAT(laptop[[#This Row],[CPU_company]]," ",laptop[[#This Row],[CPU_model]])</f>
        <v>Intel Core i7 7700HQ</v>
      </c>
      <c r="S405">
        <v>256</v>
      </c>
      <c r="T405">
        <v>0</v>
      </c>
      <c r="U405">
        <f>laptop[[#This Row],[PrimaryStorage]]+laptop[[#This Row],[SecondaryStorage]]</f>
        <v>256</v>
      </c>
      <c r="V405" s="1" t="s">
        <v>31</v>
      </c>
      <c r="W405" s="1" t="s">
        <v>27</v>
      </c>
      <c r="X405" s="1" t="str">
        <f>IF(laptop[[#This Row],[PrimaryStorageType]]=laptop[[#This Row],[SecondaryStorageType]],laptop[[#This Row],[PrimaryStorageType]],"SSD &amp; HDD")</f>
        <v>SSD &amp; HDD</v>
      </c>
      <c r="Y405" s="1" t="s">
        <v>85</v>
      </c>
    </row>
    <row r="406" spans="1:25" x14ac:dyDescent="0.25">
      <c r="A406" s="1" t="s">
        <v>141</v>
      </c>
      <c r="B406" s="1" t="s">
        <v>397</v>
      </c>
      <c r="C406" s="1" t="s">
        <v>83</v>
      </c>
      <c r="D406">
        <v>17.3</v>
      </c>
      <c r="E406">
        <v>16</v>
      </c>
      <c r="F406" s="1" t="s">
        <v>48</v>
      </c>
      <c r="G406">
        <v>2.8</v>
      </c>
      <c r="H406">
        <v>2249</v>
      </c>
      <c r="I406" s="1" t="s">
        <v>40</v>
      </c>
      <c r="J406">
        <v>1920</v>
      </c>
      <c r="K406">
        <v>1080</v>
      </c>
      <c r="L406" s="1" t="s">
        <v>27</v>
      </c>
      <c r="M406" s="1" t="s">
        <v>27</v>
      </c>
      <c r="N406" s="1" t="s">
        <v>27</v>
      </c>
      <c r="O406" s="1" t="s">
        <v>29</v>
      </c>
      <c r="P406">
        <v>2.8</v>
      </c>
      <c r="Q406" s="1" t="s">
        <v>118</v>
      </c>
      <c r="R406" s="1" t="str">
        <f>_xlfn.CONCAT(laptop[[#This Row],[CPU_company]]," ",laptop[[#This Row],[CPU_model]])</f>
        <v>Intel Core i7 7700HQ</v>
      </c>
      <c r="S406">
        <v>256</v>
      </c>
      <c r="T406">
        <v>1024</v>
      </c>
      <c r="U406">
        <f>laptop[[#This Row],[PrimaryStorage]]+laptop[[#This Row],[SecondaryStorage]]</f>
        <v>1280</v>
      </c>
      <c r="V406" s="1" t="s">
        <v>31</v>
      </c>
      <c r="W406" s="1" t="s">
        <v>51</v>
      </c>
      <c r="X406" s="1" t="str">
        <f>IF(laptop[[#This Row],[PrimaryStorageType]]=laptop[[#This Row],[SecondaryStorageType]],laptop[[#This Row],[PrimaryStorageType]],"SSD &amp; HDD")</f>
        <v>SSD &amp; HDD</v>
      </c>
      <c r="Y406" s="1" t="s">
        <v>143</v>
      </c>
    </row>
    <row r="407" spans="1:25" x14ac:dyDescent="0.25">
      <c r="A407" s="1" t="s">
        <v>55</v>
      </c>
      <c r="B407" s="1" t="s">
        <v>398</v>
      </c>
      <c r="C407" s="1" t="s">
        <v>24</v>
      </c>
      <c r="D407">
        <v>14</v>
      </c>
      <c r="E407">
        <v>8</v>
      </c>
      <c r="F407" s="1" t="s">
        <v>48</v>
      </c>
      <c r="G407">
        <v>1.1000000000000001</v>
      </c>
      <c r="H407">
        <v>1873</v>
      </c>
      <c r="I407" s="1" t="s">
        <v>40</v>
      </c>
      <c r="J407">
        <v>1920</v>
      </c>
      <c r="K407">
        <v>1080</v>
      </c>
      <c r="L407" s="1" t="s">
        <v>27</v>
      </c>
      <c r="M407" s="1" t="s">
        <v>27</v>
      </c>
      <c r="N407" s="1" t="s">
        <v>27</v>
      </c>
      <c r="O407" s="1" t="s">
        <v>29</v>
      </c>
      <c r="P407">
        <v>2.7</v>
      </c>
      <c r="Q407" s="1" t="s">
        <v>71</v>
      </c>
      <c r="R407" s="1" t="str">
        <f>_xlfn.CONCAT(laptop[[#This Row],[CPU_company]]," ",laptop[[#This Row],[CPU_model]])</f>
        <v>Intel Core i7 7500U</v>
      </c>
      <c r="S407">
        <v>512</v>
      </c>
      <c r="T407">
        <v>0</v>
      </c>
      <c r="U407">
        <f>laptop[[#This Row],[PrimaryStorage]]+laptop[[#This Row],[SecondaryStorage]]</f>
        <v>512</v>
      </c>
      <c r="V407" s="1" t="s">
        <v>31</v>
      </c>
      <c r="W407" s="1" t="s">
        <v>27</v>
      </c>
      <c r="X407" s="1" t="str">
        <f>IF(laptop[[#This Row],[PrimaryStorageType]]=laptop[[#This Row],[SecondaryStorageType]],laptop[[#This Row],[PrimaryStorageType]],"SSD &amp; HDD")</f>
        <v>SSD &amp; HDD</v>
      </c>
      <c r="Y407" s="1" t="s">
        <v>42</v>
      </c>
    </row>
    <row r="408" spans="1:25" x14ac:dyDescent="0.25">
      <c r="A408" s="1" t="s">
        <v>210</v>
      </c>
      <c r="B408" s="1" t="s">
        <v>399</v>
      </c>
      <c r="C408" s="1" t="s">
        <v>24</v>
      </c>
      <c r="D408">
        <v>13.3</v>
      </c>
      <c r="E408">
        <v>16</v>
      </c>
      <c r="F408" s="1" t="s">
        <v>48</v>
      </c>
      <c r="G408">
        <v>1.2</v>
      </c>
      <c r="H408">
        <v>1747</v>
      </c>
      <c r="I408" s="1" t="s">
        <v>40</v>
      </c>
      <c r="J408">
        <v>1920</v>
      </c>
      <c r="K408">
        <v>1080</v>
      </c>
      <c r="L408" s="1" t="s">
        <v>27</v>
      </c>
      <c r="M408" s="1" t="s">
        <v>27</v>
      </c>
      <c r="N408" s="1" t="s">
        <v>27</v>
      </c>
      <c r="O408" s="1" t="s">
        <v>29</v>
      </c>
      <c r="P408">
        <v>2.5</v>
      </c>
      <c r="Q408" s="1" t="s">
        <v>274</v>
      </c>
      <c r="R408" s="1" t="str">
        <f>_xlfn.CONCAT(laptop[[#This Row],[CPU_company]]," ",laptop[[#This Row],[CPU_model]])</f>
        <v>Intel Core i7 6500U</v>
      </c>
      <c r="S408">
        <v>512</v>
      </c>
      <c r="T408">
        <v>0</v>
      </c>
      <c r="U408">
        <f>laptop[[#This Row],[PrimaryStorage]]+laptop[[#This Row],[SecondaryStorage]]</f>
        <v>512</v>
      </c>
      <c r="V408" s="1" t="s">
        <v>31</v>
      </c>
      <c r="W408" s="1" t="s">
        <v>27</v>
      </c>
      <c r="X408" s="1" t="str">
        <f>IF(laptop[[#This Row],[PrimaryStorageType]]=laptop[[#This Row],[SecondaryStorageType]],laptop[[#This Row],[PrimaryStorageType]],"SSD &amp; HDD")</f>
        <v>SSD &amp; HDD</v>
      </c>
      <c r="Y408" s="1" t="s">
        <v>63</v>
      </c>
    </row>
    <row r="409" spans="1:25" x14ac:dyDescent="0.25">
      <c r="A409" s="1" t="s">
        <v>65</v>
      </c>
      <c r="B409" s="1" t="s">
        <v>367</v>
      </c>
      <c r="C409" s="1" t="s">
        <v>24</v>
      </c>
      <c r="D409">
        <v>14</v>
      </c>
      <c r="E409">
        <v>8</v>
      </c>
      <c r="F409" s="1" t="s">
        <v>48</v>
      </c>
      <c r="G409">
        <v>1.36</v>
      </c>
      <c r="H409">
        <v>1680</v>
      </c>
      <c r="I409" s="1" t="s">
        <v>40</v>
      </c>
      <c r="J409">
        <v>1920</v>
      </c>
      <c r="K409">
        <v>1080</v>
      </c>
      <c r="L409" s="1" t="s">
        <v>27</v>
      </c>
      <c r="M409" s="1" t="s">
        <v>27</v>
      </c>
      <c r="N409" s="1" t="s">
        <v>27</v>
      </c>
      <c r="O409" s="1" t="s">
        <v>29</v>
      </c>
      <c r="P409">
        <v>2.8</v>
      </c>
      <c r="Q409" s="1" t="s">
        <v>335</v>
      </c>
      <c r="R409" s="1" t="str">
        <f>_xlfn.CONCAT(laptop[[#This Row],[CPU_company]]," ",laptop[[#This Row],[CPU_model]])</f>
        <v>Intel Core i7 7600U</v>
      </c>
      <c r="S409">
        <v>512</v>
      </c>
      <c r="T409">
        <v>0</v>
      </c>
      <c r="U409">
        <f>laptop[[#This Row],[PrimaryStorage]]+laptop[[#This Row],[SecondaryStorage]]</f>
        <v>512</v>
      </c>
      <c r="V409" s="1" t="s">
        <v>31</v>
      </c>
      <c r="W409" s="1" t="s">
        <v>27</v>
      </c>
      <c r="X409" s="1" t="str">
        <f>IF(laptop[[#This Row],[PrimaryStorageType]]=laptop[[#This Row],[SecondaryStorageType]],laptop[[#This Row],[PrimaryStorageType]],"SSD &amp; HDD")</f>
        <v>SSD &amp; HDD</v>
      </c>
      <c r="Y409" s="1" t="s">
        <v>102</v>
      </c>
    </row>
    <row r="410" spans="1:25" x14ac:dyDescent="0.25">
      <c r="A410" s="1" t="s">
        <v>73</v>
      </c>
      <c r="B410" s="1" t="s">
        <v>125</v>
      </c>
      <c r="C410" s="1" t="s">
        <v>38</v>
      </c>
      <c r="D410">
        <v>15.6</v>
      </c>
      <c r="E410">
        <v>4</v>
      </c>
      <c r="F410" s="1" t="s">
        <v>48</v>
      </c>
      <c r="G410">
        <v>2.2000000000000002</v>
      </c>
      <c r="H410">
        <v>409</v>
      </c>
      <c r="I410" s="1" t="s">
        <v>40</v>
      </c>
      <c r="J410">
        <v>1920</v>
      </c>
      <c r="K410">
        <v>1080</v>
      </c>
      <c r="L410" s="1" t="s">
        <v>27</v>
      </c>
      <c r="M410" s="1" t="s">
        <v>27</v>
      </c>
      <c r="N410" s="1" t="s">
        <v>27</v>
      </c>
      <c r="O410" s="1" t="s">
        <v>29</v>
      </c>
      <c r="P410">
        <v>2</v>
      </c>
      <c r="Q410" s="1" t="s">
        <v>62</v>
      </c>
      <c r="R410" s="1" t="str">
        <f>_xlfn.CONCAT(laptop[[#This Row],[CPU_company]]," ",laptop[[#This Row],[CPU_model]])</f>
        <v>Intel Core i3 6006U</v>
      </c>
      <c r="S410">
        <v>500</v>
      </c>
      <c r="T410">
        <v>0</v>
      </c>
      <c r="U410">
        <f>laptop[[#This Row],[PrimaryStorage]]+laptop[[#This Row],[SecondaryStorage]]</f>
        <v>500</v>
      </c>
      <c r="V410" s="1" t="s">
        <v>51</v>
      </c>
      <c r="W410" s="1" t="s">
        <v>27</v>
      </c>
      <c r="X410" s="1" t="str">
        <f>IF(laptop[[#This Row],[PrimaryStorageType]]=laptop[[#This Row],[SecondaryStorageType]],laptop[[#This Row],[PrimaryStorageType]],"SSD &amp; HDD")</f>
        <v>SSD &amp; HDD</v>
      </c>
      <c r="Y410" s="1" t="s">
        <v>63</v>
      </c>
    </row>
    <row r="411" spans="1:25" x14ac:dyDescent="0.25">
      <c r="A411" s="1" t="s">
        <v>73</v>
      </c>
      <c r="B411" s="1" t="s">
        <v>400</v>
      </c>
      <c r="C411" s="1" t="s">
        <v>38</v>
      </c>
      <c r="D411">
        <v>11.6</v>
      </c>
      <c r="E411">
        <v>2</v>
      </c>
      <c r="F411" s="1" t="s">
        <v>48</v>
      </c>
      <c r="G411">
        <v>1.1499999999999999</v>
      </c>
      <c r="H411">
        <v>304.45</v>
      </c>
      <c r="I411" s="1" t="s">
        <v>26</v>
      </c>
      <c r="J411">
        <v>1366</v>
      </c>
      <c r="K411">
        <v>768</v>
      </c>
      <c r="L411" s="1" t="s">
        <v>27</v>
      </c>
      <c r="M411" s="1" t="s">
        <v>27</v>
      </c>
      <c r="N411" s="1" t="s">
        <v>27</v>
      </c>
      <c r="O411" s="1" t="s">
        <v>29</v>
      </c>
      <c r="P411">
        <v>1.1000000000000001</v>
      </c>
      <c r="Q411" s="1" t="s">
        <v>109</v>
      </c>
      <c r="R411" s="1" t="str">
        <f>_xlfn.CONCAT(laptop[[#This Row],[CPU_company]]," ",laptop[[#This Row],[CPU_model]])</f>
        <v>Intel Celeron Dual Core N3350</v>
      </c>
      <c r="S411">
        <v>32</v>
      </c>
      <c r="T411">
        <v>0</v>
      </c>
      <c r="U411">
        <f>laptop[[#This Row],[PrimaryStorage]]+laptop[[#This Row],[SecondaryStorage]]</f>
        <v>32</v>
      </c>
      <c r="V411" s="1" t="s">
        <v>34</v>
      </c>
      <c r="W411" s="1" t="s">
        <v>27</v>
      </c>
      <c r="X411" s="1" t="str">
        <f>IF(laptop[[#This Row],[PrimaryStorageType]]=laptop[[#This Row],[SecondaryStorageType]],laptop[[#This Row],[PrimaryStorageType]],"SSD &amp; HDD")</f>
        <v>SSD &amp; HDD</v>
      </c>
      <c r="Y411" s="1" t="s">
        <v>110</v>
      </c>
    </row>
    <row r="412" spans="1:25" x14ac:dyDescent="0.25">
      <c r="A412" s="1" t="s">
        <v>73</v>
      </c>
      <c r="B412" s="1" t="s">
        <v>401</v>
      </c>
      <c r="C412" s="1" t="s">
        <v>265</v>
      </c>
      <c r="D412">
        <v>15.6</v>
      </c>
      <c r="E412">
        <v>8</v>
      </c>
      <c r="F412" s="1" t="s">
        <v>48</v>
      </c>
      <c r="G412">
        <v>2.67</v>
      </c>
      <c r="H412">
        <v>1925</v>
      </c>
      <c r="I412" s="1" t="s">
        <v>40</v>
      </c>
      <c r="J412">
        <v>1920</v>
      </c>
      <c r="K412">
        <v>1080</v>
      </c>
      <c r="L412" s="1" t="s">
        <v>27</v>
      </c>
      <c r="M412" s="1" t="s">
        <v>27</v>
      </c>
      <c r="N412" s="1" t="s">
        <v>27</v>
      </c>
      <c r="O412" s="1" t="s">
        <v>29</v>
      </c>
      <c r="P412">
        <v>2.8</v>
      </c>
      <c r="Q412" s="1" t="s">
        <v>118</v>
      </c>
      <c r="R412" s="1" t="str">
        <f>_xlfn.CONCAT(laptop[[#This Row],[CPU_company]]," ",laptop[[#This Row],[CPU_model]])</f>
        <v>Intel Core i7 7700HQ</v>
      </c>
      <c r="S412">
        <v>512</v>
      </c>
      <c r="T412">
        <v>0</v>
      </c>
      <c r="U412">
        <f>laptop[[#This Row],[PrimaryStorage]]+laptop[[#This Row],[SecondaryStorage]]</f>
        <v>512</v>
      </c>
      <c r="V412" s="1" t="s">
        <v>31</v>
      </c>
      <c r="W412" s="1" t="s">
        <v>27</v>
      </c>
      <c r="X412" s="1" t="str">
        <f>IF(laptop[[#This Row],[PrimaryStorageType]]=laptop[[#This Row],[SecondaryStorageType]],laptop[[#This Row],[PrimaryStorageType]],"SSD &amp; HDD")</f>
        <v>SSD &amp; HDD</v>
      </c>
      <c r="Y412" s="1" t="s">
        <v>267</v>
      </c>
    </row>
    <row r="413" spans="1:25" x14ac:dyDescent="0.25">
      <c r="A413" s="1" t="s">
        <v>73</v>
      </c>
      <c r="B413" s="1" t="s">
        <v>402</v>
      </c>
      <c r="C413" s="1" t="s">
        <v>24</v>
      </c>
      <c r="D413">
        <v>14</v>
      </c>
      <c r="E413">
        <v>8</v>
      </c>
      <c r="F413" s="1" t="s">
        <v>48</v>
      </c>
      <c r="G413">
        <v>1.7</v>
      </c>
      <c r="H413">
        <v>1943</v>
      </c>
      <c r="I413" s="1" t="s">
        <v>40</v>
      </c>
      <c r="J413">
        <v>2560</v>
      </c>
      <c r="K413">
        <v>1440</v>
      </c>
      <c r="L413" s="1" t="s">
        <v>27</v>
      </c>
      <c r="M413" s="1" t="s">
        <v>28</v>
      </c>
      <c r="N413" s="1" t="s">
        <v>27</v>
      </c>
      <c r="O413" s="1" t="s">
        <v>29</v>
      </c>
      <c r="P413">
        <v>2.8</v>
      </c>
      <c r="Q413" s="1" t="s">
        <v>118</v>
      </c>
      <c r="R413" s="1" t="str">
        <f>_xlfn.CONCAT(laptop[[#This Row],[CPU_company]]," ",laptop[[#This Row],[CPU_model]])</f>
        <v>Intel Core i7 7700HQ</v>
      </c>
      <c r="S413">
        <v>512</v>
      </c>
      <c r="T413">
        <v>0</v>
      </c>
      <c r="U413">
        <f>laptop[[#This Row],[PrimaryStorage]]+laptop[[#This Row],[SecondaryStorage]]</f>
        <v>512</v>
      </c>
      <c r="V413" s="1" t="s">
        <v>31</v>
      </c>
      <c r="W413" s="1" t="s">
        <v>27</v>
      </c>
      <c r="X413" s="1" t="str">
        <f>IF(laptop[[#This Row],[PrimaryStorageType]]=laptop[[#This Row],[SecondaryStorageType]],laptop[[#This Row],[PrimaryStorageType]],"SSD &amp; HDD")</f>
        <v>SSD &amp; HDD</v>
      </c>
      <c r="Y413" s="1" t="s">
        <v>371</v>
      </c>
    </row>
    <row r="414" spans="1:25" x14ac:dyDescent="0.25">
      <c r="A414" s="1" t="s">
        <v>36</v>
      </c>
      <c r="B414" s="1" t="s">
        <v>403</v>
      </c>
      <c r="C414" s="1" t="s">
        <v>38</v>
      </c>
      <c r="D414">
        <v>15.6</v>
      </c>
      <c r="E414">
        <v>4</v>
      </c>
      <c r="F414" s="1" t="s">
        <v>48</v>
      </c>
      <c r="G414">
        <v>2.1</v>
      </c>
      <c r="H414">
        <v>469</v>
      </c>
      <c r="I414" s="1" t="s">
        <v>40</v>
      </c>
      <c r="J414">
        <v>1920</v>
      </c>
      <c r="K414">
        <v>1080</v>
      </c>
      <c r="L414" s="1" t="s">
        <v>27</v>
      </c>
      <c r="M414" s="1" t="s">
        <v>27</v>
      </c>
      <c r="N414" s="1" t="s">
        <v>27</v>
      </c>
      <c r="O414" s="1" t="s">
        <v>29</v>
      </c>
      <c r="P414">
        <v>2</v>
      </c>
      <c r="Q414" s="1" t="s">
        <v>62</v>
      </c>
      <c r="R414" s="1" t="str">
        <f>_xlfn.CONCAT(laptop[[#This Row],[CPU_company]]," ",laptop[[#This Row],[CPU_model]])</f>
        <v>Intel Core i3 6006U</v>
      </c>
      <c r="S414">
        <v>1024</v>
      </c>
      <c r="T414">
        <v>0</v>
      </c>
      <c r="U414">
        <f>laptop[[#This Row],[PrimaryStorage]]+laptop[[#This Row],[SecondaryStorage]]</f>
        <v>1024</v>
      </c>
      <c r="V414" s="1" t="s">
        <v>51</v>
      </c>
      <c r="W414" s="1" t="s">
        <v>27</v>
      </c>
      <c r="X414" s="1" t="str">
        <f>IF(laptop[[#This Row],[PrimaryStorageType]]=laptop[[#This Row],[SecondaryStorageType]],laptop[[#This Row],[PrimaryStorageType]],"SSD &amp; HDD")</f>
        <v>SSD &amp; HDD</v>
      </c>
      <c r="Y414" s="1" t="s">
        <v>138</v>
      </c>
    </row>
    <row r="415" spans="1:25" x14ac:dyDescent="0.25">
      <c r="A415" s="1" t="s">
        <v>46</v>
      </c>
      <c r="B415" s="1" t="s">
        <v>286</v>
      </c>
      <c r="C415" s="1" t="s">
        <v>90</v>
      </c>
      <c r="D415">
        <v>13.3</v>
      </c>
      <c r="E415">
        <v>8</v>
      </c>
      <c r="F415" s="1" t="s">
        <v>48</v>
      </c>
      <c r="G415">
        <v>1.6</v>
      </c>
      <c r="H415">
        <v>789.01</v>
      </c>
      <c r="I415" s="1" t="s">
        <v>40</v>
      </c>
      <c r="J415">
        <v>1920</v>
      </c>
      <c r="K415">
        <v>1080</v>
      </c>
      <c r="L415" s="1" t="s">
        <v>28</v>
      </c>
      <c r="M415" s="1" t="s">
        <v>28</v>
      </c>
      <c r="N415" s="1" t="s">
        <v>27</v>
      </c>
      <c r="O415" s="1" t="s">
        <v>29</v>
      </c>
      <c r="P415">
        <v>2.5</v>
      </c>
      <c r="Q415" s="1" t="s">
        <v>274</v>
      </c>
      <c r="R415" s="1" t="str">
        <f>_xlfn.CONCAT(laptop[[#This Row],[CPU_company]]," ",laptop[[#This Row],[CPU_model]])</f>
        <v>Intel Core i7 6500U</v>
      </c>
      <c r="S415">
        <v>256</v>
      </c>
      <c r="T415">
        <v>0</v>
      </c>
      <c r="U415">
        <f>laptop[[#This Row],[PrimaryStorage]]+laptop[[#This Row],[SecondaryStorage]]</f>
        <v>256</v>
      </c>
      <c r="V415" s="1" t="s">
        <v>31</v>
      </c>
      <c r="W415" s="1" t="s">
        <v>27</v>
      </c>
      <c r="X415" s="1" t="str">
        <f>IF(laptop[[#This Row],[PrimaryStorageType]]=laptop[[#This Row],[SecondaryStorageType]],laptop[[#This Row],[PrimaryStorageType]],"SSD &amp; HDD")</f>
        <v>SSD &amp; HDD</v>
      </c>
      <c r="Y415" s="1" t="s">
        <v>63</v>
      </c>
    </row>
    <row r="416" spans="1:25" x14ac:dyDescent="0.25">
      <c r="A416" s="1" t="s">
        <v>55</v>
      </c>
      <c r="B416" s="1" t="s">
        <v>230</v>
      </c>
      <c r="C416" s="1" t="s">
        <v>90</v>
      </c>
      <c r="D416">
        <v>13.3</v>
      </c>
      <c r="E416">
        <v>8</v>
      </c>
      <c r="F416" s="1" t="s">
        <v>48</v>
      </c>
      <c r="G416">
        <v>1.27</v>
      </c>
      <c r="H416">
        <v>928</v>
      </c>
      <c r="I416" s="1" t="s">
        <v>40</v>
      </c>
      <c r="J416">
        <v>1920</v>
      </c>
      <c r="K416">
        <v>1080</v>
      </c>
      <c r="L416" s="1" t="s">
        <v>28</v>
      </c>
      <c r="M416" s="1" t="s">
        <v>28</v>
      </c>
      <c r="N416" s="1" t="s">
        <v>27</v>
      </c>
      <c r="O416" s="1" t="s">
        <v>29</v>
      </c>
      <c r="P416">
        <v>2.5</v>
      </c>
      <c r="Q416" s="1" t="s">
        <v>41</v>
      </c>
      <c r="R416" s="1" t="str">
        <f>_xlfn.CONCAT(laptop[[#This Row],[CPU_company]]," ",laptop[[#This Row],[CPU_model]])</f>
        <v>Intel Core i5 7200U</v>
      </c>
      <c r="S416">
        <v>256</v>
      </c>
      <c r="T416">
        <v>0</v>
      </c>
      <c r="U416">
        <f>laptop[[#This Row],[PrimaryStorage]]+laptop[[#This Row],[SecondaryStorage]]</f>
        <v>256</v>
      </c>
      <c r="V416" s="1" t="s">
        <v>31</v>
      </c>
      <c r="W416" s="1" t="s">
        <v>27</v>
      </c>
      <c r="X416" s="1" t="str">
        <f>IF(laptop[[#This Row],[PrimaryStorageType]]=laptop[[#This Row],[SecondaryStorageType]],laptop[[#This Row],[PrimaryStorageType]],"SSD &amp; HDD")</f>
        <v>SSD &amp; HDD</v>
      </c>
      <c r="Y416" s="1" t="s">
        <v>42</v>
      </c>
    </row>
    <row r="417" spans="1:25" x14ac:dyDescent="0.25">
      <c r="A417" s="1" t="s">
        <v>65</v>
      </c>
      <c r="B417" s="1" t="s">
        <v>66</v>
      </c>
      <c r="C417" s="1" t="s">
        <v>38</v>
      </c>
      <c r="D417">
        <v>15.6</v>
      </c>
      <c r="E417">
        <v>4</v>
      </c>
      <c r="F417" s="1" t="s">
        <v>111</v>
      </c>
      <c r="G417">
        <v>2.2999999999999998</v>
      </c>
      <c r="H417">
        <v>598.9</v>
      </c>
      <c r="I417" s="1" t="s">
        <v>40</v>
      </c>
      <c r="J417">
        <v>1920</v>
      </c>
      <c r="K417">
        <v>1080</v>
      </c>
      <c r="L417" s="1" t="s">
        <v>27</v>
      </c>
      <c r="M417" s="1" t="s">
        <v>27</v>
      </c>
      <c r="N417" s="1" t="s">
        <v>27</v>
      </c>
      <c r="O417" s="1" t="s">
        <v>29</v>
      </c>
      <c r="P417">
        <v>2.5</v>
      </c>
      <c r="Q417" s="1" t="s">
        <v>41</v>
      </c>
      <c r="R417" s="1" t="str">
        <f>_xlfn.CONCAT(laptop[[#This Row],[CPU_company]]," ",laptop[[#This Row],[CPU_model]])</f>
        <v>Intel Core i5 7200U</v>
      </c>
      <c r="S417">
        <v>256</v>
      </c>
      <c r="T417">
        <v>0</v>
      </c>
      <c r="U417">
        <f>laptop[[#This Row],[PrimaryStorage]]+laptop[[#This Row],[SecondaryStorage]]</f>
        <v>256</v>
      </c>
      <c r="V417" s="1" t="s">
        <v>31</v>
      </c>
      <c r="W417" s="1" t="s">
        <v>27</v>
      </c>
      <c r="X417" s="1" t="str">
        <f>IF(laptop[[#This Row],[PrimaryStorageType]]=laptop[[#This Row],[SecondaryStorageType]],laptop[[#This Row],[PrimaryStorageType]],"SSD &amp; HDD")</f>
        <v>SSD &amp; HDD</v>
      </c>
      <c r="Y417" s="1" t="s">
        <v>67</v>
      </c>
    </row>
    <row r="418" spans="1:25" x14ac:dyDescent="0.25">
      <c r="A418" s="1" t="s">
        <v>65</v>
      </c>
      <c r="B418" s="1" t="s">
        <v>404</v>
      </c>
      <c r="C418" s="1" t="s">
        <v>38</v>
      </c>
      <c r="D418">
        <v>13.3</v>
      </c>
      <c r="E418">
        <v>4</v>
      </c>
      <c r="F418" s="1" t="s">
        <v>48</v>
      </c>
      <c r="G418">
        <v>1.65</v>
      </c>
      <c r="H418">
        <v>689</v>
      </c>
      <c r="I418" s="1" t="s">
        <v>26</v>
      </c>
      <c r="J418">
        <v>1366</v>
      </c>
      <c r="K418">
        <v>768</v>
      </c>
      <c r="L418" s="1" t="s">
        <v>27</v>
      </c>
      <c r="M418" s="1" t="s">
        <v>27</v>
      </c>
      <c r="N418" s="1" t="s">
        <v>27</v>
      </c>
      <c r="O418" s="1" t="s">
        <v>29</v>
      </c>
      <c r="P418">
        <v>2</v>
      </c>
      <c r="Q418" s="1" t="s">
        <v>62</v>
      </c>
      <c r="R418" s="1" t="str">
        <f>_xlfn.CONCAT(laptop[[#This Row],[CPU_company]]," ",laptop[[#This Row],[CPU_model]])</f>
        <v>Intel Core i3 6006U</v>
      </c>
      <c r="S418">
        <v>128</v>
      </c>
      <c r="T418">
        <v>0</v>
      </c>
      <c r="U418">
        <f>laptop[[#This Row],[PrimaryStorage]]+laptop[[#This Row],[SecondaryStorage]]</f>
        <v>128</v>
      </c>
      <c r="V418" s="1" t="s">
        <v>31</v>
      </c>
      <c r="W418" s="1" t="s">
        <v>27</v>
      </c>
      <c r="X418" s="1" t="str">
        <f>IF(laptop[[#This Row],[PrimaryStorageType]]=laptop[[#This Row],[SecondaryStorageType]],laptop[[#This Row],[PrimaryStorageType]],"SSD &amp; HDD")</f>
        <v>SSD &amp; HDD</v>
      </c>
      <c r="Y418" s="1" t="s">
        <v>63</v>
      </c>
    </row>
    <row r="419" spans="1:25" x14ac:dyDescent="0.25">
      <c r="A419" s="1" t="s">
        <v>36</v>
      </c>
      <c r="B419" s="1" t="s">
        <v>405</v>
      </c>
      <c r="C419" s="1" t="s">
        <v>24</v>
      </c>
      <c r="D419">
        <v>14</v>
      </c>
      <c r="E419">
        <v>8</v>
      </c>
      <c r="F419" s="1" t="s">
        <v>48</v>
      </c>
      <c r="G419">
        <v>1.43</v>
      </c>
      <c r="H419">
        <v>1500</v>
      </c>
      <c r="I419" s="1" t="s">
        <v>40</v>
      </c>
      <c r="J419">
        <v>1920</v>
      </c>
      <c r="K419">
        <v>1080</v>
      </c>
      <c r="L419" s="1" t="s">
        <v>27</v>
      </c>
      <c r="M419" s="1" t="s">
        <v>27</v>
      </c>
      <c r="N419" s="1" t="s">
        <v>27</v>
      </c>
      <c r="O419" s="1" t="s">
        <v>29</v>
      </c>
      <c r="P419">
        <v>2.5</v>
      </c>
      <c r="Q419" s="1" t="s">
        <v>274</v>
      </c>
      <c r="R419" s="1" t="str">
        <f>_xlfn.CONCAT(laptop[[#This Row],[CPU_company]]," ",laptop[[#This Row],[CPU_model]])</f>
        <v>Intel Core i7 6500U</v>
      </c>
      <c r="S419">
        <v>256</v>
      </c>
      <c r="T419">
        <v>0</v>
      </c>
      <c r="U419">
        <f>laptop[[#This Row],[PrimaryStorage]]+laptop[[#This Row],[SecondaryStorage]]</f>
        <v>256</v>
      </c>
      <c r="V419" s="1" t="s">
        <v>31</v>
      </c>
      <c r="W419" s="1" t="s">
        <v>27</v>
      </c>
      <c r="X419" s="1" t="str">
        <f>IF(laptop[[#This Row],[PrimaryStorageType]]=laptop[[#This Row],[SecondaryStorageType]],laptop[[#This Row],[PrimaryStorageType]],"SSD &amp; HDD")</f>
        <v>SSD &amp; HDD</v>
      </c>
      <c r="Y419" s="1" t="s">
        <v>63</v>
      </c>
    </row>
    <row r="420" spans="1:25" x14ac:dyDescent="0.25">
      <c r="A420" s="1" t="s">
        <v>65</v>
      </c>
      <c r="B420" s="1" t="s">
        <v>66</v>
      </c>
      <c r="C420" s="1" t="s">
        <v>38</v>
      </c>
      <c r="D420">
        <v>15.6</v>
      </c>
      <c r="E420">
        <v>8</v>
      </c>
      <c r="F420" s="1" t="s">
        <v>48</v>
      </c>
      <c r="G420">
        <v>2.14</v>
      </c>
      <c r="H420">
        <v>539.95000000000005</v>
      </c>
      <c r="I420" s="1" t="s">
        <v>26</v>
      </c>
      <c r="J420">
        <v>1366</v>
      </c>
      <c r="K420">
        <v>768</v>
      </c>
      <c r="L420" s="1" t="s">
        <v>27</v>
      </c>
      <c r="M420" s="1" t="s">
        <v>27</v>
      </c>
      <c r="N420" s="1" t="s">
        <v>27</v>
      </c>
      <c r="O420" s="1" t="s">
        <v>29</v>
      </c>
      <c r="P420">
        <v>2.5</v>
      </c>
      <c r="Q420" s="1" t="s">
        <v>41</v>
      </c>
      <c r="R420" s="1" t="str">
        <f>_xlfn.CONCAT(laptop[[#This Row],[CPU_company]]," ",laptop[[#This Row],[CPU_model]])</f>
        <v>Intel Core i5 7200U</v>
      </c>
      <c r="S420">
        <v>1024</v>
      </c>
      <c r="T420">
        <v>0</v>
      </c>
      <c r="U420">
        <f>laptop[[#This Row],[PrimaryStorage]]+laptop[[#This Row],[SecondaryStorage]]</f>
        <v>1024</v>
      </c>
      <c r="V420" s="1" t="s">
        <v>51</v>
      </c>
      <c r="W420" s="1" t="s">
        <v>27</v>
      </c>
      <c r="X420" s="1" t="str">
        <f>IF(laptop[[#This Row],[PrimaryStorageType]]=laptop[[#This Row],[SecondaryStorageType]],laptop[[#This Row],[PrimaryStorageType]],"SSD &amp; HDD")</f>
        <v>SSD &amp; HDD</v>
      </c>
      <c r="Y420" s="1" t="s">
        <v>42</v>
      </c>
    </row>
    <row r="421" spans="1:25" x14ac:dyDescent="0.25">
      <c r="A421" s="1" t="s">
        <v>73</v>
      </c>
      <c r="B421" s="1" t="s">
        <v>207</v>
      </c>
      <c r="C421" s="1" t="s">
        <v>24</v>
      </c>
      <c r="D421">
        <v>14</v>
      </c>
      <c r="E421">
        <v>8</v>
      </c>
      <c r="F421" s="1" t="s">
        <v>48</v>
      </c>
      <c r="G421">
        <v>1.75</v>
      </c>
      <c r="H421">
        <v>1215.3800000000001</v>
      </c>
      <c r="I421" s="1" t="s">
        <v>40</v>
      </c>
      <c r="J421">
        <v>1920</v>
      </c>
      <c r="K421">
        <v>1080</v>
      </c>
      <c r="L421" s="1" t="s">
        <v>27</v>
      </c>
      <c r="M421" s="1" t="s">
        <v>28</v>
      </c>
      <c r="N421" s="1" t="s">
        <v>27</v>
      </c>
      <c r="O421" s="1" t="s">
        <v>29</v>
      </c>
      <c r="P421">
        <v>1.8</v>
      </c>
      <c r="Q421" s="1" t="s">
        <v>57</v>
      </c>
      <c r="R421" s="1" t="str">
        <f>_xlfn.CONCAT(laptop[[#This Row],[CPU_company]]," ",laptop[[#This Row],[CPU_model]])</f>
        <v>Intel Core i7 8550U</v>
      </c>
      <c r="S421">
        <v>256</v>
      </c>
      <c r="T421">
        <v>0</v>
      </c>
      <c r="U421">
        <f>laptop[[#This Row],[PrimaryStorage]]+laptop[[#This Row],[SecondaryStorage]]</f>
        <v>256</v>
      </c>
      <c r="V421" s="1" t="s">
        <v>31</v>
      </c>
      <c r="W421" s="1" t="s">
        <v>27</v>
      </c>
      <c r="X421" s="1" t="str">
        <f>IF(laptop[[#This Row],[PrimaryStorageType]]=laptop[[#This Row],[SecondaryStorageType]],laptop[[#This Row],[PrimaryStorageType]],"SSD &amp; HDD")</f>
        <v>SSD &amp; HDD</v>
      </c>
      <c r="Y421" s="1" t="s">
        <v>208</v>
      </c>
    </row>
    <row r="422" spans="1:25" x14ac:dyDescent="0.25">
      <c r="A422" s="1" t="s">
        <v>73</v>
      </c>
      <c r="B422" s="1" t="s">
        <v>304</v>
      </c>
      <c r="C422" s="1" t="s">
        <v>90</v>
      </c>
      <c r="D422">
        <v>15.6</v>
      </c>
      <c r="E422">
        <v>16</v>
      </c>
      <c r="F422" s="1" t="s">
        <v>48</v>
      </c>
      <c r="G422">
        <v>2</v>
      </c>
      <c r="H422">
        <v>1899</v>
      </c>
      <c r="I422" s="1" t="s">
        <v>215</v>
      </c>
      <c r="J422">
        <v>3840</v>
      </c>
      <c r="K422">
        <v>2160</v>
      </c>
      <c r="L422" s="1" t="s">
        <v>28</v>
      </c>
      <c r="M422" s="1" t="s">
        <v>28</v>
      </c>
      <c r="N422" s="1" t="s">
        <v>27</v>
      </c>
      <c r="O422" s="1" t="s">
        <v>29</v>
      </c>
      <c r="P422">
        <v>2.8</v>
      </c>
      <c r="Q422" s="1" t="s">
        <v>118</v>
      </c>
      <c r="R422" s="1" t="str">
        <f>_xlfn.CONCAT(laptop[[#This Row],[CPU_company]]," ",laptop[[#This Row],[CPU_model]])</f>
        <v>Intel Core i7 7700HQ</v>
      </c>
      <c r="S422">
        <v>512</v>
      </c>
      <c r="T422">
        <v>0</v>
      </c>
      <c r="U422">
        <f>laptop[[#This Row],[PrimaryStorage]]+laptop[[#This Row],[SecondaryStorage]]</f>
        <v>512</v>
      </c>
      <c r="V422" s="1" t="s">
        <v>31</v>
      </c>
      <c r="W422" s="1" t="s">
        <v>27</v>
      </c>
      <c r="X422" s="1" t="str">
        <f>IF(laptop[[#This Row],[PrimaryStorageType]]=laptop[[#This Row],[SecondaryStorageType]],laptop[[#This Row],[PrimaryStorageType]],"SSD &amp; HDD")</f>
        <v>SSD &amp; HDD</v>
      </c>
      <c r="Y422" s="1" t="s">
        <v>85</v>
      </c>
    </row>
    <row r="423" spans="1:25" x14ac:dyDescent="0.25">
      <c r="A423" s="1" t="s">
        <v>99</v>
      </c>
      <c r="B423" s="1" t="s">
        <v>406</v>
      </c>
      <c r="C423" s="1" t="s">
        <v>38</v>
      </c>
      <c r="D423">
        <v>12.3</v>
      </c>
      <c r="E423">
        <v>6</v>
      </c>
      <c r="F423" s="1" t="s">
        <v>48</v>
      </c>
      <c r="G423">
        <v>1.4</v>
      </c>
      <c r="H423">
        <v>449</v>
      </c>
      <c r="I423" s="1" t="s">
        <v>26</v>
      </c>
      <c r="J423">
        <v>2736</v>
      </c>
      <c r="K423">
        <v>1824</v>
      </c>
      <c r="L423" s="1" t="s">
        <v>27</v>
      </c>
      <c r="M423" s="1" t="s">
        <v>28</v>
      </c>
      <c r="N423" s="1" t="s">
        <v>28</v>
      </c>
      <c r="O423" s="1" t="s">
        <v>29</v>
      </c>
      <c r="P423">
        <v>1.1000000000000001</v>
      </c>
      <c r="Q423" s="1" t="s">
        <v>375</v>
      </c>
      <c r="R423" s="1" t="str">
        <f>_xlfn.CONCAT(laptop[[#This Row],[CPU_company]]," ",laptop[[#This Row],[CPU_model]])</f>
        <v>Intel Celeron Quad Core N3450</v>
      </c>
      <c r="S423">
        <v>64</v>
      </c>
      <c r="T423">
        <v>0</v>
      </c>
      <c r="U423">
        <f>laptop[[#This Row],[PrimaryStorage]]+laptop[[#This Row],[SecondaryStorage]]</f>
        <v>64</v>
      </c>
      <c r="V423" s="1" t="s">
        <v>34</v>
      </c>
      <c r="W423" s="1" t="s">
        <v>27</v>
      </c>
      <c r="X423" s="1" t="str">
        <f>IF(laptop[[#This Row],[PrimaryStorageType]]=laptop[[#This Row],[SecondaryStorageType]],laptop[[#This Row],[PrimaryStorageType]],"SSD &amp; HDD")</f>
        <v>SSD &amp; HDD</v>
      </c>
      <c r="Y423" s="1" t="s">
        <v>110</v>
      </c>
    </row>
    <row r="424" spans="1:25" x14ac:dyDescent="0.25">
      <c r="A424" s="1" t="s">
        <v>36</v>
      </c>
      <c r="B424" s="1" t="s">
        <v>407</v>
      </c>
      <c r="C424" s="1" t="s">
        <v>38</v>
      </c>
      <c r="D424">
        <v>15.6</v>
      </c>
      <c r="E424">
        <v>8</v>
      </c>
      <c r="F424" s="1" t="s">
        <v>48</v>
      </c>
      <c r="G424">
        <v>2.31</v>
      </c>
      <c r="H424">
        <v>1427</v>
      </c>
      <c r="I424" s="1" t="s">
        <v>40</v>
      </c>
      <c r="J424">
        <v>1920</v>
      </c>
      <c r="K424">
        <v>1080</v>
      </c>
      <c r="L424" s="1" t="s">
        <v>27</v>
      </c>
      <c r="M424" s="1" t="s">
        <v>27</v>
      </c>
      <c r="N424" s="1" t="s">
        <v>27</v>
      </c>
      <c r="O424" s="1" t="s">
        <v>29</v>
      </c>
      <c r="P424">
        <v>2.9</v>
      </c>
      <c r="Q424" s="1" t="s">
        <v>324</v>
      </c>
      <c r="R424" s="1" t="str">
        <f>_xlfn.CONCAT(laptop[[#This Row],[CPU_company]]," ",laptop[[#This Row],[CPU_model]])</f>
        <v>Intel Core i7 7820HQ</v>
      </c>
      <c r="S424">
        <v>256</v>
      </c>
      <c r="T424">
        <v>0</v>
      </c>
      <c r="U424">
        <f>laptop[[#This Row],[PrimaryStorage]]+laptop[[#This Row],[SecondaryStorage]]</f>
        <v>256</v>
      </c>
      <c r="V424" s="1" t="s">
        <v>31</v>
      </c>
      <c r="W424" s="1" t="s">
        <v>27</v>
      </c>
      <c r="X424" s="1" t="str">
        <f>IF(laptop[[#This Row],[PrimaryStorageType]]=laptop[[#This Row],[SecondaryStorageType]],laptop[[#This Row],[PrimaryStorageType]],"SSD &amp; HDD")</f>
        <v>SSD &amp; HDD</v>
      </c>
      <c r="Y424" s="1" t="s">
        <v>315</v>
      </c>
    </row>
    <row r="425" spans="1:25" x14ac:dyDescent="0.25">
      <c r="A425" s="1" t="s">
        <v>55</v>
      </c>
      <c r="B425" s="1" t="s">
        <v>408</v>
      </c>
      <c r="C425" s="1" t="s">
        <v>38</v>
      </c>
      <c r="D425">
        <v>15.6</v>
      </c>
      <c r="E425">
        <v>8</v>
      </c>
      <c r="F425" s="1" t="s">
        <v>111</v>
      </c>
      <c r="G425">
        <v>2.2999999999999998</v>
      </c>
      <c r="H425">
        <v>597</v>
      </c>
      <c r="I425" s="1" t="s">
        <v>40</v>
      </c>
      <c r="J425">
        <v>1920</v>
      </c>
      <c r="K425">
        <v>1080</v>
      </c>
      <c r="L425" s="1" t="s">
        <v>27</v>
      </c>
      <c r="M425" s="1" t="s">
        <v>27</v>
      </c>
      <c r="N425" s="1" t="s">
        <v>27</v>
      </c>
      <c r="O425" s="1" t="s">
        <v>29</v>
      </c>
      <c r="P425">
        <v>2.4</v>
      </c>
      <c r="Q425" s="1" t="s">
        <v>75</v>
      </c>
      <c r="R425" s="1" t="str">
        <f>_xlfn.CONCAT(laptop[[#This Row],[CPU_company]]," ",laptop[[#This Row],[CPU_model]])</f>
        <v>Intel Core i3 7100U</v>
      </c>
      <c r="S425">
        <v>1024</v>
      </c>
      <c r="T425">
        <v>0</v>
      </c>
      <c r="U425">
        <f>laptop[[#This Row],[PrimaryStorage]]+laptop[[#This Row],[SecondaryStorage]]</f>
        <v>1024</v>
      </c>
      <c r="V425" s="1" t="s">
        <v>51</v>
      </c>
      <c r="W425" s="1" t="s">
        <v>27</v>
      </c>
      <c r="X425" s="1" t="str">
        <f>IF(laptop[[#This Row],[PrimaryStorageType]]=laptop[[#This Row],[SecondaryStorageType]],laptop[[#This Row],[PrimaryStorageType]],"SSD &amp; HDD")</f>
        <v>SSD &amp; HDD</v>
      </c>
      <c r="Y425" s="1" t="s">
        <v>76</v>
      </c>
    </row>
    <row r="426" spans="1:25" x14ac:dyDescent="0.25">
      <c r="A426" s="1" t="s">
        <v>65</v>
      </c>
      <c r="B426" s="1" t="s">
        <v>275</v>
      </c>
      <c r="C426" s="1" t="s">
        <v>83</v>
      </c>
      <c r="D426">
        <v>17.3</v>
      </c>
      <c r="E426">
        <v>16</v>
      </c>
      <c r="F426" s="1" t="s">
        <v>48</v>
      </c>
      <c r="G426">
        <v>4.42</v>
      </c>
      <c r="H426">
        <v>2799</v>
      </c>
      <c r="I426" s="1" t="s">
        <v>26</v>
      </c>
      <c r="J426">
        <v>2560</v>
      </c>
      <c r="K426">
        <v>1440</v>
      </c>
      <c r="L426" s="1" t="s">
        <v>27</v>
      </c>
      <c r="M426" s="1" t="s">
        <v>28</v>
      </c>
      <c r="N426" s="1" t="s">
        <v>27</v>
      </c>
      <c r="O426" s="1" t="s">
        <v>29</v>
      </c>
      <c r="P426">
        <v>2.9</v>
      </c>
      <c r="Q426" s="1" t="s">
        <v>258</v>
      </c>
      <c r="R426" s="1" t="str">
        <f>_xlfn.CONCAT(laptop[[#This Row],[CPU_company]]," ",laptop[[#This Row],[CPU_model]])</f>
        <v>Intel Core i7 7820HK</v>
      </c>
      <c r="S426">
        <v>256</v>
      </c>
      <c r="T426">
        <v>1024</v>
      </c>
      <c r="U426">
        <f>laptop[[#This Row],[PrimaryStorage]]+laptop[[#This Row],[SecondaryStorage]]</f>
        <v>1280</v>
      </c>
      <c r="V426" s="1" t="s">
        <v>31</v>
      </c>
      <c r="W426" s="1" t="s">
        <v>51</v>
      </c>
      <c r="X426" s="1" t="str">
        <f>IF(laptop[[#This Row],[PrimaryStorageType]]=laptop[[#This Row],[SecondaryStorageType]],laptop[[#This Row],[PrimaryStorageType]],"SSD &amp; HDD")</f>
        <v>SSD &amp; HDD</v>
      </c>
      <c r="Y426" s="1" t="s">
        <v>143</v>
      </c>
    </row>
    <row r="427" spans="1:25" x14ac:dyDescent="0.25">
      <c r="A427" s="1" t="s">
        <v>65</v>
      </c>
      <c r="B427" s="1" t="s">
        <v>117</v>
      </c>
      <c r="C427" s="1" t="s">
        <v>83</v>
      </c>
      <c r="D427">
        <v>15.6</v>
      </c>
      <c r="E427">
        <v>8</v>
      </c>
      <c r="F427" s="1" t="s">
        <v>48</v>
      </c>
      <c r="G427">
        <v>2.62</v>
      </c>
      <c r="H427">
        <v>1159</v>
      </c>
      <c r="I427" s="1" t="s">
        <v>40</v>
      </c>
      <c r="J427">
        <v>1920</v>
      </c>
      <c r="K427">
        <v>1080</v>
      </c>
      <c r="L427" s="1" t="s">
        <v>27</v>
      </c>
      <c r="M427" s="1" t="s">
        <v>28</v>
      </c>
      <c r="N427" s="1" t="s">
        <v>27</v>
      </c>
      <c r="O427" s="1" t="s">
        <v>29</v>
      </c>
      <c r="P427">
        <v>2.8</v>
      </c>
      <c r="Q427" s="1" t="s">
        <v>118</v>
      </c>
      <c r="R427" s="1" t="str">
        <f>_xlfn.CONCAT(laptop[[#This Row],[CPU_company]]," ",laptop[[#This Row],[CPU_model]])</f>
        <v>Intel Core i7 7700HQ</v>
      </c>
      <c r="S427">
        <v>128</v>
      </c>
      <c r="T427">
        <v>1024</v>
      </c>
      <c r="U427">
        <f>laptop[[#This Row],[PrimaryStorage]]+laptop[[#This Row],[SecondaryStorage]]</f>
        <v>1152</v>
      </c>
      <c r="V427" s="1" t="s">
        <v>31</v>
      </c>
      <c r="W427" s="1" t="s">
        <v>51</v>
      </c>
      <c r="X427" s="1" t="str">
        <f>IF(laptop[[#This Row],[PrimaryStorageType]]=laptop[[#This Row],[SecondaryStorageType]],laptop[[#This Row],[PrimaryStorageType]],"SSD &amp; HDD")</f>
        <v>SSD &amp; HDD</v>
      </c>
      <c r="Y427" s="1" t="s">
        <v>149</v>
      </c>
    </row>
    <row r="428" spans="1:25" x14ac:dyDescent="0.25">
      <c r="A428" s="1" t="s">
        <v>65</v>
      </c>
      <c r="B428" s="1" t="s">
        <v>93</v>
      </c>
      <c r="C428" s="1" t="s">
        <v>38</v>
      </c>
      <c r="D428">
        <v>15.6</v>
      </c>
      <c r="E428">
        <v>8</v>
      </c>
      <c r="F428" s="1" t="s">
        <v>48</v>
      </c>
      <c r="G428">
        <v>2.02</v>
      </c>
      <c r="H428">
        <v>1142.4000000000001</v>
      </c>
      <c r="I428" s="1" t="s">
        <v>40</v>
      </c>
      <c r="J428">
        <v>1920</v>
      </c>
      <c r="K428">
        <v>1080</v>
      </c>
      <c r="L428" s="1" t="s">
        <v>27</v>
      </c>
      <c r="M428" s="1" t="s">
        <v>27</v>
      </c>
      <c r="N428" s="1" t="s">
        <v>27</v>
      </c>
      <c r="O428" s="1" t="s">
        <v>29</v>
      </c>
      <c r="P428">
        <v>1.8</v>
      </c>
      <c r="Q428" s="1" t="s">
        <v>57</v>
      </c>
      <c r="R428" s="1" t="str">
        <f>_xlfn.CONCAT(laptop[[#This Row],[CPU_company]]," ",laptop[[#This Row],[CPU_model]])</f>
        <v>Intel Core i7 8550U</v>
      </c>
      <c r="S428">
        <v>256</v>
      </c>
      <c r="T428">
        <v>2048</v>
      </c>
      <c r="U428">
        <f>laptop[[#This Row],[PrimaryStorage]]+laptop[[#This Row],[SecondaryStorage]]</f>
        <v>2304</v>
      </c>
      <c r="V428" s="1" t="s">
        <v>31</v>
      </c>
      <c r="W428" s="1" t="s">
        <v>51</v>
      </c>
      <c r="X428" s="1" t="str">
        <f>IF(laptop[[#This Row],[PrimaryStorageType]]=laptop[[#This Row],[SecondaryStorageType]],laptop[[#This Row],[PrimaryStorageType]],"SSD &amp; HDD")</f>
        <v>SSD &amp; HDD</v>
      </c>
      <c r="Y428" s="1" t="s">
        <v>94</v>
      </c>
    </row>
    <row r="429" spans="1:25" x14ac:dyDescent="0.25">
      <c r="A429" s="1" t="s">
        <v>65</v>
      </c>
      <c r="B429" s="1" t="s">
        <v>409</v>
      </c>
      <c r="C429" s="1" t="s">
        <v>24</v>
      </c>
      <c r="D429">
        <v>14</v>
      </c>
      <c r="E429">
        <v>8</v>
      </c>
      <c r="F429" s="1" t="s">
        <v>111</v>
      </c>
      <c r="G429">
        <v>1.6</v>
      </c>
      <c r="H429">
        <v>1099</v>
      </c>
      <c r="I429" s="1" t="s">
        <v>40</v>
      </c>
      <c r="J429">
        <v>1920</v>
      </c>
      <c r="K429">
        <v>1080</v>
      </c>
      <c r="L429" s="1" t="s">
        <v>27</v>
      </c>
      <c r="M429" s="1" t="s">
        <v>27</v>
      </c>
      <c r="N429" s="1" t="s">
        <v>27</v>
      </c>
      <c r="O429" s="1" t="s">
        <v>29</v>
      </c>
      <c r="P429">
        <v>2.8</v>
      </c>
      <c r="Q429" s="1" t="s">
        <v>335</v>
      </c>
      <c r="R429" s="1" t="str">
        <f>_xlfn.CONCAT(laptop[[#This Row],[CPU_company]]," ",laptop[[#This Row],[CPU_model]])</f>
        <v>Intel Core i7 7600U</v>
      </c>
      <c r="S429">
        <v>256</v>
      </c>
      <c r="T429">
        <v>0</v>
      </c>
      <c r="U429">
        <f>laptop[[#This Row],[PrimaryStorage]]+laptop[[#This Row],[SecondaryStorage]]</f>
        <v>256</v>
      </c>
      <c r="V429" s="1" t="s">
        <v>31</v>
      </c>
      <c r="W429" s="1" t="s">
        <v>27</v>
      </c>
      <c r="X429" s="1" t="str">
        <f>IF(laptop[[#This Row],[PrimaryStorageType]]=laptop[[#This Row],[SecondaryStorageType]],laptop[[#This Row],[PrimaryStorageType]],"SSD &amp; HDD")</f>
        <v>SSD &amp; HDD</v>
      </c>
      <c r="Y429" s="1" t="s">
        <v>42</v>
      </c>
    </row>
    <row r="430" spans="1:25" x14ac:dyDescent="0.25">
      <c r="A430" s="1" t="s">
        <v>36</v>
      </c>
      <c r="B430" s="1" t="s">
        <v>410</v>
      </c>
      <c r="C430" s="1" t="s">
        <v>83</v>
      </c>
      <c r="D430">
        <v>17.3</v>
      </c>
      <c r="E430">
        <v>12</v>
      </c>
      <c r="F430" s="1" t="s">
        <v>48</v>
      </c>
      <c r="G430">
        <v>3.35</v>
      </c>
      <c r="H430">
        <v>1999</v>
      </c>
      <c r="I430" s="1" t="s">
        <v>40</v>
      </c>
      <c r="J430">
        <v>1920</v>
      </c>
      <c r="K430">
        <v>1080</v>
      </c>
      <c r="L430" s="1" t="s">
        <v>27</v>
      </c>
      <c r="M430" s="1" t="s">
        <v>27</v>
      </c>
      <c r="N430" s="1" t="s">
        <v>27</v>
      </c>
      <c r="O430" s="1" t="s">
        <v>29</v>
      </c>
      <c r="P430">
        <v>2.8</v>
      </c>
      <c r="Q430" s="1" t="s">
        <v>118</v>
      </c>
      <c r="R430" s="1" t="str">
        <f>_xlfn.CONCAT(laptop[[#This Row],[CPU_company]]," ",laptop[[#This Row],[CPU_model]])</f>
        <v>Intel Core i7 7700HQ</v>
      </c>
      <c r="S430">
        <v>256</v>
      </c>
      <c r="T430">
        <v>1024</v>
      </c>
      <c r="U430">
        <f>laptop[[#This Row],[PrimaryStorage]]+laptop[[#This Row],[SecondaryStorage]]</f>
        <v>1280</v>
      </c>
      <c r="V430" s="1" t="s">
        <v>31</v>
      </c>
      <c r="W430" s="1" t="s">
        <v>51</v>
      </c>
      <c r="X430" s="1" t="str">
        <f>IF(laptop[[#This Row],[PrimaryStorageType]]=laptop[[#This Row],[SecondaryStorageType]],laptop[[#This Row],[PrimaryStorageType]],"SSD &amp; HDD")</f>
        <v>SSD &amp; HDD</v>
      </c>
      <c r="Y430" s="1" t="s">
        <v>143</v>
      </c>
    </row>
    <row r="431" spans="1:25" x14ac:dyDescent="0.25">
      <c r="A431" s="1" t="s">
        <v>411</v>
      </c>
      <c r="B431" s="1" t="s">
        <v>412</v>
      </c>
      <c r="C431" s="1" t="s">
        <v>90</v>
      </c>
      <c r="D431">
        <v>11.6</v>
      </c>
      <c r="E431">
        <v>4</v>
      </c>
      <c r="F431" s="1" t="s">
        <v>48</v>
      </c>
      <c r="G431">
        <v>1.1599999999999999</v>
      </c>
      <c r="H431">
        <v>299</v>
      </c>
      <c r="I431" s="1" t="s">
        <v>40</v>
      </c>
      <c r="J431">
        <v>1920</v>
      </c>
      <c r="K431">
        <v>1080</v>
      </c>
      <c r="L431" s="1" t="s">
        <v>28</v>
      </c>
      <c r="M431" s="1" t="s">
        <v>28</v>
      </c>
      <c r="N431" s="1" t="s">
        <v>27</v>
      </c>
      <c r="O431" s="1" t="s">
        <v>29</v>
      </c>
      <c r="P431">
        <v>1.1000000000000001</v>
      </c>
      <c r="Q431" s="1" t="s">
        <v>109</v>
      </c>
      <c r="R431" s="1" t="str">
        <f>_xlfn.CONCAT(laptop[[#This Row],[CPU_company]]," ",laptop[[#This Row],[CPU_model]])</f>
        <v>Intel Celeron Dual Core N3350</v>
      </c>
      <c r="S431">
        <v>32</v>
      </c>
      <c r="T431">
        <v>0</v>
      </c>
      <c r="U431">
        <f>laptop[[#This Row],[PrimaryStorage]]+laptop[[#This Row],[SecondaryStorage]]</f>
        <v>32</v>
      </c>
      <c r="V431" s="1" t="s">
        <v>31</v>
      </c>
      <c r="W431" s="1" t="s">
        <v>27</v>
      </c>
      <c r="X431" s="1" t="str">
        <f>IF(laptop[[#This Row],[PrimaryStorageType]]=laptop[[#This Row],[SecondaryStorageType]],laptop[[#This Row],[PrimaryStorageType]],"SSD &amp; HDD")</f>
        <v>SSD &amp; HDD</v>
      </c>
      <c r="Y431" s="1" t="s">
        <v>110</v>
      </c>
    </row>
    <row r="432" spans="1:25" x14ac:dyDescent="0.25">
      <c r="A432" s="1" t="s">
        <v>413</v>
      </c>
      <c r="B432" s="1" t="s">
        <v>414</v>
      </c>
      <c r="C432" s="1" t="s">
        <v>79</v>
      </c>
      <c r="D432">
        <v>11.6</v>
      </c>
      <c r="E432">
        <v>4</v>
      </c>
      <c r="F432" s="1" t="s">
        <v>317</v>
      </c>
      <c r="G432">
        <v>1.1499999999999999</v>
      </c>
      <c r="H432">
        <v>269</v>
      </c>
      <c r="I432" s="1" t="s">
        <v>26</v>
      </c>
      <c r="J432">
        <v>1366</v>
      </c>
      <c r="K432">
        <v>768</v>
      </c>
      <c r="L432" s="1" t="s">
        <v>27</v>
      </c>
      <c r="M432" s="1" t="s">
        <v>27</v>
      </c>
      <c r="N432" s="1" t="s">
        <v>27</v>
      </c>
      <c r="O432" s="1" t="s">
        <v>29</v>
      </c>
      <c r="P432">
        <v>1.6</v>
      </c>
      <c r="Q432" s="1" t="s">
        <v>151</v>
      </c>
      <c r="R432" s="1" t="str">
        <f>_xlfn.CONCAT(laptop[[#This Row],[CPU_company]]," ",laptop[[#This Row],[CPU_model]])</f>
        <v>Intel Celeron Dual Core N3060</v>
      </c>
      <c r="S432">
        <v>16</v>
      </c>
      <c r="T432">
        <v>0</v>
      </c>
      <c r="U432">
        <f>laptop[[#This Row],[PrimaryStorage]]+laptop[[#This Row],[SecondaryStorage]]</f>
        <v>16</v>
      </c>
      <c r="V432" s="1" t="s">
        <v>34</v>
      </c>
      <c r="W432" s="1" t="s">
        <v>27</v>
      </c>
      <c r="X432" s="1" t="str">
        <f>IF(laptop[[#This Row],[PrimaryStorageType]]=laptop[[#This Row],[SecondaryStorageType]],laptop[[#This Row],[PrimaryStorageType]],"SSD &amp; HDD")</f>
        <v>SSD &amp; HDD</v>
      </c>
      <c r="Y432" s="1" t="s">
        <v>81</v>
      </c>
    </row>
    <row r="433" spans="1:25" x14ac:dyDescent="0.25">
      <c r="A433" s="1" t="s">
        <v>73</v>
      </c>
      <c r="B433" s="1" t="s">
        <v>415</v>
      </c>
      <c r="C433" s="1" t="s">
        <v>38</v>
      </c>
      <c r="D433">
        <v>13.3</v>
      </c>
      <c r="E433">
        <v>8</v>
      </c>
      <c r="F433" s="1" t="s">
        <v>48</v>
      </c>
      <c r="G433">
        <v>1.4</v>
      </c>
      <c r="H433">
        <v>1010</v>
      </c>
      <c r="I433" s="1" t="s">
        <v>40</v>
      </c>
      <c r="J433">
        <v>1920</v>
      </c>
      <c r="K433">
        <v>1080</v>
      </c>
      <c r="L433" s="1" t="s">
        <v>27</v>
      </c>
      <c r="M433" s="1" t="s">
        <v>28</v>
      </c>
      <c r="N433" s="1" t="s">
        <v>27</v>
      </c>
      <c r="O433" s="1" t="s">
        <v>29</v>
      </c>
      <c r="P433">
        <v>2.7</v>
      </c>
      <c r="Q433" s="1" t="s">
        <v>71</v>
      </c>
      <c r="R433" s="1" t="str">
        <f>_xlfn.CONCAT(laptop[[#This Row],[CPU_company]]," ",laptop[[#This Row],[CPU_model]])</f>
        <v>Intel Core i7 7500U</v>
      </c>
      <c r="S433">
        <v>256</v>
      </c>
      <c r="T433">
        <v>0</v>
      </c>
      <c r="U433">
        <f>laptop[[#This Row],[PrimaryStorage]]+laptop[[#This Row],[SecondaryStorage]]</f>
        <v>256</v>
      </c>
      <c r="V433" s="1" t="s">
        <v>31</v>
      </c>
      <c r="W433" s="1" t="s">
        <v>27</v>
      </c>
      <c r="X433" s="1" t="str">
        <f>IF(laptop[[#This Row],[PrimaryStorageType]]=laptop[[#This Row],[SecondaryStorageType]],laptop[[#This Row],[PrimaryStorageType]],"SSD &amp; HDD")</f>
        <v>SSD &amp; HDD</v>
      </c>
      <c r="Y433" s="1" t="s">
        <v>42</v>
      </c>
    </row>
    <row r="434" spans="1:25" x14ac:dyDescent="0.25">
      <c r="A434" s="1" t="s">
        <v>73</v>
      </c>
      <c r="B434" s="1" t="s">
        <v>416</v>
      </c>
      <c r="C434" s="1" t="s">
        <v>38</v>
      </c>
      <c r="D434">
        <v>14</v>
      </c>
      <c r="E434">
        <v>4</v>
      </c>
      <c r="F434" s="1" t="s">
        <v>48</v>
      </c>
      <c r="G434">
        <v>1.7</v>
      </c>
      <c r="H434">
        <v>599</v>
      </c>
      <c r="I434" s="1" t="s">
        <v>40</v>
      </c>
      <c r="J434">
        <v>1920</v>
      </c>
      <c r="K434">
        <v>1080</v>
      </c>
      <c r="L434" s="1" t="s">
        <v>27</v>
      </c>
      <c r="M434" s="1" t="s">
        <v>28</v>
      </c>
      <c r="N434" s="1" t="s">
        <v>27</v>
      </c>
      <c r="O434" s="1" t="s">
        <v>29</v>
      </c>
      <c r="P434">
        <v>2.7</v>
      </c>
      <c r="Q434" s="1" t="s">
        <v>112</v>
      </c>
      <c r="R434" s="1" t="str">
        <f>_xlfn.CONCAT(laptop[[#This Row],[CPU_company]]," ",laptop[[#This Row],[CPU_model]])</f>
        <v>Intel Core i3 7130U</v>
      </c>
      <c r="S434">
        <v>128</v>
      </c>
      <c r="T434">
        <v>0</v>
      </c>
      <c r="U434">
        <f>laptop[[#This Row],[PrimaryStorage]]+laptop[[#This Row],[SecondaryStorage]]</f>
        <v>128</v>
      </c>
      <c r="V434" s="1" t="s">
        <v>31</v>
      </c>
      <c r="W434" s="1" t="s">
        <v>27</v>
      </c>
      <c r="X434" s="1" t="str">
        <f>IF(laptop[[#This Row],[PrimaryStorageType]]=laptop[[#This Row],[SecondaryStorageType]],laptop[[#This Row],[PrimaryStorageType]],"SSD &amp; HDD")</f>
        <v>SSD &amp; HDD</v>
      </c>
      <c r="Y434" s="1" t="s">
        <v>42</v>
      </c>
    </row>
    <row r="435" spans="1:25" x14ac:dyDescent="0.25">
      <c r="A435" s="1" t="s">
        <v>73</v>
      </c>
      <c r="B435" s="1" t="s">
        <v>314</v>
      </c>
      <c r="C435" s="1" t="s">
        <v>265</v>
      </c>
      <c r="D435">
        <v>15.6</v>
      </c>
      <c r="E435">
        <v>16</v>
      </c>
      <c r="F435" s="1" t="s">
        <v>48</v>
      </c>
      <c r="G435">
        <v>2.2999999999999998</v>
      </c>
      <c r="H435">
        <v>2445</v>
      </c>
      <c r="I435" s="1" t="s">
        <v>215</v>
      </c>
      <c r="J435">
        <v>3840</v>
      </c>
      <c r="K435">
        <v>2160</v>
      </c>
      <c r="L435" s="1" t="s">
        <v>27</v>
      </c>
      <c r="M435" s="1" t="s">
        <v>28</v>
      </c>
      <c r="N435" s="1" t="s">
        <v>27</v>
      </c>
      <c r="O435" s="1" t="s">
        <v>29</v>
      </c>
      <c r="P435">
        <v>2.8</v>
      </c>
      <c r="Q435" s="1" t="s">
        <v>335</v>
      </c>
      <c r="R435" s="1" t="str">
        <f>_xlfn.CONCAT(laptop[[#This Row],[CPU_company]]," ",laptop[[#This Row],[CPU_model]])</f>
        <v>Intel Core i7 7600U</v>
      </c>
      <c r="S435">
        <v>512</v>
      </c>
      <c r="T435">
        <v>0</v>
      </c>
      <c r="U435">
        <f>laptop[[#This Row],[PrimaryStorage]]+laptop[[#This Row],[SecondaryStorage]]</f>
        <v>512</v>
      </c>
      <c r="V435" s="1" t="s">
        <v>31</v>
      </c>
      <c r="W435" s="1" t="s">
        <v>27</v>
      </c>
      <c r="X435" s="1" t="str">
        <f>IF(laptop[[#This Row],[PrimaryStorageType]]=laptop[[#This Row],[SecondaryStorageType]],laptop[[#This Row],[PrimaryStorageType]],"SSD &amp; HDD")</f>
        <v>SSD &amp; HDD</v>
      </c>
      <c r="Y435" s="1" t="s">
        <v>76</v>
      </c>
    </row>
    <row r="436" spans="1:25" x14ac:dyDescent="0.25">
      <c r="A436" s="1" t="s">
        <v>73</v>
      </c>
      <c r="B436" s="1" t="s">
        <v>417</v>
      </c>
      <c r="C436" s="1" t="s">
        <v>38</v>
      </c>
      <c r="D436">
        <v>15.6</v>
      </c>
      <c r="E436">
        <v>16</v>
      </c>
      <c r="F436" s="1" t="s">
        <v>48</v>
      </c>
      <c r="G436">
        <v>2.5</v>
      </c>
      <c r="H436">
        <v>2449</v>
      </c>
      <c r="I436" s="1" t="s">
        <v>40</v>
      </c>
      <c r="J436">
        <v>1920</v>
      </c>
      <c r="K436">
        <v>1080</v>
      </c>
      <c r="L436" s="1" t="s">
        <v>27</v>
      </c>
      <c r="M436" s="1" t="s">
        <v>27</v>
      </c>
      <c r="N436" s="1" t="s">
        <v>27</v>
      </c>
      <c r="O436" s="1" t="s">
        <v>29</v>
      </c>
      <c r="P436">
        <v>2.9</v>
      </c>
      <c r="Q436" s="1" t="s">
        <v>324</v>
      </c>
      <c r="R436" s="1" t="str">
        <f>_xlfn.CONCAT(laptop[[#This Row],[CPU_company]]," ",laptop[[#This Row],[CPU_model]])</f>
        <v>Intel Core i7 7820HQ</v>
      </c>
      <c r="S436">
        <v>512</v>
      </c>
      <c r="T436">
        <v>0</v>
      </c>
      <c r="U436">
        <f>laptop[[#This Row],[PrimaryStorage]]+laptop[[#This Row],[SecondaryStorage]]</f>
        <v>512</v>
      </c>
      <c r="V436" s="1" t="s">
        <v>31</v>
      </c>
      <c r="W436" s="1" t="s">
        <v>27</v>
      </c>
      <c r="X436" s="1" t="str">
        <f>IF(laptop[[#This Row],[PrimaryStorageType]]=laptop[[#This Row],[SecondaryStorageType]],laptop[[#This Row],[PrimaryStorageType]],"SSD &amp; HDD")</f>
        <v>SSD &amp; HDD</v>
      </c>
      <c r="Y436" s="1" t="s">
        <v>418</v>
      </c>
    </row>
    <row r="437" spans="1:25" x14ac:dyDescent="0.25">
      <c r="A437" s="1" t="s">
        <v>55</v>
      </c>
      <c r="B437" s="1" t="s">
        <v>126</v>
      </c>
      <c r="C437" s="1" t="s">
        <v>83</v>
      </c>
      <c r="D437">
        <v>17.3</v>
      </c>
      <c r="E437">
        <v>8</v>
      </c>
      <c r="F437" s="1" t="s">
        <v>48</v>
      </c>
      <c r="G437">
        <v>3.2</v>
      </c>
      <c r="H437">
        <v>1695</v>
      </c>
      <c r="I437" s="1" t="s">
        <v>40</v>
      </c>
      <c r="J437">
        <v>1920</v>
      </c>
      <c r="K437">
        <v>1080</v>
      </c>
      <c r="L437" s="1" t="s">
        <v>27</v>
      </c>
      <c r="M437" s="1" t="s">
        <v>27</v>
      </c>
      <c r="N437" s="1" t="s">
        <v>27</v>
      </c>
      <c r="O437" s="1" t="s">
        <v>49</v>
      </c>
      <c r="P437">
        <v>3.2</v>
      </c>
      <c r="Q437" s="1" t="s">
        <v>419</v>
      </c>
      <c r="R437" s="1" t="str">
        <f>_xlfn.CONCAT(laptop[[#This Row],[CPU_company]]," ",laptop[[#This Row],[CPU_model]])</f>
        <v>AMD Ryzen 1600</v>
      </c>
      <c r="S437">
        <v>256</v>
      </c>
      <c r="T437">
        <v>1024</v>
      </c>
      <c r="U437">
        <f>laptop[[#This Row],[PrimaryStorage]]+laptop[[#This Row],[SecondaryStorage]]</f>
        <v>1280</v>
      </c>
      <c r="V437" s="1" t="s">
        <v>31</v>
      </c>
      <c r="W437" s="1" t="s">
        <v>51</v>
      </c>
      <c r="X437" s="1" t="str">
        <f>IF(laptop[[#This Row],[PrimaryStorageType]]=laptop[[#This Row],[SecondaryStorageType]],laptop[[#This Row],[PrimaryStorageType]],"SSD &amp; HDD")</f>
        <v>SSD &amp; HDD</v>
      </c>
      <c r="Y437" s="1" t="s">
        <v>128</v>
      </c>
    </row>
    <row r="438" spans="1:25" x14ac:dyDescent="0.25">
      <c r="A438" s="1" t="s">
        <v>36</v>
      </c>
      <c r="B438" s="1" t="s">
        <v>420</v>
      </c>
      <c r="C438" s="1" t="s">
        <v>38</v>
      </c>
      <c r="D438">
        <v>15.6</v>
      </c>
      <c r="E438">
        <v>4</v>
      </c>
      <c r="F438" s="1" t="s">
        <v>48</v>
      </c>
      <c r="G438">
        <v>2.1</v>
      </c>
      <c r="H438">
        <v>347</v>
      </c>
      <c r="I438" s="1" t="s">
        <v>26</v>
      </c>
      <c r="J438">
        <v>1366</v>
      </c>
      <c r="K438">
        <v>768</v>
      </c>
      <c r="L438" s="1" t="s">
        <v>27</v>
      </c>
      <c r="M438" s="1" t="s">
        <v>27</v>
      </c>
      <c r="N438" s="1" t="s">
        <v>27</v>
      </c>
      <c r="O438" s="1" t="s">
        <v>29</v>
      </c>
      <c r="P438">
        <v>1.6</v>
      </c>
      <c r="Q438" s="1" t="s">
        <v>151</v>
      </c>
      <c r="R438" s="1" t="str">
        <f>_xlfn.CONCAT(laptop[[#This Row],[CPU_company]]," ",laptop[[#This Row],[CPU_model]])</f>
        <v>Intel Celeron Dual Core N3060</v>
      </c>
      <c r="S438">
        <v>500</v>
      </c>
      <c r="T438">
        <v>0</v>
      </c>
      <c r="U438">
        <f>laptop[[#This Row],[PrimaryStorage]]+laptop[[#This Row],[SecondaryStorage]]</f>
        <v>500</v>
      </c>
      <c r="V438" s="1" t="s">
        <v>51</v>
      </c>
      <c r="W438" s="1" t="s">
        <v>27</v>
      </c>
      <c r="X438" s="1" t="str">
        <f>IF(laptop[[#This Row],[PrimaryStorageType]]=laptop[[#This Row],[SecondaryStorageType]],laptop[[#This Row],[PrimaryStorageType]],"SSD &amp; HDD")</f>
        <v>SSD &amp; HDD</v>
      </c>
      <c r="Y438" s="1" t="s">
        <v>81</v>
      </c>
    </row>
    <row r="439" spans="1:25" x14ac:dyDescent="0.25">
      <c r="A439" s="1" t="s">
        <v>421</v>
      </c>
      <c r="B439" s="1" t="s">
        <v>422</v>
      </c>
      <c r="C439" s="1" t="s">
        <v>24</v>
      </c>
      <c r="D439">
        <v>12.3</v>
      </c>
      <c r="E439">
        <v>16</v>
      </c>
      <c r="F439" s="1" t="s">
        <v>317</v>
      </c>
      <c r="G439">
        <v>1.1000000000000001</v>
      </c>
      <c r="H439">
        <v>2199</v>
      </c>
      <c r="I439" s="1" t="s">
        <v>26</v>
      </c>
      <c r="J439">
        <v>2400</v>
      </c>
      <c r="K439">
        <v>1600</v>
      </c>
      <c r="L439" s="1" t="s">
        <v>28</v>
      </c>
      <c r="M439" s="1" t="s">
        <v>27</v>
      </c>
      <c r="N439" s="1" t="s">
        <v>27</v>
      </c>
      <c r="O439" s="1" t="s">
        <v>29</v>
      </c>
      <c r="P439">
        <v>1.3</v>
      </c>
      <c r="Q439" s="1" t="s">
        <v>423</v>
      </c>
      <c r="R439" s="1" t="str">
        <f>_xlfn.CONCAT(laptop[[#This Row],[CPU_company]]," ",laptop[[#This Row],[CPU_model]])</f>
        <v>Intel Core i7 7Y75</v>
      </c>
      <c r="S439">
        <v>512</v>
      </c>
      <c r="T439">
        <v>0</v>
      </c>
      <c r="U439">
        <f>laptop[[#This Row],[PrimaryStorage]]+laptop[[#This Row],[SecondaryStorage]]</f>
        <v>512</v>
      </c>
      <c r="V439" s="1" t="s">
        <v>31</v>
      </c>
      <c r="W439" s="1" t="s">
        <v>27</v>
      </c>
      <c r="X439" s="1" t="str">
        <f>IF(laptop[[#This Row],[PrimaryStorageType]]=laptop[[#This Row],[SecondaryStorageType]],laptop[[#This Row],[PrimaryStorageType]],"SSD &amp; HDD")</f>
        <v>SSD &amp; HDD</v>
      </c>
      <c r="Y439" s="1" t="s">
        <v>70</v>
      </c>
    </row>
    <row r="440" spans="1:25" x14ac:dyDescent="0.25">
      <c r="A440" s="1" t="s">
        <v>73</v>
      </c>
      <c r="B440" s="1" t="s">
        <v>424</v>
      </c>
      <c r="C440" s="1" t="s">
        <v>24</v>
      </c>
      <c r="D440">
        <v>14</v>
      </c>
      <c r="E440">
        <v>24</v>
      </c>
      <c r="F440" s="1" t="s">
        <v>48</v>
      </c>
      <c r="G440">
        <v>1.32</v>
      </c>
      <c r="H440">
        <v>2382</v>
      </c>
      <c r="I440" s="1" t="s">
        <v>26</v>
      </c>
      <c r="J440">
        <v>2560</v>
      </c>
      <c r="K440">
        <v>1440</v>
      </c>
      <c r="L440" s="1" t="s">
        <v>27</v>
      </c>
      <c r="M440" s="1" t="s">
        <v>27</v>
      </c>
      <c r="N440" s="1" t="s">
        <v>27</v>
      </c>
      <c r="O440" s="1" t="s">
        <v>29</v>
      </c>
      <c r="P440">
        <v>2.7</v>
      </c>
      <c r="Q440" s="1" t="s">
        <v>71</v>
      </c>
      <c r="R440" s="1" t="str">
        <f>_xlfn.CONCAT(laptop[[#This Row],[CPU_company]]," ",laptop[[#This Row],[CPU_model]])</f>
        <v>Intel Core i7 7500U</v>
      </c>
      <c r="S440">
        <v>512</v>
      </c>
      <c r="T440">
        <v>0</v>
      </c>
      <c r="U440">
        <f>laptop[[#This Row],[PrimaryStorage]]+laptop[[#This Row],[SecondaryStorage]]</f>
        <v>512</v>
      </c>
      <c r="V440" s="1" t="s">
        <v>31</v>
      </c>
      <c r="W440" s="1" t="s">
        <v>27</v>
      </c>
      <c r="X440" s="1" t="str">
        <f>IF(laptop[[#This Row],[PrimaryStorageType]]=laptop[[#This Row],[SecondaryStorageType]],laptop[[#This Row],[PrimaryStorageType]],"SSD &amp; HDD")</f>
        <v>SSD &amp; HDD</v>
      </c>
      <c r="Y440" s="1" t="s">
        <v>42</v>
      </c>
    </row>
    <row r="441" spans="1:25" x14ac:dyDescent="0.25">
      <c r="A441" s="1" t="s">
        <v>55</v>
      </c>
      <c r="B441" s="1" t="s">
        <v>140</v>
      </c>
      <c r="C441" s="1" t="s">
        <v>38</v>
      </c>
      <c r="D441">
        <v>15.6</v>
      </c>
      <c r="E441">
        <v>4</v>
      </c>
      <c r="F441" s="1" t="s">
        <v>111</v>
      </c>
      <c r="G441">
        <v>2</v>
      </c>
      <c r="H441">
        <v>559</v>
      </c>
      <c r="I441" s="1" t="s">
        <v>40</v>
      </c>
      <c r="J441">
        <v>1920</v>
      </c>
      <c r="K441">
        <v>1080</v>
      </c>
      <c r="L441" s="1" t="s">
        <v>27</v>
      </c>
      <c r="M441" s="1" t="s">
        <v>27</v>
      </c>
      <c r="N441" s="1" t="s">
        <v>27</v>
      </c>
      <c r="O441" s="1" t="s">
        <v>29</v>
      </c>
      <c r="P441">
        <v>2.5</v>
      </c>
      <c r="Q441" s="1" t="s">
        <v>41</v>
      </c>
      <c r="R441" s="1" t="str">
        <f>_xlfn.CONCAT(laptop[[#This Row],[CPU_company]]," ",laptop[[#This Row],[CPU_model]])</f>
        <v>Intel Core i5 7200U</v>
      </c>
      <c r="S441">
        <v>256</v>
      </c>
      <c r="T441">
        <v>0</v>
      </c>
      <c r="U441">
        <f>laptop[[#This Row],[PrimaryStorage]]+laptop[[#This Row],[SecondaryStorage]]</f>
        <v>256</v>
      </c>
      <c r="V441" s="1" t="s">
        <v>31</v>
      </c>
      <c r="W441" s="1" t="s">
        <v>27</v>
      </c>
      <c r="X441" s="1" t="str">
        <f>IF(laptop[[#This Row],[PrimaryStorageType]]=laptop[[#This Row],[SecondaryStorageType]],laptop[[#This Row],[PrimaryStorageType]],"SSD &amp; HDD")</f>
        <v>SSD &amp; HDD</v>
      </c>
      <c r="Y441" s="1" t="s">
        <v>42</v>
      </c>
    </row>
    <row r="442" spans="1:25" x14ac:dyDescent="0.25">
      <c r="A442" s="1" t="s">
        <v>73</v>
      </c>
      <c r="B442" s="1" t="s">
        <v>165</v>
      </c>
      <c r="C442" s="1" t="s">
        <v>38</v>
      </c>
      <c r="D442">
        <v>17.3</v>
      </c>
      <c r="E442">
        <v>8</v>
      </c>
      <c r="F442" s="1" t="s">
        <v>48</v>
      </c>
      <c r="G442">
        <v>2.8</v>
      </c>
      <c r="H442">
        <v>519</v>
      </c>
      <c r="I442" s="1" t="s">
        <v>26</v>
      </c>
      <c r="J442">
        <v>1600</v>
      </c>
      <c r="K442">
        <v>900</v>
      </c>
      <c r="L442" s="1" t="s">
        <v>27</v>
      </c>
      <c r="M442" s="1" t="s">
        <v>27</v>
      </c>
      <c r="N442" s="1" t="s">
        <v>27</v>
      </c>
      <c r="O442" s="1" t="s">
        <v>49</v>
      </c>
      <c r="P442">
        <v>2.5</v>
      </c>
      <c r="Q442" s="1" t="s">
        <v>106</v>
      </c>
      <c r="R442" s="1" t="str">
        <f>_xlfn.CONCAT(laptop[[#This Row],[CPU_company]]," ",laptop[[#This Row],[CPU_model]])</f>
        <v>AMD A6-Series 9220</v>
      </c>
      <c r="S442">
        <v>1024</v>
      </c>
      <c r="T442">
        <v>0</v>
      </c>
      <c r="U442">
        <f>laptop[[#This Row],[PrimaryStorage]]+laptop[[#This Row],[SecondaryStorage]]</f>
        <v>1024</v>
      </c>
      <c r="V442" s="1" t="s">
        <v>51</v>
      </c>
      <c r="W442" s="1" t="s">
        <v>27</v>
      </c>
      <c r="X442" s="1" t="str">
        <f>IF(laptop[[#This Row],[PrimaryStorageType]]=laptop[[#This Row],[SecondaryStorageType]],laptop[[#This Row],[PrimaryStorageType]],"SSD &amp; HDD")</f>
        <v>SSD &amp; HDD</v>
      </c>
      <c r="Y442" s="1" t="s">
        <v>425</v>
      </c>
    </row>
    <row r="443" spans="1:25" x14ac:dyDescent="0.25">
      <c r="A443" s="1" t="s">
        <v>65</v>
      </c>
      <c r="B443" s="1" t="s">
        <v>93</v>
      </c>
      <c r="C443" s="1" t="s">
        <v>38</v>
      </c>
      <c r="D443">
        <v>15.6</v>
      </c>
      <c r="E443">
        <v>4</v>
      </c>
      <c r="F443" s="1" t="s">
        <v>48</v>
      </c>
      <c r="G443">
        <v>2.2000000000000002</v>
      </c>
      <c r="H443">
        <v>749</v>
      </c>
      <c r="I443" s="1" t="s">
        <v>40</v>
      </c>
      <c r="J443">
        <v>1920</v>
      </c>
      <c r="K443">
        <v>1080</v>
      </c>
      <c r="L443" s="1" t="s">
        <v>27</v>
      </c>
      <c r="M443" s="1" t="s">
        <v>27</v>
      </c>
      <c r="N443" s="1" t="s">
        <v>27</v>
      </c>
      <c r="O443" s="1" t="s">
        <v>29</v>
      </c>
      <c r="P443">
        <v>1.6</v>
      </c>
      <c r="Q443" s="1" t="s">
        <v>60</v>
      </c>
      <c r="R443" s="1" t="str">
        <f>_xlfn.CONCAT(laptop[[#This Row],[CPU_company]]," ",laptop[[#This Row],[CPU_model]])</f>
        <v>Intel Core i5 8250U</v>
      </c>
      <c r="S443">
        <v>256</v>
      </c>
      <c r="T443">
        <v>0</v>
      </c>
      <c r="U443">
        <f>laptop[[#This Row],[PrimaryStorage]]+laptop[[#This Row],[SecondaryStorage]]</f>
        <v>256</v>
      </c>
      <c r="V443" s="1" t="s">
        <v>31</v>
      </c>
      <c r="W443" s="1" t="s">
        <v>27</v>
      </c>
      <c r="X443" s="1" t="str">
        <f>IF(laptop[[#This Row],[PrimaryStorageType]]=laptop[[#This Row],[SecondaryStorageType]],laptop[[#This Row],[PrimaryStorageType]],"SSD &amp; HDD")</f>
        <v>SSD &amp; HDD</v>
      </c>
      <c r="Y443" s="1" t="s">
        <v>94</v>
      </c>
    </row>
    <row r="444" spans="1:25" x14ac:dyDescent="0.25">
      <c r="A444" s="1" t="s">
        <v>73</v>
      </c>
      <c r="B444" s="1" t="s">
        <v>426</v>
      </c>
      <c r="C444" s="1" t="s">
        <v>24</v>
      </c>
      <c r="D444">
        <v>12.5</v>
      </c>
      <c r="E444">
        <v>8</v>
      </c>
      <c r="F444" s="1" t="s">
        <v>48</v>
      </c>
      <c r="G444">
        <v>1.36</v>
      </c>
      <c r="H444">
        <v>1429</v>
      </c>
      <c r="I444" s="1" t="s">
        <v>40</v>
      </c>
      <c r="J444">
        <v>1920</v>
      </c>
      <c r="K444">
        <v>1080</v>
      </c>
      <c r="L444" s="1" t="s">
        <v>27</v>
      </c>
      <c r="M444" s="1" t="s">
        <v>28</v>
      </c>
      <c r="N444" s="1" t="s">
        <v>27</v>
      </c>
      <c r="O444" s="1" t="s">
        <v>29</v>
      </c>
      <c r="P444">
        <v>2.5</v>
      </c>
      <c r="Q444" s="1" t="s">
        <v>41</v>
      </c>
      <c r="R444" s="1" t="str">
        <f>_xlfn.CONCAT(laptop[[#This Row],[CPU_company]]," ",laptop[[#This Row],[CPU_model]])</f>
        <v>Intel Core i5 7200U</v>
      </c>
      <c r="S444">
        <v>256</v>
      </c>
      <c r="T444">
        <v>0</v>
      </c>
      <c r="U444">
        <f>laptop[[#This Row],[PrimaryStorage]]+laptop[[#This Row],[SecondaryStorage]]</f>
        <v>256</v>
      </c>
      <c r="V444" s="1" t="s">
        <v>31</v>
      </c>
      <c r="W444" s="1" t="s">
        <v>27</v>
      </c>
      <c r="X444" s="1" t="str">
        <f>IF(laptop[[#This Row],[PrimaryStorageType]]=laptop[[#This Row],[SecondaryStorageType]],laptop[[#This Row],[PrimaryStorageType]],"SSD &amp; HDD")</f>
        <v>SSD &amp; HDD</v>
      </c>
      <c r="Y444" s="1" t="s">
        <v>42</v>
      </c>
    </row>
    <row r="445" spans="1:25" x14ac:dyDescent="0.25">
      <c r="A445" s="1" t="s">
        <v>73</v>
      </c>
      <c r="B445" s="1" t="s">
        <v>333</v>
      </c>
      <c r="C445" s="1" t="s">
        <v>38</v>
      </c>
      <c r="D445">
        <v>15.6</v>
      </c>
      <c r="E445">
        <v>4</v>
      </c>
      <c r="F445" s="1" t="s">
        <v>48</v>
      </c>
      <c r="G445">
        <v>2.2000000000000002</v>
      </c>
      <c r="H445">
        <v>349</v>
      </c>
      <c r="I445" s="1" t="s">
        <v>40</v>
      </c>
      <c r="J445">
        <v>1920</v>
      </c>
      <c r="K445">
        <v>1080</v>
      </c>
      <c r="L445" s="1" t="s">
        <v>27</v>
      </c>
      <c r="M445" s="1" t="s">
        <v>27</v>
      </c>
      <c r="N445" s="1" t="s">
        <v>27</v>
      </c>
      <c r="O445" s="1" t="s">
        <v>29</v>
      </c>
      <c r="P445">
        <v>1.1000000000000001</v>
      </c>
      <c r="Q445" s="1" t="s">
        <v>130</v>
      </c>
      <c r="R445" s="1" t="str">
        <f>_xlfn.CONCAT(laptop[[#This Row],[CPU_company]]," ",laptop[[#This Row],[CPU_model]])</f>
        <v>Intel Pentium Quad Core N4200</v>
      </c>
      <c r="S445">
        <v>128</v>
      </c>
      <c r="T445">
        <v>0</v>
      </c>
      <c r="U445">
        <f>laptop[[#This Row],[PrimaryStorage]]+laptop[[#This Row],[SecondaryStorage]]</f>
        <v>128</v>
      </c>
      <c r="V445" s="1" t="s">
        <v>31</v>
      </c>
      <c r="W445" s="1" t="s">
        <v>27</v>
      </c>
      <c r="X445" s="1" t="str">
        <f>IF(laptop[[#This Row],[PrimaryStorageType]]=laptop[[#This Row],[SecondaryStorageType]],laptop[[#This Row],[PrimaryStorageType]],"SSD &amp; HDD")</f>
        <v>SSD &amp; HDD</v>
      </c>
      <c r="Y445" s="1" t="s">
        <v>237</v>
      </c>
    </row>
    <row r="446" spans="1:25" x14ac:dyDescent="0.25">
      <c r="A446" s="1" t="s">
        <v>36</v>
      </c>
      <c r="B446" s="1" t="s">
        <v>427</v>
      </c>
      <c r="C446" s="1" t="s">
        <v>83</v>
      </c>
      <c r="D446">
        <v>15.6</v>
      </c>
      <c r="E446">
        <v>8</v>
      </c>
      <c r="F446" s="1" t="s">
        <v>48</v>
      </c>
      <c r="G446">
        <v>2.2000000000000002</v>
      </c>
      <c r="H446">
        <v>1099</v>
      </c>
      <c r="I446" s="1" t="s">
        <v>40</v>
      </c>
      <c r="J446">
        <v>1920</v>
      </c>
      <c r="K446">
        <v>1080</v>
      </c>
      <c r="L446" s="1" t="s">
        <v>27</v>
      </c>
      <c r="M446" s="1" t="s">
        <v>28</v>
      </c>
      <c r="N446" s="1" t="s">
        <v>27</v>
      </c>
      <c r="O446" s="1" t="s">
        <v>29</v>
      </c>
      <c r="P446">
        <v>2.8</v>
      </c>
      <c r="Q446" s="1" t="s">
        <v>118</v>
      </c>
      <c r="R446" s="1" t="str">
        <f>_xlfn.CONCAT(laptop[[#This Row],[CPU_company]]," ",laptop[[#This Row],[CPU_model]])</f>
        <v>Intel Core i7 7700HQ</v>
      </c>
      <c r="S446">
        <v>128</v>
      </c>
      <c r="T446">
        <v>1024</v>
      </c>
      <c r="U446">
        <f>laptop[[#This Row],[PrimaryStorage]]+laptop[[#This Row],[SecondaryStorage]]</f>
        <v>1152</v>
      </c>
      <c r="V446" s="1" t="s">
        <v>31</v>
      </c>
      <c r="W446" s="1" t="s">
        <v>51</v>
      </c>
      <c r="X446" s="1" t="str">
        <f>IF(laptop[[#This Row],[PrimaryStorageType]]=laptop[[#This Row],[SecondaryStorageType]],laptop[[#This Row],[PrimaryStorageType]],"SSD &amp; HDD")</f>
        <v>SSD &amp; HDD</v>
      </c>
      <c r="Y446" s="1" t="s">
        <v>85</v>
      </c>
    </row>
    <row r="447" spans="1:25" x14ac:dyDescent="0.25">
      <c r="A447" s="1" t="s">
        <v>65</v>
      </c>
      <c r="B447" s="1" t="s">
        <v>409</v>
      </c>
      <c r="C447" s="1" t="s">
        <v>38</v>
      </c>
      <c r="D447">
        <v>14</v>
      </c>
      <c r="E447">
        <v>8</v>
      </c>
      <c r="F447" s="1" t="s">
        <v>48</v>
      </c>
      <c r="G447">
        <v>1.64</v>
      </c>
      <c r="H447">
        <v>1179</v>
      </c>
      <c r="I447" s="1" t="s">
        <v>40</v>
      </c>
      <c r="J447">
        <v>1920</v>
      </c>
      <c r="K447">
        <v>1080</v>
      </c>
      <c r="L447" s="1" t="s">
        <v>27</v>
      </c>
      <c r="M447" s="1" t="s">
        <v>27</v>
      </c>
      <c r="N447" s="1" t="s">
        <v>27</v>
      </c>
      <c r="O447" s="1" t="s">
        <v>29</v>
      </c>
      <c r="P447">
        <v>2.8</v>
      </c>
      <c r="Q447" s="1" t="s">
        <v>428</v>
      </c>
      <c r="R447" s="1" t="str">
        <f>_xlfn.CONCAT(laptop[[#This Row],[CPU_company]]," ",laptop[[#This Row],[CPU_model]])</f>
        <v>Intel Core i5 7440HQ</v>
      </c>
      <c r="S447">
        <v>256</v>
      </c>
      <c r="T447">
        <v>0</v>
      </c>
      <c r="U447">
        <f>laptop[[#This Row],[PrimaryStorage]]+laptop[[#This Row],[SecondaryStorage]]</f>
        <v>256</v>
      </c>
      <c r="V447" s="1" t="s">
        <v>31</v>
      </c>
      <c r="W447" s="1" t="s">
        <v>27</v>
      </c>
      <c r="X447" s="1" t="str">
        <f>IF(laptop[[#This Row],[PrimaryStorageType]]=laptop[[#This Row],[SecondaryStorageType]],laptop[[#This Row],[PrimaryStorageType]],"SSD &amp; HDD")</f>
        <v>SSD &amp; HDD</v>
      </c>
      <c r="Y447" s="1" t="s">
        <v>98</v>
      </c>
    </row>
    <row r="448" spans="1:25" x14ac:dyDescent="0.25">
      <c r="A448" s="1" t="s">
        <v>46</v>
      </c>
      <c r="B448" s="1" t="s">
        <v>429</v>
      </c>
      <c r="C448" s="1" t="s">
        <v>38</v>
      </c>
      <c r="D448">
        <v>15.6</v>
      </c>
      <c r="E448">
        <v>4</v>
      </c>
      <c r="F448" s="1" t="s">
        <v>111</v>
      </c>
      <c r="G448">
        <v>2.4</v>
      </c>
      <c r="H448">
        <v>441.8</v>
      </c>
      <c r="I448" s="1" t="s">
        <v>26</v>
      </c>
      <c r="J448">
        <v>1366</v>
      </c>
      <c r="K448">
        <v>768</v>
      </c>
      <c r="L448" s="1" t="s">
        <v>27</v>
      </c>
      <c r="M448" s="1" t="s">
        <v>27</v>
      </c>
      <c r="N448" s="1" t="s">
        <v>27</v>
      </c>
      <c r="O448" s="1" t="s">
        <v>29</v>
      </c>
      <c r="P448">
        <v>2.5</v>
      </c>
      <c r="Q448" s="1" t="s">
        <v>41</v>
      </c>
      <c r="R448" s="1" t="str">
        <f>_xlfn.CONCAT(laptop[[#This Row],[CPU_company]]," ",laptop[[#This Row],[CPU_model]])</f>
        <v>Intel Core i5 7200U</v>
      </c>
      <c r="S448">
        <v>500</v>
      </c>
      <c r="T448">
        <v>0</v>
      </c>
      <c r="U448">
        <f>laptop[[#This Row],[PrimaryStorage]]+laptop[[#This Row],[SecondaryStorage]]</f>
        <v>500</v>
      </c>
      <c r="V448" s="1" t="s">
        <v>51</v>
      </c>
      <c r="W448" s="1" t="s">
        <v>27</v>
      </c>
      <c r="X448" s="1" t="str">
        <f>IF(laptop[[#This Row],[PrimaryStorageType]]=laptop[[#This Row],[SecondaryStorageType]],laptop[[#This Row],[PrimaryStorageType]],"SSD &amp; HDD")</f>
        <v>SSD &amp; HDD</v>
      </c>
      <c r="Y448" s="1" t="s">
        <v>42</v>
      </c>
    </row>
    <row r="449" spans="1:25" x14ac:dyDescent="0.25">
      <c r="A449" s="1" t="s">
        <v>65</v>
      </c>
      <c r="B449" s="1" t="s">
        <v>430</v>
      </c>
      <c r="C449" s="1" t="s">
        <v>265</v>
      </c>
      <c r="D449">
        <v>15.6</v>
      </c>
      <c r="E449">
        <v>8</v>
      </c>
      <c r="F449" s="1" t="s">
        <v>48</v>
      </c>
      <c r="G449">
        <v>2.23</v>
      </c>
      <c r="H449">
        <v>1993</v>
      </c>
      <c r="I449" s="1" t="s">
        <v>40</v>
      </c>
      <c r="J449">
        <v>1920</v>
      </c>
      <c r="K449">
        <v>1080</v>
      </c>
      <c r="L449" s="1" t="s">
        <v>27</v>
      </c>
      <c r="M449" s="1" t="s">
        <v>27</v>
      </c>
      <c r="N449" s="1" t="s">
        <v>27</v>
      </c>
      <c r="O449" s="1" t="s">
        <v>29</v>
      </c>
      <c r="P449">
        <v>3</v>
      </c>
      <c r="Q449" s="1" t="s">
        <v>266</v>
      </c>
      <c r="R449" s="1" t="str">
        <f>_xlfn.CONCAT(laptop[[#This Row],[CPU_company]]," ",laptop[[#This Row],[CPU_model]])</f>
        <v>Intel Xeon E3-1505M V6</v>
      </c>
      <c r="S449">
        <v>64</v>
      </c>
      <c r="T449">
        <v>1024</v>
      </c>
      <c r="U449">
        <f>laptop[[#This Row],[PrimaryStorage]]+laptop[[#This Row],[SecondaryStorage]]</f>
        <v>1088</v>
      </c>
      <c r="V449" s="1" t="s">
        <v>34</v>
      </c>
      <c r="W449" s="1" t="s">
        <v>51</v>
      </c>
      <c r="X449" s="1" t="str">
        <f>IF(laptop[[#This Row],[PrimaryStorageType]]=laptop[[#This Row],[SecondaryStorageType]],laptop[[#This Row],[PrimaryStorageType]],"SSD &amp; HDD")</f>
        <v>SSD &amp; HDD</v>
      </c>
      <c r="Y449" s="1" t="s">
        <v>431</v>
      </c>
    </row>
    <row r="450" spans="1:25" x14ac:dyDescent="0.25">
      <c r="A450" s="1" t="s">
        <v>141</v>
      </c>
      <c r="B450" s="1" t="s">
        <v>432</v>
      </c>
      <c r="C450" s="1" t="s">
        <v>83</v>
      </c>
      <c r="D450">
        <v>15.6</v>
      </c>
      <c r="E450">
        <v>8</v>
      </c>
      <c r="F450" s="1" t="s">
        <v>48</v>
      </c>
      <c r="G450">
        <v>2.2000000000000002</v>
      </c>
      <c r="H450">
        <v>1027.74</v>
      </c>
      <c r="I450" s="1" t="s">
        <v>40</v>
      </c>
      <c r="J450">
        <v>1920</v>
      </c>
      <c r="K450">
        <v>1080</v>
      </c>
      <c r="L450" s="1" t="s">
        <v>27</v>
      </c>
      <c r="M450" s="1" t="s">
        <v>27</v>
      </c>
      <c r="N450" s="1" t="s">
        <v>27</v>
      </c>
      <c r="O450" s="1" t="s">
        <v>29</v>
      </c>
      <c r="P450">
        <v>2.5</v>
      </c>
      <c r="Q450" s="1" t="s">
        <v>84</v>
      </c>
      <c r="R450" s="1" t="str">
        <f>_xlfn.CONCAT(laptop[[#This Row],[CPU_company]]," ",laptop[[#This Row],[CPU_model]])</f>
        <v>Intel Core i5 7300HQ</v>
      </c>
      <c r="S450">
        <v>256</v>
      </c>
      <c r="T450">
        <v>0</v>
      </c>
      <c r="U450">
        <f>laptop[[#This Row],[PrimaryStorage]]+laptop[[#This Row],[SecondaryStorage]]</f>
        <v>256</v>
      </c>
      <c r="V450" s="1" t="s">
        <v>31</v>
      </c>
      <c r="W450" s="1" t="s">
        <v>27</v>
      </c>
      <c r="X450" s="1" t="str">
        <f>IF(laptop[[#This Row],[PrimaryStorageType]]=laptop[[#This Row],[SecondaryStorageType]],laptop[[#This Row],[PrimaryStorageType]],"SSD &amp; HDD")</f>
        <v>SSD &amp; HDD</v>
      </c>
      <c r="Y450" s="1" t="s">
        <v>85</v>
      </c>
    </row>
    <row r="451" spans="1:25" x14ac:dyDescent="0.25">
      <c r="A451" s="1" t="s">
        <v>154</v>
      </c>
      <c r="B451" s="1" t="s">
        <v>155</v>
      </c>
      <c r="C451" s="1" t="s">
        <v>24</v>
      </c>
      <c r="D451">
        <v>13.5</v>
      </c>
      <c r="E451">
        <v>16</v>
      </c>
      <c r="F451" s="1" t="s">
        <v>156</v>
      </c>
      <c r="G451">
        <v>1.25</v>
      </c>
      <c r="H451">
        <v>2589</v>
      </c>
      <c r="I451" s="1" t="s">
        <v>26</v>
      </c>
      <c r="J451">
        <v>2256</v>
      </c>
      <c r="K451">
        <v>1504</v>
      </c>
      <c r="L451" s="1" t="s">
        <v>28</v>
      </c>
      <c r="M451" s="1" t="s">
        <v>27</v>
      </c>
      <c r="N451" s="1" t="s">
        <v>27</v>
      </c>
      <c r="O451" s="1" t="s">
        <v>29</v>
      </c>
      <c r="P451">
        <v>2.5</v>
      </c>
      <c r="Q451" s="1" t="s">
        <v>433</v>
      </c>
      <c r="R451" s="1" t="str">
        <f>_xlfn.CONCAT(laptop[[#This Row],[CPU_company]]," ",laptop[[#This Row],[CPU_model]])</f>
        <v>Intel Core i7 7660U</v>
      </c>
      <c r="S451">
        <v>512</v>
      </c>
      <c r="T451">
        <v>0</v>
      </c>
      <c r="U451">
        <f>laptop[[#This Row],[PrimaryStorage]]+laptop[[#This Row],[SecondaryStorage]]</f>
        <v>512</v>
      </c>
      <c r="V451" s="1" t="s">
        <v>31</v>
      </c>
      <c r="W451" s="1" t="s">
        <v>27</v>
      </c>
      <c r="X451" s="1" t="str">
        <f>IF(laptop[[#This Row],[PrimaryStorageType]]=laptop[[#This Row],[SecondaryStorageType]],laptop[[#This Row],[PrimaryStorageType]],"SSD &amp; HDD")</f>
        <v>SSD &amp; HDD</v>
      </c>
      <c r="Y451" s="1" t="s">
        <v>32</v>
      </c>
    </row>
    <row r="452" spans="1:25" x14ac:dyDescent="0.25">
      <c r="A452" s="1" t="s">
        <v>36</v>
      </c>
      <c r="B452" s="1" t="s">
        <v>434</v>
      </c>
      <c r="C452" s="1" t="s">
        <v>38</v>
      </c>
      <c r="D452">
        <v>15.6</v>
      </c>
      <c r="E452">
        <v>8</v>
      </c>
      <c r="F452" s="1" t="s">
        <v>48</v>
      </c>
      <c r="G452">
        <v>1.91</v>
      </c>
      <c r="H452">
        <v>589</v>
      </c>
      <c r="I452" s="1" t="s">
        <v>26</v>
      </c>
      <c r="J452">
        <v>1366</v>
      </c>
      <c r="K452">
        <v>768</v>
      </c>
      <c r="L452" s="1" t="s">
        <v>27</v>
      </c>
      <c r="M452" s="1" t="s">
        <v>27</v>
      </c>
      <c r="N452" s="1" t="s">
        <v>27</v>
      </c>
      <c r="O452" s="1" t="s">
        <v>29</v>
      </c>
      <c r="P452">
        <v>2.5</v>
      </c>
      <c r="Q452" s="1" t="s">
        <v>41</v>
      </c>
      <c r="R452" s="1" t="str">
        <f>_xlfn.CONCAT(laptop[[#This Row],[CPU_company]]," ",laptop[[#This Row],[CPU_model]])</f>
        <v>Intel Core i5 7200U</v>
      </c>
      <c r="S452">
        <v>128</v>
      </c>
      <c r="T452">
        <v>0</v>
      </c>
      <c r="U452">
        <f>laptop[[#This Row],[PrimaryStorage]]+laptop[[#This Row],[SecondaryStorage]]</f>
        <v>128</v>
      </c>
      <c r="V452" s="1" t="s">
        <v>31</v>
      </c>
      <c r="W452" s="1" t="s">
        <v>27</v>
      </c>
      <c r="X452" s="1" t="str">
        <f>IF(laptop[[#This Row],[PrimaryStorageType]]=laptop[[#This Row],[SecondaryStorageType]],laptop[[#This Row],[PrimaryStorageType]],"SSD &amp; HDD")</f>
        <v>SSD &amp; HDD</v>
      </c>
      <c r="Y452" s="1" t="s">
        <v>42</v>
      </c>
    </row>
    <row r="453" spans="1:25" x14ac:dyDescent="0.25">
      <c r="A453" s="1" t="s">
        <v>65</v>
      </c>
      <c r="B453" s="1" t="s">
        <v>430</v>
      </c>
      <c r="C453" s="1" t="s">
        <v>265</v>
      </c>
      <c r="D453">
        <v>15.6</v>
      </c>
      <c r="E453">
        <v>16</v>
      </c>
      <c r="F453" s="1" t="s">
        <v>48</v>
      </c>
      <c r="G453">
        <v>2.17</v>
      </c>
      <c r="H453">
        <v>1975</v>
      </c>
      <c r="I453" s="1" t="s">
        <v>40</v>
      </c>
      <c r="J453">
        <v>1920</v>
      </c>
      <c r="K453">
        <v>1080</v>
      </c>
      <c r="L453" s="1" t="s">
        <v>27</v>
      </c>
      <c r="M453" s="1" t="s">
        <v>28</v>
      </c>
      <c r="N453" s="1" t="s">
        <v>27</v>
      </c>
      <c r="O453" s="1" t="s">
        <v>29</v>
      </c>
      <c r="P453">
        <v>2.7</v>
      </c>
      <c r="Q453" s="1" t="s">
        <v>388</v>
      </c>
      <c r="R453" s="1" t="str">
        <f>_xlfn.CONCAT(laptop[[#This Row],[CPU_company]]," ",laptop[[#This Row],[CPU_model]])</f>
        <v>Intel Core i7 6820HQ</v>
      </c>
      <c r="S453">
        <v>256</v>
      </c>
      <c r="T453">
        <v>0</v>
      </c>
      <c r="U453">
        <f>laptop[[#This Row],[PrimaryStorage]]+laptop[[#This Row],[SecondaryStorage]]</f>
        <v>256</v>
      </c>
      <c r="V453" s="1" t="s">
        <v>31</v>
      </c>
      <c r="W453" s="1" t="s">
        <v>27</v>
      </c>
      <c r="X453" s="1" t="str">
        <f>IF(laptop[[#This Row],[PrimaryStorageType]]=laptop[[#This Row],[SecondaryStorageType]],laptop[[#This Row],[PrimaryStorageType]],"SSD &amp; HDD")</f>
        <v>SSD &amp; HDD</v>
      </c>
      <c r="Y453" s="1" t="s">
        <v>431</v>
      </c>
    </row>
    <row r="454" spans="1:25" x14ac:dyDescent="0.25">
      <c r="A454" s="1" t="s">
        <v>36</v>
      </c>
      <c r="B454" s="1" t="s">
        <v>407</v>
      </c>
      <c r="C454" s="1" t="s">
        <v>265</v>
      </c>
      <c r="D454">
        <v>15.6</v>
      </c>
      <c r="E454">
        <v>8</v>
      </c>
      <c r="F454" s="1" t="s">
        <v>48</v>
      </c>
      <c r="G454">
        <v>2.31</v>
      </c>
      <c r="H454">
        <v>1534</v>
      </c>
      <c r="I454" s="1" t="s">
        <v>40</v>
      </c>
      <c r="J454">
        <v>1920</v>
      </c>
      <c r="K454">
        <v>1080</v>
      </c>
      <c r="L454" s="1" t="s">
        <v>27</v>
      </c>
      <c r="M454" s="1" t="s">
        <v>28</v>
      </c>
      <c r="N454" s="1" t="s">
        <v>27</v>
      </c>
      <c r="O454" s="1" t="s">
        <v>29</v>
      </c>
      <c r="P454">
        <v>2.9</v>
      </c>
      <c r="Q454" s="1" t="s">
        <v>324</v>
      </c>
      <c r="R454" s="1" t="str">
        <f>_xlfn.CONCAT(laptop[[#This Row],[CPU_company]]," ",laptop[[#This Row],[CPU_model]])</f>
        <v>Intel Core i7 7820HQ</v>
      </c>
      <c r="S454">
        <v>512</v>
      </c>
      <c r="T454">
        <v>0</v>
      </c>
      <c r="U454">
        <f>laptop[[#This Row],[PrimaryStorage]]+laptop[[#This Row],[SecondaryStorage]]</f>
        <v>512</v>
      </c>
      <c r="V454" s="1" t="s">
        <v>31</v>
      </c>
      <c r="W454" s="1" t="s">
        <v>27</v>
      </c>
      <c r="X454" s="1" t="str">
        <f>IF(laptop[[#This Row],[PrimaryStorageType]]=laptop[[#This Row],[SecondaryStorageType]],laptop[[#This Row],[PrimaryStorageType]],"SSD &amp; HDD")</f>
        <v>SSD &amp; HDD</v>
      </c>
      <c r="Y454" s="1" t="s">
        <v>42</v>
      </c>
    </row>
    <row r="455" spans="1:25" x14ac:dyDescent="0.25">
      <c r="A455" s="1" t="s">
        <v>73</v>
      </c>
      <c r="B455" s="1" t="s">
        <v>435</v>
      </c>
      <c r="C455" s="1" t="s">
        <v>38</v>
      </c>
      <c r="D455">
        <v>14</v>
      </c>
      <c r="E455">
        <v>8</v>
      </c>
      <c r="F455" s="1" t="s">
        <v>48</v>
      </c>
      <c r="G455">
        <v>1.65</v>
      </c>
      <c r="H455">
        <v>1345</v>
      </c>
      <c r="I455" s="1" t="s">
        <v>40</v>
      </c>
      <c r="J455">
        <v>1920</v>
      </c>
      <c r="K455">
        <v>1080</v>
      </c>
      <c r="L455" s="1" t="s">
        <v>27</v>
      </c>
      <c r="M455" s="1" t="s">
        <v>27</v>
      </c>
      <c r="N455" s="1" t="s">
        <v>27</v>
      </c>
      <c r="O455" s="1" t="s">
        <v>29</v>
      </c>
      <c r="P455">
        <v>2.5</v>
      </c>
      <c r="Q455" s="1" t="s">
        <v>41</v>
      </c>
      <c r="R455" s="1" t="str">
        <f>_xlfn.CONCAT(laptop[[#This Row],[CPU_company]]," ",laptop[[#This Row],[CPU_model]])</f>
        <v>Intel Core i5 7200U</v>
      </c>
      <c r="S455">
        <v>256</v>
      </c>
      <c r="T455">
        <v>0</v>
      </c>
      <c r="U455">
        <f>laptop[[#This Row],[PrimaryStorage]]+laptop[[#This Row],[SecondaryStorage]]</f>
        <v>256</v>
      </c>
      <c r="V455" s="1" t="s">
        <v>31</v>
      </c>
      <c r="W455" s="1" t="s">
        <v>27</v>
      </c>
      <c r="X455" s="1" t="str">
        <f>IF(laptop[[#This Row],[PrimaryStorageType]]=laptop[[#This Row],[SecondaryStorageType]],laptop[[#This Row],[PrimaryStorageType]],"SSD &amp; HDD")</f>
        <v>SSD &amp; HDD</v>
      </c>
      <c r="Y455" s="1" t="s">
        <v>42</v>
      </c>
    </row>
    <row r="456" spans="1:25" x14ac:dyDescent="0.25">
      <c r="A456" s="1" t="s">
        <v>65</v>
      </c>
      <c r="B456" s="1" t="s">
        <v>93</v>
      </c>
      <c r="C456" s="1" t="s">
        <v>38</v>
      </c>
      <c r="D456">
        <v>15.6</v>
      </c>
      <c r="E456">
        <v>8</v>
      </c>
      <c r="F456" s="1" t="s">
        <v>48</v>
      </c>
      <c r="G456">
        <v>2.36</v>
      </c>
      <c r="H456">
        <v>979</v>
      </c>
      <c r="I456" s="1" t="s">
        <v>40</v>
      </c>
      <c r="J456">
        <v>1920</v>
      </c>
      <c r="K456">
        <v>1080</v>
      </c>
      <c r="L456" s="1" t="s">
        <v>27</v>
      </c>
      <c r="M456" s="1" t="s">
        <v>27</v>
      </c>
      <c r="N456" s="1" t="s">
        <v>27</v>
      </c>
      <c r="O456" s="1" t="s">
        <v>29</v>
      </c>
      <c r="P456">
        <v>1.8</v>
      </c>
      <c r="Q456" s="1" t="s">
        <v>57</v>
      </c>
      <c r="R456" s="1" t="str">
        <f>_xlfn.CONCAT(laptop[[#This Row],[CPU_company]]," ",laptop[[#This Row],[CPU_model]])</f>
        <v>Intel Core i7 8550U</v>
      </c>
      <c r="S456">
        <v>128</v>
      </c>
      <c r="T456">
        <v>1024</v>
      </c>
      <c r="U456">
        <f>laptop[[#This Row],[PrimaryStorage]]+laptop[[#This Row],[SecondaryStorage]]</f>
        <v>1152</v>
      </c>
      <c r="V456" s="1" t="s">
        <v>31</v>
      </c>
      <c r="W456" s="1" t="s">
        <v>51</v>
      </c>
      <c r="X456" s="1" t="str">
        <f>IF(laptop[[#This Row],[PrimaryStorageType]]=laptop[[#This Row],[SecondaryStorageType]],laptop[[#This Row],[PrimaryStorageType]],"SSD &amp; HDD")</f>
        <v>SSD &amp; HDD</v>
      </c>
      <c r="Y456" s="1" t="s">
        <v>94</v>
      </c>
    </row>
    <row r="457" spans="1:25" x14ac:dyDescent="0.25">
      <c r="A457" s="1" t="s">
        <v>65</v>
      </c>
      <c r="B457" s="1" t="s">
        <v>436</v>
      </c>
      <c r="C457" s="1" t="s">
        <v>90</v>
      </c>
      <c r="D457">
        <v>11.6</v>
      </c>
      <c r="E457">
        <v>4</v>
      </c>
      <c r="F457" s="1" t="s">
        <v>48</v>
      </c>
      <c r="G457">
        <v>1.47</v>
      </c>
      <c r="H457">
        <v>479</v>
      </c>
      <c r="I457" s="1" t="s">
        <v>26</v>
      </c>
      <c r="J457">
        <v>1366</v>
      </c>
      <c r="K457">
        <v>768</v>
      </c>
      <c r="L457" s="1" t="s">
        <v>28</v>
      </c>
      <c r="M457" s="1" t="s">
        <v>27</v>
      </c>
      <c r="N457" s="1" t="s">
        <v>27</v>
      </c>
      <c r="O457" s="1" t="s">
        <v>29</v>
      </c>
      <c r="P457">
        <v>1.6</v>
      </c>
      <c r="Q457" s="1" t="s">
        <v>346</v>
      </c>
      <c r="R457" s="1" t="str">
        <f>_xlfn.CONCAT(laptop[[#This Row],[CPU_company]]," ",laptop[[#This Row],[CPU_model]])</f>
        <v>Intel Pentium Quad Core N3710</v>
      </c>
      <c r="S457">
        <v>500</v>
      </c>
      <c r="T457">
        <v>0</v>
      </c>
      <c r="U457">
        <f>laptop[[#This Row],[PrimaryStorage]]+laptop[[#This Row],[SecondaryStorage]]</f>
        <v>500</v>
      </c>
      <c r="V457" s="1" t="s">
        <v>51</v>
      </c>
      <c r="W457" s="1" t="s">
        <v>27</v>
      </c>
      <c r="X457" s="1" t="str">
        <f>IF(laptop[[#This Row],[PrimaryStorageType]]=laptop[[#This Row],[SecondaryStorageType]],laptop[[#This Row],[PrimaryStorageType]],"SSD &amp; HDD")</f>
        <v>SSD &amp; HDD</v>
      </c>
      <c r="Y457" s="1" t="s">
        <v>347</v>
      </c>
    </row>
    <row r="458" spans="1:25" x14ac:dyDescent="0.25">
      <c r="A458" s="1" t="s">
        <v>65</v>
      </c>
      <c r="B458" s="1" t="s">
        <v>275</v>
      </c>
      <c r="C458" s="1" t="s">
        <v>38</v>
      </c>
      <c r="D458">
        <v>17.3</v>
      </c>
      <c r="E458">
        <v>8</v>
      </c>
      <c r="F458" s="1" t="s">
        <v>48</v>
      </c>
      <c r="G458">
        <v>4.42</v>
      </c>
      <c r="H458">
        <v>2046</v>
      </c>
      <c r="I458" s="1" t="s">
        <v>40</v>
      </c>
      <c r="J458">
        <v>1920</v>
      </c>
      <c r="K458">
        <v>1080</v>
      </c>
      <c r="L458" s="1" t="s">
        <v>27</v>
      </c>
      <c r="M458" s="1" t="s">
        <v>28</v>
      </c>
      <c r="N458" s="1" t="s">
        <v>27</v>
      </c>
      <c r="O458" s="1" t="s">
        <v>29</v>
      </c>
      <c r="P458">
        <v>2.7</v>
      </c>
      <c r="Q458" s="1" t="s">
        <v>118</v>
      </c>
      <c r="R458" s="1" t="str">
        <f>_xlfn.CONCAT(laptop[[#This Row],[CPU_company]]," ",laptop[[#This Row],[CPU_model]])</f>
        <v>Intel Core i7 7700HQ</v>
      </c>
      <c r="S458">
        <v>1024</v>
      </c>
      <c r="T458">
        <v>0</v>
      </c>
      <c r="U458">
        <f>laptop[[#This Row],[PrimaryStorage]]+laptop[[#This Row],[SecondaryStorage]]</f>
        <v>1024</v>
      </c>
      <c r="V458" s="1" t="s">
        <v>51</v>
      </c>
      <c r="W458" s="1" t="s">
        <v>27</v>
      </c>
      <c r="X458" s="1" t="str">
        <f>IF(laptop[[#This Row],[PrimaryStorageType]]=laptop[[#This Row],[SecondaryStorageType]],laptop[[#This Row],[PrimaryStorageType]],"SSD &amp; HDD")</f>
        <v>SSD &amp; HDD</v>
      </c>
      <c r="Y458" s="1" t="s">
        <v>119</v>
      </c>
    </row>
    <row r="459" spans="1:25" x14ac:dyDescent="0.25">
      <c r="A459" s="1" t="s">
        <v>154</v>
      </c>
      <c r="B459" s="1" t="s">
        <v>155</v>
      </c>
      <c r="C459" s="1" t="s">
        <v>24</v>
      </c>
      <c r="D459">
        <v>13.5</v>
      </c>
      <c r="E459">
        <v>4</v>
      </c>
      <c r="F459" s="1" t="s">
        <v>156</v>
      </c>
      <c r="G459">
        <v>1.252</v>
      </c>
      <c r="H459">
        <v>989</v>
      </c>
      <c r="I459" s="1" t="s">
        <v>26</v>
      </c>
      <c r="J459">
        <v>2256</v>
      </c>
      <c r="K459">
        <v>1504</v>
      </c>
      <c r="L459" s="1" t="s">
        <v>28</v>
      </c>
      <c r="M459" s="1" t="s">
        <v>27</v>
      </c>
      <c r="N459" s="1" t="s">
        <v>27</v>
      </c>
      <c r="O459" s="1" t="s">
        <v>29</v>
      </c>
      <c r="P459">
        <v>2.2000000000000002</v>
      </c>
      <c r="Q459" s="1" t="s">
        <v>437</v>
      </c>
      <c r="R459" s="1" t="str">
        <f>_xlfn.CONCAT(laptop[[#This Row],[CPU_company]]," ",laptop[[#This Row],[CPU_model]])</f>
        <v>Intel Core M m3-7Y30</v>
      </c>
      <c r="S459">
        <v>128</v>
      </c>
      <c r="T459">
        <v>0</v>
      </c>
      <c r="U459">
        <f>laptop[[#This Row],[PrimaryStorage]]+laptop[[#This Row],[SecondaryStorage]]</f>
        <v>128</v>
      </c>
      <c r="V459" s="1" t="s">
        <v>31</v>
      </c>
      <c r="W459" s="1" t="s">
        <v>27</v>
      </c>
      <c r="X459" s="1" t="str">
        <f>IF(laptop[[#This Row],[PrimaryStorageType]]=laptop[[#This Row],[SecondaryStorageType]],laptop[[#This Row],[PrimaryStorageType]],"SSD &amp; HDD")</f>
        <v>SSD &amp; HDD</v>
      </c>
      <c r="Y459" s="1" t="s">
        <v>70</v>
      </c>
    </row>
    <row r="460" spans="1:25" x14ac:dyDescent="0.25">
      <c r="A460" s="1" t="s">
        <v>154</v>
      </c>
      <c r="B460" s="1" t="s">
        <v>155</v>
      </c>
      <c r="C460" s="1" t="s">
        <v>24</v>
      </c>
      <c r="D460">
        <v>13.5</v>
      </c>
      <c r="E460">
        <v>8</v>
      </c>
      <c r="F460" s="1" t="s">
        <v>156</v>
      </c>
      <c r="G460">
        <v>1.25</v>
      </c>
      <c r="H460">
        <v>1799</v>
      </c>
      <c r="I460" s="1" t="s">
        <v>26</v>
      </c>
      <c r="J460">
        <v>2256</v>
      </c>
      <c r="K460">
        <v>1504</v>
      </c>
      <c r="L460" s="1" t="s">
        <v>28</v>
      </c>
      <c r="M460" s="1" t="s">
        <v>27</v>
      </c>
      <c r="N460" s="1" t="s">
        <v>27</v>
      </c>
      <c r="O460" s="1" t="s">
        <v>29</v>
      </c>
      <c r="P460">
        <v>2.5</v>
      </c>
      <c r="Q460" s="1" t="s">
        <v>433</v>
      </c>
      <c r="R460" s="1" t="str">
        <f>_xlfn.CONCAT(laptop[[#This Row],[CPU_company]]," ",laptop[[#This Row],[CPU_model]])</f>
        <v>Intel Core i7 7660U</v>
      </c>
      <c r="S460">
        <v>256</v>
      </c>
      <c r="T460">
        <v>0</v>
      </c>
      <c r="U460">
        <f>laptop[[#This Row],[PrimaryStorage]]+laptop[[#This Row],[SecondaryStorage]]</f>
        <v>256</v>
      </c>
      <c r="V460" s="1" t="s">
        <v>31</v>
      </c>
      <c r="W460" s="1" t="s">
        <v>27</v>
      </c>
      <c r="X460" s="1" t="str">
        <f>IF(laptop[[#This Row],[PrimaryStorageType]]=laptop[[#This Row],[SecondaryStorageType]],laptop[[#This Row],[PrimaryStorageType]],"SSD &amp; HDD")</f>
        <v>SSD &amp; HDD</v>
      </c>
      <c r="Y460" s="1" t="s">
        <v>32</v>
      </c>
    </row>
    <row r="461" spans="1:25" x14ac:dyDescent="0.25">
      <c r="A461" s="1" t="s">
        <v>36</v>
      </c>
      <c r="B461" s="1" t="s">
        <v>438</v>
      </c>
      <c r="C461" s="1" t="s">
        <v>38</v>
      </c>
      <c r="D461">
        <v>17.3</v>
      </c>
      <c r="E461">
        <v>8</v>
      </c>
      <c r="F461" s="1" t="s">
        <v>48</v>
      </c>
      <c r="G461">
        <v>2.5</v>
      </c>
      <c r="H461">
        <v>639.9</v>
      </c>
      <c r="I461" s="1" t="s">
        <v>26</v>
      </c>
      <c r="J461">
        <v>1600</v>
      </c>
      <c r="K461">
        <v>900</v>
      </c>
      <c r="L461" s="1" t="s">
        <v>27</v>
      </c>
      <c r="M461" s="1" t="s">
        <v>27</v>
      </c>
      <c r="N461" s="1" t="s">
        <v>27</v>
      </c>
      <c r="O461" s="1" t="s">
        <v>29</v>
      </c>
      <c r="P461">
        <v>2</v>
      </c>
      <c r="Q461" s="1" t="s">
        <v>62</v>
      </c>
      <c r="R461" s="1" t="str">
        <f>_xlfn.CONCAT(laptop[[#This Row],[CPU_company]]," ",laptop[[#This Row],[CPU_model]])</f>
        <v>Intel Core i3 6006U</v>
      </c>
      <c r="S461">
        <v>256</v>
      </c>
      <c r="T461">
        <v>0</v>
      </c>
      <c r="U461">
        <f>laptop[[#This Row],[PrimaryStorage]]+laptop[[#This Row],[SecondaryStorage]]</f>
        <v>256</v>
      </c>
      <c r="V461" s="1" t="s">
        <v>31</v>
      </c>
      <c r="W461" s="1" t="s">
        <v>27</v>
      </c>
      <c r="X461" s="1" t="str">
        <f>IF(laptop[[#This Row],[PrimaryStorageType]]=laptop[[#This Row],[SecondaryStorageType]],laptop[[#This Row],[PrimaryStorageType]],"SSD &amp; HDD")</f>
        <v>SSD &amp; HDD</v>
      </c>
      <c r="Y461" s="1" t="s">
        <v>63</v>
      </c>
    </row>
    <row r="462" spans="1:25" x14ac:dyDescent="0.25">
      <c r="A462" s="1" t="s">
        <v>46</v>
      </c>
      <c r="B462" s="1" t="s">
        <v>262</v>
      </c>
      <c r="C462" s="1" t="s">
        <v>38</v>
      </c>
      <c r="D462">
        <v>15.6</v>
      </c>
      <c r="E462">
        <v>4</v>
      </c>
      <c r="F462" s="1" t="s">
        <v>48</v>
      </c>
      <c r="G462">
        <v>2.23</v>
      </c>
      <c r="H462">
        <v>544</v>
      </c>
      <c r="I462" s="1" t="s">
        <v>40</v>
      </c>
      <c r="J462">
        <v>1920</v>
      </c>
      <c r="K462">
        <v>1080</v>
      </c>
      <c r="L462" s="1" t="s">
        <v>27</v>
      </c>
      <c r="M462" s="1" t="s">
        <v>27</v>
      </c>
      <c r="N462" s="1" t="s">
        <v>27</v>
      </c>
      <c r="O462" s="1" t="s">
        <v>29</v>
      </c>
      <c r="P462">
        <v>2</v>
      </c>
      <c r="Q462" s="1" t="s">
        <v>62</v>
      </c>
      <c r="R462" s="1" t="str">
        <f>_xlfn.CONCAT(laptop[[#This Row],[CPU_company]]," ",laptop[[#This Row],[CPU_model]])</f>
        <v>Intel Core i3 6006U</v>
      </c>
      <c r="S462">
        <v>1024</v>
      </c>
      <c r="T462">
        <v>0</v>
      </c>
      <c r="U462">
        <f>laptop[[#This Row],[PrimaryStorage]]+laptop[[#This Row],[SecondaryStorage]]</f>
        <v>1024</v>
      </c>
      <c r="V462" s="1" t="s">
        <v>51</v>
      </c>
      <c r="W462" s="1" t="s">
        <v>27</v>
      </c>
      <c r="X462" s="1" t="str">
        <f>IF(laptop[[#This Row],[PrimaryStorageType]]=laptop[[#This Row],[SecondaryStorageType]],laptop[[#This Row],[PrimaryStorageType]],"SSD &amp; HDD")</f>
        <v>SSD &amp; HDD</v>
      </c>
      <c r="Y462" s="1" t="s">
        <v>76</v>
      </c>
    </row>
    <row r="463" spans="1:25" x14ac:dyDescent="0.25">
      <c r="A463" s="1" t="s">
        <v>46</v>
      </c>
      <c r="B463" s="1" t="s">
        <v>345</v>
      </c>
      <c r="C463" s="1" t="s">
        <v>79</v>
      </c>
      <c r="D463">
        <v>11.6</v>
      </c>
      <c r="E463">
        <v>4</v>
      </c>
      <c r="F463" s="1" t="s">
        <v>48</v>
      </c>
      <c r="G463">
        <v>1.4</v>
      </c>
      <c r="H463">
        <v>435</v>
      </c>
      <c r="I463" s="1" t="s">
        <v>26</v>
      </c>
      <c r="J463">
        <v>1366</v>
      </c>
      <c r="K463">
        <v>768</v>
      </c>
      <c r="L463" s="1" t="s">
        <v>27</v>
      </c>
      <c r="M463" s="1" t="s">
        <v>27</v>
      </c>
      <c r="N463" s="1" t="s">
        <v>27</v>
      </c>
      <c r="O463" s="1" t="s">
        <v>29</v>
      </c>
      <c r="P463">
        <v>1.6</v>
      </c>
      <c r="Q463" s="1" t="s">
        <v>151</v>
      </c>
      <c r="R463" s="1" t="str">
        <f>_xlfn.CONCAT(laptop[[#This Row],[CPU_company]]," ",laptop[[#This Row],[CPU_model]])</f>
        <v>Intel Celeron Dual Core N3060</v>
      </c>
      <c r="S463">
        <v>128</v>
      </c>
      <c r="T463">
        <v>0</v>
      </c>
      <c r="U463">
        <f>laptop[[#This Row],[PrimaryStorage]]+laptop[[#This Row],[SecondaryStorage]]</f>
        <v>128</v>
      </c>
      <c r="V463" s="1" t="s">
        <v>31</v>
      </c>
      <c r="W463" s="1" t="s">
        <v>27</v>
      </c>
      <c r="X463" s="1" t="str">
        <f>IF(laptop[[#This Row],[PrimaryStorageType]]=laptop[[#This Row],[SecondaryStorageType]],laptop[[#This Row],[PrimaryStorageType]],"SSD &amp; HDD")</f>
        <v>SSD &amp; HDD</v>
      </c>
      <c r="Y463" s="1" t="s">
        <v>81</v>
      </c>
    </row>
    <row r="464" spans="1:25" x14ac:dyDescent="0.25">
      <c r="A464" s="1" t="s">
        <v>55</v>
      </c>
      <c r="B464" s="1" t="s">
        <v>439</v>
      </c>
      <c r="C464" s="1" t="s">
        <v>38</v>
      </c>
      <c r="D464">
        <v>15.6</v>
      </c>
      <c r="E464">
        <v>8</v>
      </c>
      <c r="F464" s="1" t="s">
        <v>48</v>
      </c>
      <c r="G464">
        <v>2.37</v>
      </c>
      <c r="H464">
        <v>749</v>
      </c>
      <c r="I464" s="1" t="s">
        <v>40</v>
      </c>
      <c r="J464">
        <v>1920</v>
      </c>
      <c r="K464">
        <v>1080</v>
      </c>
      <c r="L464" s="1" t="s">
        <v>27</v>
      </c>
      <c r="M464" s="1" t="s">
        <v>27</v>
      </c>
      <c r="N464" s="1" t="s">
        <v>27</v>
      </c>
      <c r="O464" s="1" t="s">
        <v>29</v>
      </c>
      <c r="P464">
        <v>2.5</v>
      </c>
      <c r="Q464" s="1" t="s">
        <v>41</v>
      </c>
      <c r="R464" s="1" t="str">
        <f>_xlfn.CONCAT(laptop[[#This Row],[CPU_company]]," ",laptop[[#This Row],[CPU_model]])</f>
        <v>Intel Core i5 7200U</v>
      </c>
      <c r="S464">
        <v>1024</v>
      </c>
      <c r="T464">
        <v>0</v>
      </c>
      <c r="U464">
        <f>laptop[[#This Row],[PrimaryStorage]]+laptop[[#This Row],[SecondaryStorage]]</f>
        <v>1024</v>
      </c>
      <c r="V464" s="1" t="s">
        <v>51</v>
      </c>
      <c r="W464" s="1" t="s">
        <v>27</v>
      </c>
      <c r="X464" s="1" t="str">
        <f>IF(laptop[[#This Row],[PrimaryStorageType]]=laptop[[#This Row],[SecondaryStorageType]],laptop[[#This Row],[PrimaryStorageType]],"SSD &amp; HDD")</f>
        <v>SSD &amp; HDD</v>
      </c>
      <c r="Y464" s="1" t="s">
        <v>42</v>
      </c>
    </row>
    <row r="465" spans="1:25" x14ac:dyDescent="0.25">
      <c r="A465" s="1" t="s">
        <v>73</v>
      </c>
      <c r="B465" s="1" t="s">
        <v>440</v>
      </c>
      <c r="C465" s="1" t="s">
        <v>38</v>
      </c>
      <c r="D465">
        <v>14</v>
      </c>
      <c r="E465">
        <v>8</v>
      </c>
      <c r="F465" s="1" t="s">
        <v>39</v>
      </c>
      <c r="G465">
        <v>1.5</v>
      </c>
      <c r="H465">
        <v>799</v>
      </c>
      <c r="I465" s="1" t="s">
        <v>40</v>
      </c>
      <c r="J465">
        <v>1920</v>
      </c>
      <c r="K465">
        <v>1080</v>
      </c>
      <c r="L465" s="1" t="s">
        <v>27</v>
      </c>
      <c r="M465" s="1" t="s">
        <v>28</v>
      </c>
      <c r="N465" s="1" t="s">
        <v>27</v>
      </c>
      <c r="O465" s="1" t="s">
        <v>29</v>
      </c>
      <c r="P465">
        <v>2.7</v>
      </c>
      <c r="Q465" s="1" t="s">
        <v>71</v>
      </c>
      <c r="R465" s="1" t="str">
        <f>_xlfn.CONCAT(laptop[[#This Row],[CPU_company]]," ",laptop[[#This Row],[CPU_model]])</f>
        <v>Intel Core i7 7500U</v>
      </c>
      <c r="S465">
        <v>512</v>
      </c>
      <c r="T465">
        <v>0</v>
      </c>
      <c r="U465">
        <f>laptop[[#This Row],[PrimaryStorage]]+laptop[[#This Row],[SecondaryStorage]]</f>
        <v>512</v>
      </c>
      <c r="V465" s="1" t="s">
        <v>31</v>
      </c>
      <c r="W465" s="1" t="s">
        <v>27</v>
      </c>
      <c r="X465" s="1" t="str">
        <f>IF(laptop[[#This Row],[PrimaryStorageType]]=laptop[[#This Row],[SecondaryStorageType]],laptop[[#This Row],[PrimaryStorageType]],"SSD &amp; HDD")</f>
        <v>SSD &amp; HDD</v>
      </c>
      <c r="Y465" s="1" t="s">
        <v>441</v>
      </c>
    </row>
    <row r="466" spans="1:25" x14ac:dyDescent="0.25">
      <c r="A466" s="1" t="s">
        <v>73</v>
      </c>
      <c r="B466" s="1" t="s">
        <v>417</v>
      </c>
      <c r="C466" s="1" t="s">
        <v>38</v>
      </c>
      <c r="D466">
        <v>15.6</v>
      </c>
      <c r="E466">
        <v>8</v>
      </c>
      <c r="F466" s="1" t="s">
        <v>48</v>
      </c>
      <c r="G466">
        <v>2.67</v>
      </c>
      <c r="H466">
        <v>2090</v>
      </c>
      <c r="I466" s="1" t="s">
        <v>40</v>
      </c>
      <c r="J466">
        <v>1920</v>
      </c>
      <c r="K466">
        <v>1080</v>
      </c>
      <c r="L466" s="1" t="s">
        <v>27</v>
      </c>
      <c r="M466" s="1" t="s">
        <v>27</v>
      </c>
      <c r="N466" s="1" t="s">
        <v>27</v>
      </c>
      <c r="O466" s="1" t="s">
        <v>29</v>
      </c>
      <c r="P466">
        <v>2.9</v>
      </c>
      <c r="Q466" s="1" t="s">
        <v>324</v>
      </c>
      <c r="R466" s="1" t="str">
        <f>_xlfn.CONCAT(laptop[[#This Row],[CPU_company]]," ",laptop[[#This Row],[CPU_model]])</f>
        <v>Intel Core i7 7820HQ</v>
      </c>
      <c r="S466">
        <v>256</v>
      </c>
      <c r="T466">
        <v>0</v>
      </c>
      <c r="U466">
        <f>laptop[[#This Row],[PrimaryStorage]]+laptop[[#This Row],[SecondaryStorage]]</f>
        <v>256</v>
      </c>
      <c r="V466" s="1" t="s">
        <v>31</v>
      </c>
      <c r="W466" s="1" t="s">
        <v>27</v>
      </c>
      <c r="X466" s="1" t="str">
        <f>IF(laptop[[#This Row],[PrimaryStorageType]]=laptop[[#This Row],[SecondaryStorageType]],laptop[[#This Row],[PrimaryStorageType]],"SSD &amp; HDD")</f>
        <v>SSD &amp; HDD</v>
      </c>
      <c r="Y466" s="1" t="s">
        <v>418</v>
      </c>
    </row>
    <row r="467" spans="1:25" x14ac:dyDescent="0.25">
      <c r="A467" s="1" t="s">
        <v>55</v>
      </c>
      <c r="B467" s="1" t="s">
        <v>442</v>
      </c>
      <c r="C467" s="1" t="s">
        <v>38</v>
      </c>
      <c r="D467">
        <v>15.6</v>
      </c>
      <c r="E467">
        <v>4</v>
      </c>
      <c r="F467" s="1" t="s">
        <v>48</v>
      </c>
      <c r="G467">
        <v>2</v>
      </c>
      <c r="H467">
        <v>304</v>
      </c>
      <c r="I467" s="1" t="s">
        <v>26</v>
      </c>
      <c r="J467">
        <v>1366</v>
      </c>
      <c r="K467">
        <v>768</v>
      </c>
      <c r="L467" s="1" t="s">
        <v>27</v>
      </c>
      <c r="M467" s="1" t="s">
        <v>27</v>
      </c>
      <c r="N467" s="1" t="s">
        <v>27</v>
      </c>
      <c r="O467" s="1" t="s">
        <v>29</v>
      </c>
      <c r="P467">
        <v>1.1000000000000001</v>
      </c>
      <c r="Q467" s="1" t="s">
        <v>130</v>
      </c>
      <c r="R467" s="1" t="str">
        <f>_xlfn.CONCAT(laptop[[#This Row],[CPU_company]]," ",laptop[[#This Row],[CPU_model]])</f>
        <v>Intel Pentium Quad Core N4200</v>
      </c>
      <c r="S467">
        <v>500</v>
      </c>
      <c r="T467">
        <v>0</v>
      </c>
      <c r="U467">
        <f>laptop[[#This Row],[PrimaryStorage]]+laptop[[#This Row],[SecondaryStorage]]</f>
        <v>500</v>
      </c>
      <c r="V467" s="1" t="s">
        <v>51</v>
      </c>
      <c r="W467" s="1" t="s">
        <v>27</v>
      </c>
      <c r="X467" s="1" t="str">
        <f>IF(laptop[[#This Row],[PrimaryStorageType]]=laptop[[#This Row],[SecondaryStorageType]],laptop[[#This Row],[PrimaryStorageType]],"SSD &amp; HDD")</f>
        <v>SSD &amp; HDD</v>
      </c>
      <c r="Y467" s="1" t="s">
        <v>110</v>
      </c>
    </row>
    <row r="468" spans="1:25" x14ac:dyDescent="0.25">
      <c r="A468" s="1" t="s">
        <v>46</v>
      </c>
      <c r="B468" s="1" t="s">
        <v>173</v>
      </c>
      <c r="C468" s="1" t="s">
        <v>38</v>
      </c>
      <c r="D468">
        <v>15.6</v>
      </c>
      <c r="E468">
        <v>4</v>
      </c>
      <c r="F468" s="1" t="s">
        <v>48</v>
      </c>
      <c r="G468">
        <v>2.2000000000000002</v>
      </c>
      <c r="H468">
        <v>469</v>
      </c>
      <c r="I468" s="1" t="s">
        <v>26</v>
      </c>
      <c r="J468">
        <v>1366</v>
      </c>
      <c r="K468">
        <v>768</v>
      </c>
      <c r="L468" s="1" t="s">
        <v>27</v>
      </c>
      <c r="M468" s="1" t="s">
        <v>27</v>
      </c>
      <c r="N468" s="1" t="s">
        <v>27</v>
      </c>
      <c r="O468" s="1" t="s">
        <v>29</v>
      </c>
      <c r="P468">
        <v>2</v>
      </c>
      <c r="Q468" s="1" t="s">
        <v>62</v>
      </c>
      <c r="R468" s="1" t="str">
        <f>_xlfn.CONCAT(laptop[[#This Row],[CPU_company]]," ",laptop[[#This Row],[CPU_model]])</f>
        <v>Intel Core i3 6006U</v>
      </c>
      <c r="S468">
        <v>500</v>
      </c>
      <c r="T468">
        <v>0</v>
      </c>
      <c r="U468">
        <f>laptop[[#This Row],[PrimaryStorage]]+laptop[[#This Row],[SecondaryStorage]]</f>
        <v>500</v>
      </c>
      <c r="V468" s="1" t="s">
        <v>51</v>
      </c>
      <c r="W468" s="1" t="s">
        <v>27</v>
      </c>
      <c r="X468" s="1" t="str">
        <f>IF(laptop[[#This Row],[PrimaryStorageType]]=laptop[[#This Row],[SecondaryStorageType]],laptop[[#This Row],[PrimaryStorageType]],"SSD &amp; HDD")</f>
        <v>SSD &amp; HDD</v>
      </c>
      <c r="Y468" s="1" t="s">
        <v>168</v>
      </c>
    </row>
    <row r="469" spans="1:25" x14ac:dyDescent="0.25">
      <c r="A469" s="1" t="s">
        <v>65</v>
      </c>
      <c r="B469" s="1" t="s">
        <v>93</v>
      </c>
      <c r="C469" s="1" t="s">
        <v>38</v>
      </c>
      <c r="D469">
        <v>15.6</v>
      </c>
      <c r="E469">
        <v>8</v>
      </c>
      <c r="F469" s="1" t="s">
        <v>48</v>
      </c>
      <c r="G469">
        <v>2.02</v>
      </c>
      <c r="H469">
        <v>759</v>
      </c>
      <c r="I469" s="1" t="s">
        <v>40</v>
      </c>
      <c r="J469">
        <v>1920</v>
      </c>
      <c r="K469">
        <v>1080</v>
      </c>
      <c r="L469" s="1" t="s">
        <v>27</v>
      </c>
      <c r="M469" s="1" t="s">
        <v>27</v>
      </c>
      <c r="N469" s="1" t="s">
        <v>27</v>
      </c>
      <c r="O469" s="1" t="s">
        <v>29</v>
      </c>
      <c r="P469">
        <v>1.6</v>
      </c>
      <c r="Q469" s="1" t="s">
        <v>60</v>
      </c>
      <c r="R469" s="1" t="str">
        <f>_xlfn.CONCAT(laptop[[#This Row],[CPU_company]]," ",laptop[[#This Row],[CPU_model]])</f>
        <v>Intel Core i5 8250U</v>
      </c>
      <c r="S469">
        <v>2048</v>
      </c>
      <c r="T469">
        <v>0</v>
      </c>
      <c r="U469">
        <f>laptop[[#This Row],[PrimaryStorage]]+laptop[[#This Row],[SecondaryStorage]]</f>
        <v>2048</v>
      </c>
      <c r="V469" s="1" t="s">
        <v>51</v>
      </c>
      <c r="W469" s="1" t="s">
        <v>27</v>
      </c>
      <c r="X469" s="1" t="str">
        <f>IF(laptop[[#This Row],[PrimaryStorageType]]=laptop[[#This Row],[SecondaryStorageType]],laptop[[#This Row],[PrimaryStorageType]],"SSD &amp; HDD")</f>
        <v>SSD &amp; HDD</v>
      </c>
      <c r="Y469" s="1" t="s">
        <v>94</v>
      </c>
    </row>
    <row r="470" spans="1:25" x14ac:dyDescent="0.25">
      <c r="A470" s="1" t="s">
        <v>36</v>
      </c>
      <c r="B470" s="1" t="s">
        <v>443</v>
      </c>
      <c r="C470" s="1" t="s">
        <v>83</v>
      </c>
      <c r="D470">
        <v>17.3</v>
      </c>
      <c r="E470">
        <v>12</v>
      </c>
      <c r="F470" s="1" t="s">
        <v>48</v>
      </c>
      <c r="G470">
        <v>3.78</v>
      </c>
      <c r="H470">
        <v>1699</v>
      </c>
      <c r="I470" s="1" t="s">
        <v>40</v>
      </c>
      <c r="J470">
        <v>1920</v>
      </c>
      <c r="K470">
        <v>1080</v>
      </c>
      <c r="L470" s="1" t="s">
        <v>27</v>
      </c>
      <c r="M470" s="1" t="s">
        <v>28</v>
      </c>
      <c r="N470" s="1" t="s">
        <v>27</v>
      </c>
      <c r="O470" s="1" t="s">
        <v>29</v>
      </c>
      <c r="P470">
        <v>2.8</v>
      </c>
      <c r="Q470" s="1" t="s">
        <v>118</v>
      </c>
      <c r="R470" s="1" t="str">
        <f>_xlfn.CONCAT(laptop[[#This Row],[CPU_company]]," ",laptop[[#This Row],[CPU_model]])</f>
        <v>Intel Core i7 7700HQ</v>
      </c>
      <c r="S470">
        <v>1024</v>
      </c>
      <c r="T470">
        <v>0</v>
      </c>
      <c r="U470">
        <f>laptop[[#This Row],[PrimaryStorage]]+laptop[[#This Row],[SecondaryStorage]]</f>
        <v>1024</v>
      </c>
      <c r="V470" s="1" t="s">
        <v>51</v>
      </c>
      <c r="W470" s="1" t="s">
        <v>27</v>
      </c>
      <c r="X470" s="1" t="str">
        <f>IF(laptop[[#This Row],[PrimaryStorageType]]=laptop[[#This Row],[SecondaryStorageType]],laptop[[#This Row],[PrimaryStorageType]],"SSD &amp; HDD")</f>
        <v>SSD &amp; HDD</v>
      </c>
      <c r="Y470" s="1" t="s">
        <v>119</v>
      </c>
    </row>
    <row r="471" spans="1:25" x14ac:dyDescent="0.25">
      <c r="A471" s="1" t="s">
        <v>73</v>
      </c>
      <c r="B471" s="1" t="s">
        <v>444</v>
      </c>
      <c r="C471" s="1" t="s">
        <v>24</v>
      </c>
      <c r="D471">
        <v>14</v>
      </c>
      <c r="E471">
        <v>12</v>
      </c>
      <c r="F471" s="1" t="s">
        <v>48</v>
      </c>
      <c r="G471">
        <v>1.4</v>
      </c>
      <c r="H471">
        <v>1858</v>
      </c>
      <c r="I471" s="1" t="s">
        <v>107</v>
      </c>
      <c r="J471">
        <v>2560</v>
      </c>
      <c r="K471">
        <v>1440</v>
      </c>
      <c r="L471" s="1" t="s">
        <v>27</v>
      </c>
      <c r="M471" s="1" t="s">
        <v>28</v>
      </c>
      <c r="N471" s="1" t="s">
        <v>27</v>
      </c>
      <c r="O471" s="1" t="s">
        <v>29</v>
      </c>
      <c r="P471">
        <v>2.6</v>
      </c>
      <c r="Q471" s="1" t="s">
        <v>309</v>
      </c>
      <c r="R471" s="1" t="str">
        <f>_xlfn.CONCAT(laptop[[#This Row],[CPU_company]]," ",laptop[[#This Row],[CPU_model]])</f>
        <v>Intel Core i7 6600U</v>
      </c>
      <c r="S471">
        <v>256</v>
      </c>
      <c r="T471">
        <v>0</v>
      </c>
      <c r="U471">
        <f>laptop[[#This Row],[PrimaryStorage]]+laptop[[#This Row],[SecondaryStorage]]</f>
        <v>256</v>
      </c>
      <c r="V471" s="1" t="s">
        <v>31</v>
      </c>
      <c r="W471" s="1" t="s">
        <v>27</v>
      </c>
      <c r="X471" s="1" t="str">
        <f>IF(laptop[[#This Row],[PrimaryStorageType]]=laptop[[#This Row],[SecondaryStorageType]],laptop[[#This Row],[PrimaryStorageType]],"SSD &amp; HDD")</f>
        <v>SSD &amp; HDD</v>
      </c>
      <c r="Y471" s="1" t="s">
        <v>63</v>
      </c>
    </row>
    <row r="472" spans="1:25" x14ac:dyDescent="0.25">
      <c r="A472" s="1" t="s">
        <v>36</v>
      </c>
      <c r="B472" s="1" t="s">
        <v>192</v>
      </c>
      <c r="C472" s="1" t="s">
        <v>90</v>
      </c>
      <c r="D472">
        <v>13.3</v>
      </c>
      <c r="E472">
        <v>8</v>
      </c>
      <c r="F472" s="1" t="s">
        <v>48</v>
      </c>
      <c r="G472">
        <v>1.29</v>
      </c>
      <c r="H472">
        <v>1999</v>
      </c>
      <c r="I472" s="1" t="s">
        <v>215</v>
      </c>
      <c r="J472">
        <v>3840</v>
      </c>
      <c r="K472">
        <v>2160</v>
      </c>
      <c r="L472" s="1" t="s">
        <v>28</v>
      </c>
      <c r="M472" s="1" t="s">
        <v>28</v>
      </c>
      <c r="N472" s="1" t="s">
        <v>27</v>
      </c>
      <c r="O472" s="1" t="s">
        <v>29</v>
      </c>
      <c r="P472">
        <v>1.8</v>
      </c>
      <c r="Q472" s="1" t="s">
        <v>57</v>
      </c>
      <c r="R472" s="1" t="str">
        <f>_xlfn.CONCAT(laptop[[#This Row],[CPU_company]]," ",laptop[[#This Row],[CPU_model]])</f>
        <v>Intel Core i7 8550U</v>
      </c>
      <c r="S472">
        <v>512</v>
      </c>
      <c r="T472">
        <v>0</v>
      </c>
      <c r="U472">
        <f>laptop[[#This Row],[PrimaryStorage]]+laptop[[#This Row],[SecondaryStorage]]</f>
        <v>512</v>
      </c>
      <c r="V472" s="1" t="s">
        <v>31</v>
      </c>
      <c r="W472" s="1" t="s">
        <v>27</v>
      </c>
      <c r="X472" s="1" t="str">
        <f>IF(laptop[[#This Row],[PrimaryStorageType]]=laptop[[#This Row],[SecondaryStorageType]],laptop[[#This Row],[PrimaryStorageType]],"SSD &amp; HDD")</f>
        <v>SSD &amp; HDD</v>
      </c>
      <c r="Y472" s="1" t="s">
        <v>61</v>
      </c>
    </row>
    <row r="473" spans="1:25" x14ac:dyDescent="0.25">
      <c r="A473" s="1" t="s">
        <v>36</v>
      </c>
      <c r="B473" s="1" t="s">
        <v>280</v>
      </c>
      <c r="C473" s="1" t="s">
        <v>38</v>
      </c>
      <c r="D473">
        <v>15.6</v>
      </c>
      <c r="E473">
        <v>8</v>
      </c>
      <c r="F473" s="1" t="s">
        <v>48</v>
      </c>
      <c r="G473">
        <v>1.9</v>
      </c>
      <c r="H473">
        <v>1154</v>
      </c>
      <c r="I473" s="1" t="s">
        <v>40</v>
      </c>
      <c r="J473">
        <v>1920</v>
      </c>
      <c r="K473">
        <v>1080</v>
      </c>
      <c r="L473" s="1" t="s">
        <v>27</v>
      </c>
      <c r="M473" s="1" t="s">
        <v>27</v>
      </c>
      <c r="N473" s="1" t="s">
        <v>27</v>
      </c>
      <c r="O473" s="1" t="s">
        <v>29</v>
      </c>
      <c r="P473">
        <v>2.5</v>
      </c>
      <c r="Q473" s="1" t="s">
        <v>41</v>
      </c>
      <c r="R473" s="1" t="str">
        <f>_xlfn.CONCAT(laptop[[#This Row],[CPU_company]]," ",laptop[[#This Row],[CPU_model]])</f>
        <v>Intel Core i5 7200U</v>
      </c>
      <c r="S473">
        <v>500</v>
      </c>
      <c r="T473">
        <v>0</v>
      </c>
      <c r="U473">
        <f>laptop[[#This Row],[PrimaryStorage]]+laptop[[#This Row],[SecondaryStorage]]</f>
        <v>500</v>
      </c>
      <c r="V473" s="1" t="s">
        <v>51</v>
      </c>
      <c r="W473" s="1" t="s">
        <v>27</v>
      </c>
      <c r="X473" s="1" t="str">
        <f>IF(laptop[[#This Row],[PrimaryStorageType]]=laptop[[#This Row],[SecondaryStorageType]],laptop[[#This Row],[PrimaryStorageType]],"SSD &amp; HDD")</f>
        <v>SSD &amp; HDD</v>
      </c>
      <c r="Y473" s="1" t="s">
        <v>281</v>
      </c>
    </row>
    <row r="474" spans="1:25" x14ac:dyDescent="0.25">
      <c r="A474" s="1" t="s">
        <v>421</v>
      </c>
      <c r="B474" s="1" t="s">
        <v>422</v>
      </c>
      <c r="C474" s="1" t="s">
        <v>24</v>
      </c>
      <c r="D474">
        <v>12.3</v>
      </c>
      <c r="E474">
        <v>8</v>
      </c>
      <c r="F474" s="1" t="s">
        <v>317</v>
      </c>
      <c r="G474">
        <v>1.1000000000000001</v>
      </c>
      <c r="H474">
        <v>1275</v>
      </c>
      <c r="I474" s="1" t="s">
        <v>26</v>
      </c>
      <c r="J474">
        <v>2400</v>
      </c>
      <c r="K474">
        <v>1600</v>
      </c>
      <c r="L474" s="1" t="s">
        <v>28</v>
      </c>
      <c r="M474" s="1" t="s">
        <v>27</v>
      </c>
      <c r="N474" s="1" t="s">
        <v>27</v>
      </c>
      <c r="O474" s="1" t="s">
        <v>29</v>
      </c>
      <c r="P474">
        <v>1.2</v>
      </c>
      <c r="Q474" s="1" t="s">
        <v>445</v>
      </c>
      <c r="R474" s="1" t="str">
        <f>_xlfn.CONCAT(laptop[[#This Row],[CPU_company]]," ",laptop[[#This Row],[CPU_model]])</f>
        <v>Intel Core i5 7Y57</v>
      </c>
      <c r="S474">
        <v>128</v>
      </c>
      <c r="T474">
        <v>0</v>
      </c>
      <c r="U474">
        <f>laptop[[#This Row],[PrimaryStorage]]+laptop[[#This Row],[SecondaryStorage]]</f>
        <v>128</v>
      </c>
      <c r="V474" s="1" t="s">
        <v>31</v>
      </c>
      <c r="W474" s="1" t="s">
        <v>27</v>
      </c>
      <c r="X474" s="1" t="str">
        <f>IF(laptop[[#This Row],[PrimaryStorageType]]=laptop[[#This Row],[SecondaryStorageType]],laptop[[#This Row],[PrimaryStorageType]],"SSD &amp; HDD")</f>
        <v>SSD &amp; HDD</v>
      </c>
      <c r="Y474" s="1" t="s">
        <v>70</v>
      </c>
    </row>
    <row r="475" spans="1:25" x14ac:dyDescent="0.25">
      <c r="A475" s="1" t="s">
        <v>65</v>
      </c>
      <c r="B475" s="1" t="s">
        <v>446</v>
      </c>
      <c r="C475" s="1" t="s">
        <v>24</v>
      </c>
      <c r="D475">
        <v>13.3</v>
      </c>
      <c r="E475">
        <v>8</v>
      </c>
      <c r="F475" s="1" t="s">
        <v>48</v>
      </c>
      <c r="G475">
        <v>1.42</v>
      </c>
      <c r="H475">
        <v>1841.85</v>
      </c>
      <c r="I475" s="1" t="s">
        <v>40</v>
      </c>
      <c r="J475">
        <v>1920</v>
      </c>
      <c r="K475">
        <v>1080</v>
      </c>
      <c r="L475" s="1" t="s">
        <v>28</v>
      </c>
      <c r="M475" s="1" t="s">
        <v>27</v>
      </c>
      <c r="N475" s="1" t="s">
        <v>27</v>
      </c>
      <c r="O475" s="1" t="s">
        <v>29</v>
      </c>
      <c r="P475">
        <v>1.6</v>
      </c>
      <c r="Q475" s="1" t="s">
        <v>60</v>
      </c>
      <c r="R475" s="1" t="str">
        <f>_xlfn.CONCAT(laptop[[#This Row],[CPU_company]]," ",laptop[[#This Row],[CPU_model]])</f>
        <v>Intel Core i5 8250U</v>
      </c>
      <c r="S475">
        <v>256</v>
      </c>
      <c r="T475">
        <v>0</v>
      </c>
      <c r="U475">
        <f>laptop[[#This Row],[PrimaryStorage]]+laptop[[#This Row],[SecondaryStorage]]</f>
        <v>256</v>
      </c>
      <c r="V475" s="1" t="s">
        <v>31</v>
      </c>
      <c r="W475" s="1" t="s">
        <v>27</v>
      </c>
      <c r="X475" s="1" t="str">
        <f>IF(laptop[[#This Row],[PrimaryStorageType]]=laptop[[#This Row],[SecondaryStorageType]],laptop[[#This Row],[PrimaryStorageType]],"SSD &amp; HDD")</f>
        <v>SSD &amp; HDD</v>
      </c>
      <c r="Y475" s="1" t="s">
        <v>61</v>
      </c>
    </row>
    <row r="476" spans="1:25" x14ac:dyDescent="0.25">
      <c r="A476" s="1" t="s">
        <v>55</v>
      </c>
      <c r="B476" s="1" t="s">
        <v>148</v>
      </c>
      <c r="C476" s="1" t="s">
        <v>38</v>
      </c>
      <c r="D476">
        <v>15.6</v>
      </c>
      <c r="E476">
        <v>12</v>
      </c>
      <c r="F476" s="1" t="s">
        <v>48</v>
      </c>
      <c r="G476">
        <v>2.06</v>
      </c>
      <c r="H476">
        <v>1299</v>
      </c>
      <c r="I476" s="1" t="s">
        <v>215</v>
      </c>
      <c r="J476">
        <v>3840</v>
      </c>
      <c r="K476">
        <v>2160</v>
      </c>
      <c r="L476" s="1" t="s">
        <v>27</v>
      </c>
      <c r="M476" s="1" t="s">
        <v>28</v>
      </c>
      <c r="N476" s="1" t="s">
        <v>27</v>
      </c>
      <c r="O476" s="1" t="s">
        <v>29</v>
      </c>
      <c r="P476">
        <v>2.6</v>
      </c>
      <c r="Q476" s="1" t="s">
        <v>447</v>
      </c>
      <c r="R476" s="1" t="str">
        <f>_xlfn.CONCAT(laptop[[#This Row],[CPU_company]]," ",laptop[[#This Row],[CPU_model]])</f>
        <v>Intel Core i7 6700HQ</v>
      </c>
      <c r="S476">
        <v>128</v>
      </c>
      <c r="T476">
        <v>1024</v>
      </c>
      <c r="U476">
        <f>laptop[[#This Row],[PrimaryStorage]]+laptop[[#This Row],[SecondaryStorage]]</f>
        <v>1152</v>
      </c>
      <c r="V476" s="1" t="s">
        <v>31</v>
      </c>
      <c r="W476" s="1" t="s">
        <v>51</v>
      </c>
      <c r="X476" s="1" t="str">
        <f>IF(laptop[[#This Row],[PrimaryStorageType]]=laptop[[#This Row],[SecondaryStorageType]],laptop[[#This Row],[PrimaryStorageType]],"SSD &amp; HDD")</f>
        <v>SSD &amp; HDD</v>
      </c>
      <c r="Y476" s="1" t="s">
        <v>448</v>
      </c>
    </row>
    <row r="477" spans="1:25" x14ac:dyDescent="0.25">
      <c r="A477" s="1" t="s">
        <v>65</v>
      </c>
      <c r="B477" s="1" t="s">
        <v>449</v>
      </c>
      <c r="C477" s="1" t="s">
        <v>38</v>
      </c>
      <c r="D477">
        <v>14</v>
      </c>
      <c r="E477">
        <v>8</v>
      </c>
      <c r="F477" s="1" t="s">
        <v>48</v>
      </c>
      <c r="G477">
        <v>1.79</v>
      </c>
      <c r="H477">
        <v>740</v>
      </c>
      <c r="I477" s="1" t="s">
        <v>26</v>
      </c>
      <c r="J477">
        <v>1366</v>
      </c>
      <c r="K477">
        <v>768</v>
      </c>
      <c r="L477" s="1" t="s">
        <v>27</v>
      </c>
      <c r="M477" s="1" t="s">
        <v>27</v>
      </c>
      <c r="N477" s="1" t="s">
        <v>27</v>
      </c>
      <c r="O477" s="1" t="s">
        <v>29</v>
      </c>
      <c r="P477">
        <v>2.2999999999999998</v>
      </c>
      <c r="Q477" s="1" t="s">
        <v>450</v>
      </c>
      <c r="R477" s="1" t="str">
        <f>_xlfn.CONCAT(laptop[[#This Row],[CPU_company]]," ",laptop[[#This Row],[CPU_model]])</f>
        <v>Intel Core i3 6100U</v>
      </c>
      <c r="S477">
        <v>128</v>
      </c>
      <c r="T477">
        <v>0</v>
      </c>
      <c r="U477">
        <f>laptop[[#This Row],[PrimaryStorage]]+laptop[[#This Row],[SecondaryStorage]]</f>
        <v>128</v>
      </c>
      <c r="V477" s="1" t="s">
        <v>31</v>
      </c>
      <c r="W477" s="1" t="s">
        <v>27</v>
      </c>
      <c r="X477" s="1" t="str">
        <f>IF(laptop[[#This Row],[PrimaryStorageType]]=laptop[[#This Row],[SecondaryStorageType]],laptop[[#This Row],[PrimaryStorageType]],"SSD &amp; HDD")</f>
        <v>SSD &amp; HDD</v>
      </c>
      <c r="Y477" s="1" t="s">
        <v>63</v>
      </c>
    </row>
    <row r="478" spans="1:25" x14ac:dyDescent="0.25">
      <c r="A478" s="1" t="s">
        <v>65</v>
      </c>
      <c r="B478" s="1" t="s">
        <v>395</v>
      </c>
      <c r="C478" s="1" t="s">
        <v>265</v>
      </c>
      <c r="D478">
        <v>15.6</v>
      </c>
      <c r="E478">
        <v>8</v>
      </c>
      <c r="F478" s="1" t="s">
        <v>48</v>
      </c>
      <c r="G478">
        <v>1.78</v>
      </c>
      <c r="H478">
        <v>2408</v>
      </c>
      <c r="I478" s="1" t="s">
        <v>40</v>
      </c>
      <c r="J478">
        <v>1920</v>
      </c>
      <c r="K478">
        <v>1080</v>
      </c>
      <c r="L478" s="1" t="s">
        <v>27</v>
      </c>
      <c r="M478" s="1" t="s">
        <v>27</v>
      </c>
      <c r="N478" s="1" t="s">
        <v>27</v>
      </c>
      <c r="O478" s="1" t="s">
        <v>29</v>
      </c>
      <c r="P478">
        <v>2.8</v>
      </c>
      <c r="Q478" s="1" t="s">
        <v>118</v>
      </c>
      <c r="R478" s="1" t="str">
        <f>_xlfn.CONCAT(laptop[[#This Row],[CPU_company]]," ",laptop[[#This Row],[CPU_model]])</f>
        <v>Intel Core i7 7700HQ</v>
      </c>
      <c r="S478">
        <v>256</v>
      </c>
      <c r="T478">
        <v>0</v>
      </c>
      <c r="U478">
        <f>laptop[[#This Row],[PrimaryStorage]]+laptop[[#This Row],[SecondaryStorage]]</f>
        <v>256</v>
      </c>
      <c r="V478" s="1" t="s">
        <v>31</v>
      </c>
      <c r="W478" s="1" t="s">
        <v>27</v>
      </c>
      <c r="X478" s="1" t="str">
        <f>IF(laptop[[#This Row],[PrimaryStorageType]]=laptop[[#This Row],[SecondaryStorageType]],laptop[[#This Row],[PrimaryStorageType]],"SSD &amp; HDD")</f>
        <v>SSD &amp; HDD</v>
      </c>
      <c r="Y478" s="1" t="s">
        <v>267</v>
      </c>
    </row>
    <row r="479" spans="1:25" x14ac:dyDescent="0.25">
      <c r="A479" s="1" t="s">
        <v>73</v>
      </c>
      <c r="B479" s="1" t="s">
        <v>187</v>
      </c>
      <c r="C479" s="1" t="s">
        <v>38</v>
      </c>
      <c r="D479">
        <v>14</v>
      </c>
      <c r="E479">
        <v>8</v>
      </c>
      <c r="F479" s="1" t="s">
        <v>48</v>
      </c>
      <c r="G479">
        <v>1.7</v>
      </c>
      <c r="H479">
        <v>1364</v>
      </c>
      <c r="I479" s="1" t="s">
        <v>40</v>
      </c>
      <c r="J479">
        <v>1920</v>
      </c>
      <c r="K479">
        <v>1080</v>
      </c>
      <c r="L479" s="1" t="s">
        <v>27</v>
      </c>
      <c r="M479" s="1" t="s">
        <v>27</v>
      </c>
      <c r="N479" s="1" t="s">
        <v>27</v>
      </c>
      <c r="O479" s="1" t="s">
        <v>29</v>
      </c>
      <c r="P479">
        <v>2.5</v>
      </c>
      <c r="Q479" s="1" t="s">
        <v>41</v>
      </c>
      <c r="R479" s="1" t="str">
        <f>_xlfn.CONCAT(laptop[[#This Row],[CPU_company]]," ",laptop[[#This Row],[CPU_model]])</f>
        <v>Intel Core i5 7200U</v>
      </c>
      <c r="S479">
        <v>180</v>
      </c>
      <c r="T479">
        <v>0</v>
      </c>
      <c r="U479">
        <f>laptop[[#This Row],[PrimaryStorage]]+laptop[[#This Row],[SecondaryStorage]]</f>
        <v>180</v>
      </c>
      <c r="V479" s="1" t="s">
        <v>31</v>
      </c>
      <c r="W479" s="1" t="s">
        <v>27</v>
      </c>
      <c r="X479" s="1" t="str">
        <f>IF(laptop[[#This Row],[PrimaryStorageType]]=laptop[[#This Row],[SecondaryStorageType]],laptop[[#This Row],[PrimaryStorageType]],"SSD &amp; HDD")</f>
        <v>SSD &amp; HDD</v>
      </c>
      <c r="Y479" s="1" t="s">
        <v>42</v>
      </c>
    </row>
    <row r="480" spans="1:25" x14ac:dyDescent="0.25">
      <c r="A480" s="1" t="s">
        <v>65</v>
      </c>
      <c r="B480" s="1" t="s">
        <v>137</v>
      </c>
      <c r="C480" s="1" t="s">
        <v>38</v>
      </c>
      <c r="D480">
        <v>15.6</v>
      </c>
      <c r="E480">
        <v>8</v>
      </c>
      <c r="F480" s="1" t="s">
        <v>48</v>
      </c>
      <c r="G480">
        <v>2.2000000000000002</v>
      </c>
      <c r="H480">
        <v>675</v>
      </c>
      <c r="I480" s="1" t="s">
        <v>40</v>
      </c>
      <c r="J480">
        <v>1920</v>
      </c>
      <c r="K480">
        <v>1080</v>
      </c>
      <c r="L480" s="1" t="s">
        <v>27</v>
      </c>
      <c r="M480" s="1" t="s">
        <v>27</v>
      </c>
      <c r="N480" s="1" t="s">
        <v>27</v>
      </c>
      <c r="O480" s="1" t="s">
        <v>29</v>
      </c>
      <c r="P480">
        <v>1.6</v>
      </c>
      <c r="Q480" s="1" t="s">
        <v>60</v>
      </c>
      <c r="R480" s="1" t="str">
        <f>_xlfn.CONCAT(laptop[[#This Row],[CPU_company]]," ",laptop[[#This Row],[CPU_model]])</f>
        <v>Intel Core i5 8250U</v>
      </c>
      <c r="S480">
        <v>1024</v>
      </c>
      <c r="T480">
        <v>0</v>
      </c>
      <c r="U480">
        <f>laptop[[#This Row],[PrimaryStorage]]+laptop[[#This Row],[SecondaryStorage]]</f>
        <v>1024</v>
      </c>
      <c r="V480" s="1" t="s">
        <v>51</v>
      </c>
      <c r="W480" s="1" t="s">
        <v>27</v>
      </c>
      <c r="X480" s="1" t="str">
        <f>IF(laptop[[#This Row],[PrimaryStorageType]]=laptop[[#This Row],[SecondaryStorageType]],laptop[[#This Row],[PrimaryStorageType]],"SSD &amp; HDD")</f>
        <v>SSD &amp; HDD</v>
      </c>
      <c r="Y480" s="1" t="s">
        <v>138</v>
      </c>
    </row>
    <row r="481" spans="1:25" x14ac:dyDescent="0.25">
      <c r="A481" s="1" t="s">
        <v>210</v>
      </c>
      <c r="B481" s="1" t="s">
        <v>451</v>
      </c>
      <c r="C481" s="1" t="s">
        <v>38</v>
      </c>
      <c r="D481">
        <v>13.3</v>
      </c>
      <c r="E481">
        <v>8</v>
      </c>
      <c r="F481" s="1" t="s">
        <v>48</v>
      </c>
      <c r="G481">
        <v>1.05</v>
      </c>
      <c r="H481">
        <v>1672</v>
      </c>
      <c r="I481" s="1" t="s">
        <v>40</v>
      </c>
      <c r="J481">
        <v>1920</v>
      </c>
      <c r="K481">
        <v>1080</v>
      </c>
      <c r="L481" s="1" t="s">
        <v>27</v>
      </c>
      <c r="M481" s="1" t="s">
        <v>28</v>
      </c>
      <c r="N481" s="1" t="s">
        <v>27</v>
      </c>
      <c r="O481" s="1" t="s">
        <v>29</v>
      </c>
      <c r="P481">
        <v>2.5</v>
      </c>
      <c r="Q481" s="1" t="s">
        <v>41</v>
      </c>
      <c r="R481" s="1" t="str">
        <f>_xlfn.CONCAT(laptop[[#This Row],[CPU_company]]," ",laptop[[#This Row],[CPU_model]])</f>
        <v>Intel Core i5 7200U</v>
      </c>
      <c r="S481">
        <v>256</v>
      </c>
      <c r="T481">
        <v>0</v>
      </c>
      <c r="U481">
        <f>laptop[[#This Row],[PrimaryStorage]]+laptop[[#This Row],[SecondaryStorage]]</f>
        <v>256</v>
      </c>
      <c r="V481" s="1" t="s">
        <v>31</v>
      </c>
      <c r="W481" s="1" t="s">
        <v>27</v>
      </c>
      <c r="X481" s="1" t="str">
        <f>IF(laptop[[#This Row],[PrimaryStorageType]]=laptop[[#This Row],[SecondaryStorageType]],laptop[[#This Row],[PrimaryStorageType]],"SSD &amp; HDD")</f>
        <v>SSD &amp; HDD</v>
      </c>
      <c r="Y481" s="1" t="s">
        <v>42</v>
      </c>
    </row>
    <row r="482" spans="1:25" x14ac:dyDescent="0.25">
      <c r="A482" s="1" t="s">
        <v>65</v>
      </c>
      <c r="B482" s="1" t="s">
        <v>193</v>
      </c>
      <c r="C482" s="1" t="s">
        <v>38</v>
      </c>
      <c r="D482">
        <v>15.6</v>
      </c>
      <c r="E482">
        <v>8</v>
      </c>
      <c r="F482" s="1" t="s">
        <v>48</v>
      </c>
      <c r="G482">
        <v>2.16</v>
      </c>
      <c r="H482">
        <v>1262</v>
      </c>
      <c r="I482" s="1" t="s">
        <v>40</v>
      </c>
      <c r="J482">
        <v>1920</v>
      </c>
      <c r="K482">
        <v>1080</v>
      </c>
      <c r="L482" s="1" t="s">
        <v>27</v>
      </c>
      <c r="M482" s="1" t="s">
        <v>28</v>
      </c>
      <c r="N482" s="1" t="s">
        <v>27</v>
      </c>
      <c r="O482" s="1" t="s">
        <v>29</v>
      </c>
      <c r="P482">
        <v>1.8</v>
      </c>
      <c r="Q482" s="1" t="s">
        <v>57</v>
      </c>
      <c r="R482" s="1" t="str">
        <f>_xlfn.CONCAT(laptop[[#This Row],[CPU_company]]," ",laptop[[#This Row],[CPU_model]])</f>
        <v>Intel Core i7 8550U</v>
      </c>
      <c r="S482">
        <v>512</v>
      </c>
      <c r="T482">
        <v>0</v>
      </c>
      <c r="U482">
        <f>laptop[[#This Row],[PrimaryStorage]]+laptop[[#This Row],[SecondaryStorage]]</f>
        <v>512</v>
      </c>
      <c r="V482" s="1" t="s">
        <v>31</v>
      </c>
      <c r="W482" s="1" t="s">
        <v>27</v>
      </c>
      <c r="X482" s="1" t="str">
        <f>IF(laptop[[#This Row],[PrimaryStorageType]]=laptop[[#This Row],[SecondaryStorageType]],laptop[[#This Row],[PrimaryStorageType]],"SSD &amp; HDD")</f>
        <v>SSD &amp; HDD</v>
      </c>
      <c r="Y482" s="1" t="s">
        <v>76</v>
      </c>
    </row>
    <row r="483" spans="1:25" x14ac:dyDescent="0.25">
      <c r="A483" s="1" t="s">
        <v>65</v>
      </c>
      <c r="B483" s="1" t="s">
        <v>305</v>
      </c>
      <c r="C483" s="1" t="s">
        <v>38</v>
      </c>
      <c r="D483">
        <v>15.6</v>
      </c>
      <c r="E483">
        <v>4</v>
      </c>
      <c r="F483" s="1" t="s">
        <v>48</v>
      </c>
      <c r="G483">
        <v>2.1800000000000002</v>
      </c>
      <c r="H483">
        <v>586.6</v>
      </c>
      <c r="I483" s="1" t="s">
        <v>26</v>
      </c>
      <c r="J483">
        <v>1366</v>
      </c>
      <c r="K483">
        <v>768</v>
      </c>
      <c r="L483" s="1" t="s">
        <v>27</v>
      </c>
      <c r="M483" s="1" t="s">
        <v>27</v>
      </c>
      <c r="N483" s="1" t="s">
        <v>27</v>
      </c>
      <c r="O483" s="1" t="s">
        <v>29</v>
      </c>
      <c r="P483">
        <v>2.4</v>
      </c>
      <c r="Q483" s="1" t="s">
        <v>75</v>
      </c>
      <c r="R483" s="1" t="str">
        <f>_xlfn.CONCAT(laptop[[#This Row],[CPU_company]]," ",laptop[[#This Row],[CPU_model]])</f>
        <v>Intel Core i3 7100U</v>
      </c>
      <c r="S483">
        <v>1024</v>
      </c>
      <c r="T483">
        <v>0</v>
      </c>
      <c r="U483">
        <f>laptop[[#This Row],[PrimaryStorage]]+laptop[[#This Row],[SecondaryStorage]]</f>
        <v>1024</v>
      </c>
      <c r="V483" s="1" t="s">
        <v>51</v>
      </c>
      <c r="W483" s="1" t="s">
        <v>27</v>
      </c>
      <c r="X483" s="1" t="str">
        <f>IF(laptop[[#This Row],[PrimaryStorageType]]=laptop[[#This Row],[SecondaryStorageType]],laptop[[#This Row],[PrimaryStorageType]],"SSD &amp; HDD")</f>
        <v>SSD &amp; HDD</v>
      </c>
      <c r="Y483" s="1" t="s">
        <v>42</v>
      </c>
    </row>
    <row r="484" spans="1:25" x14ac:dyDescent="0.25">
      <c r="A484" s="1" t="s">
        <v>36</v>
      </c>
      <c r="B484" s="1" t="s">
        <v>136</v>
      </c>
      <c r="C484" s="1" t="s">
        <v>38</v>
      </c>
      <c r="D484">
        <v>13.3</v>
      </c>
      <c r="E484">
        <v>4</v>
      </c>
      <c r="F484" s="1" t="s">
        <v>48</v>
      </c>
      <c r="G484">
        <v>1.49</v>
      </c>
      <c r="H484">
        <v>726</v>
      </c>
      <c r="I484" s="1" t="s">
        <v>40</v>
      </c>
      <c r="J484">
        <v>1920</v>
      </c>
      <c r="K484">
        <v>1080</v>
      </c>
      <c r="L484" s="1" t="s">
        <v>27</v>
      </c>
      <c r="M484" s="1" t="s">
        <v>28</v>
      </c>
      <c r="N484" s="1" t="s">
        <v>27</v>
      </c>
      <c r="O484" s="1" t="s">
        <v>29</v>
      </c>
      <c r="P484">
        <v>1.6</v>
      </c>
      <c r="Q484" s="1" t="s">
        <v>60</v>
      </c>
      <c r="R484" s="1" t="str">
        <f>_xlfn.CONCAT(laptop[[#This Row],[CPU_company]]," ",laptop[[#This Row],[CPU_model]])</f>
        <v>Intel Core i5 8250U</v>
      </c>
      <c r="S484">
        <v>128</v>
      </c>
      <c r="T484">
        <v>0</v>
      </c>
      <c r="U484">
        <f>laptop[[#This Row],[PrimaryStorage]]+laptop[[#This Row],[SecondaryStorage]]</f>
        <v>128</v>
      </c>
      <c r="V484" s="1" t="s">
        <v>31</v>
      </c>
      <c r="W484" s="1" t="s">
        <v>27</v>
      </c>
      <c r="X484" s="1" t="str">
        <f>IF(laptop[[#This Row],[PrimaryStorageType]]=laptop[[#This Row],[SecondaryStorageType]],laptop[[#This Row],[PrimaryStorageType]],"SSD &amp; HDD")</f>
        <v>SSD &amp; HDD</v>
      </c>
      <c r="Y484" s="1" t="s">
        <v>61</v>
      </c>
    </row>
    <row r="485" spans="1:25" x14ac:dyDescent="0.25">
      <c r="A485" s="1" t="s">
        <v>99</v>
      </c>
      <c r="B485" s="1" t="s">
        <v>452</v>
      </c>
      <c r="C485" s="1" t="s">
        <v>38</v>
      </c>
      <c r="D485">
        <v>15.6</v>
      </c>
      <c r="E485">
        <v>4</v>
      </c>
      <c r="F485" s="1" t="s">
        <v>48</v>
      </c>
      <c r="G485">
        <v>1.89</v>
      </c>
      <c r="H485">
        <v>248.9</v>
      </c>
      <c r="I485" s="1" t="s">
        <v>40</v>
      </c>
      <c r="J485">
        <v>1920</v>
      </c>
      <c r="K485">
        <v>1080</v>
      </c>
      <c r="L485" s="1" t="s">
        <v>27</v>
      </c>
      <c r="M485" s="1" t="s">
        <v>27</v>
      </c>
      <c r="N485" s="1" t="s">
        <v>27</v>
      </c>
      <c r="O485" s="1" t="s">
        <v>29</v>
      </c>
      <c r="P485">
        <v>1.44</v>
      </c>
      <c r="Q485" s="1" t="s">
        <v>80</v>
      </c>
      <c r="R485" s="1" t="str">
        <f>_xlfn.CONCAT(laptop[[#This Row],[CPU_company]]," ",laptop[[#This Row],[CPU_model]])</f>
        <v>Intel Atom x5-Z8350</v>
      </c>
      <c r="S485">
        <v>64</v>
      </c>
      <c r="T485">
        <v>0</v>
      </c>
      <c r="U485">
        <f>laptop[[#This Row],[PrimaryStorage]]+laptop[[#This Row],[SecondaryStorage]]</f>
        <v>64</v>
      </c>
      <c r="V485" s="1" t="s">
        <v>34</v>
      </c>
      <c r="W485" s="1" t="s">
        <v>27</v>
      </c>
      <c r="X485" s="1" t="str">
        <f>IF(laptop[[#This Row],[PrimaryStorageType]]=laptop[[#This Row],[SecondaryStorageType]],laptop[[#This Row],[PrimaryStorageType]],"SSD &amp; HDD")</f>
        <v>SSD &amp; HDD</v>
      </c>
      <c r="Y485" s="1" t="s">
        <v>102</v>
      </c>
    </row>
    <row r="486" spans="1:25" x14ac:dyDescent="0.25">
      <c r="A486" s="1" t="s">
        <v>73</v>
      </c>
      <c r="B486" s="1" t="s">
        <v>453</v>
      </c>
      <c r="C486" s="1" t="s">
        <v>38</v>
      </c>
      <c r="D486">
        <v>15.6</v>
      </c>
      <c r="E486">
        <v>4</v>
      </c>
      <c r="F486" s="1" t="s">
        <v>48</v>
      </c>
      <c r="G486">
        <v>2.2999999999999998</v>
      </c>
      <c r="H486">
        <v>565</v>
      </c>
      <c r="I486" s="1" t="s">
        <v>26</v>
      </c>
      <c r="J486">
        <v>1366</v>
      </c>
      <c r="K486">
        <v>768</v>
      </c>
      <c r="L486" s="1" t="s">
        <v>27</v>
      </c>
      <c r="M486" s="1" t="s">
        <v>27</v>
      </c>
      <c r="N486" s="1" t="s">
        <v>27</v>
      </c>
      <c r="O486" s="1" t="s">
        <v>29</v>
      </c>
      <c r="P486">
        <v>2</v>
      </c>
      <c r="Q486" s="1" t="s">
        <v>62</v>
      </c>
      <c r="R486" s="1" t="str">
        <f>_xlfn.CONCAT(laptop[[#This Row],[CPU_company]]," ",laptop[[#This Row],[CPU_model]])</f>
        <v>Intel Core i3 6006U</v>
      </c>
      <c r="S486">
        <v>128</v>
      </c>
      <c r="T486">
        <v>0</v>
      </c>
      <c r="U486">
        <f>laptop[[#This Row],[PrimaryStorage]]+laptop[[#This Row],[SecondaryStorage]]</f>
        <v>128</v>
      </c>
      <c r="V486" s="1" t="s">
        <v>31</v>
      </c>
      <c r="W486" s="1" t="s">
        <v>27</v>
      </c>
      <c r="X486" s="1" t="str">
        <f>IF(laptop[[#This Row],[PrimaryStorageType]]=laptop[[#This Row],[SecondaryStorageType]],laptop[[#This Row],[PrimaryStorageType]],"SSD &amp; HDD")</f>
        <v>SSD &amp; HDD</v>
      </c>
      <c r="Y486" s="1" t="s">
        <v>63</v>
      </c>
    </row>
    <row r="487" spans="1:25" x14ac:dyDescent="0.25">
      <c r="A487" s="1" t="s">
        <v>73</v>
      </c>
      <c r="B487" s="1" t="s">
        <v>207</v>
      </c>
      <c r="C487" s="1" t="s">
        <v>38</v>
      </c>
      <c r="D487">
        <v>14</v>
      </c>
      <c r="E487">
        <v>8</v>
      </c>
      <c r="F487" s="1" t="s">
        <v>48</v>
      </c>
      <c r="G487">
        <v>1.75</v>
      </c>
      <c r="H487">
        <v>1049</v>
      </c>
      <c r="I487" s="1" t="s">
        <v>40</v>
      </c>
      <c r="J487">
        <v>1920</v>
      </c>
      <c r="K487">
        <v>1080</v>
      </c>
      <c r="L487" s="1" t="s">
        <v>27</v>
      </c>
      <c r="M487" s="1" t="s">
        <v>28</v>
      </c>
      <c r="N487" s="1" t="s">
        <v>27</v>
      </c>
      <c r="O487" s="1" t="s">
        <v>29</v>
      </c>
      <c r="P487">
        <v>1.6</v>
      </c>
      <c r="Q487" s="1" t="s">
        <v>60</v>
      </c>
      <c r="R487" s="1" t="str">
        <f>_xlfn.CONCAT(laptop[[#This Row],[CPU_company]]," ",laptop[[#This Row],[CPU_model]])</f>
        <v>Intel Core i5 8250U</v>
      </c>
      <c r="S487">
        <v>256</v>
      </c>
      <c r="T487">
        <v>0</v>
      </c>
      <c r="U487">
        <f>laptop[[#This Row],[PrimaryStorage]]+laptop[[#This Row],[SecondaryStorage]]</f>
        <v>256</v>
      </c>
      <c r="V487" s="1" t="s">
        <v>31</v>
      </c>
      <c r="W487" s="1" t="s">
        <v>27</v>
      </c>
      <c r="X487" s="1" t="str">
        <f>IF(laptop[[#This Row],[PrimaryStorageType]]=laptop[[#This Row],[SecondaryStorageType]],laptop[[#This Row],[PrimaryStorageType]],"SSD &amp; HDD")</f>
        <v>SSD &amp; HDD</v>
      </c>
      <c r="Y487" s="1" t="s">
        <v>61</v>
      </c>
    </row>
    <row r="488" spans="1:25" x14ac:dyDescent="0.25">
      <c r="A488" s="1" t="s">
        <v>65</v>
      </c>
      <c r="B488" s="1" t="s">
        <v>430</v>
      </c>
      <c r="C488" s="1" t="s">
        <v>265</v>
      </c>
      <c r="D488">
        <v>15.6</v>
      </c>
      <c r="E488">
        <v>16</v>
      </c>
      <c r="F488" s="1" t="s">
        <v>48</v>
      </c>
      <c r="G488">
        <v>2.17</v>
      </c>
      <c r="H488">
        <v>2338</v>
      </c>
      <c r="I488" s="1" t="s">
        <v>40</v>
      </c>
      <c r="J488">
        <v>1920</v>
      </c>
      <c r="K488">
        <v>1080</v>
      </c>
      <c r="L488" s="1" t="s">
        <v>27</v>
      </c>
      <c r="M488" s="1" t="s">
        <v>28</v>
      </c>
      <c r="N488" s="1" t="s">
        <v>27</v>
      </c>
      <c r="O488" s="1" t="s">
        <v>29</v>
      </c>
      <c r="P488">
        <v>2.7</v>
      </c>
      <c r="Q488" s="1" t="s">
        <v>388</v>
      </c>
      <c r="R488" s="1" t="str">
        <f>_xlfn.CONCAT(laptop[[#This Row],[CPU_company]]," ",laptop[[#This Row],[CPU_model]])</f>
        <v>Intel Core i7 6820HQ</v>
      </c>
      <c r="S488">
        <v>512</v>
      </c>
      <c r="T488">
        <v>0</v>
      </c>
      <c r="U488">
        <f>laptop[[#This Row],[PrimaryStorage]]+laptop[[#This Row],[SecondaryStorage]]</f>
        <v>512</v>
      </c>
      <c r="V488" s="1" t="s">
        <v>31</v>
      </c>
      <c r="W488" s="1" t="s">
        <v>27</v>
      </c>
      <c r="X488" s="1" t="str">
        <f>IF(laptop[[#This Row],[PrimaryStorageType]]=laptop[[#This Row],[SecondaryStorageType]],laptop[[#This Row],[PrimaryStorageType]],"SSD &amp; HDD")</f>
        <v>SSD &amp; HDD</v>
      </c>
      <c r="Y488" s="1" t="s">
        <v>431</v>
      </c>
    </row>
    <row r="489" spans="1:25" x14ac:dyDescent="0.25">
      <c r="A489" s="1" t="s">
        <v>65</v>
      </c>
      <c r="B489" s="1" t="s">
        <v>249</v>
      </c>
      <c r="C489" s="1" t="s">
        <v>38</v>
      </c>
      <c r="D489">
        <v>15.6</v>
      </c>
      <c r="E489">
        <v>16</v>
      </c>
      <c r="F489" s="1" t="s">
        <v>48</v>
      </c>
      <c r="G489">
        <v>2.06</v>
      </c>
      <c r="H489">
        <v>1899</v>
      </c>
      <c r="I489" s="1" t="s">
        <v>40</v>
      </c>
      <c r="J489">
        <v>1920</v>
      </c>
      <c r="K489">
        <v>1080</v>
      </c>
      <c r="L489" s="1" t="s">
        <v>27</v>
      </c>
      <c r="M489" s="1" t="s">
        <v>27</v>
      </c>
      <c r="N489" s="1" t="s">
        <v>27</v>
      </c>
      <c r="O489" s="1" t="s">
        <v>29</v>
      </c>
      <c r="P489">
        <v>2.8</v>
      </c>
      <c r="Q489" s="1" t="s">
        <v>118</v>
      </c>
      <c r="R489" s="1" t="str">
        <f>_xlfn.CONCAT(laptop[[#This Row],[CPU_company]]," ",laptop[[#This Row],[CPU_model]])</f>
        <v>Intel Core i7 7700HQ</v>
      </c>
      <c r="S489">
        <v>512</v>
      </c>
      <c r="T489">
        <v>0</v>
      </c>
      <c r="U489">
        <f>laptop[[#This Row],[PrimaryStorage]]+laptop[[#This Row],[SecondaryStorage]]</f>
        <v>512</v>
      </c>
      <c r="V489" s="1" t="s">
        <v>31</v>
      </c>
      <c r="W489" s="1" t="s">
        <v>27</v>
      </c>
      <c r="X489" s="1" t="str">
        <f>IF(laptop[[#This Row],[PrimaryStorageType]]=laptop[[#This Row],[SecondaryStorageType]],laptop[[#This Row],[PrimaryStorageType]],"SSD &amp; HDD")</f>
        <v>SSD &amp; HDD</v>
      </c>
      <c r="Y489" s="1" t="s">
        <v>85</v>
      </c>
    </row>
    <row r="490" spans="1:25" x14ac:dyDescent="0.25">
      <c r="A490" s="1" t="s">
        <v>73</v>
      </c>
      <c r="B490" s="1" t="s">
        <v>454</v>
      </c>
      <c r="C490" s="1" t="s">
        <v>24</v>
      </c>
      <c r="D490">
        <v>12.5</v>
      </c>
      <c r="E490">
        <v>16</v>
      </c>
      <c r="F490" s="1" t="s">
        <v>48</v>
      </c>
      <c r="G490">
        <v>1.36</v>
      </c>
      <c r="H490">
        <v>1798</v>
      </c>
      <c r="I490" s="1" t="s">
        <v>40</v>
      </c>
      <c r="J490">
        <v>1920</v>
      </c>
      <c r="K490">
        <v>1080</v>
      </c>
      <c r="L490" s="1" t="s">
        <v>27</v>
      </c>
      <c r="M490" s="1" t="s">
        <v>28</v>
      </c>
      <c r="N490" s="1" t="s">
        <v>27</v>
      </c>
      <c r="O490" s="1" t="s">
        <v>29</v>
      </c>
      <c r="P490">
        <v>2.7</v>
      </c>
      <c r="Q490" s="1" t="s">
        <v>71</v>
      </c>
      <c r="R490" s="1" t="str">
        <f>_xlfn.CONCAT(laptop[[#This Row],[CPU_company]]," ",laptop[[#This Row],[CPU_model]])</f>
        <v>Intel Core i7 7500U</v>
      </c>
      <c r="S490">
        <v>512</v>
      </c>
      <c r="T490">
        <v>0</v>
      </c>
      <c r="U490">
        <f>laptop[[#This Row],[PrimaryStorage]]+laptop[[#This Row],[SecondaryStorage]]</f>
        <v>512</v>
      </c>
      <c r="V490" s="1" t="s">
        <v>31</v>
      </c>
      <c r="W490" s="1" t="s">
        <v>27</v>
      </c>
      <c r="X490" s="1" t="str">
        <f>IF(laptop[[#This Row],[PrimaryStorageType]]=laptop[[#This Row],[SecondaryStorageType]],laptop[[#This Row],[PrimaryStorageType]],"SSD &amp; HDD")</f>
        <v>SSD &amp; HDD</v>
      </c>
      <c r="Y490" s="1" t="s">
        <v>42</v>
      </c>
    </row>
    <row r="491" spans="1:25" x14ac:dyDescent="0.25">
      <c r="A491" s="1" t="s">
        <v>55</v>
      </c>
      <c r="B491" s="1" t="s">
        <v>455</v>
      </c>
      <c r="C491" s="1" t="s">
        <v>24</v>
      </c>
      <c r="D491">
        <v>12.5</v>
      </c>
      <c r="E491">
        <v>16</v>
      </c>
      <c r="F491" s="1" t="s">
        <v>48</v>
      </c>
      <c r="G491">
        <v>0.91</v>
      </c>
      <c r="H491">
        <v>1950</v>
      </c>
      <c r="I491" s="1" t="s">
        <v>40</v>
      </c>
      <c r="J491">
        <v>1920</v>
      </c>
      <c r="K491">
        <v>1080</v>
      </c>
      <c r="L491" s="1" t="s">
        <v>27</v>
      </c>
      <c r="M491" s="1" t="s">
        <v>27</v>
      </c>
      <c r="N491" s="1" t="s">
        <v>27</v>
      </c>
      <c r="O491" s="1" t="s">
        <v>29</v>
      </c>
      <c r="P491">
        <v>2.7</v>
      </c>
      <c r="Q491" s="1" t="s">
        <v>71</v>
      </c>
      <c r="R491" s="1" t="str">
        <f>_xlfn.CONCAT(laptop[[#This Row],[CPU_company]]," ",laptop[[#This Row],[CPU_model]])</f>
        <v>Intel Core i7 7500U</v>
      </c>
      <c r="S491">
        <v>512</v>
      </c>
      <c r="T491">
        <v>0</v>
      </c>
      <c r="U491">
        <f>laptop[[#This Row],[PrimaryStorage]]+laptop[[#This Row],[SecondaryStorage]]</f>
        <v>512</v>
      </c>
      <c r="V491" s="1" t="s">
        <v>31</v>
      </c>
      <c r="W491" s="1" t="s">
        <v>27</v>
      </c>
      <c r="X491" s="1" t="str">
        <f>IF(laptop[[#This Row],[PrimaryStorageType]]=laptop[[#This Row],[SecondaryStorageType]],laptop[[#This Row],[PrimaryStorageType]],"SSD &amp; HDD")</f>
        <v>SSD &amp; HDD</v>
      </c>
      <c r="Y491" s="1" t="s">
        <v>42</v>
      </c>
    </row>
    <row r="492" spans="1:25" x14ac:dyDescent="0.25">
      <c r="A492" s="1" t="s">
        <v>73</v>
      </c>
      <c r="B492" s="1" t="s">
        <v>456</v>
      </c>
      <c r="C492" s="1" t="s">
        <v>38</v>
      </c>
      <c r="D492">
        <v>15.6</v>
      </c>
      <c r="E492">
        <v>8</v>
      </c>
      <c r="F492" s="1" t="s">
        <v>48</v>
      </c>
      <c r="G492">
        <v>2.2999999999999998</v>
      </c>
      <c r="H492">
        <v>1011.99</v>
      </c>
      <c r="I492" s="1" t="s">
        <v>40</v>
      </c>
      <c r="J492">
        <v>1920</v>
      </c>
      <c r="K492">
        <v>1080</v>
      </c>
      <c r="L492" s="1" t="s">
        <v>27</v>
      </c>
      <c r="M492" s="1" t="s">
        <v>28</v>
      </c>
      <c r="N492" s="1" t="s">
        <v>27</v>
      </c>
      <c r="O492" s="1" t="s">
        <v>29</v>
      </c>
      <c r="P492">
        <v>2.5</v>
      </c>
      <c r="Q492" s="1" t="s">
        <v>41</v>
      </c>
      <c r="R492" s="1" t="str">
        <f>_xlfn.CONCAT(laptop[[#This Row],[CPU_company]]," ",laptop[[#This Row],[CPU_model]])</f>
        <v>Intel Core i5 7200U</v>
      </c>
      <c r="S492">
        <v>256</v>
      </c>
      <c r="T492">
        <v>0</v>
      </c>
      <c r="U492">
        <f>laptop[[#This Row],[PrimaryStorage]]+laptop[[#This Row],[SecondaryStorage]]</f>
        <v>256</v>
      </c>
      <c r="V492" s="1" t="s">
        <v>31</v>
      </c>
      <c r="W492" s="1" t="s">
        <v>27</v>
      </c>
      <c r="X492" s="1" t="str">
        <f>IF(laptop[[#This Row],[PrimaryStorageType]]=laptop[[#This Row],[SecondaryStorageType]],laptop[[#This Row],[PrimaryStorageType]],"SSD &amp; HDD")</f>
        <v>SSD &amp; HDD</v>
      </c>
      <c r="Y492" s="1" t="s">
        <v>76</v>
      </c>
    </row>
    <row r="493" spans="1:25" x14ac:dyDescent="0.25">
      <c r="A493" s="1" t="s">
        <v>210</v>
      </c>
      <c r="B493" s="1" t="s">
        <v>457</v>
      </c>
      <c r="C493" s="1" t="s">
        <v>24</v>
      </c>
      <c r="D493">
        <v>13.3</v>
      </c>
      <c r="E493">
        <v>32</v>
      </c>
      <c r="F493" s="1" t="s">
        <v>48</v>
      </c>
      <c r="G493">
        <v>1.05</v>
      </c>
      <c r="H493">
        <v>2799</v>
      </c>
      <c r="I493" s="1" t="s">
        <v>40</v>
      </c>
      <c r="J493">
        <v>1920</v>
      </c>
      <c r="K493">
        <v>1080</v>
      </c>
      <c r="L493" s="1" t="s">
        <v>28</v>
      </c>
      <c r="M493" s="1" t="s">
        <v>27</v>
      </c>
      <c r="N493" s="1" t="s">
        <v>27</v>
      </c>
      <c r="O493" s="1" t="s">
        <v>29</v>
      </c>
      <c r="P493">
        <v>2.7</v>
      </c>
      <c r="Q493" s="1" t="s">
        <v>71</v>
      </c>
      <c r="R493" s="1" t="str">
        <f>_xlfn.CONCAT(laptop[[#This Row],[CPU_company]]," ",laptop[[#This Row],[CPU_model]])</f>
        <v>Intel Core i7 7500U</v>
      </c>
      <c r="S493">
        <v>512</v>
      </c>
      <c r="T493">
        <v>0</v>
      </c>
      <c r="U493">
        <f>laptop[[#This Row],[PrimaryStorage]]+laptop[[#This Row],[SecondaryStorage]]</f>
        <v>512</v>
      </c>
      <c r="V493" s="1" t="s">
        <v>31</v>
      </c>
      <c r="W493" s="1" t="s">
        <v>27</v>
      </c>
      <c r="X493" s="1" t="str">
        <f>IF(laptop[[#This Row],[PrimaryStorageType]]=laptop[[#This Row],[SecondaryStorageType]],laptop[[#This Row],[PrimaryStorageType]],"SSD &amp; HDD")</f>
        <v>SSD &amp; HDD</v>
      </c>
      <c r="Y493" s="1" t="s">
        <v>42</v>
      </c>
    </row>
    <row r="494" spans="1:25" x14ac:dyDescent="0.25">
      <c r="A494" s="1" t="s">
        <v>55</v>
      </c>
      <c r="B494" s="1" t="s">
        <v>291</v>
      </c>
      <c r="C494" s="1" t="s">
        <v>83</v>
      </c>
      <c r="D494">
        <v>15.6</v>
      </c>
      <c r="E494">
        <v>8</v>
      </c>
      <c r="F494" s="1" t="s">
        <v>48</v>
      </c>
      <c r="G494">
        <v>1.99</v>
      </c>
      <c r="H494">
        <v>1350</v>
      </c>
      <c r="I494" s="1" t="s">
        <v>40</v>
      </c>
      <c r="J494">
        <v>1920</v>
      </c>
      <c r="K494">
        <v>1080</v>
      </c>
      <c r="L494" s="1" t="s">
        <v>27</v>
      </c>
      <c r="M494" s="1" t="s">
        <v>27</v>
      </c>
      <c r="N494" s="1" t="s">
        <v>27</v>
      </c>
      <c r="O494" s="1" t="s">
        <v>29</v>
      </c>
      <c r="P494">
        <v>2.8</v>
      </c>
      <c r="Q494" s="1" t="s">
        <v>118</v>
      </c>
      <c r="R494" s="1" t="str">
        <f>_xlfn.CONCAT(laptop[[#This Row],[CPU_company]]," ",laptop[[#This Row],[CPU_model]])</f>
        <v>Intel Core i7 7700HQ</v>
      </c>
      <c r="S494">
        <v>128</v>
      </c>
      <c r="T494">
        <v>1024</v>
      </c>
      <c r="U494">
        <f>laptop[[#This Row],[PrimaryStorage]]+laptop[[#This Row],[SecondaryStorage]]</f>
        <v>1152</v>
      </c>
      <c r="V494" s="1" t="s">
        <v>31</v>
      </c>
      <c r="W494" s="1" t="s">
        <v>51</v>
      </c>
      <c r="X494" s="1" t="str">
        <f>IF(laptop[[#This Row],[PrimaryStorageType]]=laptop[[#This Row],[SecondaryStorageType]],laptop[[#This Row],[PrimaryStorageType]],"SSD &amp; HDD")</f>
        <v>SSD &amp; HDD</v>
      </c>
      <c r="Y494" s="1" t="s">
        <v>85</v>
      </c>
    </row>
    <row r="495" spans="1:25" x14ac:dyDescent="0.25">
      <c r="A495" s="1" t="s">
        <v>46</v>
      </c>
      <c r="B495" s="1" t="s">
        <v>173</v>
      </c>
      <c r="C495" s="1" t="s">
        <v>38</v>
      </c>
      <c r="D495">
        <v>15.6</v>
      </c>
      <c r="E495">
        <v>8</v>
      </c>
      <c r="F495" s="1" t="s">
        <v>48</v>
      </c>
      <c r="G495">
        <v>2.2000000000000002</v>
      </c>
      <c r="H495">
        <v>579</v>
      </c>
      <c r="I495" s="1" t="s">
        <v>26</v>
      </c>
      <c r="J495">
        <v>1366</v>
      </c>
      <c r="K495">
        <v>768</v>
      </c>
      <c r="L495" s="1" t="s">
        <v>27</v>
      </c>
      <c r="M495" s="1" t="s">
        <v>27</v>
      </c>
      <c r="N495" s="1" t="s">
        <v>27</v>
      </c>
      <c r="O495" s="1" t="s">
        <v>49</v>
      </c>
      <c r="P495">
        <v>2.5</v>
      </c>
      <c r="Q495" s="1" t="s">
        <v>458</v>
      </c>
      <c r="R495" s="1" t="str">
        <f>_xlfn.CONCAT(laptop[[#This Row],[CPU_company]]," ",laptop[[#This Row],[CPU_model]])</f>
        <v>AMD A10-Series 9620P</v>
      </c>
      <c r="S495">
        <v>1024</v>
      </c>
      <c r="T495">
        <v>0</v>
      </c>
      <c r="U495">
        <f>laptop[[#This Row],[PrimaryStorage]]+laptop[[#This Row],[SecondaryStorage]]</f>
        <v>1024</v>
      </c>
      <c r="V495" s="1" t="s">
        <v>51</v>
      </c>
      <c r="W495" s="1" t="s">
        <v>27</v>
      </c>
      <c r="X495" s="1" t="str">
        <f>IF(laptop[[#This Row],[PrimaryStorageType]]=laptop[[#This Row],[SecondaryStorageType]],laptop[[#This Row],[PrimaryStorageType]],"SSD &amp; HDD")</f>
        <v>SSD &amp; HDD</v>
      </c>
      <c r="Y495" s="1" t="s">
        <v>351</v>
      </c>
    </row>
    <row r="496" spans="1:25" x14ac:dyDescent="0.25">
      <c r="A496" s="1" t="s">
        <v>55</v>
      </c>
      <c r="B496" s="1" t="s">
        <v>459</v>
      </c>
      <c r="C496" s="1" t="s">
        <v>83</v>
      </c>
      <c r="D496">
        <v>17.3</v>
      </c>
      <c r="E496">
        <v>24</v>
      </c>
      <c r="F496" s="1" t="s">
        <v>48</v>
      </c>
      <c r="G496">
        <v>4.33</v>
      </c>
      <c r="H496">
        <v>1269</v>
      </c>
      <c r="I496" s="1" t="s">
        <v>40</v>
      </c>
      <c r="J496">
        <v>1920</v>
      </c>
      <c r="K496">
        <v>1080</v>
      </c>
      <c r="L496" s="1" t="s">
        <v>28</v>
      </c>
      <c r="M496" s="1" t="s">
        <v>28</v>
      </c>
      <c r="N496" s="1" t="s">
        <v>27</v>
      </c>
      <c r="O496" s="1" t="s">
        <v>29</v>
      </c>
      <c r="P496">
        <v>2.6</v>
      </c>
      <c r="Q496" s="1" t="s">
        <v>447</v>
      </c>
      <c r="R496" s="1" t="str">
        <f>_xlfn.CONCAT(laptop[[#This Row],[CPU_company]]," ",laptop[[#This Row],[CPU_model]])</f>
        <v>Intel Core i7 6700HQ</v>
      </c>
      <c r="S496">
        <v>256</v>
      </c>
      <c r="T496">
        <v>1024</v>
      </c>
      <c r="U496">
        <f>laptop[[#This Row],[PrimaryStorage]]+laptop[[#This Row],[SecondaryStorage]]</f>
        <v>1280</v>
      </c>
      <c r="V496" s="1" t="s">
        <v>31</v>
      </c>
      <c r="W496" s="1" t="s">
        <v>51</v>
      </c>
      <c r="X496" s="1" t="str">
        <f>IF(laptop[[#This Row],[PrimaryStorageType]]=laptop[[#This Row],[SecondaryStorageType]],laptop[[#This Row],[PrimaryStorageType]],"SSD &amp; HDD")</f>
        <v>SSD &amp; HDD</v>
      </c>
      <c r="Y496" s="1" t="s">
        <v>460</v>
      </c>
    </row>
    <row r="497" spans="1:25" x14ac:dyDescent="0.25">
      <c r="A497" s="1" t="s">
        <v>73</v>
      </c>
      <c r="B497" s="1" t="s">
        <v>461</v>
      </c>
      <c r="C497" s="1" t="s">
        <v>24</v>
      </c>
      <c r="D497">
        <v>12.5</v>
      </c>
      <c r="E497">
        <v>8</v>
      </c>
      <c r="F497" s="1" t="s">
        <v>48</v>
      </c>
      <c r="G497">
        <v>1.3</v>
      </c>
      <c r="H497">
        <v>1099</v>
      </c>
      <c r="I497" s="1" t="s">
        <v>26</v>
      </c>
      <c r="J497">
        <v>1366</v>
      </c>
      <c r="K497">
        <v>768</v>
      </c>
      <c r="L497" s="1" t="s">
        <v>27</v>
      </c>
      <c r="M497" s="1" t="s">
        <v>28</v>
      </c>
      <c r="N497" s="1" t="s">
        <v>27</v>
      </c>
      <c r="O497" s="1" t="s">
        <v>29</v>
      </c>
      <c r="P497">
        <v>2.2999999999999998</v>
      </c>
      <c r="Q497" s="1" t="s">
        <v>212</v>
      </c>
      <c r="R497" s="1" t="str">
        <f>_xlfn.CONCAT(laptop[[#This Row],[CPU_company]]," ",laptop[[#This Row],[CPU_model]])</f>
        <v>Intel Core i5 6200U</v>
      </c>
      <c r="S497">
        <v>180</v>
      </c>
      <c r="T497">
        <v>0</v>
      </c>
      <c r="U497">
        <f>laptop[[#This Row],[PrimaryStorage]]+laptop[[#This Row],[SecondaryStorage]]</f>
        <v>180</v>
      </c>
      <c r="V497" s="1" t="s">
        <v>31</v>
      </c>
      <c r="W497" s="1" t="s">
        <v>27</v>
      </c>
      <c r="X497" s="1" t="str">
        <f>IF(laptop[[#This Row],[PrimaryStorageType]]=laptop[[#This Row],[SecondaryStorageType]],laptop[[#This Row],[PrimaryStorageType]],"SSD &amp; HDD")</f>
        <v>SSD &amp; HDD</v>
      </c>
      <c r="Y497" s="1" t="s">
        <v>63</v>
      </c>
    </row>
    <row r="498" spans="1:25" x14ac:dyDescent="0.25">
      <c r="A498" s="1" t="s">
        <v>73</v>
      </c>
      <c r="B498" s="1" t="s">
        <v>462</v>
      </c>
      <c r="C498" s="1" t="s">
        <v>38</v>
      </c>
      <c r="D498">
        <v>15.6</v>
      </c>
      <c r="E498">
        <v>8</v>
      </c>
      <c r="F498" s="1" t="s">
        <v>48</v>
      </c>
      <c r="G498">
        <v>2.17</v>
      </c>
      <c r="H498">
        <v>898.9</v>
      </c>
      <c r="I498" s="1" t="s">
        <v>40</v>
      </c>
      <c r="J498">
        <v>1920</v>
      </c>
      <c r="K498">
        <v>1080</v>
      </c>
      <c r="L498" s="1" t="s">
        <v>27</v>
      </c>
      <c r="M498" s="1" t="s">
        <v>27</v>
      </c>
      <c r="N498" s="1" t="s">
        <v>27</v>
      </c>
      <c r="O498" s="1" t="s">
        <v>29</v>
      </c>
      <c r="P498">
        <v>1.8</v>
      </c>
      <c r="Q498" s="1" t="s">
        <v>57</v>
      </c>
      <c r="R498" s="1" t="str">
        <f>_xlfn.CONCAT(laptop[[#This Row],[CPU_company]]," ",laptop[[#This Row],[CPU_model]])</f>
        <v>Intel Core i7 8550U</v>
      </c>
      <c r="S498">
        <v>256</v>
      </c>
      <c r="T498">
        <v>0</v>
      </c>
      <c r="U498">
        <f>laptop[[#This Row],[PrimaryStorage]]+laptop[[#This Row],[SecondaryStorage]]</f>
        <v>256</v>
      </c>
      <c r="V498" s="1" t="s">
        <v>31</v>
      </c>
      <c r="W498" s="1" t="s">
        <v>27</v>
      </c>
      <c r="X498" s="1" t="str">
        <f>IF(laptop[[#This Row],[PrimaryStorageType]]=laptop[[#This Row],[SecondaryStorageType]],laptop[[#This Row],[PrimaryStorageType]],"SSD &amp; HDD")</f>
        <v>SSD &amp; HDD</v>
      </c>
      <c r="Y498" s="1" t="s">
        <v>61</v>
      </c>
    </row>
    <row r="499" spans="1:25" x14ac:dyDescent="0.25">
      <c r="A499" s="1" t="s">
        <v>36</v>
      </c>
      <c r="B499" s="1" t="s">
        <v>226</v>
      </c>
      <c r="C499" s="1" t="s">
        <v>38</v>
      </c>
      <c r="D499">
        <v>14</v>
      </c>
      <c r="E499">
        <v>8</v>
      </c>
      <c r="F499" s="1" t="s">
        <v>48</v>
      </c>
      <c r="G499">
        <v>1.48</v>
      </c>
      <c r="H499">
        <v>1749</v>
      </c>
      <c r="I499" s="1" t="s">
        <v>40</v>
      </c>
      <c r="J499">
        <v>1920</v>
      </c>
      <c r="K499">
        <v>1080</v>
      </c>
      <c r="L499" s="1" t="s">
        <v>27</v>
      </c>
      <c r="M499" s="1" t="s">
        <v>27</v>
      </c>
      <c r="N499" s="1" t="s">
        <v>27</v>
      </c>
      <c r="O499" s="1" t="s">
        <v>29</v>
      </c>
      <c r="P499">
        <v>2.8</v>
      </c>
      <c r="Q499" s="1" t="s">
        <v>335</v>
      </c>
      <c r="R499" s="1" t="str">
        <f>_xlfn.CONCAT(laptop[[#This Row],[CPU_company]]," ",laptop[[#This Row],[CPU_model]])</f>
        <v>Intel Core i7 7600U</v>
      </c>
      <c r="S499">
        <v>1024</v>
      </c>
      <c r="T499">
        <v>0</v>
      </c>
      <c r="U499">
        <f>laptop[[#This Row],[PrimaryStorage]]+laptop[[#This Row],[SecondaryStorage]]</f>
        <v>1024</v>
      </c>
      <c r="V499" s="1" t="s">
        <v>31</v>
      </c>
      <c r="W499" s="1" t="s">
        <v>27</v>
      </c>
      <c r="X499" s="1" t="str">
        <f>IF(laptop[[#This Row],[PrimaryStorageType]]=laptop[[#This Row],[SecondaryStorageType]],laptop[[#This Row],[PrimaryStorageType]],"SSD &amp; HDD")</f>
        <v>SSD &amp; HDD</v>
      </c>
      <c r="Y499" s="1" t="s">
        <v>42</v>
      </c>
    </row>
    <row r="500" spans="1:25" x14ac:dyDescent="0.25">
      <c r="A500" s="1" t="s">
        <v>73</v>
      </c>
      <c r="B500" s="1" t="s">
        <v>341</v>
      </c>
      <c r="C500" s="1" t="s">
        <v>38</v>
      </c>
      <c r="D500">
        <v>13.3</v>
      </c>
      <c r="E500">
        <v>8</v>
      </c>
      <c r="F500" s="1" t="s">
        <v>48</v>
      </c>
      <c r="G500">
        <v>1.4</v>
      </c>
      <c r="H500">
        <v>949</v>
      </c>
      <c r="I500" s="1" t="s">
        <v>40</v>
      </c>
      <c r="J500">
        <v>1920</v>
      </c>
      <c r="K500">
        <v>1080</v>
      </c>
      <c r="L500" s="1" t="s">
        <v>27</v>
      </c>
      <c r="M500" s="1" t="s">
        <v>28</v>
      </c>
      <c r="N500" s="1" t="s">
        <v>27</v>
      </c>
      <c r="O500" s="1" t="s">
        <v>29</v>
      </c>
      <c r="P500">
        <v>2.4</v>
      </c>
      <c r="Q500" s="1" t="s">
        <v>75</v>
      </c>
      <c r="R500" s="1" t="str">
        <f>_xlfn.CONCAT(laptop[[#This Row],[CPU_company]]," ",laptop[[#This Row],[CPU_model]])</f>
        <v>Intel Core i3 7100U</v>
      </c>
      <c r="S500">
        <v>256</v>
      </c>
      <c r="T500">
        <v>0</v>
      </c>
      <c r="U500">
        <f>laptop[[#This Row],[PrimaryStorage]]+laptop[[#This Row],[SecondaryStorage]]</f>
        <v>256</v>
      </c>
      <c r="V500" s="1" t="s">
        <v>31</v>
      </c>
      <c r="W500" s="1" t="s">
        <v>27</v>
      </c>
      <c r="X500" s="1" t="str">
        <f>IF(laptop[[#This Row],[PrimaryStorageType]]=laptop[[#This Row],[SecondaryStorageType]],laptop[[#This Row],[PrimaryStorageType]],"SSD &amp; HDD")</f>
        <v>SSD &amp; HDD</v>
      </c>
      <c r="Y500" s="1" t="s">
        <v>42</v>
      </c>
    </row>
    <row r="501" spans="1:25" x14ac:dyDescent="0.25">
      <c r="A501" s="1" t="s">
        <v>73</v>
      </c>
      <c r="B501" s="1" t="s">
        <v>463</v>
      </c>
      <c r="C501" s="1" t="s">
        <v>38</v>
      </c>
      <c r="D501">
        <v>15.6</v>
      </c>
      <c r="E501">
        <v>8</v>
      </c>
      <c r="F501" s="1" t="s">
        <v>48</v>
      </c>
      <c r="G501">
        <v>2.2999999999999998</v>
      </c>
      <c r="H501">
        <v>911</v>
      </c>
      <c r="I501" s="1" t="s">
        <v>40</v>
      </c>
      <c r="J501">
        <v>1920</v>
      </c>
      <c r="K501">
        <v>1080</v>
      </c>
      <c r="L501" s="1" t="s">
        <v>27</v>
      </c>
      <c r="M501" s="1" t="s">
        <v>28</v>
      </c>
      <c r="N501" s="1" t="s">
        <v>27</v>
      </c>
      <c r="O501" s="1" t="s">
        <v>29</v>
      </c>
      <c r="P501">
        <v>2.5</v>
      </c>
      <c r="Q501" s="1" t="s">
        <v>41</v>
      </c>
      <c r="R501" s="1" t="str">
        <f>_xlfn.CONCAT(laptop[[#This Row],[CPU_company]]," ",laptop[[#This Row],[CPU_model]])</f>
        <v>Intel Core i5 7200U</v>
      </c>
      <c r="S501">
        <v>256</v>
      </c>
      <c r="T501">
        <v>0</v>
      </c>
      <c r="U501">
        <f>laptop[[#This Row],[PrimaryStorage]]+laptop[[#This Row],[SecondaryStorage]]</f>
        <v>256</v>
      </c>
      <c r="V501" s="1" t="s">
        <v>31</v>
      </c>
      <c r="W501" s="1" t="s">
        <v>27</v>
      </c>
      <c r="X501" s="1" t="str">
        <f>IF(laptop[[#This Row],[PrimaryStorageType]]=laptop[[#This Row],[SecondaryStorageType]],laptop[[#This Row],[PrimaryStorageType]],"SSD &amp; HDD")</f>
        <v>SSD &amp; HDD</v>
      </c>
      <c r="Y501" s="1" t="s">
        <v>42</v>
      </c>
    </row>
    <row r="502" spans="1:25" x14ac:dyDescent="0.25">
      <c r="A502" s="1" t="s">
        <v>55</v>
      </c>
      <c r="B502" s="1" t="s">
        <v>464</v>
      </c>
      <c r="C502" s="1" t="s">
        <v>79</v>
      </c>
      <c r="D502">
        <v>11.6</v>
      </c>
      <c r="E502">
        <v>4</v>
      </c>
      <c r="F502" s="1" t="s">
        <v>156</v>
      </c>
      <c r="G502">
        <v>1.2</v>
      </c>
      <c r="H502">
        <v>340</v>
      </c>
      <c r="I502" s="1" t="s">
        <v>26</v>
      </c>
      <c r="J502">
        <v>1366</v>
      </c>
      <c r="K502">
        <v>768</v>
      </c>
      <c r="L502" s="1" t="s">
        <v>27</v>
      </c>
      <c r="M502" s="1" t="s">
        <v>27</v>
      </c>
      <c r="N502" s="1" t="s">
        <v>27</v>
      </c>
      <c r="O502" s="1" t="s">
        <v>29</v>
      </c>
      <c r="P502">
        <v>1.1000000000000001</v>
      </c>
      <c r="Q502" s="1" t="s">
        <v>109</v>
      </c>
      <c r="R502" s="1" t="str">
        <f>_xlfn.CONCAT(laptop[[#This Row],[CPU_company]]," ",laptop[[#This Row],[CPU_model]])</f>
        <v>Intel Celeron Dual Core N3350</v>
      </c>
      <c r="S502">
        <v>64</v>
      </c>
      <c r="T502">
        <v>0</v>
      </c>
      <c r="U502">
        <f>laptop[[#This Row],[PrimaryStorage]]+laptop[[#This Row],[SecondaryStorage]]</f>
        <v>64</v>
      </c>
      <c r="V502" s="1" t="s">
        <v>34</v>
      </c>
      <c r="W502" s="1" t="s">
        <v>27</v>
      </c>
      <c r="X502" s="1" t="str">
        <f>IF(laptop[[#This Row],[PrimaryStorageType]]=laptop[[#This Row],[SecondaryStorageType]],laptop[[#This Row],[PrimaryStorageType]],"SSD &amp; HDD")</f>
        <v>SSD &amp; HDD</v>
      </c>
      <c r="Y502" s="1" t="s">
        <v>110</v>
      </c>
    </row>
    <row r="503" spans="1:25" x14ac:dyDescent="0.25">
      <c r="A503" s="1" t="s">
        <v>36</v>
      </c>
      <c r="B503" s="1" t="s">
        <v>465</v>
      </c>
      <c r="C503" s="1" t="s">
        <v>38</v>
      </c>
      <c r="D503">
        <v>15.6</v>
      </c>
      <c r="E503">
        <v>8</v>
      </c>
      <c r="F503" s="1" t="s">
        <v>48</v>
      </c>
      <c r="G503">
        <v>1.91</v>
      </c>
      <c r="H503">
        <v>618.99</v>
      </c>
      <c r="I503" s="1" t="s">
        <v>26</v>
      </c>
      <c r="J503">
        <v>1366</v>
      </c>
      <c r="K503">
        <v>768</v>
      </c>
      <c r="L503" s="1" t="s">
        <v>27</v>
      </c>
      <c r="M503" s="1" t="s">
        <v>27</v>
      </c>
      <c r="N503" s="1" t="s">
        <v>27</v>
      </c>
      <c r="O503" s="1" t="s">
        <v>29</v>
      </c>
      <c r="P503">
        <v>2.5</v>
      </c>
      <c r="Q503" s="1" t="s">
        <v>41</v>
      </c>
      <c r="R503" s="1" t="str">
        <f>_xlfn.CONCAT(laptop[[#This Row],[CPU_company]]," ",laptop[[#This Row],[CPU_model]])</f>
        <v>Intel Core i5 7200U</v>
      </c>
      <c r="S503">
        <v>256</v>
      </c>
      <c r="T503">
        <v>0</v>
      </c>
      <c r="U503">
        <f>laptop[[#This Row],[PrimaryStorage]]+laptop[[#This Row],[SecondaryStorage]]</f>
        <v>256</v>
      </c>
      <c r="V503" s="1" t="s">
        <v>31</v>
      </c>
      <c r="W503" s="1" t="s">
        <v>27</v>
      </c>
      <c r="X503" s="1" t="str">
        <f>IF(laptop[[#This Row],[PrimaryStorageType]]=laptop[[#This Row],[SecondaryStorageType]],laptop[[#This Row],[PrimaryStorageType]],"SSD &amp; HDD")</f>
        <v>SSD &amp; HDD</v>
      </c>
      <c r="Y503" s="1" t="s">
        <v>138</v>
      </c>
    </row>
    <row r="504" spans="1:25" x14ac:dyDescent="0.25">
      <c r="A504" s="1" t="s">
        <v>73</v>
      </c>
      <c r="B504" s="1" t="s">
        <v>246</v>
      </c>
      <c r="C504" s="1" t="s">
        <v>90</v>
      </c>
      <c r="D504">
        <v>13.9</v>
      </c>
      <c r="E504">
        <v>8</v>
      </c>
      <c r="F504" s="1" t="s">
        <v>48</v>
      </c>
      <c r="G504">
        <v>1.4</v>
      </c>
      <c r="H504">
        <v>1599</v>
      </c>
      <c r="I504" s="1" t="s">
        <v>40</v>
      </c>
      <c r="J504">
        <v>1920</v>
      </c>
      <c r="K504">
        <v>1080</v>
      </c>
      <c r="L504" s="1" t="s">
        <v>28</v>
      </c>
      <c r="M504" s="1" t="s">
        <v>28</v>
      </c>
      <c r="N504" s="1" t="s">
        <v>27</v>
      </c>
      <c r="O504" s="1" t="s">
        <v>29</v>
      </c>
      <c r="P504">
        <v>1.6</v>
      </c>
      <c r="Q504" s="1" t="s">
        <v>60</v>
      </c>
      <c r="R504" s="1" t="str">
        <f>_xlfn.CONCAT(laptop[[#This Row],[CPU_company]]," ",laptop[[#This Row],[CPU_model]])</f>
        <v>Intel Core i5 8250U</v>
      </c>
      <c r="S504">
        <v>256</v>
      </c>
      <c r="T504">
        <v>0</v>
      </c>
      <c r="U504">
        <f>laptop[[#This Row],[PrimaryStorage]]+laptop[[#This Row],[SecondaryStorage]]</f>
        <v>256</v>
      </c>
      <c r="V504" s="1" t="s">
        <v>31</v>
      </c>
      <c r="W504" s="1" t="s">
        <v>27</v>
      </c>
      <c r="X504" s="1" t="str">
        <f>IF(laptop[[#This Row],[PrimaryStorageType]]=laptop[[#This Row],[SecondaryStorageType]],laptop[[#This Row],[PrimaryStorageType]],"SSD &amp; HDD")</f>
        <v>SSD &amp; HDD</v>
      </c>
      <c r="Y504" s="1" t="s">
        <v>61</v>
      </c>
    </row>
    <row r="505" spans="1:25" x14ac:dyDescent="0.25">
      <c r="A505" s="1" t="s">
        <v>73</v>
      </c>
      <c r="B505" s="1" t="s">
        <v>466</v>
      </c>
      <c r="C505" s="1" t="s">
        <v>38</v>
      </c>
      <c r="D505">
        <v>14</v>
      </c>
      <c r="E505">
        <v>4</v>
      </c>
      <c r="F505" s="1" t="s">
        <v>48</v>
      </c>
      <c r="G505">
        <v>2.1</v>
      </c>
      <c r="H505">
        <v>299</v>
      </c>
      <c r="I505" s="1" t="s">
        <v>26</v>
      </c>
      <c r="J505">
        <v>1366</v>
      </c>
      <c r="K505">
        <v>768</v>
      </c>
      <c r="L505" s="1" t="s">
        <v>27</v>
      </c>
      <c r="M505" s="1" t="s">
        <v>27</v>
      </c>
      <c r="N505" s="1" t="s">
        <v>27</v>
      </c>
      <c r="O505" s="1" t="s">
        <v>29</v>
      </c>
      <c r="P505">
        <v>1.1000000000000001</v>
      </c>
      <c r="Q505" s="1" t="s">
        <v>109</v>
      </c>
      <c r="R505" s="1" t="str">
        <f>_xlfn.CONCAT(laptop[[#This Row],[CPU_company]]," ",laptop[[#This Row],[CPU_model]])</f>
        <v>Intel Celeron Dual Core N3350</v>
      </c>
      <c r="S505">
        <v>500</v>
      </c>
      <c r="T505">
        <v>0</v>
      </c>
      <c r="U505">
        <f>laptop[[#This Row],[PrimaryStorage]]+laptop[[#This Row],[SecondaryStorage]]</f>
        <v>500</v>
      </c>
      <c r="V505" s="1" t="s">
        <v>51</v>
      </c>
      <c r="W505" s="1" t="s">
        <v>27</v>
      </c>
      <c r="X505" s="1" t="str">
        <f>IF(laptop[[#This Row],[PrimaryStorageType]]=laptop[[#This Row],[SecondaryStorageType]],laptop[[#This Row],[PrimaryStorageType]],"SSD &amp; HDD")</f>
        <v>SSD &amp; HDD</v>
      </c>
      <c r="Y505" s="1" t="s">
        <v>110</v>
      </c>
    </row>
    <row r="506" spans="1:25" x14ac:dyDescent="0.25">
      <c r="A506" s="1" t="s">
        <v>73</v>
      </c>
      <c r="B506" s="1" t="s">
        <v>467</v>
      </c>
      <c r="C506" s="1" t="s">
        <v>79</v>
      </c>
      <c r="D506">
        <v>11.6</v>
      </c>
      <c r="E506">
        <v>4</v>
      </c>
      <c r="F506" s="1" t="s">
        <v>317</v>
      </c>
      <c r="G506">
        <v>1.25</v>
      </c>
      <c r="H506">
        <v>265</v>
      </c>
      <c r="I506" s="1" t="s">
        <v>26</v>
      </c>
      <c r="J506">
        <v>1366</v>
      </c>
      <c r="K506">
        <v>768</v>
      </c>
      <c r="L506" s="1" t="s">
        <v>27</v>
      </c>
      <c r="M506" s="1" t="s">
        <v>27</v>
      </c>
      <c r="N506" s="1" t="s">
        <v>27</v>
      </c>
      <c r="O506" s="1" t="s">
        <v>29</v>
      </c>
      <c r="P506">
        <v>1.6</v>
      </c>
      <c r="Q506" s="1" t="s">
        <v>151</v>
      </c>
      <c r="R506" s="1" t="str">
        <f>_xlfn.CONCAT(laptop[[#This Row],[CPU_company]]," ",laptop[[#This Row],[CPU_model]])</f>
        <v>Intel Celeron Dual Core N3060</v>
      </c>
      <c r="S506">
        <v>16</v>
      </c>
      <c r="T506">
        <v>0</v>
      </c>
      <c r="U506">
        <f>laptop[[#This Row],[PrimaryStorage]]+laptop[[#This Row],[SecondaryStorage]]</f>
        <v>16</v>
      </c>
      <c r="V506" s="1" t="s">
        <v>31</v>
      </c>
      <c r="W506" s="1" t="s">
        <v>27</v>
      </c>
      <c r="X506" s="1" t="str">
        <f>IF(laptop[[#This Row],[PrimaryStorageType]]=laptop[[#This Row],[SecondaryStorageType]],laptop[[#This Row],[PrimaryStorageType]],"SSD &amp; HDD")</f>
        <v>SSD &amp; HDD</v>
      </c>
      <c r="Y506" s="1" t="s">
        <v>81</v>
      </c>
    </row>
    <row r="507" spans="1:25" x14ac:dyDescent="0.25">
      <c r="A507" s="1" t="s">
        <v>73</v>
      </c>
      <c r="B507" s="1" t="s">
        <v>341</v>
      </c>
      <c r="C507" s="1" t="s">
        <v>38</v>
      </c>
      <c r="D507">
        <v>13.3</v>
      </c>
      <c r="E507">
        <v>8</v>
      </c>
      <c r="F507" s="1" t="s">
        <v>48</v>
      </c>
      <c r="G507">
        <v>1.44</v>
      </c>
      <c r="H507">
        <v>949</v>
      </c>
      <c r="I507" s="1" t="s">
        <v>40</v>
      </c>
      <c r="J507">
        <v>1920</v>
      </c>
      <c r="K507">
        <v>1080</v>
      </c>
      <c r="L507" s="1" t="s">
        <v>27</v>
      </c>
      <c r="M507" s="1" t="s">
        <v>27</v>
      </c>
      <c r="N507" s="1" t="s">
        <v>27</v>
      </c>
      <c r="O507" s="1" t="s">
        <v>29</v>
      </c>
      <c r="P507">
        <v>2.5</v>
      </c>
      <c r="Q507" s="1" t="s">
        <v>41</v>
      </c>
      <c r="R507" s="1" t="str">
        <f>_xlfn.CONCAT(laptop[[#This Row],[CPU_company]]," ",laptop[[#This Row],[CPU_model]])</f>
        <v>Intel Core i5 7200U</v>
      </c>
      <c r="S507">
        <v>256</v>
      </c>
      <c r="T507">
        <v>0</v>
      </c>
      <c r="U507">
        <f>laptop[[#This Row],[PrimaryStorage]]+laptop[[#This Row],[SecondaryStorage]]</f>
        <v>256</v>
      </c>
      <c r="V507" s="1" t="s">
        <v>31</v>
      </c>
      <c r="W507" s="1" t="s">
        <v>27</v>
      </c>
      <c r="X507" s="1" t="str">
        <f>IF(laptop[[#This Row],[PrimaryStorageType]]=laptop[[#This Row],[SecondaryStorageType]],laptop[[#This Row],[PrimaryStorageType]],"SSD &amp; HDD")</f>
        <v>SSD &amp; HDD</v>
      </c>
      <c r="Y507" s="1" t="s">
        <v>42</v>
      </c>
    </row>
    <row r="508" spans="1:25" x14ac:dyDescent="0.25">
      <c r="A508" s="1" t="s">
        <v>55</v>
      </c>
      <c r="B508" s="1" t="s">
        <v>468</v>
      </c>
      <c r="C508" s="1" t="s">
        <v>38</v>
      </c>
      <c r="D508">
        <v>15.6</v>
      </c>
      <c r="E508">
        <v>8</v>
      </c>
      <c r="F508" s="1" t="s">
        <v>48</v>
      </c>
      <c r="G508">
        <v>2</v>
      </c>
      <c r="H508">
        <v>1224</v>
      </c>
      <c r="I508" s="1" t="s">
        <v>40</v>
      </c>
      <c r="J508">
        <v>1920</v>
      </c>
      <c r="K508">
        <v>1080</v>
      </c>
      <c r="L508" s="1" t="s">
        <v>27</v>
      </c>
      <c r="M508" s="1" t="s">
        <v>27</v>
      </c>
      <c r="N508" s="1" t="s">
        <v>27</v>
      </c>
      <c r="O508" s="1" t="s">
        <v>29</v>
      </c>
      <c r="P508">
        <v>2.7</v>
      </c>
      <c r="Q508" s="1" t="s">
        <v>71</v>
      </c>
      <c r="R508" s="1" t="str">
        <f>_xlfn.CONCAT(laptop[[#This Row],[CPU_company]]," ",laptop[[#This Row],[CPU_model]])</f>
        <v>Intel Core i7 7500U</v>
      </c>
      <c r="S508">
        <v>256</v>
      </c>
      <c r="T508">
        <v>1024</v>
      </c>
      <c r="U508">
        <f>laptop[[#This Row],[PrimaryStorage]]+laptop[[#This Row],[SecondaryStorage]]</f>
        <v>1280</v>
      </c>
      <c r="V508" s="1" t="s">
        <v>31</v>
      </c>
      <c r="W508" s="1" t="s">
        <v>51</v>
      </c>
      <c r="X508" s="1" t="str">
        <f>IF(laptop[[#This Row],[PrimaryStorageType]]=laptop[[#This Row],[SecondaryStorageType]],laptop[[#This Row],[PrimaryStorageType]],"SSD &amp; HDD")</f>
        <v>SSD &amp; HDD</v>
      </c>
      <c r="Y508" s="1" t="s">
        <v>42</v>
      </c>
    </row>
    <row r="509" spans="1:25" x14ac:dyDescent="0.25">
      <c r="A509" s="1" t="s">
        <v>46</v>
      </c>
      <c r="B509" s="1" t="s">
        <v>469</v>
      </c>
      <c r="C509" s="1" t="s">
        <v>38</v>
      </c>
      <c r="D509">
        <v>15.6</v>
      </c>
      <c r="E509">
        <v>4</v>
      </c>
      <c r="F509" s="1" t="s">
        <v>48</v>
      </c>
      <c r="G509">
        <v>2.2000000000000002</v>
      </c>
      <c r="H509">
        <v>613</v>
      </c>
      <c r="I509" s="1" t="s">
        <v>40</v>
      </c>
      <c r="J509">
        <v>1920</v>
      </c>
      <c r="K509">
        <v>1080</v>
      </c>
      <c r="L509" s="1" t="s">
        <v>27</v>
      </c>
      <c r="M509" s="1" t="s">
        <v>28</v>
      </c>
      <c r="N509" s="1" t="s">
        <v>27</v>
      </c>
      <c r="O509" s="1" t="s">
        <v>29</v>
      </c>
      <c r="P509">
        <v>1.6</v>
      </c>
      <c r="Q509" s="1" t="s">
        <v>60</v>
      </c>
      <c r="R509" s="1" t="str">
        <f>_xlfn.CONCAT(laptop[[#This Row],[CPU_company]]," ",laptop[[#This Row],[CPU_model]])</f>
        <v>Intel Core i5 8250U</v>
      </c>
      <c r="S509">
        <v>1024</v>
      </c>
      <c r="T509">
        <v>0</v>
      </c>
      <c r="U509">
        <f>laptop[[#This Row],[PrimaryStorage]]+laptop[[#This Row],[SecondaryStorage]]</f>
        <v>1024</v>
      </c>
      <c r="V509" s="1" t="s">
        <v>51</v>
      </c>
      <c r="W509" s="1" t="s">
        <v>27</v>
      </c>
      <c r="X509" s="1" t="str">
        <f>IF(laptop[[#This Row],[PrimaryStorageType]]=laptop[[#This Row],[SecondaryStorageType]],laptop[[#This Row],[PrimaryStorageType]],"SSD &amp; HDD")</f>
        <v>SSD &amp; HDD</v>
      </c>
      <c r="Y509" s="1" t="s">
        <v>58</v>
      </c>
    </row>
    <row r="510" spans="1:25" x14ac:dyDescent="0.25">
      <c r="A510" s="1" t="s">
        <v>36</v>
      </c>
      <c r="B510" s="1" t="s">
        <v>470</v>
      </c>
      <c r="C510" s="1" t="s">
        <v>24</v>
      </c>
      <c r="D510">
        <v>13.3</v>
      </c>
      <c r="E510">
        <v>8</v>
      </c>
      <c r="F510" s="1" t="s">
        <v>48</v>
      </c>
      <c r="G510">
        <v>1.34</v>
      </c>
      <c r="H510">
        <v>1323</v>
      </c>
      <c r="I510" s="1" t="s">
        <v>40</v>
      </c>
      <c r="J510">
        <v>1920</v>
      </c>
      <c r="K510">
        <v>1080</v>
      </c>
      <c r="L510" s="1" t="s">
        <v>27</v>
      </c>
      <c r="M510" s="1" t="s">
        <v>28</v>
      </c>
      <c r="N510" s="1" t="s">
        <v>27</v>
      </c>
      <c r="O510" s="1" t="s">
        <v>29</v>
      </c>
      <c r="P510">
        <v>2.7</v>
      </c>
      <c r="Q510" s="1" t="s">
        <v>71</v>
      </c>
      <c r="R510" s="1" t="str">
        <f>_xlfn.CONCAT(laptop[[#This Row],[CPU_company]]," ",laptop[[#This Row],[CPU_model]])</f>
        <v>Intel Core i7 7500U</v>
      </c>
      <c r="S510">
        <v>512</v>
      </c>
      <c r="T510">
        <v>0</v>
      </c>
      <c r="U510">
        <f>laptop[[#This Row],[PrimaryStorage]]+laptop[[#This Row],[SecondaryStorage]]</f>
        <v>512</v>
      </c>
      <c r="V510" s="1" t="s">
        <v>31</v>
      </c>
      <c r="W510" s="1" t="s">
        <v>27</v>
      </c>
      <c r="X510" s="1" t="str">
        <f>IF(laptop[[#This Row],[PrimaryStorageType]]=laptop[[#This Row],[SecondaryStorageType]],laptop[[#This Row],[PrimaryStorageType]],"SSD &amp; HDD")</f>
        <v>SSD &amp; HDD</v>
      </c>
      <c r="Y510" s="1" t="s">
        <v>42</v>
      </c>
    </row>
    <row r="511" spans="1:25" x14ac:dyDescent="0.25">
      <c r="A511" s="1" t="s">
        <v>73</v>
      </c>
      <c r="B511" s="1" t="s">
        <v>82</v>
      </c>
      <c r="C511" s="1" t="s">
        <v>83</v>
      </c>
      <c r="D511">
        <v>15.6</v>
      </c>
      <c r="E511">
        <v>8</v>
      </c>
      <c r="F511" s="1" t="s">
        <v>39</v>
      </c>
      <c r="G511">
        <v>2.4</v>
      </c>
      <c r="H511">
        <v>1149</v>
      </c>
      <c r="I511" s="1" t="s">
        <v>40</v>
      </c>
      <c r="J511">
        <v>1920</v>
      </c>
      <c r="K511">
        <v>1080</v>
      </c>
      <c r="L511" s="1" t="s">
        <v>27</v>
      </c>
      <c r="M511" s="1" t="s">
        <v>28</v>
      </c>
      <c r="N511" s="1" t="s">
        <v>27</v>
      </c>
      <c r="O511" s="1" t="s">
        <v>29</v>
      </c>
      <c r="P511">
        <v>2.8</v>
      </c>
      <c r="Q511" s="1" t="s">
        <v>118</v>
      </c>
      <c r="R511" s="1" t="str">
        <f>_xlfn.CONCAT(laptop[[#This Row],[CPU_company]]," ",laptop[[#This Row],[CPU_model]])</f>
        <v>Intel Core i7 7700HQ</v>
      </c>
      <c r="S511">
        <v>256</v>
      </c>
      <c r="T511">
        <v>1024</v>
      </c>
      <c r="U511">
        <f>laptop[[#This Row],[PrimaryStorage]]+laptop[[#This Row],[SecondaryStorage]]</f>
        <v>1280</v>
      </c>
      <c r="V511" s="1" t="s">
        <v>31</v>
      </c>
      <c r="W511" s="1" t="s">
        <v>51</v>
      </c>
      <c r="X511" s="1" t="str">
        <f>IF(laptop[[#This Row],[PrimaryStorageType]]=laptop[[#This Row],[SecondaryStorageType]],laptop[[#This Row],[PrimaryStorageType]],"SSD &amp; HDD")</f>
        <v>SSD &amp; HDD</v>
      </c>
      <c r="Y511" s="1" t="s">
        <v>119</v>
      </c>
    </row>
    <row r="512" spans="1:25" x14ac:dyDescent="0.25">
      <c r="A512" s="1" t="s">
        <v>65</v>
      </c>
      <c r="B512" s="1" t="s">
        <v>77</v>
      </c>
      <c r="C512" s="1" t="s">
        <v>24</v>
      </c>
      <c r="D512">
        <v>13.3</v>
      </c>
      <c r="E512">
        <v>8</v>
      </c>
      <c r="F512" s="1" t="s">
        <v>48</v>
      </c>
      <c r="G512">
        <v>1.29</v>
      </c>
      <c r="H512">
        <v>899</v>
      </c>
      <c r="I512" s="1" t="s">
        <v>40</v>
      </c>
      <c r="J512">
        <v>1920</v>
      </c>
      <c r="K512">
        <v>1080</v>
      </c>
      <c r="L512" s="1" t="s">
        <v>28</v>
      </c>
      <c r="M512" s="1" t="s">
        <v>28</v>
      </c>
      <c r="N512" s="1" t="s">
        <v>27</v>
      </c>
      <c r="O512" s="1" t="s">
        <v>29</v>
      </c>
      <c r="P512">
        <v>2.5</v>
      </c>
      <c r="Q512" s="1" t="s">
        <v>41</v>
      </c>
      <c r="R512" s="1" t="str">
        <f>_xlfn.CONCAT(laptop[[#This Row],[CPU_company]]," ",laptop[[#This Row],[CPU_model]])</f>
        <v>Intel Core i5 7200U</v>
      </c>
      <c r="S512">
        <v>128</v>
      </c>
      <c r="T512">
        <v>0</v>
      </c>
      <c r="U512">
        <f>laptop[[#This Row],[PrimaryStorage]]+laptop[[#This Row],[SecondaryStorage]]</f>
        <v>128</v>
      </c>
      <c r="V512" s="1" t="s">
        <v>31</v>
      </c>
      <c r="W512" s="1" t="s">
        <v>27</v>
      </c>
      <c r="X512" s="1" t="str">
        <f>IF(laptop[[#This Row],[PrimaryStorageType]]=laptop[[#This Row],[SecondaryStorageType]],laptop[[#This Row],[PrimaryStorageType]],"SSD &amp; HDD")</f>
        <v>SSD &amp; HDD</v>
      </c>
      <c r="Y512" s="1" t="s">
        <v>42</v>
      </c>
    </row>
    <row r="513" spans="1:25" x14ac:dyDescent="0.25">
      <c r="A513" s="1" t="s">
        <v>46</v>
      </c>
      <c r="B513" s="1" t="s">
        <v>121</v>
      </c>
      <c r="C513" s="1" t="s">
        <v>38</v>
      </c>
      <c r="D513">
        <v>15.6</v>
      </c>
      <c r="E513">
        <v>4</v>
      </c>
      <c r="F513" s="1" t="s">
        <v>48</v>
      </c>
      <c r="G513">
        <v>2.2000000000000002</v>
      </c>
      <c r="H513">
        <v>639</v>
      </c>
      <c r="I513" s="1" t="s">
        <v>40</v>
      </c>
      <c r="J513">
        <v>1920</v>
      </c>
      <c r="K513">
        <v>1080</v>
      </c>
      <c r="L513" s="1" t="s">
        <v>27</v>
      </c>
      <c r="M513" s="1" t="s">
        <v>27</v>
      </c>
      <c r="N513" s="1" t="s">
        <v>27</v>
      </c>
      <c r="O513" s="1" t="s">
        <v>29</v>
      </c>
      <c r="P513">
        <v>2.7</v>
      </c>
      <c r="Q513" s="1" t="s">
        <v>71</v>
      </c>
      <c r="R513" s="1" t="str">
        <f>_xlfn.CONCAT(laptop[[#This Row],[CPU_company]]," ",laptop[[#This Row],[CPU_model]])</f>
        <v>Intel Core i7 7500U</v>
      </c>
      <c r="S513">
        <v>500</v>
      </c>
      <c r="T513">
        <v>0</v>
      </c>
      <c r="U513">
        <f>laptop[[#This Row],[PrimaryStorage]]+laptop[[#This Row],[SecondaryStorage]]</f>
        <v>500</v>
      </c>
      <c r="V513" s="1" t="s">
        <v>51</v>
      </c>
      <c r="W513" s="1" t="s">
        <v>27</v>
      </c>
      <c r="X513" s="1" t="str">
        <f>IF(laptop[[#This Row],[PrimaryStorageType]]=laptop[[#This Row],[SecondaryStorageType]],laptop[[#This Row],[PrimaryStorageType]],"SSD &amp; HDD")</f>
        <v>SSD &amp; HDD</v>
      </c>
      <c r="Y513" s="1" t="s">
        <v>76</v>
      </c>
    </row>
    <row r="514" spans="1:25" x14ac:dyDescent="0.25">
      <c r="A514" s="1" t="s">
        <v>65</v>
      </c>
      <c r="B514" s="1" t="s">
        <v>471</v>
      </c>
      <c r="C514" s="1" t="s">
        <v>38</v>
      </c>
      <c r="D514">
        <v>15.6</v>
      </c>
      <c r="E514">
        <v>8</v>
      </c>
      <c r="F514" s="1" t="s">
        <v>48</v>
      </c>
      <c r="G514">
        <v>2.1800000000000002</v>
      </c>
      <c r="H514">
        <v>836</v>
      </c>
      <c r="I514" s="1" t="s">
        <v>40</v>
      </c>
      <c r="J514">
        <v>1920</v>
      </c>
      <c r="K514">
        <v>1080</v>
      </c>
      <c r="L514" s="1" t="s">
        <v>27</v>
      </c>
      <c r="M514" s="1" t="s">
        <v>27</v>
      </c>
      <c r="N514" s="1" t="s">
        <v>27</v>
      </c>
      <c r="O514" s="1" t="s">
        <v>29</v>
      </c>
      <c r="P514">
        <v>2.5</v>
      </c>
      <c r="Q514" s="1" t="s">
        <v>41</v>
      </c>
      <c r="R514" s="1" t="str">
        <f>_xlfn.CONCAT(laptop[[#This Row],[CPU_company]]," ",laptop[[#This Row],[CPU_model]])</f>
        <v>Intel Core i5 7200U</v>
      </c>
      <c r="S514">
        <v>1024</v>
      </c>
      <c r="T514">
        <v>0</v>
      </c>
      <c r="U514">
        <f>laptop[[#This Row],[PrimaryStorage]]+laptop[[#This Row],[SecondaryStorage]]</f>
        <v>1024</v>
      </c>
      <c r="V514" s="1" t="s">
        <v>51</v>
      </c>
      <c r="W514" s="1" t="s">
        <v>27</v>
      </c>
      <c r="X514" s="1" t="str">
        <f>IF(laptop[[#This Row],[PrimaryStorageType]]=laptop[[#This Row],[SecondaryStorageType]],laptop[[#This Row],[PrimaryStorageType]],"SSD &amp; HDD")</f>
        <v>SSD &amp; HDD</v>
      </c>
      <c r="Y514" s="1" t="s">
        <v>42</v>
      </c>
    </row>
    <row r="515" spans="1:25" x14ac:dyDescent="0.25">
      <c r="A515" s="1" t="s">
        <v>65</v>
      </c>
      <c r="B515" s="1" t="s">
        <v>93</v>
      </c>
      <c r="C515" s="1" t="s">
        <v>38</v>
      </c>
      <c r="D515">
        <v>15.6</v>
      </c>
      <c r="E515">
        <v>16</v>
      </c>
      <c r="F515" s="1" t="s">
        <v>48</v>
      </c>
      <c r="G515">
        <v>2.2000000000000002</v>
      </c>
      <c r="H515">
        <v>1219.24</v>
      </c>
      <c r="I515" s="1" t="s">
        <v>40</v>
      </c>
      <c r="J515">
        <v>1920</v>
      </c>
      <c r="K515">
        <v>1080</v>
      </c>
      <c r="L515" s="1" t="s">
        <v>27</v>
      </c>
      <c r="M515" s="1" t="s">
        <v>27</v>
      </c>
      <c r="N515" s="1" t="s">
        <v>27</v>
      </c>
      <c r="O515" s="1" t="s">
        <v>29</v>
      </c>
      <c r="P515">
        <v>1.8</v>
      </c>
      <c r="Q515" s="1" t="s">
        <v>57</v>
      </c>
      <c r="R515" s="1" t="str">
        <f>_xlfn.CONCAT(laptop[[#This Row],[CPU_company]]," ",laptop[[#This Row],[CPU_model]])</f>
        <v>Intel Core i7 8550U</v>
      </c>
      <c r="S515">
        <v>256</v>
      </c>
      <c r="T515">
        <v>2048</v>
      </c>
      <c r="U515">
        <f>laptop[[#This Row],[PrimaryStorage]]+laptop[[#This Row],[SecondaryStorage]]</f>
        <v>2304</v>
      </c>
      <c r="V515" s="1" t="s">
        <v>31</v>
      </c>
      <c r="W515" s="1" t="s">
        <v>51</v>
      </c>
      <c r="X515" s="1" t="str">
        <f>IF(laptop[[#This Row],[PrimaryStorageType]]=laptop[[#This Row],[SecondaryStorageType]],laptop[[#This Row],[PrimaryStorageType]],"SSD &amp; HDD")</f>
        <v>SSD &amp; HDD</v>
      </c>
      <c r="Y515" s="1" t="s">
        <v>94</v>
      </c>
    </row>
    <row r="516" spans="1:25" x14ac:dyDescent="0.25">
      <c r="A516" s="1" t="s">
        <v>247</v>
      </c>
      <c r="B516" s="1" t="s">
        <v>248</v>
      </c>
      <c r="C516" s="1" t="s">
        <v>38</v>
      </c>
      <c r="D516">
        <v>15.6</v>
      </c>
      <c r="E516">
        <v>16</v>
      </c>
      <c r="F516" s="1" t="s">
        <v>39</v>
      </c>
      <c r="G516">
        <v>1.95</v>
      </c>
      <c r="H516">
        <v>1399.95</v>
      </c>
      <c r="I516" s="1" t="s">
        <v>40</v>
      </c>
      <c r="J516">
        <v>1920</v>
      </c>
      <c r="K516">
        <v>1080</v>
      </c>
      <c r="L516" s="1" t="s">
        <v>27</v>
      </c>
      <c r="M516" s="1" t="s">
        <v>28</v>
      </c>
      <c r="N516" s="1" t="s">
        <v>27</v>
      </c>
      <c r="O516" s="1" t="s">
        <v>29</v>
      </c>
      <c r="P516">
        <v>1.8</v>
      </c>
      <c r="Q516" s="1" t="s">
        <v>57</v>
      </c>
      <c r="R516" s="1" t="str">
        <f>_xlfn.CONCAT(laptop[[#This Row],[CPU_company]]," ",laptop[[#This Row],[CPU_model]])</f>
        <v>Intel Core i7 8550U</v>
      </c>
      <c r="S516">
        <v>256</v>
      </c>
      <c r="T516">
        <v>0</v>
      </c>
      <c r="U516">
        <f>laptop[[#This Row],[PrimaryStorage]]+laptop[[#This Row],[SecondaryStorage]]</f>
        <v>256</v>
      </c>
      <c r="V516" s="1" t="s">
        <v>31</v>
      </c>
      <c r="W516" s="1" t="s">
        <v>27</v>
      </c>
      <c r="X516" s="1" t="str">
        <f>IF(laptop[[#This Row],[PrimaryStorageType]]=laptop[[#This Row],[SecondaryStorageType]],laptop[[#This Row],[PrimaryStorageType]],"SSD &amp; HDD")</f>
        <v>SSD &amp; HDD</v>
      </c>
      <c r="Y516" s="1" t="s">
        <v>58</v>
      </c>
    </row>
    <row r="517" spans="1:25" x14ac:dyDescent="0.25">
      <c r="A517" s="1" t="s">
        <v>55</v>
      </c>
      <c r="B517" s="1" t="s">
        <v>472</v>
      </c>
      <c r="C517" s="1" t="s">
        <v>79</v>
      </c>
      <c r="D517">
        <v>11.6</v>
      </c>
      <c r="E517">
        <v>2</v>
      </c>
      <c r="F517" s="1" t="s">
        <v>48</v>
      </c>
      <c r="G517">
        <v>1.1000000000000001</v>
      </c>
      <c r="H517">
        <v>245</v>
      </c>
      <c r="I517" s="1" t="s">
        <v>26</v>
      </c>
      <c r="J517">
        <v>1366</v>
      </c>
      <c r="K517">
        <v>768</v>
      </c>
      <c r="L517" s="1" t="s">
        <v>27</v>
      </c>
      <c r="M517" s="1" t="s">
        <v>27</v>
      </c>
      <c r="N517" s="1" t="s">
        <v>27</v>
      </c>
      <c r="O517" s="1" t="s">
        <v>29</v>
      </c>
      <c r="P517">
        <v>1.1000000000000001</v>
      </c>
      <c r="Q517" s="1" t="s">
        <v>109</v>
      </c>
      <c r="R517" s="1" t="str">
        <f>_xlfn.CONCAT(laptop[[#This Row],[CPU_company]]," ",laptop[[#This Row],[CPU_model]])</f>
        <v>Intel Celeron Dual Core N3350</v>
      </c>
      <c r="S517">
        <v>32</v>
      </c>
      <c r="T517">
        <v>0</v>
      </c>
      <c r="U517">
        <f>laptop[[#This Row],[PrimaryStorage]]+laptop[[#This Row],[SecondaryStorage]]</f>
        <v>32</v>
      </c>
      <c r="V517" s="1" t="s">
        <v>34</v>
      </c>
      <c r="W517" s="1" t="s">
        <v>27</v>
      </c>
      <c r="X517" s="1" t="str">
        <f>IF(laptop[[#This Row],[PrimaryStorageType]]=laptop[[#This Row],[SecondaryStorageType]],laptop[[#This Row],[PrimaryStorageType]],"SSD &amp; HDD")</f>
        <v>SSD &amp; HDD</v>
      </c>
      <c r="Y517" s="1" t="s">
        <v>110</v>
      </c>
    </row>
    <row r="518" spans="1:25" x14ac:dyDescent="0.25">
      <c r="A518" s="1" t="s">
        <v>36</v>
      </c>
      <c r="B518" s="1" t="s">
        <v>473</v>
      </c>
      <c r="C518" s="1" t="s">
        <v>38</v>
      </c>
      <c r="D518">
        <v>15.6</v>
      </c>
      <c r="E518">
        <v>4</v>
      </c>
      <c r="F518" s="1" t="s">
        <v>48</v>
      </c>
      <c r="G518">
        <v>2.04</v>
      </c>
      <c r="H518">
        <v>521.47</v>
      </c>
      <c r="I518" s="1" t="s">
        <v>26</v>
      </c>
      <c r="J518">
        <v>1366</v>
      </c>
      <c r="K518">
        <v>768</v>
      </c>
      <c r="L518" s="1" t="s">
        <v>28</v>
      </c>
      <c r="M518" s="1" t="s">
        <v>27</v>
      </c>
      <c r="N518" s="1" t="s">
        <v>27</v>
      </c>
      <c r="O518" s="1" t="s">
        <v>29</v>
      </c>
      <c r="P518">
        <v>1.6</v>
      </c>
      <c r="Q518" s="1" t="s">
        <v>60</v>
      </c>
      <c r="R518" s="1" t="str">
        <f>_xlfn.CONCAT(laptop[[#This Row],[CPU_company]]," ",laptop[[#This Row],[CPU_model]])</f>
        <v>Intel Core i5 8250U</v>
      </c>
      <c r="S518">
        <v>1024</v>
      </c>
      <c r="T518">
        <v>0</v>
      </c>
      <c r="U518">
        <f>laptop[[#This Row],[PrimaryStorage]]+laptop[[#This Row],[SecondaryStorage]]</f>
        <v>1024</v>
      </c>
      <c r="V518" s="1" t="s">
        <v>51</v>
      </c>
      <c r="W518" s="1" t="s">
        <v>27</v>
      </c>
      <c r="X518" s="1" t="str">
        <f>IF(laptop[[#This Row],[PrimaryStorageType]]=laptop[[#This Row],[SecondaryStorageType]],laptop[[#This Row],[PrimaryStorageType]],"SSD &amp; HDD")</f>
        <v>SSD &amp; HDD</v>
      </c>
      <c r="Y518" s="1" t="s">
        <v>61</v>
      </c>
    </row>
    <row r="519" spans="1:25" x14ac:dyDescent="0.25">
      <c r="A519" s="1" t="s">
        <v>55</v>
      </c>
      <c r="B519" s="1" t="s">
        <v>474</v>
      </c>
      <c r="C519" s="1" t="s">
        <v>83</v>
      </c>
      <c r="D519">
        <v>15.6</v>
      </c>
      <c r="E519">
        <v>24</v>
      </c>
      <c r="F519" s="1" t="s">
        <v>48</v>
      </c>
      <c r="G519">
        <v>2.2400000000000002</v>
      </c>
      <c r="H519">
        <v>2968</v>
      </c>
      <c r="I519" s="1" t="s">
        <v>40</v>
      </c>
      <c r="J519">
        <v>1920</v>
      </c>
      <c r="K519">
        <v>1080</v>
      </c>
      <c r="L519" s="1" t="s">
        <v>27</v>
      </c>
      <c r="M519" s="1" t="s">
        <v>27</v>
      </c>
      <c r="N519" s="1" t="s">
        <v>27</v>
      </c>
      <c r="O519" s="1" t="s">
        <v>29</v>
      </c>
      <c r="P519">
        <v>2.8</v>
      </c>
      <c r="Q519" s="1" t="s">
        <v>118</v>
      </c>
      <c r="R519" s="1" t="str">
        <f>_xlfn.CONCAT(laptop[[#This Row],[CPU_company]]," ",laptop[[#This Row],[CPU_model]])</f>
        <v>Intel Core i7 7700HQ</v>
      </c>
      <c r="S519">
        <v>512</v>
      </c>
      <c r="T519">
        <v>0</v>
      </c>
      <c r="U519">
        <f>laptop[[#This Row],[PrimaryStorage]]+laptop[[#This Row],[SecondaryStorage]]</f>
        <v>512</v>
      </c>
      <c r="V519" s="1" t="s">
        <v>31</v>
      </c>
      <c r="W519" s="1" t="s">
        <v>27</v>
      </c>
      <c r="X519" s="1" t="str">
        <f>IF(laptop[[#This Row],[PrimaryStorageType]]=laptop[[#This Row],[SecondaryStorageType]],laptop[[#This Row],[PrimaryStorageType]],"SSD &amp; HDD")</f>
        <v>SSD &amp; HDD</v>
      </c>
      <c r="Y519" s="1" t="s">
        <v>475</v>
      </c>
    </row>
    <row r="520" spans="1:25" x14ac:dyDescent="0.25">
      <c r="A520" s="1" t="s">
        <v>36</v>
      </c>
      <c r="B520" s="1" t="s">
        <v>476</v>
      </c>
      <c r="C520" s="1" t="s">
        <v>38</v>
      </c>
      <c r="D520">
        <v>15.6</v>
      </c>
      <c r="E520">
        <v>8</v>
      </c>
      <c r="F520" s="1" t="s">
        <v>48</v>
      </c>
      <c r="G520">
        <v>2.04</v>
      </c>
      <c r="H520">
        <v>889</v>
      </c>
      <c r="I520" s="1" t="s">
        <v>40</v>
      </c>
      <c r="J520">
        <v>1920</v>
      </c>
      <c r="K520">
        <v>1080</v>
      </c>
      <c r="L520" s="1" t="s">
        <v>27</v>
      </c>
      <c r="M520" s="1" t="s">
        <v>27</v>
      </c>
      <c r="N520" s="1" t="s">
        <v>27</v>
      </c>
      <c r="O520" s="1" t="s">
        <v>29</v>
      </c>
      <c r="P520">
        <v>2.5</v>
      </c>
      <c r="Q520" s="1" t="s">
        <v>41</v>
      </c>
      <c r="R520" s="1" t="str">
        <f>_xlfn.CONCAT(laptop[[#This Row],[CPU_company]]," ",laptop[[#This Row],[CPU_model]])</f>
        <v>Intel Core i5 7200U</v>
      </c>
      <c r="S520">
        <v>256</v>
      </c>
      <c r="T520">
        <v>0</v>
      </c>
      <c r="U520">
        <f>laptop[[#This Row],[PrimaryStorage]]+laptop[[#This Row],[SecondaryStorage]]</f>
        <v>256</v>
      </c>
      <c r="V520" s="1" t="s">
        <v>31</v>
      </c>
      <c r="W520" s="1" t="s">
        <v>27</v>
      </c>
      <c r="X520" s="1" t="str">
        <f>IF(laptop[[#This Row],[PrimaryStorageType]]=laptop[[#This Row],[SecondaryStorageType]],laptop[[#This Row],[PrimaryStorageType]],"SSD &amp; HDD")</f>
        <v>SSD &amp; HDD</v>
      </c>
      <c r="Y520" s="1" t="s">
        <v>98</v>
      </c>
    </row>
    <row r="521" spans="1:25" x14ac:dyDescent="0.25">
      <c r="A521" s="1" t="s">
        <v>55</v>
      </c>
      <c r="B521" s="1" t="s">
        <v>477</v>
      </c>
      <c r="C521" s="1" t="s">
        <v>83</v>
      </c>
      <c r="D521">
        <v>17.3</v>
      </c>
      <c r="E521">
        <v>16</v>
      </c>
      <c r="F521" s="1" t="s">
        <v>48</v>
      </c>
      <c r="G521">
        <v>3</v>
      </c>
      <c r="H521">
        <v>1504</v>
      </c>
      <c r="I521" s="1" t="s">
        <v>40</v>
      </c>
      <c r="J521">
        <v>1920</v>
      </c>
      <c r="K521">
        <v>1080</v>
      </c>
      <c r="L521" s="1" t="s">
        <v>27</v>
      </c>
      <c r="M521" s="1" t="s">
        <v>27</v>
      </c>
      <c r="N521" s="1" t="s">
        <v>27</v>
      </c>
      <c r="O521" s="1" t="s">
        <v>29</v>
      </c>
      <c r="P521">
        <v>2.8</v>
      </c>
      <c r="Q521" s="1" t="s">
        <v>118</v>
      </c>
      <c r="R521" s="1" t="str">
        <f>_xlfn.CONCAT(laptop[[#This Row],[CPU_company]]," ",laptop[[#This Row],[CPU_model]])</f>
        <v>Intel Core i7 7700HQ</v>
      </c>
      <c r="S521">
        <v>256</v>
      </c>
      <c r="T521">
        <v>1024</v>
      </c>
      <c r="U521">
        <f>laptop[[#This Row],[PrimaryStorage]]+laptop[[#This Row],[SecondaryStorage]]</f>
        <v>1280</v>
      </c>
      <c r="V521" s="1" t="s">
        <v>31</v>
      </c>
      <c r="W521" s="1" t="s">
        <v>51</v>
      </c>
      <c r="X521" s="1" t="str">
        <f>IF(laptop[[#This Row],[PrimaryStorageType]]=laptop[[#This Row],[SecondaryStorageType]],laptop[[#This Row],[PrimaryStorageType]],"SSD &amp; HDD")</f>
        <v>SSD &amp; HDD</v>
      </c>
      <c r="Y521" s="1" t="s">
        <v>478</v>
      </c>
    </row>
    <row r="522" spans="1:25" x14ac:dyDescent="0.25">
      <c r="A522" s="1" t="s">
        <v>73</v>
      </c>
      <c r="B522" s="1" t="s">
        <v>263</v>
      </c>
      <c r="C522" s="1" t="s">
        <v>83</v>
      </c>
      <c r="D522">
        <v>15.6</v>
      </c>
      <c r="E522">
        <v>8</v>
      </c>
      <c r="F522" s="1" t="s">
        <v>48</v>
      </c>
      <c r="G522">
        <v>3.2</v>
      </c>
      <c r="H522">
        <v>1399</v>
      </c>
      <c r="I522" s="1" t="s">
        <v>40</v>
      </c>
      <c r="J522">
        <v>1920</v>
      </c>
      <c r="K522">
        <v>1080</v>
      </c>
      <c r="L522" s="1" t="s">
        <v>27</v>
      </c>
      <c r="M522" s="1" t="s">
        <v>28</v>
      </c>
      <c r="N522" s="1" t="s">
        <v>27</v>
      </c>
      <c r="O522" s="1" t="s">
        <v>29</v>
      </c>
      <c r="P522">
        <v>2.8</v>
      </c>
      <c r="Q522" s="1" t="s">
        <v>118</v>
      </c>
      <c r="R522" s="1" t="str">
        <f>_xlfn.CONCAT(laptop[[#This Row],[CPU_company]]," ",laptop[[#This Row],[CPU_model]])</f>
        <v>Intel Core i7 7700HQ</v>
      </c>
      <c r="S522">
        <v>256</v>
      </c>
      <c r="T522">
        <v>1024</v>
      </c>
      <c r="U522">
        <f>laptop[[#This Row],[PrimaryStorage]]+laptop[[#This Row],[SecondaryStorage]]</f>
        <v>1280</v>
      </c>
      <c r="V522" s="1" t="s">
        <v>31</v>
      </c>
      <c r="W522" s="1" t="s">
        <v>51</v>
      </c>
      <c r="X522" s="1" t="str">
        <f>IF(laptop[[#This Row],[PrimaryStorageType]]=laptop[[#This Row],[SecondaryStorageType]],laptop[[#This Row],[PrimaryStorageType]],"SSD &amp; HDD")</f>
        <v>SSD &amp; HDD</v>
      </c>
      <c r="Y522" s="1" t="s">
        <v>119</v>
      </c>
    </row>
    <row r="523" spans="1:25" x14ac:dyDescent="0.25">
      <c r="A523" s="1" t="s">
        <v>36</v>
      </c>
      <c r="B523" s="1" t="s">
        <v>479</v>
      </c>
      <c r="C523" s="1" t="s">
        <v>24</v>
      </c>
      <c r="D523">
        <v>13.3</v>
      </c>
      <c r="E523">
        <v>8</v>
      </c>
      <c r="F523" s="1" t="s">
        <v>48</v>
      </c>
      <c r="G523">
        <v>1.32</v>
      </c>
      <c r="H523">
        <v>1399</v>
      </c>
      <c r="I523" s="1" t="s">
        <v>40</v>
      </c>
      <c r="J523">
        <v>1920</v>
      </c>
      <c r="K523">
        <v>1080</v>
      </c>
      <c r="L523" s="1" t="s">
        <v>27</v>
      </c>
      <c r="M523" s="1" t="s">
        <v>28</v>
      </c>
      <c r="N523" s="1" t="s">
        <v>27</v>
      </c>
      <c r="O523" s="1" t="s">
        <v>29</v>
      </c>
      <c r="P523">
        <v>2.7</v>
      </c>
      <c r="Q523" s="1" t="s">
        <v>71</v>
      </c>
      <c r="R523" s="1" t="str">
        <f>_xlfn.CONCAT(laptop[[#This Row],[CPU_company]]," ",laptop[[#This Row],[CPU_model]])</f>
        <v>Intel Core i7 7500U</v>
      </c>
      <c r="S523">
        <v>256</v>
      </c>
      <c r="T523">
        <v>0</v>
      </c>
      <c r="U523">
        <f>laptop[[#This Row],[PrimaryStorage]]+laptop[[#This Row],[SecondaryStorage]]</f>
        <v>256</v>
      </c>
      <c r="V523" s="1" t="s">
        <v>31</v>
      </c>
      <c r="W523" s="1" t="s">
        <v>27</v>
      </c>
      <c r="X523" s="1" t="str">
        <f>IF(laptop[[#This Row],[PrimaryStorageType]]=laptop[[#This Row],[SecondaryStorageType]],laptop[[#This Row],[PrimaryStorageType]],"SSD &amp; HDD")</f>
        <v>SSD &amp; HDD</v>
      </c>
      <c r="Y523" s="1" t="s">
        <v>42</v>
      </c>
    </row>
    <row r="524" spans="1:25" x14ac:dyDescent="0.25">
      <c r="A524" s="1" t="s">
        <v>65</v>
      </c>
      <c r="B524" s="1" t="s">
        <v>409</v>
      </c>
      <c r="C524" s="1" t="s">
        <v>38</v>
      </c>
      <c r="D524">
        <v>14</v>
      </c>
      <c r="E524">
        <v>8</v>
      </c>
      <c r="F524" s="1" t="s">
        <v>48</v>
      </c>
      <c r="G524">
        <v>1.64</v>
      </c>
      <c r="H524">
        <v>1279.73</v>
      </c>
      <c r="I524" s="1" t="s">
        <v>40</v>
      </c>
      <c r="J524">
        <v>1920</v>
      </c>
      <c r="K524">
        <v>1080</v>
      </c>
      <c r="L524" s="1" t="s">
        <v>27</v>
      </c>
      <c r="M524" s="1" t="s">
        <v>27</v>
      </c>
      <c r="N524" s="1" t="s">
        <v>27</v>
      </c>
      <c r="O524" s="1" t="s">
        <v>29</v>
      </c>
      <c r="P524">
        <v>2.6</v>
      </c>
      <c r="Q524" s="1" t="s">
        <v>358</v>
      </c>
      <c r="R524" s="1" t="str">
        <f>_xlfn.CONCAT(laptop[[#This Row],[CPU_company]]," ",laptop[[#This Row],[CPU_model]])</f>
        <v>Intel Core i5 7300U</v>
      </c>
      <c r="S524">
        <v>256</v>
      </c>
      <c r="T524">
        <v>0</v>
      </c>
      <c r="U524">
        <f>laptop[[#This Row],[PrimaryStorage]]+laptop[[#This Row],[SecondaryStorage]]</f>
        <v>256</v>
      </c>
      <c r="V524" s="1" t="s">
        <v>31</v>
      </c>
      <c r="W524" s="1" t="s">
        <v>27</v>
      </c>
      <c r="X524" s="1" t="str">
        <f>IF(laptop[[#This Row],[PrimaryStorageType]]=laptop[[#This Row],[SecondaryStorageType]],laptop[[#This Row],[PrimaryStorageType]],"SSD &amp; HDD")</f>
        <v>SSD &amp; HDD</v>
      </c>
      <c r="Y524" s="1" t="s">
        <v>42</v>
      </c>
    </row>
    <row r="525" spans="1:25" x14ac:dyDescent="0.25">
      <c r="A525" s="1" t="s">
        <v>36</v>
      </c>
      <c r="B525" s="1" t="s">
        <v>164</v>
      </c>
      <c r="C525" s="1" t="s">
        <v>38</v>
      </c>
      <c r="D525">
        <v>15.6</v>
      </c>
      <c r="E525">
        <v>4</v>
      </c>
      <c r="F525" s="1" t="s">
        <v>48</v>
      </c>
      <c r="G525">
        <v>1.63</v>
      </c>
      <c r="H525">
        <v>689</v>
      </c>
      <c r="I525" s="1" t="s">
        <v>26</v>
      </c>
      <c r="J525">
        <v>1366</v>
      </c>
      <c r="K525">
        <v>768</v>
      </c>
      <c r="L525" s="1" t="s">
        <v>27</v>
      </c>
      <c r="M525" s="1" t="s">
        <v>27</v>
      </c>
      <c r="N525" s="1" t="s">
        <v>27</v>
      </c>
      <c r="O525" s="1" t="s">
        <v>29</v>
      </c>
      <c r="P525">
        <v>2</v>
      </c>
      <c r="Q525" s="1" t="s">
        <v>62</v>
      </c>
      <c r="R525" s="1" t="str">
        <f>_xlfn.CONCAT(laptop[[#This Row],[CPU_company]]," ",laptop[[#This Row],[CPU_model]])</f>
        <v>Intel Core i3 6006U</v>
      </c>
      <c r="S525">
        <v>128</v>
      </c>
      <c r="T525">
        <v>0</v>
      </c>
      <c r="U525">
        <f>laptop[[#This Row],[PrimaryStorage]]+laptop[[#This Row],[SecondaryStorage]]</f>
        <v>128</v>
      </c>
      <c r="V525" s="1" t="s">
        <v>31</v>
      </c>
      <c r="W525" s="1" t="s">
        <v>27</v>
      </c>
      <c r="X525" s="1" t="str">
        <f>IF(laptop[[#This Row],[PrimaryStorageType]]=laptop[[#This Row],[SecondaryStorageType]],laptop[[#This Row],[PrimaryStorageType]],"SSD &amp; HDD")</f>
        <v>SSD &amp; HDD</v>
      </c>
      <c r="Y525" s="1" t="s">
        <v>63</v>
      </c>
    </row>
    <row r="526" spans="1:25" x14ac:dyDescent="0.25">
      <c r="A526" s="1" t="s">
        <v>65</v>
      </c>
      <c r="B526" s="1" t="s">
        <v>113</v>
      </c>
      <c r="C526" s="1" t="s">
        <v>38</v>
      </c>
      <c r="D526">
        <v>17.3</v>
      </c>
      <c r="E526">
        <v>8</v>
      </c>
      <c r="F526" s="1" t="s">
        <v>111</v>
      </c>
      <c r="G526">
        <v>2.8</v>
      </c>
      <c r="H526">
        <v>889</v>
      </c>
      <c r="I526" s="1" t="s">
        <v>40</v>
      </c>
      <c r="J526">
        <v>1920</v>
      </c>
      <c r="K526">
        <v>1080</v>
      </c>
      <c r="L526" s="1" t="s">
        <v>27</v>
      </c>
      <c r="M526" s="1" t="s">
        <v>28</v>
      </c>
      <c r="N526" s="1" t="s">
        <v>27</v>
      </c>
      <c r="O526" s="1" t="s">
        <v>29</v>
      </c>
      <c r="P526">
        <v>1.6</v>
      </c>
      <c r="Q526" s="1" t="s">
        <v>60</v>
      </c>
      <c r="R526" s="1" t="str">
        <f>_xlfn.CONCAT(laptop[[#This Row],[CPU_company]]," ",laptop[[#This Row],[CPU_model]])</f>
        <v>Intel Core i5 8250U</v>
      </c>
      <c r="S526">
        <v>128</v>
      </c>
      <c r="T526">
        <v>1024</v>
      </c>
      <c r="U526">
        <f>laptop[[#This Row],[PrimaryStorage]]+laptop[[#This Row],[SecondaryStorage]]</f>
        <v>1152</v>
      </c>
      <c r="V526" s="1" t="s">
        <v>31</v>
      </c>
      <c r="W526" s="1" t="s">
        <v>51</v>
      </c>
      <c r="X526" s="1" t="str">
        <f>IF(laptop[[#This Row],[PrimaryStorageType]]=laptop[[#This Row],[SecondaryStorageType]],laptop[[#This Row],[PrimaryStorageType]],"SSD &amp; HDD")</f>
        <v>SSD &amp; HDD</v>
      </c>
      <c r="Y526" s="1" t="s">
        <v>94</v>
      </c>
    </row>
    <row r="527" spans="1:25" x14ac:dyDescent="0.25">
      <c r="A527" s="1" t="s">
        <v>73</v>
      </c>
      <c r="B527" s="1" t="s">
        <v>394</v>
      </c>
      <c r="C527" s="1" t="s">
        <v>38</v>
      </c>
      <c r="D527">
        <v>14</v>
      </c>
      <c r="E527">
        <v>8</v>
      </c>
      <c r="F527" s="1" t="s">
        <v>480</v>
      </c>
      <c r="G527">
        <v>2.02</v>
      </c>
      <c r="H527">
        <v>1340</v>
      </c>
      <c r="I527" s="1" t="s">
        <v>40</v>
      </c>
      <c r="J527">
        <v>1920</v>
      </c>
      <c r="K527">
        <v>1080</v>
      </c>
      <c r="L527" s="1" t="s">
        <v>27</v>
      </c>
      <c r="M527" s="1" t="s">
        <v>27</v>
      </c>
      <c r="N527" s="1" t="s">
        <v>27</v>
      </c>
      <c r="O527" s="1" t="s">
        <v>29</v>
      </c>
      <c r="P527">
        <v>2.2999999999999998</v>
      </c>
      <c r="Q527" s="1" t="s">
        <v>212</v>
      </c>
      <c r="R527" s="1" t="str">
        <f>_xlfn.CONCAT(laptop[[#This Row],[CPU_company]]," ",laptop[[#This Row],[CPU_model]])</f>
        <v>Intel Core i5 6200U</v>
      </c>
      <c r="S527">
        <v>256</v>
      </c>
      <c r="T527">
        <v>0</v>
      </c>
      <c r="U527">
        <f>laptop[[#This Row],[PrimaryStorage]]+laptop[[#This Row],[SecondaryStorage]]</f>
        <v>256</v>
      </c>
      <c r="V527" s="1" t="s">
        <v>31</v>
      </c>
      <c r="W527" s="1" t="s">
        <v>27</v>
      </c>
      <c r="X527" s="1" t="str">
        <f>IF(laptop[[#This Row],[PrimaryStorageType]]=laptop[[#This Row],[SecondaryStorageType]],laptop[[#This Row],[PrimaryStorageType]],"SSD &amp; HDD")</f>
        <v>SSD &amp; HDD</v>
      </c>
      <c r="Y527" s="1" t="s">
        <v>63</v>
      </c>
    </row>
    <row r="528" spans="1:25" x14ac:dyDescent="0.25">
      <c r="A528" s="1" t="s">
        <v>73</v>
      </c>
      <c r="B528" s="1" t="s">
        <v>74</v>
      </c>
      <c r="C528" s="1" t="s">
        <v>38</v>
      </c>
      <c r="D528">
        <v>15.6</v>
      </c>
      <c r="E528">
        <v>4</v>
      </c>
      <c r="F528" s="1" t="s">
        <v>48</v>
      </c>
      <c r="G528">
        <v>2.2000000000000002</v>
      </c>
      <c r="H528">
        <v>799</v>
      </c>
      <c r="I528" s="1" t="s">
        <v>40</v>
      </c>
      <c r="J528">
        <v>1920</v>
      </c>
      <c r="K528">
        <v>1080</v>
      </c>
      <c r="L528" s="1" t="s">
        <v>27</v>
      </c>
      <c r="M528" s="1" t="s">
        <v>27</v>
      </c>
      <c r="N528" s="1" t="s">
        <v>27</v>
      </c>
      <c r="O528" s="1" t="s">
        <v>29</v>
      </c>
      <c r="P528">
        <v>2.7</v>
      </c>
      <c r="Q528" s="1" t="s">
        <v>71</v>
      </c>
      <c r="R528" s="1" t="str">
        <f>_xlfn.CONCAT(laptop[[#This Row],[CPU_company]]," ",laptop[[#This Row],[CPU_model]])</f>
        <v>Intel Core i7 7500U</v>
      </c>
      <c r="S528">
        <v>1024</v>
      </c>
      <c r="T528">
        <v>0</v>
      </c>
      <c r="U528">
        <f>laptop[[#This Row],[PrimaryStorage]]+laptop[[#This Row],[SecondaryStorage]]</f>
        <v>1024</v>
      </c>
      <c r="V528" s="1" t="s">
        <v>51</v>
      </c>
      <c r="W528" s="1" t="s">
        <v>27</v>
      </c>
      <c r="X528" s="1" t="str">
        <f>IF(laptop[[#This Row],[PrimaryStorageType]]=laptop[[#This Row],[SecondaryStorageType]],laptop[[#This Row],[PrimaryStorageType]],"SSD &amp; HDD")</f>
        <v>SSD &amp; HDD</v>
      </c>
      <c r="Y528" s="1" t="s">
        <v>131</v>
      </c>
    </row>
    <row r="529" spans="1:25" x14ac:dyDescent="0.25">
      <c r="A529" s="1" t="s">
        <v>73</v>
      </c>
      <c r="B529" s="1" t="s">
        <v>125</v>
      </c>
      <c r="C529" s="1" t="s">
        <v>38</v>
      </c>
      <c r="D529">
        <v>15.6</v>
      </c>
      <c r="E529">
        <v>8</v>
      </c>
      <c r="F529" s="1" t="s">
        <v>39</v>
      </c>
      <c r="G529">
        <v>2.2000000000000002</v>
      </c>
      <c r="H529">
        <v>459</v>
      </c>
      <c r="I529" s="1" t="s">
        <v>26</v>
      </c>
      <c r="J529">
        <v>1366</v>
      </c>
      <c r="K529">
        <v>768</v>
      </c>
      <c r="L529" s="1" t="s">
        <v>27</v>
      </c>
      <c r="M529" s="1" t="s">
        <v>27</v>
      </c>
      <c r="N529" s="1" t="s">
        <v>27</v>
      </c>
      <c r="O529" s="1" t="s">
        <v>29</v>
      </c>
      <c r="P529">
        <v>2</v>
      </c>
      <c r="Q529" s="1" t="s">
        <v>62</v>
      </c>
      <c r="R529" s="1" t="str">
        <f>_xlfn.CONCAT(laptop[[#This Row],[CPU_company]]," ",laptop[[#This Row],[CPU_model]])</f>
        <v>Intel Core i3 6006U</v>
      </c>
      <c r="S529">
        <v>2048</v>
      </c>
      <c r="T529">
        <v>0</v>
      </c>
      <c r="U529">
        <f>laptop[[#This Row],[PrimaryStorage]]+laptop[[#This Row],[SecondaryStorage]]</f>
        <v>2048</v>
      </c>
      <c r="V529" s="1" t="s">
        <v>51</v>
      </c>
      <c r="W529" s="1" t="s">
        <v>27</v>
      </c>
      <c r="X529" s="1" t="str">
        <f>IF(laptop[[#This Row],[PrimaryStorageType]]=laptop[[#This Row],[SecondaryStorageType]],laptop[[#This Row],[PrimaryStorageType]],"SSD &amp; HDD")</f>
        <v>SSD &amp; HDD</v>
      </c>
      <c r="Y529" s="1" t="s">
        <v>277</v>
      </c>
    </row>
    <row r="530" spans="1:25" x14ac:dyDescent="0.25">
      <c r="A530" s="1" t="s">
        <v>65</v>
      </c>
      <c r="B530" s="1" t="s">
        <v>66</v>
      </c>
      <c r="C530" s="1" t="s">
        <v>38</v>
      </c>
      <c r="D530">
        <v>15.6</v>
      </c>
      <c r="E530">
        <v>4</v>
      </c>
      <c r="F530" s="1" t="s">
        <v>48</v>
      </c>
      <c r="G530">
        <v>2.2999999999999998</v>
      </c>
      <c r="H530">
        <v>585</v>
      </c>
      <c r="I530" s="1" t="s">
        <v>40</v>
      </c>
      <c r="J530">
        <v>1920</v>
      </c>
      <c r="K530">
        <v>1080</v>
      </c>
      <c r="L530" s="1" t="s">
        <v>27</v>
      </c>
      <c r="M530" s="1" t="s">
        <v>27</v>
      </c>
      <c r="N530" s="1" t="s">
        <v>27</v>
      </c>
      <c r="O530" s="1" t="s">
        <v>29</v>
      </c>
      <c r="P530">
        <v>2.5</v>
      </c>
      <c r="Q530" s="1" t="s">
        <v>41</v>
      </c>
      <c r="R530" s="1" t="str">
        <f>_xlfn.CONCAT(laptop[[#This Row],[CPU_company]]," ",laptop[[#This Row],[CPU_model]])</f>
        <v>Intel Core i5 7200U</v>
      </c>
      <c r="S530">
        <v>500</v>
      </c>
      <c r="T530">
        <v>0</v>
      </c>
      <c r="U530">
        <f>laptop[[#This Row],[PrimaryStorage]]+laptop[[#This Row],[SecondaryStorage]]</f>
        <v>500</v>
      </c>
      <c r="V530" s="1" t="s">
        <v>51</v>
      </c>
      <c r="W530" s="1" t="s">
        <v>27</v>
      </c>
      <c r="X530" s="1" t="str">
        <f>IF(laptop[[#This Row],[PrimaryStorageType]]=laptop[[#This Row],[SecondaryStorageType]],laptop[[#This Row],[PrimaryStorageType]],"SSD &amp; HDD")</f>
        <v>SSD &amp; HDD</v>
      </c>
      <c r="Y530" s="1" t="s">
        <v>67</v>
      </c>
    </row>
    <row r="531" spans="1:25" x14ac:dyDescent="0.25">
      <c r="A531" s="1" t="s">
        <v>65</v>
      </c>
      <c r="B531" s="1" t="s">
        <v>481</v>
      </c>
      <c r="C531" s="1" t="s">
        <v>38</v>
      </c>
      <c r="D531">
        <v>15.6</v>
      </c>
      <c r="E531">
        <v>8</v>
      </c>
      <c r="F531" s="1" t="s">
        <v>48</v>
      </c>
      <c r="G531">
        <v>1.9</v>
      </c>
      <c r="H531">
        <v>1377</v>
      </c>
      <c r="I531" s="1" t="s">
        <v>40</v>
      </c>
      <c r="J531">
        <v>1920</v>
      </c>
      <c r="K531">
        <v>1080</v>
      </c>
      <c r="L531" s="1" t="s">
        <v>27</v>
      </c>
      <c r="M531" s="1" t="s">
        <v>27</v>
      </c>
      <c r="N531" s="1" t="s">
        <v>27</v>
      </c>
      <c r="O531" s="1" t="s">
        <v>29</v>
      </c>
      <c r="P531">
        <v>2.8</v>
      </c>
      <c r="Q531" s="1" t="s">
        <v>428</v>
      </c>
      <c r="R531" s="1" t="str">
        <f>_xlfn.CONCAT(laptop[[#This Row],[CPU_company]]," ",laptop[[#This Row],[CPU_model]])</f>
        <v>Intel Core i5 7440HQ</v>
      </c>
      <c r="S531">
        <v>256</v>
      </c>
      <c r="T531">
        <v>0</v>
      </c>
      <c r="U531">
        <f>laptop[[#This Row],[PrimaryStorage]]+laptop[[#This Row],[SecondaryStorage]]</f>
        <v>256</v>
      </c>
      <c r="V531" s="1" t="s">
        <v>31</v>
      </c>
      <c r="W531" s="1" t="s">
        <v>27</v>
      </c>
      <c r="X531" s="1" t="str">
        <f>IF(laptop[[#This Row],[PrimaryStorageType]]=laptop[[#This Row],[SecondaryStorageType]],laptop[[#This Row],[PrimaryStorageType]],"SSD &amp; HDD")</f>
        <v>SSD &amp; HDD</v>
      </c>
      <c r="Y531" s="1" t="s">
        <v>42</v>
      </c>
    </row>
    <row r="532" spans="1:25" x14ac:dyDescent="0.25">
      <c r="A532" s="1" t="s">
        <v>65</v>
      </c>
      <c r="B532" s="1" t="s">
        <v>275</v>
      </c>
      <c r="C532" s="1" t="s">
        <v>83</v>
      </c>
      <c r="D532">
        <v>17.3</v>
      </c>
      <c r="E532">
        <v>16</v>
      </c>
      <c r="F532" s="1" t="s">
        <v>48</v>
      </c>
      <c r="G532">
        <v>4.42</v>
      </c>
      <c r="H532">
        <v>3012.77</v>
      </c>
      <c r="I532" s="1" t="s">
        <v>40</v>
      </c>
      <c r="J532">
        <v>1920</v>
      </c>
      <c r="K532">
        <v>1080</v>
      </c>
      <c r="L532" s="1" t="s">
        <v>27</v>
      </c>
      <c r="M532" s="1" t="s">
        <v>28</v>
      </c>
      <c r="N532" s="1" t="s">
        <v>27</v>
      </c>
      <c r="O532" s="1" t="s">
        <v>29</v>
      </c>
      <c r="P532">
        <v>2.8</v>
      </c>
      <c r="Q532" s="1" t="s">
        <v>118</v>
      </c>
      <c r="R532" s="1" t="str">
        <f>_xlfn.CONCAT(laptop[[#This Row],[CPU_company]]," ",laptop[[#This Row],[CPU_model]])</f>
        <v>Intel Core i7 7700HQ</v>
      </c>
      <c r="S532">
        <v>128</v>
      </c>
      <c r="T532">
        <v>1024</v>
      </c>
      <c r="U532">
        <f>laptop[[#This Row],[PrimaryStorage]]+laptop[[#This Row],[SecondaryStorage]]</f>
        <v>1152</v>
      </c>
      <c r="V532" s="1" t="s">
        <v>31</v>
      </c>
      <c r="W532" s="1" t="s">
        <v>51</v>
      </c>
      <c r="X532" s="1" t="str">
        <f>IF(laptop[[#This Row],[PrimaryStorageType]]=laptop[[#This Row],[SecondaryStorageType]],laptop[[#This Row],[PrimaryStorageType]],"SSD &amp; HDD")</f>
        <v>SSD &amp; HDD</v>
      </c>
      <c r="Y532" s="1" t="s">
        <v>143</v>
      </c>
    </row>
    <row r="533" spans="1:25" x14ac:dyDescent="0.25">
      <c r="A533" s="1" t="s">
        <v>210</v>
      </c>
      <c r="B533" s="1" t="s">
        <v>211</v>
      </c>
      <c r="C533" s="1" t="s">
        <v>38</v>
      </c>
      <c r="D533">
        <v>15.6</v>
      </c>
      <c r="E533">
        <v>8</v>
      </c>
      <c r="F533" s="1" t="s">
        <v>48</v>
      </c>
      <c r="G533">
        <v>2</v>
      </c>
      <c r="H533">
        <v>860</v>
      </c>
      <c r="I533" s="1" t="s">
        <v>40</v>
      </c>
      <c r="J533">
        <v>1920</v>
      </c>
      <c r="K533">
        <v>1080</v>
      </c>
      <c r="L533" s="1" t="s">
        <v>27</v>
      </c>
      <c r="M533" s="1" t="s">
        <v>28</v>
      </c>
      <c r="N533" s="1" t="s">
        <v>27</v>
      </c>
      <c r="O533" s="1" t="s">
        <v>29</v>
      </c>
      <c r="P533">
        <v>2.5</v>
      </c>
      <c r="Q533" s="1" t="s">
        <v>41</v>
      </c>
      <c r="R533" s="1" t="str">
        <f>_xlfn.CONCAT(laptop[[#This Row],[CPU_company]]," ",laptop[[#This Row],[CPU_model]])</f>
        <v>Intel Core i5 7200U</v>
      </c>
      <c r="S533">
        <v>500</v>
      </c>
      <c r="T533">
        <v>0</v>
      </c>
      <c r="U533">
        <f>laptop[[#This Row],[PrimaryStorage]]+laptop[[#This Row],[SecondaryStorage]]</f>
        <v>500</v>
      </c>
      <c r="V533" s="1" t="s">
        <v>51</v>
      </c>
      <c r="W533" s="1" t="s">
        <v>27</v>
      </c>
      <c r="X533" s="1" t="str">
        <f>IF(laptop[[#This Row],[PrimaryStorageType]]=laptop[[#This Row],[SecondaryStorageType]],laptop[[#This Row],[PrimaryStorageType]],"SSD &amp; HDD")</f>
        <v>SSD &amp; HDD</v>
      </c>
      <c r="Y533" s="1" t="s">
        <v>42</v>
      </c>
    </row>
    <row r="534" spans="1:25" x14ac:dyDescent="0.25">
      <c r="A534" s="1" t="s">
        <v>55</v>
      </c>
      <c r="B534" s="1" t="s">
        <v>482</v>
      </c>
      <c r="C534" s="1" t="s">
        <v>38</v>
      </c>
      <c r="D534">
        <v>15.6</v>
      </c>
      <c r="E534">
        <v>8</v>
      </c>
      <c r="F534" s="1" t="s">
        <v>48</v>
      </c>
      <c r="G534">
        <v>2</v>
      </c>
      <c r="H534">
        <v>1299</v>
      </c>
      <c r="I534" s="1" t="s">
        <v>215</v>
      </c>
      <c r="J534">
        <v>3840</v>
      </c>
      <c r="K534">
        <v>2160</v>
      </c>
      <c r="L534" s="1" t="s">
        <v>27</v>
      </c>
      <c r="M534" s="1" t="s">
        <v>28</v>
      </c>
      <c r="N534" s="1" t="s">
        <v>27</v>
      </c>
      <c r="O534" s="1" t="s">
        <v>29</v>
      </c>
      <c r="P534">
        <v>2.7</v>
      </c>
      <c r="Q534" s="1" t="s">
        <v>71</v>
      </c>
      <c r="R534" s="1" t="str">
        <f>_xlfn.CONCAT(laptop[[#This Row],[CPU_company]]," ",laptop[[#This Row],[CPU_model]])</f>
        <v>Intel Core i7 7500U</v>
      </c>
      <c r="S534">
        <v>256</v>
      </c>
      <c r="T534">
        <v>1024</v>
      </c>
      <c r="U534">
        <f>laptop[[#This Row],[PrimaryStorage]]+laptop[[#This Row],[SecondaryStorage]]</f>
        <v>1280</v>
      </c>
      <c r="V534" s="1" t="s">
        <v>31</v>
      </c>
      <c r="W534" s="1" t="s">
        <v>51</v>
      </c>
      <c r="X534" s="1" t="str">
        <f>IF(laptop[[#This Row],[PrimaryStorageType]]=laptop[[#This Row],[SecondaryStorageType]],laptop[[#This Row],[PrimaryStorageType]],"SSD &amp; HDD")</f>
        <v>SSD &amp; HDD</v>
      </c>
      <c r="Y534" s="1" t="s">
        <v>483</v>
      </c>
    </row>
    <row r="535" spans="1:25" x14ac:dyDescent="0.25">
      <c r="A535" s="1" t="s">
        <v>411</v>
      </c>
      <c r="B535" s="1" t="s">
        <v>484</v>
      </c>
      <c r="C535" s="1" t="s">
        <v>38</v>
      </c>
      <c r="D535">
        <v>13.3</v>
      </c>
      <c r="E535">
        <v>4</v>
      </c>
      <c r="F535" s="1" t="s">
        <v>48</v>
      </c>
      <c r="G535">
        <v>1.2</v>
      </c>
      <c r="H535">
        <v>369</v>
      </c>
      <c r="I535" s="1" t="s">
        <v>40</v>
      </c>
      <c r="J535">
        <v>1920</v>
      </c>
      <c r="K535">
        <v>1080</v>
      </c>
      <c r="L535" s="1" t="s">
        <v>27</v>
      </c>
      <c r="M535" s="1" t="s">
        <v>28</v>
      </c>
      <c r="N535" s="1" t="s">
        <v>27</v>
      </c>
      <c r="O535" s="1" t="s">
        <v>29</v>
      </c>
      <c r="P535">
        <v>1.1000000000000001</v>
      </c>
      <c r="Q535" s="1" t="s">
        <v>375</v>
      </c>
      <c r="R535" s="1" t="str">
        <f>_xlfn.CONCAT(laptop[[#This Row],[CPU_company]]," ",laptop[[#This Row],[CPU_model]])</f>
        <v>Intel Celeron Quad Core N3450</v>
      </c>
      <c r="S535">
        <v>32</v>
      </c>
      <c r="T535">
        <v>0</v>
      </c>
      <c r="U535">
        <f>laptop[[#This Row],[PrimaryStorage]]+laptop[[#This Row],[SecondaryStorage]]</f>
        <v>32</v>
      </c>
      <c r="V535" s="1" t="s">
        <v>31</v>
      </c>
      <c r="W535" s="1" t="s">
        <v>27</v>
      </c>
      <c r="X535" s="1" t="str">
        <f>IF(laptop[[#This Row],[PrimaryStorageType]]=laptop[[#This Row],[SecondaryStorageType]],laptop[[#This Row],[PrimaryStorageType]],"SSD &amp; HDD")</f>
        <v>SSD &amp; HDD</v>
      </c>
      <c r="Y535" s="1" t="s">
        <v>110</v>
      </c>
    </row>
    <row r="536" spans="1:25" x14ac:dyDescent="0.25">
      <c r="A536" s="1" t="s">
        <v>55</v>
      </c>
      <c r="B536" s="1" t="s">
        <v>379</v>
      </c>
      <c r="C536" s="1" t="s">
        <v>83</v>
      </c>
      <c r="D536">
        <v>15.6</v>
      </c>
      <c r="E536">
        <v>8</v>
      </c>
      <c r="F536" s="1" t="s">
        <v>48</v>
      </c>
      <c r="G536">
        <v>2.2999999999999998</v>
      </c>
      <c r="H536">
        <v>1649</v>
      </c>
      <c r="I536" s="1" t="s">
        <v>40</v>
      </c>
      <c r="J536">
        <v>1920</v>
      </c>
      <c r="K536">
        <v>1080</v>
      </c>
      <c r="L536" s="1" t="s">
        <v>27</v>
      </c>
      <c r="M536" s="1" t="s">
        <v>28</v>
      </c>
      <c r="N536" s="1" t="s">
        <v>27</v>
      </c>
      <c r="O536" s="1" t="s">
        <v>29</v>
      </c>
      <c r="P536">
        <v>2.5</v>
      </c>
      <c r="Q536" s="1" t="s">
        <v>84</v>
      </c>
      <c r="R536" s="1" t="str">
        <f>_xlfn.CONCAT(laptop[[#This Row],[CPU_company]]," ",laptop[[#This Row],[CPU_model]])</f>
        <v>Intel Core i5 7300HQ</v>
      </c>
      <c r="S536">
        <v>128</v>
      </c>
      <c r="T536">
        <v>1024</v>
      </c>
      <c r="U536">
        <f>laptop[[#This Row],[PrimaryStorage]]+laptop[[#This Row],[SecondaryStorage]]</f>
        <v>1152</v>
      </c>
      <c r="V536" s="1" t="s">
        <v>31</v>
      </c>
      <c r="W536" s="1" t="s">
        <v>51</v>
      </c>
      <c r="X536" s="1" t="str">
        <f>IF(laptop[[#This Row],[PrimaryStorageType]]=laptop[[#This Row],[SecondaryStorageType]],laptop[[#This Row],[PrimaryStorageType]],"SSD &amp; HDD")</f>
        <v>SSD &amp; HDD</v>
      </c>
      <c r="Y536" s="1" t="s">
        <v>119</v>
      </c>
    </row>
    <row r="537" spans="1:25" x14ac:dyDescent="0.25">
      <c r="A537" s="1" t="s">
        <v>65</v>
      </c>
      <c r="B537" s="1" t="s">
        <v>481</v>
      </c>
      <c r="C537" s="1" t="s">
        <v>38</v>
      </c>
      <c r="D537">
        <v>15.6</v>
      </c>
      <c r="E537">
        <v>8</v>
      </c>
      <c r="F537" s="1" t="s">
        <v>48</v>
      </c>
      <c r="G537">
        <v>1.93</v>
      </c>
      <c r="H537">
        <v>1369</v>
      </c>
      <c r="I537" s="1" t="s">
        <v>40</v>
      </c>
      <c r="J537">
        <v>1920</v>
      </c>
      <c r="K537">
        <v>1080</v>
      </c>
      <c r="L537" s="1" t="s">
        <v>27</v>
      </c>
      <c r="M537" s="1" t="s">
        <v>27</v>
      </c>
      <c r="N537" s="1" t="s">
        <v>27</v>
      </c>
      <c r="O537" s="1" t="s">
        <v>29</v>
      </c>
      <c r="P537">
        <v>2.8</v>
      </c>
      <c r="Q537" s="1" t="s">
        <v>335</v>
      </c>
      <c r="R537" s="1" t="str">
        <f>_xlfn.CONCAT(laptop[[#This Row],[CPU_company]]," ",laptop[[#This Row],[CPU_model]])</f>
        <v>Intel Core i7 7600U</v>
      </c>
      <c r="S537">
        <v>256</v>
      </c>
      <c r="T537">
        <v>0</v>
      </c>
      <c r="U537">
        <f>laptop[[#This Row],[PrimaryStorage]]+laptop[[#This Row],[SecondaryStorage]]</f>
        <v>256</v>
      </c>
      <c r="V537" s="1" t="s">
        <v>31</v>
      </c>
      <c r="W537" s="1" t="s">
        <v>27</v>
      </c>
      <c r="X537" s="1" t="str">
        <f>IF(laptop[[#This Row],[PrimaryStorageType]]=laptop[[#This Row],[SecondaryStorageType]],laptop[[#This Row],[PrimaryStorageType]],"SSD &amp; HDD")</f>
        <v>SSD &amp; HDD</v>
      </c>
      <c r="Y537" s="1" t="s">
        <v>98</v>
      </c>
    </row>
    <row r="538" spans="1:25" x14ac:dyDescent="0.25">
      <c r="A538" s="1" t="s">
        <v>65</v>
      </c>
      <c r="B538" s="1" t="s">
        <v>93</v>
      </c>
      <c r="C538" s="1" t="s">
        <v>38</v>
      </c>
      <c r="D538">
        <v>15.6</v>
      </c>
      <c r="E538">
        <v>8</v>
      </c>
      <c r="F538" s="1" t="s">
        <v>48</v>
      </c>
      <c r="G538">
        <v>2.2000000000000002</v>
      </c>
      <c r="H538">
        <v>797.41</v>
      </c>
      <c r="I538" s="1" t="s">
        <v>40</v>
      </c>
      <c r="J538">
        <v>1920</v>
      </c>
      <c r="K538">
        <v>1080</v>
      </c>
      <c r="L538" s="1" t="s">
        <v>27</v>
      </c>
      <c r="M538" s="1" t="s">
        <v>27</v>
      </c>
      <c r="N538" s="1" t="s">
        <v>27</v>
      </c>
      <c r="O538" s="1" t="s">
        <v>29</v>
      </c>
      <c r="P538">
        <v>1.6</v>
      </c>
      <c r="Q538" s="1" t="s">
        <v>60</v>
      </c>
      <c r="R538" s="1" t="str">
        <f>_xlfn.CONCAT(laptop[[#This Row],[CPU_company]]," ",laptop[[#This Row],[CPU_model]])</f>
        <v>Intel Core i5 8250U</v>
      </c>
      <c r="S538">
        <v>256</v>
      </c>
      <c r="T538">
        <v>0</v>
      </c>
      <c r="U538">
        <f>laptop[[#This Row],[PrimaryStorage]]+laptop[[#This Row],[SecondaryStorage]]</f>
        <v>256</v>
      </c>
      <c r="V538" s="1" t="s">
        <v>31</v>
      </c>
      <c r="W538" s="1" t="s">
        <v>27</v>
      </c>
      <c r="X538" s="1" t="str">
        <f>IF(laptop[[#This Row],[PrimaryStorageType]]=laptop[[#This Row],[SecondaryStorageType]],laptop[[#This Row],[PrimaryStorageType]],"SSD &amp; HDD")</f>
        <v>SSD &amp; HDD</v>
      </c>
      <c r="Y538" s="1" t="s">
        <v>94</v>
      </c>
    </row>
    <row r="539" spans="1:25" x14ac:dyDescent="0.25">
      <c r="A539" s="1" t="s">
        <v>36</v>
      </c>
      <c r="B539" s="1" t="s">
        <v>37</v>
      </c>
      <c r="C539" s="1" t="s">
        <v>38</v>
      </c>
      <c r="D539">
        <v>15.6</v>
      </c>
      <c r="E539">
        <v>4</v>
      </c>
      <c r="F539" s="1" t="s">
        <v>48</v>
      </c>
      <c r="G539">
        <v>1.86</v>
      </c>
      <c r="H539">
        <v>398.99</v>
      </c>
      <c r="I539" s="1" t="s">
        <v>40</v>
      </c>
      <c r="J539">
        <v>1920</v>
      </c>
      <c r="K539">
        <v>1080</v>
      </c>
      <c r="L539" s="1" t="s">
        <v>27</v>
      </c>
      <c r="M539" s="1" t="s">
        <v>27</v>
      </c>
      <c r="N539" s="1" t="s">
        <v>27</v>
      </c>
      <c r="O539" s="1" t="s">
        <v>29</v>
      </c>
      <c r="P539">
        <v>1.6</v>
      </c>
      <c r="Q539" s="1" t="s">
        <v>346</v>
      </c>
      <c r="R539" s="1" t="str">
        <f>_xlfn.CONCAT(laptop[[#This Row],[CPU_company]]," ",laptop[[#This Row],[CPU_model]])</f>
        <v>Intel Pentium Quad Core N3710</v>
      </c>
      <c r="S539">
        <v>256</v>
      </c>
      <c r="T539">
        <v>0</v>
      </c>
      <c r="U539">
        <f>laptop[[#This Row],[PrimaryStorage]]+laptop[[#This Row],[SecondaryStorage]]</f>
        <v>256</v>
      </c>
      <c r="V539" s="1" t="s">
        <v>31</v>
      </c>
      <c r="W539" s="1" t="s">
        <v>27</v>
      </c>
      <c r="X539" s="1" t="str">
        <f>IF(laptop[[#This Row],[PrimaryStorageType]]=laptop[[#This Row],[SecondaryStorageType]],laptop[[#This Row],[PrimaryStorageType]],"SSD &amp; HDD")</f>
        <v>SSD &amp; HDD</v>
      </c>
      <c r="Y539" s="1" t="s">
        <v>347</v>
      </c>
    </row>
    <row r="540" spans="1:25" x14ac:dyDescent="0.25">
      <c r="A540" s="1" t="s">
        <v>36</v>
      </c>
      <c r="B540" s="1" t="s">
        <v>485</v>
      </c>
      <c r="C540" s="1" t="s">
        <v>83</v>
      </c>
      <c r="D540">
        <v>17.3</v>
      </c>
      <c r="E540">
        <v>12</v>
      </c>
      <c r="F540" s="1" t="s">
        <v>48</v>
      </c>
      <c r="G540">
        <v>2.62</v>
      </c>
      <c r="H540">
        <v>1799</v>
      </c>
      <c r="I540" s="1" t="s">
        <v>40</v>
      </c>
      <c r="J540">
        <v>1920</v>
      </c>
      <c r="K540">
        <v>1080</v>
      </c>
      <c r="L540" s="1" t="s">
        <v>27</v>
      </c>
      <c r="M540" s="1" t="s">
        <v>27</v>
      </c>
      <c r="N540" s="1" t="s">
        <v>27</v>
      </c>
      <c r="O540" s="1" t="s">
        <v>29</v>
      </c>
      <c r="P540">
        <v>2.8</v>
      </c>
      <c r="Q540" s="1" t="s">
        <v>118</v>
      </c>
      <c r="R540" s="1" t="str">
        <f>_xlfn.CONCAT(laptop[[#This Row],[CPU_company]]," ",laptop[[#This Row],[CPU_model]])</f>
        <v>Intel Core i7 7700HQ</v>
      </c>
      <c r="S540">
        <v>1024</v>
      </c>
      <c r="T540">
        <v>0</v>
      </c>
      <c r="U540">
        <f>laptop[[#This Row],[PrimaryStorage]]+laptop[[#This Row],[SecondaryStorage]]</f>
        <v>1024</v>
      </c>
      <c r="V540" s="1" t="s">
        <v>51</v>
      </c>
      <c r="W540" s="1" t="s">
        <v>27</v>
      </c>
      <c r="X540" s="1" t="str">
        <f>IF(laptop[[#This Row],[PrimaryStorageType]]=laptop[[#This Row],[SecondaryStorageType]],laptop[[#This Row],[PrimaryStorageType]],"SSD &amp; HDD")</f>
        <v>SSD &amp; HDD</v>
      </c>
      <c r="Y540" s="1" t="s">
        <v>119</v>
      </c>
    </row>
    <row r="541" spans="1:25" x14ac:dyDescent="0.25">
      <c r="A541" s="1" t="s">
        <v>73</v>
      </c>
      <c r="B541" s="1" t="s">
        <v>486</v>
      </c>
      <c r="C541" s="1" t="s">
        <v>38</v>
      </c>
      <c r="D541">
        <v>14</v>
      </c>
      <c r="E541">
        <v>8</v>
      </c>
      <c r="F541" s="1" t="s">
        <v>48</v>
      </c>
      <c r="G541">
        <v>1.87</v>
      </c>
      <c r="H541">
        <v>859</v>
      </c>
      <c r="I541" s="1" t="s">
        <v>40</v>
      </c>
      <c r="J541">
        <v>1920</v>
      </c>
      <c r="K541">
        <v>1080</v>
      </c>
      <c r="L541" s="1" t="s">
        <v>27</v>
      </c>
      <c r="M541" s="1" t="s">
        <v>28</v>
      </c>
      <c r="N541" s="1" t="s">
        <v>27</v>
      </c>
      <c r="O541" s="1" t="s">
        <v>29</v>
      </c>
      <c r="P541">
        <v>2.7</v>
      </c>
      <c r="Q541" s="1" t="s">
        <v>71</v>
      </c>
      <c r="R541" s="1" t="str">
        <f>_xlfn.CONCAT(laptop[[#This Row],[CPU_company]]," ",laptop[[#This Row],[CPU_model]])</f>
        <v>Intel Core i7 7500U</v>
      </c>
      <c r="S541">
        <v>256</v>
      </c>
      <c r="T541">
        <v>0</v>
      </c>
      <c r="U541">
        <f>laptop[[#This Row],[PrimaryStorage]]+laptop[[#This Row],[SecondaryStorage]]</f>
        <v>256</v>
      </c>
      <c r="V541" s="1" t="s">
        <v>31</v>
      </c>
      <c r="W541" s="1" t="s">
        <v>27</v>
      </c>
      <c r="X541" s="1" t="str">
        <f>IF(laptop[[#This Row],[PrimaryStorageType]]=laptop[[#This Row],[SecondaryStorageType]],laptop[[#This Row],[PrimaryStorageType]],"SSD &amp; HDD")</f>
        <v>SSD &amp; HDD</v>
      </c>
      <c r="Y541" s="1" t="s">
        <v>76</v>
      </c>
    </row>
    <row r="542" spans="1:25" x14ac:dyDescent="0.25">
      <c r="A542" s="1" t="s">
        <v>65</v>
      </c>
      <c r="B542" s="1" t="s">
        <v>77</v>
      </c>
      <c r="C542" s="1" t="s">
        <v>24</v>
      </c>
      <c r="D542">
        <v>13.3</v>
      </c>
      <c r="E542">
        <v>8</v>
      </c>
      <c r="F542" s="1" t="s">
        <v>48</v>
      </c>
      <c r="G542">
        <v>1.2</v>
      </c>
      <c r="H542">
        <v>1399</v>
      </c>
      <c r="I542" s="1" t="s">
        <v>107</v>
      </c>
      <c r="J542">
        <v>3200</v>
      </c>
      <c r="K542">
        <v>1800</v>
      </c>
      <c r="L542" s="1" t="s">
        <v>28</v>
      </c>
      <c r="M542" s="1" t="s">
        <v>27</v>
      </c>
      <c r="N542" s="1" t="s">
        <v>27</v>
      </c>
      <c r="O542" s="1" t="s">
        <v>29</v>
      </c>
      <c r="P542">
        <v>1.8</v>
      </c>
      <c r="Q542" s="1" t="s">
        <v>57</v>
      </c>
      <c r="R542" s="1" t="str">
        <f>_xlfn.CONCAT(laptop[[#This Row],[CPU_company]]," ",laptop[[#This Row],[CPU_model]])</f>
        <v>Intel Core i7 8550U</v>
      </c>
      <c r="S542">
        <v>256</v>
      </c>
      <c r="T542">
        <v>0</v>
      </c>
      <c r="U542">
        <f>laptop[[#This Row],[PrimaryStorage]]+laptop[[#This Row],[SecondaryStorage]]</f>
        <v>256</v>
      </c>
      <c r="V542" s="1" t="s">
        <v>31</v>
      </c>
      <c r="W542" s="1" t="s">
        <v>27</v>
      </c>
      <c r="X542" s="1" t="str">
        <f>IF(laptop[[#This Row],[PrimaryStorageType]]=laptop[[#This Row],[SecondaryStorageType]],laptop[[#This Row],[PrimaryStorageType]],"SSD &amp; HDD")</f>
        <v>SSD &amp; HDD</v>
      </c>
      <c r="Y542" s="1" t="s">
        <v>61</v>
      </c>
    </row>
    <row r="543" spans="1:25" x14ac:dyDescent="0.25">
      <c r="A543" s="1" t="s">
        <v>65</v>
      </c>
      <c r="B543" s="1" t="s">
        <v>285</v>
      </c>
      <c r="C543" s="1" t="s">
        <v>38</v>
      </c>
      <c r="D543">
        <v>14</v>
      </c>
      <c r="E543">
        <v>4</v>
      </c>
      <c r="F543" s="1" t="s">
        <v>48</v>
      </c>
      <c r="G543">
        <v>1.6</v>
      </c>
      <c r="H543">
        <v>735.87</v>
      </c>
      <c r="I543" s="1" t="s">
        <v>40</v>
      </c>
      <c r="J543">
        <v>1920</v>
      </c>
      <c r="K543">
        <v>1080</v>
      </c>
      <c r="L543" s="1" t="s">
        <v>27</v>
      </c>
      <c r="M543" s="1" t="s">
        <v>27</v>
      </c>
      <c r="N543" s="1" t="s">
        <v>27</v>
      </c>
      <c r="O543" s="1" t="s">
        <v>29</v>
      </c>
      <c r="P543">
        <v>2</v>
      </c>
      <c r="Q543" s="1" t="s">
        <v>62</v>
      </c>
      <c r="R543" s="1" t="str">
        <f>_xlfn.CONCAT(laptop[[#This Row],[CPU_company]]," ",laptop[[#This Row],[CPU_model]])</f>
        <v>Intel Core i3 6006U</v>
      </c>
      <c r="S543">
        <v>128</v>
      </c>
      <c r="T543">
        <v>0</v>
      </c>
      <c r="U543">
        <f>laptop[[#This Row],[PrimaryStorage]]+laptop[[#This Row],[SecondaryStorage]]</f>
        <v>128</v>
      </c>
      <c r="V543" s="1" t="s">
        <v>31</v>
      </c>
      <c r="W543" s="1" t="s">
        <v>27</v>
      </c>
      <c r="X543" s="1" t="str">
        <f>IF(laptop[[#This Row],[PrimaryStorageType]]=laptop[[#This Row],[SecondaryStorageType]],laptop[[#This Row],[PrimaryStorageType]],"SSD &amp; HDD")</f>
        <v>SSD &amp; HDD</v>
      </c>
      <c r="Y543" s="1" t="s">
        <v>63</v>
      </c>
    </row>
    <row r="544" spans="1:25" x14ac:dyDescent="0.25">
      <c r="A544" s="1" t="s">
        <v>36</v>
      </c>
      <c r="B544" s="1" t="s">
        <v>487</v>
      </c>
      <c r="C544" s="1" t="s">
        <v>24</v>
      </c>
      <c r="D544">
        <v>13.3</v>
      </c>
      <c r="E544">
        <v>8</v>
      </c>
      <c r="F544" s="1" t="s">
        <v>48</v>
      </c>
      <c r="G544">
        <v>1.34</v>
      </c>
      <c r="H544">
        <v>1145</v>
      </c>
      <c r="I544" s="1" t="s">
        <v>107</v>
      </c>
      <c r="J544">
        <v>3200</v>
      </c>
      <c r="K544">
        <v>1800</v>
      </c>
      <c r="L544" s="1" t="s">
        <v>27</v>
      </c>
      <c r="M544" s="1" t="s">
        <v>28</v>
      </c>
      <c r="N544" s="1" t="s">
        <v>27</v>
      </c>
      <c r="O544" s="1" t="s">
        <v>29</v>
      </c>
      <c r="P544">
        <v>2.7</v>
      </c>
      <c r="Q544" s="1" t="s">
        <v>71</v>
      </c>
      <c r="R544" s="1" t="str">
        <f>_xlfn.CONCAT(laptop[[#This Row],[CPU_company]]," ",laptop[[#This Row],[CPU_model]])</f>
        <v>Intel Core i7 7500U</v>
      </c>
      <c r="S544">
        <v>256</v>
      </c>
      <c r="T544">
        <v>0</v>
      </c>
      <c r="U544">
        <f>laptop[[#This Row],[PrimaryStorage]]+laptop[[#This Row],[SecondaryStorage]]</f>
        <v>256</v>
      </c>
      <c r="V544" s="1" t="s">
        <v>31</v>
      </c>
      <c r="W544" s="1" t="s">
        <v>27</v>
      </c>
      <c r="X544" s="1" t="str">
        <f>IF(laptop[[#This Row],[PrimaryStorageType]]=laptop[[#This Row],[SecondaryStorageType]],laptop[[#This Row],[PrimaryStorageType]],"SSD &amp; HDD")</f>
        <v>SSD &amp; HDD</v>
      </c>
      <c r="Y544" s="1" t="s">
        <v>42</v>
      </c>
    </row>
    <row r="545" spans="1:25" x14ac:dyDescent="0.25">
      <c r="A545" s="1" t="s">
        <v>46</v>
      </c>
      <c r="B545" s="1" t="s">
        <v>268</v>
      </c>
      <c r="C545" s="1" t="s">
        <v>83</v>
      </c>
      <c r="D545">
        <v>15.6</v>
      </c>
      <c r="E545">
        <v>8</v>
      </c>
      <c r="F545" s="1" t="s">
        <v>111</v>
      </c>
      <c r="G545">
        <v>2.4</v>
      </c>
      <c r="H545">
        <v>798</v>
      </c>
      <c r="I545" s="1" t="s">
        <v>40</v>
      </c>
      <c r="J545">
        <v>1920</v>
      </c>
      <c r="K545">
        <v>1080</v>
      </c>
      <c r="L545" s="1" t="s">
        <v>27</v>
      </c>
      <c r="M545" s="1" t="s">
        <v>27</v>
      </c>
      <c r="N545" s="1" t="s">
        <v>27</v>
      </c>
      <c r="O545" s="1" t="s">
        <v>29</v>
      </c>
      <c r="P545">
        <v>2.5</v>
      </c>
      <c r="Q545" s="1" t="s">
        <v>84</v>
      </c>
      <c r="R545" s="1" t="str">
        <f>_xlfn.CONCAT(laptop[[#This Row],[CPU_company]]," ",laptop[[#This Row],[CPU_model]])</f>
        <v>Intel Core i5 7300HQ</v>
      </c>
      <c r="S545">
        <v>1024</v>
      </c>
      <c r="T545">
        <v>0</v>
      </c>
      <c r="U545">
        <f>laptop[[#This Row],[PrimaryStorage]]+laptop[[#This Row],[SecondaryStorage]]</f>
        <v>1024</v>
      </c>
      <c r="V545" s="1" t="s">
        <v>51</v>
      </c>
      <c r="W545" s="1" t="s">
        <v>27</v>
      </c>
      <c r="X545" s="1" t="str">
        <f>IF(laptop[[#This Row],[PrimaryStorageType]]=laptop[[#This Row],[SecondaryStorageType]],laptop[[#This Row],[PrimaryStorageType]],"SSD &amp; HDD")</f>
        <v>SSD &amp; HDD</v>
      </c>
      <c r="Y545" s="1" t="s">
        <v>85</v>
      </c>
    </row>
    <row r="546" spans="1:25" x14ac:dyDescent="0.25">
      <c r="A546" s="1" t="s">
        <v>55</v>
      </c>
      <c r="B546" s="1" t="s">
        <v>488</v>
      </c>
      <c r="C546" s="1" t="s">
        <v>38</v>
      </c>
      <c r="D546">
        <v>15.6</v>
      </c>
      <c r="E546">
        <v>4</v>
      </c>
      <c r="F546" s="1" t="s">
        <v>48</v>
      </c>
      <c r="G546">
        <v>2</v>
      </c>
      <c r="H546">
        <v>349</v>
      </c>
      <c r="I546" s="1" t="s">
        <v>26</v>
      </c>
      <c r="J546">
        <v>1366</v>
      </c>
      <c r="K546">
        <v>768</v>
      </c>
      <c r="L546" s="1" t="s">
        <v>27</v>
      </c>
      <c r="M546" s="1" t="s">
        <v>27</v>
      </c>
      <c r="N546" s="1" t="s">
        <v>27</v>
      </c>
      <c r="O546" s="1" t="s">
        <v>49</v>
      </c>
      <c r="P546">
        <v>1.8</v>
      </c>
      <c r="Q546" s="1" t="s">
        <v>489</v>
      </c>
      <c r="R546" s="1" t="str">
        <f>_xlfn.CONCAT(laptop[[#This Row],[CPU_company]]," ",laptop[[#This Row],[CPU_model]])</f>
        <v>AMD E-Series 7110</v>
      </c>
      <c r="S546">
        <v>500</v>
      </c>
      <c r="T546">
        <v>0</v>
      </c>
      <c r="U546">
        <f>laptop[[#This Row],[PrimaryStorage]]+laptop[[#This Row],[SecondaryStorage]]</f>
        <v>500</v>
      </c>
      <c r="V546" s="1" t="s">
        <v>51</v>
      </c>
      <c r="W546" s="1" t="s">
        <v>27</v>
      </c>
      <c r="X546" s="1" t="str">
        <f>IF(laptop[[#This Row],[PrimaryStorageType]]=laptop[[#This Row],[SecondaryStorageType]],laptop[[#This Row],[PrimaryStorageType]],"SSD &amp; HDD")</f>
        <v>SSD &amp; HDD</v>
      </c>
      <c r="Y546" s="1" t="s">
        <v>490</v>
      </c>
    </row>
    <row r="547" spans="1:25" x14ac:dyDescent="0.25">
      <c r="A547" s="1" t="s">
        <v>36</v>
      </c>
      <c r="B547" s="1" t="s">
        <v>114</v>
      </c>
      <c r="C547" s="1" t="s">
        <v>38</v>
      </c>
      <c r="D547">
        <v>15.6</v>
      </c>
      <c r="E547">
        <v>4</v>
      </c>
      <c r="F547" s="1" t="s">
        <v>48</v>
      </c>
      <c r="G547">
        <v>2.1</v>
      </c>
      <c r="H547">
        <v>705.5</v>
      </c>
      <c r="I547" s="1" t="s">
        <v>40</v>
      </c>
      <c r="J547">
        <v>1920</v>
      </c>
      <c r="K547">
        <v>1080</v>
      </c>
      <c r="L547" s="1" t="s">
        <v>27</v>
      </c>
      <c r="M547" s="1" t="s">
        <v>27</v>
      </c>
      <c r="N547" s="1" t="s">
        <v>27</v>
      </c>
      <c r="O547" s="1" t="s">
        <v>29</v>
      </c>
      <c r="P547">
        <v>2.4</v>
      </c>
      <c r="Q547" s="1" t="s">
        <v>75</v>
      </c>
      <c r="R547" s="1" t="str">
        <f>_xlfn.CONCAT(laptop[[#This Row],[CPU_company]]," ",laptop[[#This Row],[CPU_model]])</f>
        <v>Intel Core i3 7100U</v>
      </c>
      <c r="S547">
        <v>128</v>
      </c>
      <c r="T547">
        <v>0</v>
      </c>
      <c r="U547">
        <f>laptop[[#This Row],[PrimaryStorage]]+laptop[[#This Row],[SecondaryStorage]]</f>
        <v>128</v>
      </c>
      <c r="V547" s="1" t="s">
        <v>31</v>
      </c>
      <c r="W547" s="1" t="s">
        <v>27</v>
      </c>
      <c r="X547" s="1" t="str">
        <f>IF(laptop[[#This Row],[PrimaryStorageType]]=laptop[[#This Row],[SecondaryStorageType]],laptop[[#This Row],[PrimaryStorageType]],"SSD &amp; HDD")</f>
        <v>SSD &amp; HDD</v>
      </c>
      <c r="Y547" s="1" t="s">
        <v>42</v>
      </c>
    </row>
    <row r="548" spans="1:25" x14ac:dyDescent="0.25">
      <c r="A548" s="1" t="s">
        <v>73</v>
      </c>
      <c r="B548" s="1" t="s">
        <v>491</v>
      </c>
      <c r="C548" s="1" t="s">
        <v>38</v>
      </c>
      <c r="D548">
        <v>14</v>
      </c>
      <c r="E548">
        <v>4</v>
      </c>
      <c r="F548" s="1" t="s">
        <v>48</v>
      </c>
      <c r="G548">
        <v>1.87</v>
      </c>
      <c r="H548">
        <v>785</v>
      </c>
      <c r="I548" s="1" t="s">
        <v>40</v>
      </c>
      <c r="J548">
        <v>1920</v>
      </c>
      <c r="K548">
        <v>1080</v>
      </c>
      <c r="L548" s="1" t="s">
        <v>27</v>
      </c>
      <c r="M548" s="1" t="s">
        <v>27</v>
      </c>
      <c r="N548" s="1" t="s">
        <v>27</v>
      </c>
      <c r="O548" s="1" t="s">
        <v>29</v>
      </c>
      <c r="P548">
        <v>2.5</v>
      </c>
      <c r="Q548" s="1" t="s">
        <v>41</v>
      </c>
      <c r="R548" s="1" t="str">
        <f>_xlfn.CONCAT(laptop[[#This Row],[CPU_company]]," ",laptop[[#This Row],[CPU_model]])</f>
        <v>Intel Core i5 7200U</v>
      </c>
      <c r="S548">
        <v>500</v>
      </c>
      <c r="T548">
        <v>0</v>
      </c>
      <c r="U548">
        <f>laptop[[#This Row],[PrimaryStorage]]+laptop[[#This Row],[SecondaryStorage]]</f>
        <v>500</v>
      </c>
      <c r="V548" s="1" t="s">
        <v>51</v>
      </c>
      <c r="W548" s="1" t="s">
        <v>27</v>
      </c>
      <c r="X548" s="1" t="str">
        <f>IF(laptop[[#This Row],[PrimaryStorageType]]=laptop[[#This Row],[SecondaryStorageType]],laptop[[#This Row],[PrimaryStorageType]],"SSD &amp; HDD")</f>
        <v>SSD &amp; HDD</v>
      </c>
      <c r="Y548" s="1" t="s">
        <v>42</v>
      </c>
    </row>
    <row r="549" spans="1:25" x14ac:dyDescent="0.25">
      <c r="A549" s="1" t="s">
        <v>73</v>
      </c>
      <c r="B549" s="1" t="s">
        <v>492</v>
      </c>
      <c r="C549" s="1" t="s">
        <v>38</v>
      </c>
      <c r="D549">
        <v>15.6</v>
      </c>
      <c r="E549">
        <v>4</v>
      </c>
      <c r="F549" s="1" t="s">
        <v>39</v>
      </c>
      <c r="G549">
        <v>2.15</v>
      </c>
      <c r="H549">
        <v>462.35</v>
      </c>
      <c r="I549" s="1" t="s">
        <v>40</v>
      </c>
      <c r="J549">
        <v>1920</v>
      </c>
      <c r="K549">
        <v>1080</v>
      </c>
      <c r="L549" s="1" t="s">
        <v>27</v>
      </c>
      <c r="M549" s="1" t="s">
        <v>27</v>
      </c>
      <c r="N549" s="1" t="s">
        <v>27</v>
      </c>
      <c r="O549" s="1" t="s">
        <v>29</v>
      </c>
      <c r="P549">
        <v>2.2999999999999998</v>
      </c>
      <c r="Q549" s="1" t="s">
        <v>212</v>
      </c>
      <c r="R549" s="1" t="str">
        <f>_xlfn.CONCAT(laptop[[#This Row],[CPU_company]]," ",laptop[[#This Row],[CPU_model]])</f>
        <v>Intel Core i5 6200U</v>
      </c>
      <c r="S549">
        <v>1024</v>
      </c>
      <c r="T549">
        <v>0</v>
      </c>
      <c r="U549">
        <f>laptop[[#This Row],[PrimaryStorage]]+laptop[[#This Row],[SecondaryStorage]]</f>
        <v>1024</v>
      </c>
      <c r="V549" s="1" t="s">
        <v>51</v>
      </c>
      <c r="W549" s="1" t="s">
        <v>27</v>
      </c>
      <c r="X549" s="1" t="str">
        <f>IF(laptop[[#This Row],[PrimaryStorageType]]=laptop[[#This Row],[SecondaryStorageType]],laptop[[#This Row],[PrimaryStorageType]],"SSD &amp; HDD")</f>
        <v>SSD &amp; HDD</v>
      </c>
      <c r="Y549" s="1" t="s">
        <v>63</v>
      </c>
    </row>
    <row r="550" spans="1:25" x14ac:dyDescent="0.25">
      <c r="A550" s="1" t="s">
        <v>36</v>
      </c>
      <c r="B550" s="1" t="s">
        <v>37</v>
      </c>
      <c r="C550" s="1" t="s">
        <v>38</v>
      </c>
      <c r="D550">
        <v>15.6</v>
      </c>
      <c r="E550">
        <v>4</v>
      </c>
      <c r="F550" s="1" t="s">
        <v>48</v>
      </c>
      <c r="G550">
        <v>1.86</v>
      </c>
      <c r="H550">
        <v>397</v>
      </c>
      <c r="I550" s="1" t="s">
        <v>40</v>
      </c>
      <c r="J550">
        <v>1920</v>
      </c>
      <c r="K550">
        <v>1080</v>
      </c>
      <c r="L550" s="1" t="s">
        <v>27</v>
      </c>
      <c r="M550" s="1" t="s">
        <v>27</v>
      </c>
      <c r="N550" s="1" t="s">
        <v>27</v>
      </c>
      <c r="O550" s="1" t="s">
        <v>29</v>
      </c>
      <c r="P550">
        <v>2</v>
      </c>
      <c r="Q550" s="1" t="s">
        <v>62</v>
      </c>
      <c r="R550" s="1" t="str">
        <f>_xlfn.CONCAT(laptop[[#This Row],[CPU_company]]," ",laptop[[#This Row],[CPU_model]])</f>
        <v>Intel Core i3 6006U</v>
      </c>
      <c r="S550">
        <v>500</v>
      </c>
      <c r="T550">
        <v>0</v>
      </c>
      <c r="U550">
        <f>laptop[[#This Row],[PrimaryStorage]]+laptop[[#This Row],[SecondaryStorage]]</f>
        <v>500</v>
      </c>
      <c r="V550" s="1" t="s">
        <v>51</v>
      </c>
      <c r="W550" s="1" t="s">
        <v>27</v>
      </c>
      <c r="X550" s="1" t="str">
        <f>IF(laptop[[#This Row],[PrimaryStorageType]]=laptop[[#This Row],[SecondaryStorageType]],laptop[[#This Row],[PrimaryStorageType]],"SSD &amp; HDD")</f>
        <v>SSD &amp; HDD</v>
      </c>
      <c r="Y550" s="1" t="s">
        <v>63</v>
      </c>
    </row>
    <row r="551" spans="1:25" x14ac:dyDescent="0.25">
      <c r="A551" s="1" t="s">
        <v>73</v>
      </c>
      <c r="B551" s="1" t="s">
        <v>493</v>
      </c>
      <c r="C551" s="1" t="s">
        <v>38</v>
      </c>
      <c r="D551">
        <v>15.6</v>
      </c>
      <c r="E551">
        <v>8</v>
      </c>
      <c r="F551" s="1" t="s">
        <v>48</v>
      </c>
      <c r="G551">
        <v>1.99</v>
      </c>
      <c r="H551">
        <v>1729</v>
      </c>
      <c r="I551" s="1" t="s">
        <v>40</v>
      </c>
      <c r="J551">
        <v>1920</v>
      </c>
      <c r="K551">
        <v>1080</v>
      </c>
      <c r="L551" s="1" t="s">
        <v>27</v>
      </c>
      <c r="M551" s="1" t="s">
        <v>28</v>
      </c>
      <c r="N551" s="1" t="s">
        <v>27</v>
      </c>
      <c r="O551" s="1" t="s">
        <v>29</v>
      </c>
      <c r="P551">
        <v>2.7</v>
      </c>
      <c r="Q551" s="1" t="s">
        <v>71</v>
      </c>
      <c r="R551" s="1" t="str">
        <f>_xlfn.CONCAT(laptop[[#This Row],[CPU_company]]," ",laptop[[#This Row],[CPU_model]])</f>
        <v>Intel Core i7 7500U</v>
      </c>
      <c r="S551">
        <v>512</v>
      </c>
      <c r="T551">
        <v>0</v>
      </c>
      <c r="U551">
        <f>laptop[[#This Row],[PrimaryStorage]]+laptop[[#This Row],[SecondaryStorage]]</f>
        <v>512</v>
      </c>
      <c r="V551" s="1" t="s">
        <v>31</v>
      </c>
      <c r="W551" s="1" t="s">
        <v>27</v>
      </c>
      <c r="X551" s="1" t="str">
        <f>IF(laptop[[#This Row],[PrimaryStorageType]]=laptop[[#This Row],[SecondaryStorageType]],laptop[[#This Row],[PrimaryStorageType]],"SSD &amp; HDD")</f>
        <v>SSD &amp; HDD</v>
      </c>
      <c r="Y551" s="1" t="s">
        <v>42</v>
      </c>
    </row>
    <row r="552" spans="1:25" x14ac:dyDescent="0.25">
      <c r="A552" s="1" t="s">
        <v>73</v>
      </c>
      <c r="B552" s="1" t="s">
        <v>125</v>
      </c>
      <c r="C552" s="1" t="s">
        <v>38</v>
      </c>
      <c r="D552">
        <v>15.6</v>
      </c>
      <c r="E552">
        <v>4</v>
      </c>
      <c r="F552" s="1" t="s">
        <v>48</v>
      </c>
      <c r="G552">
        <v>2.2000000000000002</v>
      </c>
      <c r="H552">
        <v>499</v>
      </c>
      <c r="I552" s="1" t="s">
        <v>40</v>
      </c>
      <c r="J552">
        <v>1920</v>
      </c>
      <c r="K552">
        <v>1080</v>
      </c>
      <c r="L552" s="1" t="s">
        <v>27</v>
      </c>
      <c r="M552" s="1" t="s">
        <v>27</v>
      </c>
      <c r="N552" s="1" t="s">
        <v>27</v>
      </c>
      <c r="O552" s="1" t="s">
        <v>29</v>
      </c>
      <c r="P552">
        <v>2</v>
      </c>
      <c r="Q552" s="1" t="s">
        <v>62</v>
      </c>
      <c r="R552" s="1" t="str">
        <f>_xlfn.CONCAT(laptop[[#This Row],[CPU_company]]," ",laptop[[#This Row],[CPU_model]])</f>
        <v>Intel Core i3 6006U</v>
      </c>
      <c r="S552">
        <v>128</v>
      </c>
      <c r="T552">
        <v>0</v>
      </c>
      <c r="U552">
        <f>laptop[[#This Row],[PrimaryStorage]]+laptop[[#This Row],[SecondaryStorage]]</f>
        <v>128</v>
      </c>
      <c r="V552" s="1" t="s">
        <v>31</v>
      </c>
      <c r="W552" s="1" t="s">
        <v>27</v>
      </c>
      <c r="X552" s="1" t="str">
        <f>IF(laptop[[#This Row],[PrimaryStorageType]]=laptop[[#This Row],[SecondaryStorageType]],laptop[[#This Row],[PrimaryStorageType]],"SSD &amp; HDD")</f>
        <v>SSD &amp; HDD</v>
      </c>
      <c r="Y552" s="1" t="s">
        <v>63</v>
      </c>
    </row>
    <row r="553" spans="1:25" x14ac:dyDescent="0.25">
      <c r="A553" s="1" t="s">
        <v>65</v>
      </c>
      <c r="B553" s="1" t="s">
        <v>481</v>
      </c>
      <c r="C553" s="1" t="s">
        <v>38</v>
      </c>
      <c r="D553">
        <v>15.6</v>
      </c>
      <c r="E553">
        <v>8</v>
      </c>
      <c r="F553" s="1" t="s">
        <v>48</v>
      </c>
      <c r="G553">
        <v>1.9</v>
      </c>
      <c r="H553">
        <v>1116.99</v>
      </c>
      <c r="I553" s="1" t="s">
        <v>40</v>
      </c>
      <c r="J553">
        <v>1920</v>
      </c>
      <c r="K553">
        <v>1080</v>
      </c>
      <c r="L553" s="1" t="s">
        <v>27</v>
      </c>
      <c r="M553" s="1" t="s">
        <v>27</v>
      </c>
      <c r="N553" s="1" t="s">
        <v>27</v>
      </c>
      <c r="O553" s="1" t="s">
        <v>29</v>
      </c>
      <c r="P553">
        <v>2.5</v>
      </c>
      <c r="Q553" s="1" t="s">
        <v>41</v>
      </c>
      <c r="R553" s="1" t="str">
        <f>_xlfn.CONCAT(laptop[[#This Row],[CPU_company]]," ",laptop[[#This Row],[CPU_model]])</f>
        <v>Intel Core i5 7200U</v>
      </c>
      <c r="S553">
        <v>256</v>
      </c>
      <c r="T553">
        <v>0</v>
      </c>
      <c r="U553">
        <f>laptop[[#This Row],[PrimaryStorage]]+laptop[[#This Row],[SecondaryStorage]]</f>
        <v>256</v>
      </c>
      <c r="V553" s="1" t="s">
        <v>31</v>
      </c>
      <c r="W553" s="1" t="s">
        <v>27</v>
      </c>
      <c r="X553" s="1" t="str">
        <f>IF(laptop[[#This Row],[PrimaryStorageType]]=laptop[[#This Row],[SecondaryStorageType]],laptop[[#This Row],[PrimaryStorageType]],"SSD &amp; HDD")</f>
        <v>SSD &amp; HDD</v>
      </c>
      <c r="Y553" s="1" t="s">
        <v>42</v>
      </c>
    </row>
    <row r="554" spans="1:25" x14ac:dyDescent="0.25">
      <c r="A554" s="1" t="s">
        <v>65</v>
      </c>
      <c r="B554" s="1" t="s">
        <v>275</v>
      </c>
      <c r="C554" s="1" t="s">
        <v>83</v>
      </c>
      <c r="D554">
        <v>17.3</v>
      </c>
      <c r="E554">
        <v>16</v>
      </c>
      <c r="F554" s="1" t="s">
        <v>48</v>
      </c>
      <c r="G554">
        <v>4.42</v>
      </c>
      <c r="H554">
        <v>2699</v>
      </c>
      <c r="I554" s="1" t="s">
        <v>40</v>
      </c>
      <c r="J554">
        <v>1920</v>
      </c>
      <c r="K554">
        <v>1080</v>
      </c>
      <c r="L554" s="1" t="s">
        <v>27</v>
      </c>
      <c r="M554" s="1" t="s">
        <v>28</v>
      </c>
      <c r="N554" s="1" t="s">
        <v>27</v>
      </c>
      <c r="O554" s="1" t="s">
        <v>29</v>
      </c>
      <c r="P554">
        <v>2.8</v>
      </c>
      <c r="Q554" s="1" t="s">
        <v>118</v>
      </c>
      <c r="R554" s="1" t="str">
        <f>_xlfn.CONCAT(laptop[[#This Row],[CPU_company]]," ",laptop[[#This Row],[CPU_model]])</f>
        <v>Intel Core i7 7700HQ</v>
      </c>
      <c r="S554">
        <v>256</v>
      </c>
      <c r="T554">
        <v>1024</v>
      </c>
      <c r="U554">
        <f>laptop[[#This Row],[PrimaryStorage]]+laptop[[#This Row],[SecondaryStorage]]</f>
        <v>1280</v>
      </c>
      <c r="V554" s="1" t="s">
        <v>31</v>
      </c>
      <c r="W554" s="1" t="s">
        <v>51</v>
      </c>
      <c r="X554" s="1" t="str">
        <f>IF(laptop[[#This Row],[PrimaryStorageType]]=laptop[[#This Row],[SecondaryStorageType]],laptop[[#This Row],[PrimaryStorageType]],"SSD &amp; HDD")</f>
        <v>SSD &amp; HDD</v>
      </c>
      <c r="Y554" s="1" t="s">
        <v>143</v>
      </c>
    </row>
    <row r="555" spans="1:25" x14ac:dyDescent="0.25">
      <c r="A555" s="1" t="s">
        <v>36</v>
      </c>
      <c r="B555" s="1" t="s">
        <v>494</v>
      </c>
      <c r="C555" s="1" t="s">
        <v>38</v>
      </c>
      <c r="D555">
        <v>17.3</v>
      </c>
      <c r="E555">
        <v>8</v>
      </c>
      <c r="F555" s="1" t="s">
        <v>48</v>
      </c>
      <c r="G555">
        <v>2.65</v>
      </c>
      <c r="H555">
        <v>544.15</v>
      </c>
      <c r="I555" s="1" t="s">
        <v>26</v>
      </c>
      <c r="J555">
        <v>1600</v>
      </c>
      <c r="K555">
        <v>900</v>
      </c>
      <c r="L555" s="1" t="s">
        <v>27</v>
      </c>
      <c r="M555" s="1" t="s">
        <v>27</v>
      </c>
      <c r="N555" s="1" t="s">
        <v>27</v>
      </c>
      <c r="O555" s="1" t="s">
        <v>29</v>
      </c>
      <c r="P555">
        <v>2</v>
      </c>
      <c r="Q555" s="1" t="s">
        <v>62</v>
      </c>
      <c r="R555" s="1" t="str">
        <f>_xlfn.CONCAT(laptop[[#This Row],[CPU_company]]," ",laptop[[#This Row],[CPU_model]])</f>
        <v>Intel Core i3 6006U</v>
      </c>
      <c r="S555">
        <v>1024</v>
      </c>
      <c r="T555">
        <v>0</v>
      </c>
      <c r="U555">
        <f>laptop[[#This Row],[PrimaryStorage]]+laptop[[#This Row],[SecondaryStorage]]</f>
        <v>1024</v>
      </c>
      <c r="V555" s="1" t="s">
        <v>51</v>
      </c>
      <c r="W555" s="1" t="s">
        <v>27</v>
      </c>
      <c r="X555" s="1" t="str">
        <f>IF(laptop[[#This Row],[PrimaryStorageType]]=laptop[[#This Row],[SecondaryStorageType]],laptop[[#This Row],[PrimaryStorageType]],"SSD &amp; HDD")</f>
        <v>SSD &amp; HDD</v>
      </c>
      <c r="Y555" s="1" t="s">
        <v>63</v>
      </c>
    </row>
    <row r="556" spans="1:25" x14ac:dyDescent="0.25">
      <c r="A556" s="1" t="s">
        <v>36</v>
      </c>
      <c r="B556" s="1" t="s">
        <v>97</v>
      </c>
      <c r="C556" s="1" t="s">
        <v>38</v>
      </c>
      <c r="D556">
        <v>17.3</v>
      </c>
      <c r="E556">
        <v>8</v>
      </c>
      <c r="F556" s="1" t="s">
        <v>48</v>
      </c>
      <c r="G556">
        <v>2.63</v>
      </c>
      <c r="H556">
        <v>1280</v>
      </c>
      <c r="I556" s="1" t="s">
        <v>40</v>
      </c>
      <c r="J556">
        <v>1920</v>
      </c>
      <c r="K556">
        <v>1080</v>
      </c>
      <c r="L556" s="1" t="s">
        <v>27</v>
      </c>
      <c r="M556" s="1" t="s">
        <v>27</v>
      </c>
      <c r="N556" s="1" t="s">
        <v>27</v>
      </c>
      <c r="O556" s="1" t="s">
        <v>29</v>
      </c>
      <c r="P556">
        <v>2.7</v>
      </c>
      <c r="Q556" s="1" t="s">
        <v>71</v>
      </c>
      <c r="R556" s="1" t="str">
        <f>_xlfn.CONCAT(laptop[[#This Row],[CPU_company]]," ",laptop[[#This Row],[CPU_model]])</f>
        <v>Intel Core i7 7500U</v>
      </c>
      <c r="S556">
        <v>1024</v>
      </c>
      <c r="T556">
        <v>0</v>
      </c>
      <c r="U556">
        <f>laptop[[#This Row],[PrimaryStorage]]+laptop[[#This Row],[SecondaryStorage]]</f>
        <v>1024</v>
      </c>
      <c r="V556" s="1" t="s">
        <v>51</v>
      </c>
      <c r="W556" s="1" t="s">
        <v>27</v>
      </c>
      <c r="X556" s="1" t="str">
        <f>IF(laptop[[#This Row],[PrimaryStorageType]]=laptop[[#This Row],[SecondaryStorageType]],laptop[[#This Row],[PrimaryStorageType]],"SSD &amp; HDD")</f>
        <v>SSD &amp; HDD</v>
      </c>
      <c r="Y556" s="1" t="s">
        <v>98</v>
      </c>
    </row>
    <row r="557" spans="1:25" x14ac:dyDescent="0.25">
      <c r="A557" s="1" t="s">
        <v>55</v>
      </c>
      <c r="B557" s="1" t="s">
        <v>495</v>
      </c>
      <c r="C557" s="1" t="s">
        <v>38</v>
      </c>
      <c r="D557">
        <v>15.6</v>
      </c>
      <c r="E557">
        <v>4</v>
      </c>
      <c r="F557" s="1" t="s">
        <v>111</v>
      </c>
      <c r="G557">
        <v>2</v>
      </c>
      <c r="H557">
        <v>224</v>
      </c>
      <c r="I557" s="1" t="s">
        <v>26</v>
      </c>
      <c r="J557">
        <v>1366</v>
      </c>
      <c r="K557">
        <v>768</v>
      </c>
      <c r="L557" s="1" t="s">
        <v>27</v>
      </c>
      <c r="M557" s="1" t="s">
        <v>27</v>
      </c>
      <c r="N557" s="1" t="s">
        <v>27</v>
      </c>
      <c r="O557" s="1" t="s">
        <v>29</v>
      </c>
      <c r="P557">
        <v>1.1000000000000001</v>
      </c>
      <c r="Q557" s="1" t="s">
        <v>109</v>
      </c>
      <c r="R557" s="1" t="str">
        <f>_xlfn.CONCAT(laptop[[#This Row],[CPU_company]]," ",laptop[[#This Row],[CPU_model]])</f>
        <v>Intel Celeron Dual Core N3350</v>
      </c>
      <c r="S557">
        <v>500</v>
      </c>
      <c r="T557">
        <v>0</v>
      </c>
      <c r="U557">
        <f>laptop[[#This Row],[PrimaryStorage]]+laptop[[#This Row],[SecondaryStorage]]</f>
        <v>500</v>
      </c>
      <c r="V557" s="1" t="s">
        <v>51</v>
      </c>
      <c r="W557" s="1" t="s">
        <v>27</v>
      </c>
      <c r="X557" s="1" t="str">
        <f>IF(laptop[[#This Row],[PrimaryStorageType]]=laptop[[#This Row],[SecondaryStorageType]],laptop[[#This Row],[PrimaryStorageType]],"SSD &amp; HDD")</f>
        <v>SSD &amp; HDD</v>
      </c>
      <c r="Y557" s="1" t="s">
        <v>110</v>
      </c>
    </row>
    <row r="558" spans="1:25" x14ac:dyDescent="0.25">
      <c r="A558" s="1" t="s">
        <v>411</v>
      </c>
      <c r="B558" s="1" t="s">
        <v>496</v>
      </c>
      <c r="C558" s="1" t="s">
        <v>38</v>
      </c>
      <c r="D558">
        <v>13.3</v>
      </c>
      <c r="E558">
        <v>4</v>
      </c>
      <c r="F558" s="1" t="s">
        <v>48</v>
      </c>
      <c r="G558">
        <v>1.35</v>
      </c>
      <c r="H558">
        <v>255</v>
      </c>
      <c r="I558" s="1" t="s">
        <v>40</v>
      </c>
      <c r="J558">
        <v>1920</v>
      </c>
      <c r="K558">
        <v>1080</v>
      </c>
      <c r="L558" s="1" t="s">
        <v>27</v>
      </c>
      <c r="M558" s="1" t="s">
        <v>28</v>
      </c>
      <c r="N558" s="1" t="s">
        <v>27</v>
      </c>
      <c r="O558" s="1" t="s">
        <v>29</v>
      </c>
      <c r="P558">
        <v>1.44</v>
      </c>
      <c r="Q558" s="1" t="s">
        <v>80</v>
      </c>
      <c r="R558" s="1" t="str">
        <f>_xlfn.CONCAT(laptop[[#This Row],[CPU_company]]," ",laptop[[#This Row],[CPU_model]])</f>
        <v>Intel Atom x5-Z8350</v>
      </c>
      <c r="S558">
        <v>32</v>
      </c>
      <c r="T558">
        <v>0</v>
      </c>
      <c r="U558">
        <f>laptop[[#This Row],[PrimaryStorage]]+laptop[[#This Row],[SecondaryStorage]]</f>
        <v>32</v>
      </c>
      <c r="V558" s="1" t="s">
        <v>34</v>
      </c>
      <c r="W558" s="1" t="s">
        <v>27</v>
      </c>
      <c r="X558" s="1" t="str">
        <f>IF(laptop[[#This Row],[PrimaryStorageType]]=laptop[[#This Row],[SecondaryStorageType]],laptop[[#This Row],[PrimaryStorageType]],"SSD &amp; HDD")</f>
        <v>SSD &amp; HDD</v>
      </c>
      <c r="Y558" s="1" t="s">
        <v>102</v>
      </c>
    </row>
    <row r="559" spans="1:25" x14ac:dyDescent="0.25">
      <c r="A559" s="1" t="s">
        <v>73</v>
      </c>
      <c r="B559" s="1" t="s">
        <v>271</v>
      </c>
      <c r="C559" s="1" t="s">
        <v>38</v>
      </c>
      <c r="D559">
        <v>17.3</v>
      </c>
      <c r="E559">
        <v>6</v>
      </c>
      <c r="F559" s="1" t="s">
        <v>48</v>
      </c>
      <c r="G559">
        <v>2.8</v>
      </c>
      <c r="H559">
        <v>949</v>
      </c>
      <c r="I559" s="1" t="s">
        <v>26</v>
      </c>
      <c r="J559">
        <v>1600</v>
      </c>
      <c r="K559">
        <v>900</v>
      </c>
      <c r="L559" s="1" t="s">
        <v>27</v>
      </c>
      <c r="M559" s="1" t="s">
        <v>27</v>
      </c>
      <c r="N559" s="1" t="s">
        <v>27</v>
      </c>
      <c r="O559" s="1" t="s">
        <v>29</v>
      </c>
      <c r="P559">
        <v>2.7</v>
      </c>
      <c r="Q559" s="1" t="s">
        <v>71</v>
      </c>
      <c r="R559" s="1" t="str">
        <f>_xlfn.CONCAT(laptop[[#This Row],[CPU_company]]," ",laptop[[#This Row],[CPU_model]])</f>
        <v>Intel Core i7 7500U</v>
      </c>
      <c r="S559">
        <v>128</v>
      </c>
      <c r="T559">
        <v>1024</v>
      </c>
      <c r="U559">
        <f>laptop[[#This Row],[PrimaryStorage]]+laptop[[#This Row],[SecondaryStorage]]</f>
        <v>1152</v>
      </c>
      <c r="V559" s="1" t="s">
        <v>31</v>
      </c>
      <c r="W559" s="1" t="s">
        <v>51</v>
      </c>
      <c r="X559" s="1" t="str">
        <f>IF(laptop[[#This Row],[PrimaryStorageType]]=laptop[[#This Row],[SecondaryStorageType]],laptop[[#This Row],[PrimaryStorageType]],"SSD &amp; HDD")</f>
        <v>SSD &amp; HDD</v>
      </c>
      <c r="Y559" s="1" t="s">
        <v>76</v>
      </c>
    </row>
    <row r="560" spans="1:25" x14ac:dyDescent="0.25">
      <c r="A560" s="1" t="s">
        <v>36</v>
      </c>
      <c r="B560" s="1" t="s">
        <v>497</v>
      </c>
      <c r="C560" s="1" t="s">
        <v>38</v>
      </c>
      <c r="D560">
        <v>15.6</v>
      </c>
      <c r="E560">
        <v>6</v>
      </c>
      <c r="F560" s="1" t="s">
        <v>48</v>
      </c>
      <c r="G560">
        <v>1.91</v>
      </c>
      <c r="H560">
        <v>568.9</v>
      </c>
      <c r="I560" s="1" t="s">
        <v>40</v>
      </c>
      <c r="J560">
        <v>1920</v>
      </c>
      <c r="K560">
        <v>1080</v>
      </c>
      <c r="L560" s="1" t="s">
        <v>27</v>
      </c>
      <c r="M560" s="1" t="s">
        <v>28</v>
      </c>
      <c r="N560" s="1" t="s">
        <v>27</v>
      </c>
      <c r="O560" s="1" t="s">
        <v>49</v>
      </c>
      <c r="P560">
        <v>2.5</v>
      </c>
      <c r="Q560" s="1" t="s">
        <v>288</v>
      </c>
      <c r="R560" s="1" t="str">
        <f>_xlfn.CONCAT(laptop[[#This Row],[CPU_company]]," ",laptop[[#This Row],[CPU_model]])</f>
        <v>AMD A10-Series A10-9620P</v>
      </c>
      <c r="S560">
        <v>128</v>
      </c>
      <c r="T560">
        <v>0</v>
      </c>
      <c r="U560">
        <f>laptop[[#This Row],[PrimaryStorage]]+laptop[[#This Row],[SecondaryStorage]]</f>
        <v>128</v>
      </c>
      <c r="V560" s="1" t="s">
        <v>31</v>
      </c>
      <c r="W560" s="1" t="s">
        <v>27</v>
      </c>
      <c r="X560" s="1" t="str">
        <f>IF(laptop[[#This Row],[PrimaryStorageType]]=laptop[[#This Row],[SecondaryStorageType]],laptop[[#This Row],[PrimaryStorageType]],"SSD &amp; HDD")</f>
        <v>SSD &amp; HDD</v>
      </c>
      <c r="Y560" s="1" t="s">
        <v>94</v>
      </c>
    </row>
    <row r="561" spans="1:25" x14ac:dyDescent="0.25">
      <c r="A561" s="1" t="s">
        <v>65</v>
      </c>
      <c r="B561" s="1" t="s">
        <v>305</v>
      </c>
      <c r="C561" s="1" t="s">
        <v>38</v>
      </c>
      <c r="D561">
        <v>15.6</v>
      </c>
      <c r="E561">
        <v>4</v>
      </c>
      <c r="F561" s="1" t="s">
        <v>48</v>
      </c>
      <c r="G561">
        <v>2.1800000000000002</v>
      </c>
      <c r="H561">
        <v>617.9</v>
      </c>
      <c r="I561" s="1" t="s">
        <v>26</v>
      </c>
      <c r="J561">
        <v>1366</v>
      </c>
      <c r="K561">
        <v>768</v>
      </c>
      <c r="L561" s="1" t="s">
        <v>27</v>
      </c>
      <c r="M561" s="1" t="s">
        <v>27</v>
      </c>
      <c r="N561" s="1" t="s">
        <v>27</v>
      </c>
      <c r="O561" s="1" t="s">
        <v>29</v>
      </c>
      <c r="P561">
        <v>2</v>
      </c>
      <c r="Q561" s="1" t="s">
        <v>62</v>
      </c>
      <c r="R561" s="1" t="str">
        <f>_xlfn.CONCAT(laptop[[#This Row],[CPU_company]]," ",laptop[[#This Row],[CPU_model]])</f>
        <v>Intel Core i3 6006U</v>
      </c>
      <c r="S561">
        <v>1024</v>
      </c>
      <c r="T561">
        <v>0</v>
      </c>
      <c r="U561">
        <f>laptop[[#This Row],[PrimaryStorage]]+laptop[[#This Row],[SecondaryStorage]]</f>
        <v>1024</v>
      </c>
      <c r="V561" s="1" t="s">
        <v>51</v>
      </c>
      <c r="W561" s="1" t="s">
        <v>27</v>
      </c>
      <c r="X561" s="1" t="str">
        <f>IF(laptop[[#This Row],[PrimaryStorageType]]=laptop[[#This Row],[SecondaryStorageType]],laptop[[#This Row],[PrimaryStorageType]],"SSD &amp; HDD")</f>
        <v>SSD &amp; HDD</v>
      </c>
      <c r="Y561" s="1" t="s">
        <v>233</v>
      </c>
    </row>
    <row r="562" spans="1:25" x14ac:dyDescent="0.25">
      <c r="A562" s="1" t="s">
        <v>46</v>
      </c>
      <c r="B562" s="1" t="s">
        <v>498</v>
      </c>
      <c r="C562" s="1" t="s">
        <v>90</v>
      </c>
      <c r="D562">
        <v>11.6</v>
      </c>
      <c r="E562">
        <v>4</v>
      </c>
      <c r="F562" s="1" t="s">
        <v>48</v>
      </c>
      <c r="G562">
        <v>1.25</v>
      </c>
      <c r="H562">
        <v>349</v>
      </c>
      <c r="I562" s="1" t="s">
        <v>40</v>
      </c>
      <c r="J562">
        <v>1920</v>
      </c>
      <c r="K562">
        <v>1080</v>
      </c>
      <c r="L562" s="1" t="s">
        <v>28</v>
      </c>
      <c r="M562" s="1" t="s">
        <v>28</v>
      </c>
      <c r="N562" s="1" t="s">
        <v>27</v>
      </c>
      <c r="O562" s="1" t="s">
        <v>29</v>
      </c>
      <c r="P562">
        <v>2</v>
      </c>
      <c r="Q562" s="1" t="s">
        <v>109</v>
      </c>
      <c r="R562" s="1" t="str">
        <f>_xlfn.CONCAT(laptop[[#This Row],[CPU_company]]," ",laptop[[#This Row],[CPU_model]])</f>
        <v>Intel Celeron Dual Core N3350</v>
      </c>
      <c r="S562">
        <v>32</v>
      </c>
      <c r="T562">
        <v>0</v>
      </c>
      <c r="U562">
        <f>laptop[[#This Row],[PrimaryStorage]]+laptop[[#This Row],[SecondaryStorage]]</f>
        <v>32</v>
      </c>
      <c r="V562" s="1" t="s">
        <v>34</v>
      </c>
      <c r="W562" s="1" t="s">
        <v>27</v>
      </c>
      <c r="X562" s="1" t="str">
        <f>IF(laptop[[#This Row],[PrimaryStorageType]]=laptop[[#This Row],[SecondaryStorageType]],laptop[[#This Row],[PrimaryStorageType]],"SSD &amp; HDD")</f>
        <v>SSD &amp; HDD</v>
      </c>
      <c r="Y562" s="1" t="s">
        <v>110</v>
      </c>
    </row>
    <row r="563" spans="1:25" x14ac:dyDescent="0.25">
      <c r="A563" s="1" t="s">
        <v>73</v>
      </c>
      <c r="B563" s="1" t="s">
        <v>499</v>
      </c>
      <c r="C563" s="1" t="s">
        <v>38</v>
      </c>
      <c r="D563">
        <v>15.6</v>
      </c>
      <c r="E563">
        <v>4</v>
      </c>
      <c r="F563" s="1" t="s">
        <v>48</v>
      </c>
      <c r="G563">
        <v>2.0499999999999998</v>
      </c>
      <c r="H563">
        <v>630</v>
      </c>
      <c r="I563" s="1" t="s">
        <v>40</v>
      </c>
      <c r="J563">
        <v>1920</v>
      </c>
      <c r="K563">
        <v>1080</v>
      </c>
      <c r="L563" s="1" t="s">
        <v>27</v>
      </c>
      <c r="M563" s="1" t="s">
        <v>27</v>
      </c>
      <c r="N563" s="1" t="s">
        <v>27</v>
      </c>
      <c r="O563" s="1" t="s">
        <v>29</v>
      </c>
      <c r="P563">
        <v>2.7</v>
      </c>
      <c r="Q563" s="1" t="s">
        <v>112</v>
      </c>
      <c r="R563" s="1" t="str">
        <f>_xlfn.CONCAT(laptop[[#This Row],[CPU_company]]," ",laptop[[#This Row],[CPU_model]])</f>
        <v>Intel Core i3 7130U</v>
      </c>
      <c r="S563">
        <v>128</v>
      </c>
      <c r="T563">
        <v>0</v>
      </c>
      <c r="U563">
        <f>laptop[[#This Row],[PrimaryStorage]]+laptop[[#This Row],[SecondaryStorage]]</f>
        <v>128</v>
      </c>
      <c r="V563" s="1" t="s">
        <v>31</v>
      </c>
      <c r="W563" s="1" t="s">
        <v>27</v>
      </c>
      <c r="X563" s="1" t="str">
        <f>IF(laptop[[#This Row],[PrimaryStorageType]]=laptop[[#This Row],[SecondaryStorageType]],laptop[[#This Row],[PrimaryStorageType]],"SSD &amp; HDD")</f>
        <v>SSD &amp; HDD</v>
      </c>
      <c r="Y563" s="1" t="s">
        <v>42</v>
      </c>
    </row>
    <row r="564" spans="1:25" x14ac:dyDescent="0.25">
      <c r="A564" s="1" t="s">
        <v>36</v>
      </c>
      <c r="B564" s="1" t="s">
        <v>500</v>
      </c>
      <c r="C564" s="1" t="s">
        <v>24</v>
      </c>
      <c r="D564">
        <v>13.3</v>
      </c>
      <c r="E564">
        <v>16</v>
      </c>
      <c r="F564" s="1" t="s">
        <v>48</v>
      </c>
      <c r="G564">
        <v>1.1599999999999999</v>
      </c>
      <c r="H564">
        <v>1965</v>
      </c>
      <c r="I564" s="1" t="s">
        <v>107</v>
      </c>
      <c r="J564">
        <v>3200</v>
      </c>
      <c r="K564">
        <v>1800</v>
      </c>
      <c r="L564" s="1" t="s">
        <v>28</v>
      </c>
      <c r="M564" s="1" t="s">
        <v>28</v>
      </c>
      <c r="N564" s="1" t="s">
        <v>27</v>
      </c>
      <c r="O564" s="1" t="s">
        <v>29</v>
      </c>
      <c r="P564">
        <v>1.2</v>
      </c>
      <c r="Q564" s="1" t="s">
        <v>216</v>
      </c>
      <c r="R564" s="1" t="str">
        <f>_xlfn.CONCAT(laptop[[#This Row],[CPU_company]]," ",laptop[[#This Row],[CPU_model]])</f>
        <v>Intel Core M 6Y75</v>
      </c>
      <c r="S564">
        <v>512</v>
      </c>
      <c r="T564">
        <v>0</v>
      </c>
      <c r="U564">
        <f>laptop[[#This Row],[PrimaryStorage]]+laptop[[#This Row],[SecondaryStorage]]</f>
        <v>512</v>
      </c>
      <c r="V564" s="1" t="s">
        <v>31</v>
      </c>
      <c r="W564" s="1" t="s">
        <v>27</v>
      </c>
      <c r="X564" s="1" t="str">
        <f>IF(laptop[[#This Row],[PrimaryStorageType]]=laptop[[#This Row],[SecondaryStorageType]],laptop[[#This Row],[PrimaryStorageType]],"SSD &amp; HDD")</f>
        <v>SSD &amp; HDD</v>
      </c>
      <c r="Y564" s="1" t="s">
        <v>217</v>
      </c>
    </row>
    <row r="565" spans="1:25" x14ac:dyDescent="0.25">
      <c r="A565" s="1" t="s">
        <v>73</v>
      </c>
      <c r="B565" s="1" t="s">
        <v>501</v>
      </c>
      <c r="C565" s="1" t="s">
        <v>38</v>
      </c>
      <c r="D565">
        <v>17.3</v>
      </c>
      <c r="E565">
        <v>8</v>
      </c>
      <c r="F565" s="1" t="s">
        <v>48</v>
      </c>
      <c r="G565">
        <v>3.4</v>
      </c>
      <c r="H565">
        <v>2999</v>
      </c>
      <c r="I565" s="1" t="s">
        <v>40</v>
      </c>
      <c r="J565">
        <v>1920</v>
      </c>
      <c r="K565">
        <v>1080</v>
      </c>
      <c r="L565" s="1" t="s">
        <v>27</v>
      </c>
      <c r="M565" s="1" t="s">
        <v>28</v>
      </c>
      <c r="N565" s="1" t="s">
        <v>27</v>
      </c>
      <c r="O565" s="1" t="s">
        <v>29</v>
      </c>
      <c r="P565">
        <v>2.8</v>
      </c>
      <c r="Q565" s="1" t="s">
        <v>118</v>
      </c>
      <c r="R565" s="1" t="str">
        <f>_xlfn.CONCAT(laptop[[#This Row],[CPU_company]]," ",laptop[[#This Row],[CPU_model]])</f>
        <v>Intel Core i7 7700HQ</v>
      </c>
      <c r="S565">
        <v>256</v>
      </c>
      <c r="T565">
        <v>0</v>
      </c>
      <c r="U565">
        <f>laptop[[#This Row],[PrimaryStorage]]+laptop[[#This Row],[SecondaryStorage]]</f>
        <v>256</v>
      </c>
      <c r="V565" s="1" t="s">
        <v>31</v>
      </c>
      <c r="W565" s="1" t="s">
        <v>27</v>
      </c>
      <c r="X565" s="1" t="str">
        <f>IF(laptop[[#This Row],[PrimaryStorageType]]=laptop[[#This Row],[SecondaryStorageType]],laptop[[#This Row],[PrimaryStorageType]],"SSD &amp; HDD")</f>
        <v>SSD &amp; HDD</v>
      </c>
      <c r="Y565" s="1" t="s">
        <v>502</v>
      </c>
    </row>
    <row r="566" spans="1:25" x14ac:dyDescent="0.25">
      <c r="A566" s="1" t="s">
        <v>55</v>
      </c>
      <c r="B566" s="1" t="s">
        <v>503</v>
      </c>
      <c r="C566" s="1" t="s">
        <v>38</v>
      </c>
      <c r="D566">
        <v>15.6</v>
      </c>
      <c r="E566">
        <v>8</v>
      </c>
      <c r="F566" s="1" t="s">
        <v>48</v>
      </c>
      <c r="G566">
        <v>2.5</v>
      </c>
      <c r="H566">
        <v>839</v>
      </c>
      <c r="I566" s="1" t="s">
        <v>40</v>
      </c>
      <c r="J566">
        <v>1920</v>
      </c>
      <c r="K566">
        <v>1080</v>
      </c>
      <c r="L566" s="1" t="s">
        <v>27</v>
      </c>
      <c r="M566" s="1" t="s">
        <v>27</v>
      </c>
      <c r="N566" s="1" t="s">
        <v>27</v>
      </c>
      <c r="O566" s="1" t="s">
        <v>29</v>
      </c>
      <c r="P566">
        <v>2.5</v>
      </c>
      <c r="Q566" s="1" t="s">
        <v>84</v>
      </c>
      <c r="R566" s="1" t="str">
        <f>_xlfn.CONCAT(laptop[[#This Row],[CPU_company]]," ",laptop[[#This Row],[CPU_model]])</f>
        <v>Intel Core i5 7300HQ</v>
      </c>
      <c r="S566">
        <v>128</v>
      </c>
      <c r="T566">
        <v>1024</v>
      </c>
      <c r="U566">
        <f>laptop[[#This Row],[PrimaryStorage]]+laptop[[#This Row],[SecondaryStorage]]</f>
        <v>1152</v>
      </c>
      <c r="V566" s="1" t="s">
        <v>31</v>
      </c>
      <c r="W566" s="1" t="s">
        <v>51</v>
      </c>
      <c r="X566" s="1" t="str">
        <f>IF(laptop[[#This Row],[PrimaryStorageType]]=laptop[[#This Row],[SecondaryStorageType]],laptop[[#This Row],[PrimaryStorageType]],"SSD &amp; HDD")</f>
        <v>SSD &amp; HDD</v>
      </c>
      <c r="Y566" s="1" t="s">
        <v>85</v>
      </c>
    </row>
    <row r="567" spans="1:25" x14ac:dyDescent="0.25">
      <c r="A567" s="1" t="s">
        <v>65</v>
      </c>
      <c r="B567" s="1" t="s">
        <v>77</v>
      </c>
      <c r="C567" s="1" t="s">
        <v>24</v>
      </c>
      <c r="D567">
        <v>13.3</v>
      </c>
      <c r="E567">
        <v>8</v>
      </c>
      <c r="F567" s="1" t="s">
        <v>48</v>
      </c>
      <c r="G567">
        <v>1.21</v>
      </c>
      <c r="H567">
        <v>1599</v>
      </c>
      <c r="I567" s="1" t="s">
        <v>215</v>
      </c>
      <c r="J567">
        <v>3840</v>
      </c>
      <c r="K567">
        <v>2160</v>
      </c>
      <c r="L567" s="1" t="s">
        <v>28</v>
      </c>
      <c r="M567" s="1" t="s">
        <v>28</v>
      </c>
      <c r="N567" s="1" t="s">
        <v>27</v>
      </c>
      <c r="O567" s="1" t="s">
        <v>29</v>
      </c>
      <c r="P567">
        <v>1.6</v>
      </c>
      <c r="Q567" s="1" t="s">
        <v>60</v>
      </c>
      <c r="R567" s="1" t="str">
        <f>_xlfn.CONCAT(laptop[[#This Row],[CPU_company]]," ",laptop[[#This Row],[CPU_model]])</f>
        <v>Intel Core i5 8250U</v>
      </c>
      <c r="S567">
        <v>128</v>
      </c>
      <c r="T567">
        <v>0</v>
      </c>
      <c r="U567">
        <f>laptop[[#This Row],[PrimaryStorage]]+laptop[[#This Row],[SecondaryStorage]]</f>
        <v>128</v>
      </c>
      <c r="V567" s="1" t="s">
        <v>31</v>
      </c>
      <c r="W567" s="1" t="s">
        <v>27</v>
      </c>
      <c r="X567" s="1" t="str">
        <f>IF(laptop[[#This Row],[PrimaryStorageType]]=laptop[[#This Row],[SecondaryStorageType]],laptop[[#This Row],[PrimaryStorageType]],"SSD &amp; HDD")</f>
        <v>SSD &amp; HDD</v>
      </c>
      <c r="Y567" s="1" t="s">
        <v>61</v>
      </c>
    </row>
    <row r="568" spans="1:25" x14ac:dyDescent="0.25">
      <c r="A568" s="1" t="s">
        <v>65</v>
      </c>
      <c r="B568" s="1" t="s">
        <v>481</v>
      </c>
      <c r="C568" s="1" t="s">
        <v>38</v>
      </c>
      <c r="D568">
        <v>15.6</v>
      </c>
      <c r="E568">
        <v>4</v>
      </c>
      <c r="F568" s="1" t="s">
        <v>48</v>
      </c>
      <c r="G568">
        <v>1.93</v>
      </c>
      <c r="H568">
        <v>959</v>
      </c>
      <c r="I568" s="1" t="s">
        <v>26</v>
      </c>
      <c r="J568">
        <v>1366</v>
      </c>
      <c r="K568">
        <v>768</v>
      </c>
      <c r="L568" s="1" t="s">
        <v>27</v>
      </c>
      <c r="M568" s="1" t="s">
        <v>27</v>
      </c>
      <c r="N568" s="1" t="s">
        <v>27</v>
      </c>
      <c r="O568" s="1" t="s">
        <v>29</v>
      </c>
      <c r="P568">
        <v>2.6</v>
      </c>
      <c r="Q568" s="1" t="s">
        <v>358</v>
      </c>
      <c r="R568" s="1" t="str">
        <f>_xlfn.CONCAT(laptop[[#This Row],[CPU_company]]," ",laptop[[#This Row],[CPU_model]])</f>
        <v>Intel Core i5 7300U</v>
      </c>
      <c r="S568">
        <v>500</v>
      </c>
      <c r="T568">
        <v>0</v>
      </c>
      <c r="U568">
        <f>laptop[[#This Row],[PrimaryStorage]]+laptop[[#This Row],[SecondaryStorage]]</f>
        <v>500</v>
      </c>
      <c r="V568" s="1" t="s">
        <v>51</v>
      </c>
      <c r="W568" s="1" t="s">
        <v>27</v>
      </c>
      <c r="X568" s="1" t="str">
        <f>IF(laptop[[#This Row],[PrimaryStorageType]]=laptop[[#This Row],[SecondaryStorageType]],laptop[[#This Row],[PrimaryStorageType]],"SSD &amp; HDD")</f>
        <v>SSD &amp; HDD</v>
      </c>
      <c r="Y568" s="1" t="s">
        <v>42</v>
      </c>
    </row>
    <row r="569" spans="1:25" x14ac:dyDescent="0.25">
      <c r="A569" s="1" t="s">
        <v>504</v>
      </c>
      <c r="B569" s="1" t="s">
        <v>505</v>
      </c>
      <c r="C569" s="1" t="s">
        <v>38</v>
      </c>
      <c r="D569">
        <v>15.6</v>
      </c>
      <c r="E569">
        <v>8</v>
      </c>
      <c r="F569" s="1" t="s">
        <v>48</v>
      </c>
      <c r="G569">
        <v>2.2000000000000002</v>
      </c>
      <c r="H569">
        <v>739</v>
      </c>
      <c r="I569" s="1" t="s">
        <v>26</v>
      </c>
      <c r="J569">
        <v>1366</v>
      </c>
      <c r="K569">
        <v>768</v>
      </c>
      <c r="L569" s="1" t="s">
        <v>27</v>
      </c>
      <c r="M569" s="1" t="s">
        <v>27</v>
      </c>
      <c r="N569" s="1" t="s">
        <v>27</v>
      </c>
      <c r="O569" s="1" t="s">
        <v>29</v>
      </c>
      <c r="P569">
        <v>2.5</v>
      </c>
      <c r="Q569" s="1" t="s">
        <v>41</v>
      </c>
      <c r="R569" s="1" t="str">
        <f>_xlfn.CONCAT(laptop[[#This Row],[CPU_company]]," ",laptop[[#This Row],[CPU_model]])</f>
        <v>Intel Core i5 7200U</v>
      </c>
      <c r="S569">
        <v>1024</v>
      </c>
      <c r="T569">
        <v>0</v>
      </c>
      <c r="U569">
        <f>laptop[[#This Row],[PrimaryStorage]]+laptop[[#This Row],[SecondaryStorage]]</f>
        <v>1024</v>
      </c>
      <c r="V569" s="1" t="s">
        <v>51</v>
      </c>
      <c r="W569" s="1" t="s">
        <v>27</v>
      </c>
      <c r="X569" s="1" t="str">
        <f>IF(laptop[[#This Row],[PrimaryStorageType]]=laptop[[#This Row],[SecondaryStorageType]],laptop[[#This Row],[PrimaryStorageType]],"SSD &amp; HDD")</f>
        <v>SSD &amp; HDD</v>
      </c>
      <c r="Y569" s="1" t="s">
        <v>42</v>
      </c>
    </row>
    <row r="570" spans="1:25" x14ac:dyDescent="0.25">
      <c r="A570" s="1" t="s">
        <v>73</v>
      </c>
      <c r="B570" s="1" t="s">
        <v>333</v>
      </c>
      <c r="C570" s="1" t="s">
        <v>38</v>
      </c>
      <c r="D570">
        <v>15.6</v>
      </c>
      <c r="E570">
        <v>4</v>
      </c>
      <c r="F570" s="1" t="s">
        <v>48</v>
      </c>
      <c r="G570">
        <v>2.2000000000000002</v>
      </c>
      <c r="H570">
        <v>344</v>
      </c>
      <c r="I570" s="1" t="s">
        <v>40</v>
      </c>
      <c r="J570">
        <v>1920</v>
      </c>
      <c r="K570">
        <v>1080</v>
      </c>
      <c r="L570" s="1" t="s">
        <v>27</v>
      </c>
      <c r="M570" s="1" t="s">
        <v>27</v>
      </c>
      <c r="N570" s="1" t="s">
        <v>27</v>
      </c>
      <c r="O570" s="1" t="s">
        <v>29</v>
      </c>
      <c r="P570">
        <v>1.1000000000000001</v>
      </c>
      <c r="Q570" s="1" t="s">
        <v>130</v>
      </c>
      <c r="R570" s="1" t="str">
        <f>_xlfn.CONCAT(laptop[[#This Row],[CPU_company]]," ",laptop[[#This Row],[CPU_model]])</f>
        <v>Intel Pentium Quad Core N4200</v>
      </c>
      <c r="S570">
        <v>500</v>
      </c>
      <c r="T570">
        <v>0</v>
      </c>
      <c r="U570">
        <f>laptop[[#This Row],[PrimaryStorage]]+laptop[[#This Row],[SecondaryStorage]]</f>
        <v>500</v>
      </c>
      <c r="V570" s="1" t="s">
        <v>51</v>
      </c>
      <c r="W570" s="1" t="s">
        <v>27</v>
      </c>
      <c r="X570" s="1" t="str">
        <f>IF(laptop[[#This Row],[PrimaryStorageType]]=laptop[[#This Row],[SecondaryStorageType]],laptop[[#This Row],[PrimaryStorageType]],"SSD &amp; HDD")</f>
        <v>SSD &amp; HDD</v>
      </c>
      <c r="Y570" s="1" t="s">
        <v>237</v>
      </c>
    </row>
    <row r="571" spans="1:25" x14ac:dyDescent="0.25">
      <c r="A571" s="1" t="s">
        <v>73</v>
      </c>
      <c r="B571" s="1" t="s">
        <v>394</v>
      </c>
      <c r="C571" s="1" t="s">
        <v>38</v>
      </c>
      <c r="D571">
        <v>14</v>
      </c>
      <c r="E571">
        <v>4</v>
      </c>
      <c r="F571" s="1" t="s">
        <v>48</v>
      </c>
      <c r="G571">
        <v>2.02</v>
      </c>
      <c r="H571">
        <v>990</v>
      </c>
      <c r="I571" s="1" t="s">
        <v>26</v>
      </c>
      <c r="J571">
        <v>1366</v>
      </c>
      <c r="K571">
        <v>768</v>
      </c>
      <c r="L571" s="1" t="s">
        <v>27</v>
      </c>
      <c r="M571" s="1" t="s">
        <v>27</v>
      </c>
      <c r="N571" s="1" t="s">
        <v>27</v>
      </c>
      <c r="O571" s="1" t="s">
        <v>29</v>
      </c>
      <c r="P571">
        <v>2.5</v>
      </c>
      <c r="Q571" s="1" t="s">
        <v>41</v>
      </c>
      <c r="R571" s="1" t="str">
        <f>_xlfn.CONCAT(laptop[[#This Row],[CPU_company]]," ",laptop[[#This Row],[CPU_model]])</f>
        <v>Intel Core i5 7200U</v>
      </c>
      <c r="S571">
        <v>500</v>
      </c>
      <c r="T571">
        <v>0</v>
      </c>
      <c r="U571">
        <f>laptop[[#This Row],[PrimaryStorage]]+laptop[[#This Row],[SecondaryStorage]]</f>
        <v>500</v>
      </c>
      <c r="V571" s="1" t="s">
        <v>51</v>
      </c>
      <c r="W571" s="1" t="s">
        <v>27</v>
      </c>
      <c r="X571" s="1" t="str">
        <f>IF(laptop[[#This Row],[PrimaryStorageType]]=laptop[[#This Row],[SecondaryStorageType]],laptop[[#This Row],[PrimaryStorageType]],"SSD &amp; HDD")</f>
        <v>SSD &amp; HDD</v>
      </c>
      <c r="Y571" s="1" t="s">
        <v>42</v>
      </c>
    </row>
    <row r="572" spans="1:25" x14ac:dyDescent="0.25">
      <c r="A572" s="1" t="s">
        <v>36</v>
      </c>
      <c r="B572" s="1" t="s">
        <v>506</v>
      </c>
      <c r="C572" s="1" t="s">
        <v>265</v>
      </c>
      <c r="D572">
        <v>17.3</v>
      </c>
      <c r="E572">
        <v>8</v>
      </c>
      <c r="F572" s="1" t="s">
        <v>48</v>
      </c>
      <c r="G572">
        <v>3.14</v>
      </c>
      <c r="H572">
        <v>1860.99</v>
      </c>
      <c r="I572" s="1" t="s">
        <v>26</v>
      </c>
      <c r="J572">
        <v>1600</v>
      </c>
      <c r="K572">
        <v>900</v>
      </c>
      <c r="L572" s="1" t="s">
        <v>27</v>
      </c>
      <c r="M572" s="1" t="s">
        <v>27</v>
      </c>
      <c r="N572" s="1" t="s">
        <v>27</v>
      </c>
      <c r="O572" s="1" t="s">
        <v>29</v>
      </c>
      <c r="P572">
        <v>2.8</v>
      </c>
      <c r="Q572" s="1" t="s">
        <v>428</v>
      </c>
      <c r="R572" s="1" t="str">
        <f>_xlfn.CONCAT(laptop[[#This Row],[CPU_company]]," ",laptop[[#This Row],[CPU_model]])</f>
        <v>Intel Core i5 7440HQ</v>
      </c>
      <c r="S572">
        <v>500</v>
      </c>
      <c r="T572">
        <v>0</v>
      </c>
      <c r="U572">
        <f>laptop[[#This Row],[PrimaryStorage]]+laptop[[#This Row],[SecondaryStorage]]</f>
        <v>500</v>
      </c>
      <c r="V572" s="1" t="s">
        <v>51</v>
      </c>
      <c r="W572" s="1" t="s">
        <v>27</v>
      </c>
      <c r="X572" s="1" t="str">
        <f>IF(laptop[[#This Row],[PrimaryStorageType]]=laptop[[#This Row],[SecondaryStorageType]],laptop[[#This Row],[PrimaryStorageType]],"SSD &amp; HDD")</f>
        <v>SSD &amp; HDD</v>
      </c>
      <c r="Y572" s="1" t="s">
        <v>267</v>
      </c>
    </row>
    <row r="573" spans="1:25" x14ac:dyDescent="0.25">
      <c r="A573" s="1" t="s">
        <v>36</v>
      </c>
      <c r="B573" s="1" t="s">
        <v>507</v>
      </c>
      <c r="C573" s="1" t="s">
        <v>38</v>
      </c>
      <c r="D573">
        <v>14</v>
      </c>
      <c r="E573">
        <v>8</v>
      </c>
      <c r="F573" s="1" t="s">
        <v>48</v>
      </c>
      <c r="G573">
        <v>1.94</v>
      </c>
      <c r="H573">
        <v>389</v>
      </c>
      <c r="I573" s="1" t="s">
        <v>26</v>
      </c>
      <c r="J573">
        <v>1366</v>
      </c>
      <c r="K573">
        <v>768</v>
      </c>
      <c r="L573" s="1" t="s">
        <v>27</v>
      </c>
      <c r="M573" s="1" t="s">
        <v>27</v>
      </c>
      <c r="N573" s="1" t="s">
        <v>27</v>
      </c>
      <c r="O573" s="1" t="s">
        <v>29</v>
      </c>
      <c r="P573">
        <v>1.6</v>
      </c>
      <c r="Q573" s="1" t="s">
        <v>346</v>
      </c>
      <c r="R573" s="1" t="str">
        <f>_xlfn.CONCAT(laptop[[#This Row],[CPU_company]]," ",laptop[[#This Row],[CPU_model]])</f>
        <v>Intel Pentium Quad Core N3710</v>
      </c>
      <c r="S573">
        <v>2048</v>
      </c>
      <c r="T573">
        <v>0</v>
      </c>
      <c r="U573">
        <f>laptop[[#This Row],[PrimaryStorage]]+laptop[[#This Row],[SecondaryStorage]]</f>
        <v>2048</v>
      </c>
      <c r="V573" s="1" t="s">
        <v>51</v>
      </c>
      <c r="W573" s="1" t="s">
        <v>27</v>
      </c>
      <c r="X573" s="1" t="str">
        <f>IF(laptop[[#This Row],[PrimaryStorageType]]=laptop[[#This Row],[SecondaryStorageType]],laptop[[#This Row],[PrimaryStorageType]],"SSD &amp; HDD")</f>
        <v>SSD &amp; HDD</v>
      </c>
      <c r="Y573" s="1" t="s">
        <v>347</v>
      </c>
    </row>
    <row r="574" spans="1:25" x14ac:dyDescent="0.25">
      <c r="A574" s="1" t="s">
        <v>36</v>
      </c>
      <c r="B574" s="1" t="s">
        <v>508</v>
      </c>
      <c r="C574" s="1" t="s">
        <v>38</v>
      </c>
      <c r="D574">
        <v>15.6</v>
      </c>
      <c r="E574">
        <v>6</v>
      </c>
      <c r="F574" s="1" t="s">
        <v>48</v>
      </c>
      <c r="G574">
        <v>1.95</v>
      </c>
      <c r="H574">
        <v>649</v>
      </c>
      <c r="I574" s="1" t="s">
        <v>40</v>
      </c>
      <c r="J574">
        <v>1920</v>
      </c>
      <c r="K574">
        <v>1080</v>
      </c>
      <c r="L574" s="1" t="s">
        <v>27</v>
      </c>
      <c r="M574" s="1" t="s">
        <v>28</v>
      </c>
      <c r="N574" s="1" t="s">
        <v>27</v>
      </c>
      <c r="O574" s="1" t="s">
        <v>49</v>
      </c>
      <c r="P574">
        <v>3</v>
      </c>
      <c r="Q574" s="1" t="s">
        <v>509</v>
      </c>
      <c r="R574" s="1" t="str">
        <f>_xlfn.CONCAT(laptop[[#This Row],[CPU_company]]," ",laptop[[#This Row],[CPU_model]])</f>
        <v>AMD A9-Series A9-9420</v>
      </c>
      <c r="S574">
        <v>256</v>
      </c>
      <c r="T574">
        <v>0</v>
      </c>
      <c r="U574">
        <f>laptop[[#This Row],[PrimaryStorage]]+laptop[[#This Row],[SecondaryStorage]]</f>
        <v>256</v>
      </c>
      <c r="V574" s="1" t="s">
        <v>31</v>
      </c>
      <c r="W574" s="1" t="s">
        <v>27</v>
      </c>
      <c r="X574" s="1" t="str">
        <f>IF(laptop[[#This Row],[PrimaryStorageType]]=laptop[[#This Row],[SecondaryStorageType]],laptop[[#This Row],[PrimaryStorageType]],"SSD &amp; HDD")</f>
        <v>SSD &amp; HDD</v>
      </c>
      <c r="Y574" s="1" t="s">
        <v>94</v>
      </c>
    </row>
    <row r="575" spans="1:25" x14ac:dyDescent="0.25">
      <c r="A575" s="1" t="s">
        <v>73</v>
      </c>
      <c r="B575" s="1" t="s">
        <v>456</v>
      </c>
      <c r="C575" s="1" t="s">
        <v>38</v>
      </c>
      <c r="D575">
        <v>15.6</v>
      </c>
      <c r="E575">
        <v>8</v>
      </c>
      <c r="F575" s="1" t="s">
        <v>48</v>
      </c>
      <c r="G575">
        <v>2.2999999999999998</v>
      </c>
      <c r="H575">
        <v>830</v>
      </c>
      <c r="I575" s="1" t="s">
        <v>40</v>
      </c>
      <c r="J575">
        <v>1920</v>
      </c>
      <c r="K575">
        <v>1080</v>
      </c>
      <c r="L575" s="1" t="s">
        <v>27</v>
      </c>
      <c r="M575" s="1" t="s">
        <v>27</v>
      </c>
      <c r="N575" s="1" t="s">
        <v>27</v>
      </c>
      <c r="O575" s="1" t="s">
        <v>29</v>
      </c>
      <c r="P575">
        <v>2.5</v>
      </c>
      <c r="Q575" s="1" t="s">
        <v>41</v>
      </c>
      <c r="R575" s="1" t="str">
        <f>_xlfn.CONCAT(laptop[[#This Row],[CPU_company]]," ",laptop[[#This Row],[CPU_model]])</f>
        <v>Intel Core i5 7200U</v>
      </c>
      <c r="S575">
        <v>256</v>
      </c>
      <c r="T575">
        <v>0</v>
      </c>
      <c r="U575">
        <f>laptop[[#This Row],[PrimaryStorage]]+laptop[[#This Row],[SecondaryStorage]]</f>
        <v>256</v>
      </c>
      <c r="V575" s="1" t="s">
        <v>31</v>
      </c>
      <c r="W575" s="1" t="s">
        <v>27</v>
      </c>
      <c r="X575" s="1" t="str">
        <f>IF(laptop[[#This Row],[PrimaryStorageType]]=laptop[[#This Row],[SecondaryStorageType]],laptop[[#This Row],[PrimaryStorageType]],"SSD &amp; HDD")</f>
        <v>SSD &amp; HDD</v>
      </c>
      <c r="Y575" s="1" t="s">
        <v>42</v>
      </c>
    </row>
    <row r="576" spans="1:25" x14ac:dyDescent="0.25">
      <c r="A576" s="1" t="s">
        <v>73</v>
      </c>
      <c r="B576" s="1" t="s">
        <v>510</v>
      </c>
      <c r="C576" s="1" t="s">
        <v>38</v>
      </c>
      <c r="D576">
        <v>15.6</v>
      </c>
      <c r="E576">
        <v>4</v>
      </c>
      <c r="F576" s="1" t="s">
        <v>48</v>
      </c>
      <c r="G576">
        <v>2.0499999999999998</v>
      </c>
      <c r="H576">
        <v>685</v>
      </c>
      <c r="I576" s="1" t="s">
        <v>40</v>
      </c>
      <c r="J576">
        <v>1920</v>
      </c>
      <c r="K576">
        <v>1080</v>
      </c>
      <c r="L576" s="1" t="s">
        <v>27</v>
      </c>
      <c r="M576" s="1" t="s">
        <v>27</v>
      </c>
      <c r="N576" s="1" t="s">
        <v>27</v>
      </c>
      <c r="O576" s="1" t="s">
        <v>29</v>
      </c>
      <c r="P576">
        <v>1.6</v>
      </c>
      <c r="Q576" s="1" t="s">
        <v>60</v>
      </c>
      <c r="R576" s="1" t="str">
        <f>_xlfn.CONCAT(laptop[[#This Row],[CPU_company]]," ",laptop[[#This Row],[CPU_model]])</f>
        <v>Intel Core i5 8250U</v>
      </c>
      <c r="S576">
        <v>500</v>
      </c>
      <c r="T576">
        <v>0</v>
      </c>
      <c r="U576">
        <f>laptop[[#This Row],[PrimaryStorage]]+laptop[[#This Row],[SecondaryStorage]]</f>
        <v>500</v>
      </c>
      <c r="V576" s="1" t="s">
        <v>51</v>
      </c>
      <c r="W576" s="1" t="s">
        <v>27</v>
      </c>
      <c r="X576" s="1" t="str">
        <f>IF(laptop[[#This Row],[PrimaryStorageType]]=laptop[[#This Row],[SecondaryStorageType]],laptop[[#This Row],[PrimaryStorageType]],"SSD &amp; HDD")</f>
        <v>SSD &amp; HDD</v>
      </c>
      <c r="Y576" s="1" t="s">
        <v>42</v>
      </c>
    </row>
    <row r="577" spans="1:25" x14ac:dyDescent="0.25">
      <c r="A577" s="1" t="s">
        <v>411</v>
      </c>
      <c r="B577" s="1" t="s">
        <v>511</v>
      </c>
      <c r="C577" s="1" t="s">
        <v>38</v>
      </c>
      <c r="D577">
        <v>14</v>
      </c>
      <c r="E577">
        <v>4</v>
      </c>
      <c r="F577" s="1" t="s">
        <v>48</v>
      </c>
      <c r="G577">
        <v>1.4</v>
      </c>
      <c r="H577">
        <v>249</v>
      </c>
      <c r="I577" s="1" t="s">
        <v>40</v>
      </c>
      <c r="J577">
        <v>1920</v>
      </c>
      <c r="K577">
        <v>1080</v>
      </c>
      <c r="L577" s="1" t="s">
        <v>27</v>
      </c>
      <c r="M577" s="1" t="s">
        <v>27</v>
      </c>
      <c r="N577" s="1" t="s">
        <v>27</v>
      </c>
      <c r="O577" s="1" t="s">
        <v>29</v>
      </c>
      <c r="P577">
        <v>1.44</v>
      </c>
      <c r="Q577" s="1" t="s">
        <v>80</v>
      </c>
      <c r="R577" s="1" t="str">
        <f>_xlfn.CONCAT(laptop[[#This Row],[CPU_company]]," ",laptop[[#This Row],[CPU_model]])</f>
        <v>Intel Atom x5-Z8350</v>
      </c>
      <c r="S577">
        <v>32</v>
      </c>
      <c r="T577">
        <v>0</v>
      </c>
      <c r="U577">
        <f>laptop[[#This Row],[PrimaryStorage]]+laptop[[#This Row],[SecondaryStorage]]</f>
        <v>32</v>
      </c>
      <c r="V577" s="1" t="s">
        <v>31</v>
      </c>
      <c r="W577" s="1" t="s">
        <v>27</v>
      </c>
      <c r="X577" s="1" t="str">
        <f>IF(laptop[[#This Row],[PrimaryStorageType]]=laptop[[#This Row],[SecondaryStorageType]],laptop[[#This Row],[PrimaryStorageType]],"SSD &amp; HDD")</f>
        <v>SSD &amp; HDD</v>
      </c>
      <c r="Y577" s="1" t="s">
        <v>102</v>
      </c>
    </row>
    <row r="578" spans="1:25" x14ac:dyDescent="0.25">
      <c r="A578" s="1" t="s">
        <v>210</v>
      </c>
      <c r="B578" s="1" t="s">
        <v>512</v>
      </c>
      <c r="C578" s="1" t="s">
        <v>24</v>
      </c>
      <c r="D578">
        <v>14</v>
      </c>
      <c r="E578">
        <v>16</v>
      </c>
      <c r="F578" s="1" t="s">
        <v>48</v>
      </c>
      <c r="G578">
        <v>1.24</v>
      </c>
      <c r="H578">
        <v>1865</v>
      </c>
      <c r="I578" s="1" t="s">
        <v>40</v>
      </c>
      <c r="J578">
        <v>1920</v>
      </c>
      <c r="K578">
        <v>1080</v>
      </c>
      <c r="L578" s="1" t="s">
        <v>28</v>
      </c>
      <c r="M578" s="1" t="s">
        <v>27</v>
      </c>
      <c r="N578" s="1" t="s">
        <v>27</v>
      </c>
      <c r="O578" s="1" t="s">
        <v>29</v>
      </c>
      <c r="P578">
        <v>2.7</v>
      </c>
      <c r="Q578" s="1" t="s">
        <v>71</v>
      </c>
      <c r="R578" s="1" t="str">
        <f>_xlfn.CONCAT(laptop[[#This Row],[CPU_company]]," ",laptop[[#This Row],[CPU_model]])</f>
        <v>Intel Core i7 7500U</v>
      </c>
      <c r="S578">
        <v>512</v>
      </c>
      <c r="T578">
        <v>0</v>
      </c>
      <c r="U578">
        <f>laptop[[#This Row],[PrimaryStorage]]+laptop[[#This Row],[SecondaryStorage]]</f>
        <v>512</v>
      </c>
      <c r="V578" s="1" t="s">
        <v>31</v>
      </c>
      <c r="W578" s="1" t="s">
        <v>27</v>
      </c>
      <c r="X578" s="1" t="str">
        <f>IF(laptop[[#This Row],[PrimaryStorageType]]=laptop[[#This Row],[SecondaryStorageType]],laptop[[#This Row],[PrimaryStorageType]],"SSD &amp; HDD")</f>
        <v>SSD &amp; HDD</v>
      </c>
      <c r="Y578" s="1" t="s">
        <v>42</v>
      </c>
    </row>
    <row r="579" spans="1:25" x14ac:dyDescent="0.25">
      <c r="A579" s="1" t="s">
        <v>73</v>
      </c>
      <c r="B579" s="1" t="s">
        <v>513</v>
      </c>
      <c r="C579" s="1" t="s">
        <v>83</v>
      </c>
      <c r="D579">
        <v>17.3</v>
      </c>
      <c r="E579">
        <v>32</v>
      </c>
      <c r="F579" s="1" t="s">
        <v>48</v>
      </c>
      <c r="G579">
        <v>4.5999999999999996</v>
      </c>
      <c r="H579">
        <v>2663</v>
      </c>
      <c r="I579" s="1" t="s">
        <v>40</v>
      </c>
      <c r="J579">
        <v>1920</v>
      </c>
      <c r="K579">
        <v>1080</v>
      </c>
      <c r="L579" s="1" t="s">
        <v>27</v>
      </c>
      <c r="M579" s="1" t="s">
        <v>28</v>
      </c>
      <c r="N579" s="1" t="s">
        <v>27</v>
      </c>
      <c r="O579" s="1" t="s">
        <v>29</v>
      </c>
      <c r="P579">
        <v>2.7</v>
      </c>
      <c r="Q579" s="1" t="s">
        <v>514</v>
      </c>
      <c r="R579" s="1" t="str">
        <f>_xlfn.CONCAT(laptop[[#This Row],[CPU_company]]," ",laptop[[#This Row],[CPU_model]])</f>
        <v>Intel Core i7 6820HK</v>
      </c>
      <c r="S579">
        <v>256</v>
      </c>
      <c r="T579">
        <v>1024</v>
      </c>
      <c r="U579">
        <f>laptop[[#This Row],[PrimaryStorage]]+laptop[[#This Row],[SecondaryStorage]]</f>
        <v>1280</v>
      </c>
      <c r="V579" s="1" t="s">
        <v>31</v>
      </c>
      <c r="W579" s="1" t="s">
        <v>51</v>
      </c>
      <c r="X579" s="1" t="str">
        <f>IF(laptop[[#This Row],[PrimaryStorageType]]=laptop[[#This Row],[SecondaryStorageType]],laptop[[#This Row],[PrimaryStorageType]],"SSD &amp; HDD")</f>
        <v>SSD &amp; HDD</v>
      </c>
      <c r="Y579" s="1" t="s">
        <v>143</v>
      </c>
    </row>
    <row r="580" spans="1:25" x14ac:dyDescent="0.25">
      <c r="A580" s="1" t="s">
        <v>141</v>
      </c>
      <c r="B580" s="1" t="s">
        <v>515</v>
      </c>
      <c r="C580" s="1" t="s">
        <v>83</v>
      </c>
      <c r="D580">
        <v>17.3</v>
      </c>
      <c r="E580">
        <v>16</v>
      </c>
      <c r="F580" s="1" t="s">
        <v>48</v>
      </c>
      <c r="G580">
        <v>4.1399999999999997</v>
      </c>
      <c r="H580">
        <v>2729</v>
      </c>
      <c r="I580" s="1" t="s">
        <v>40</v>
      </c>
      <c r="J580">
        <v>1920</v>
      </c>
      <c r="K580">
        <v>1080</v>
      </c>
      <c r="L580" s="1" t="s">
        <v>27</v>
      </c>
      <c r="M580" s="1" t="s">
        <v>27</v>
      </c>
      <c r="N580" s="1" t="s">
        <v>27</v>
      </c>
      <c r="O580" s="1" t="s">
        <v>29</v>
      </c>
      <c r="P580">
        <v>2.9</v>
      </c>
      <c r="Q580" s="1" t="s">
        <v>258</v>
      </c>
      <c r="R580" s="1" t="str">
        <f>_xlfn.CONCAT(laptop[[#This Row],[CPU_company]]," ",laptop[[#This Row],[CPU_model]])</f>
        <v>Intel Core i7 7820HK</v>
      </c>
      <c r="S580">
        <v>512</v>
      </c>
      <c r="T580">
        <v>1024</v>
      </c>
      <c r="U580">
        <f>laptop[[#This Row],[PrimaryStorage]]+laptop[[#This Row],[SecondaryStorage]]</f>
        <v>1536</v>
      </c>
      <c r="V580" s="1" t="s">
        <v>31</v>
      </c>
      <c r="W580" s="1" t="s">
        <v>51</v>
      </c>
      <c r="X580" s="1" t="str">
        <f>IF(laptop[[#This Row],[PrimaryStorageType]]=laptop[[#This Row],[SecondaryStorageType]],laptop[[#This Row],[PrimaryStorageType]],"SSD &amp; HDD")</f>
        <v>SSD &amp; HDD</v>
      </c>
      <c r="Y580" s="1" t="s">
        <v>143</v>
      </c>
    </row>
    <row r="581" spans="1:25" x14ac:dyDescent="0.25">
      <c r="A581" s="1" t="s">
        <v>65</v>
      </c>
      <c r="B581" s="1" t="s">
        <v>66</v>
      </c>
      <c r="C581" s="1" t="s">
        <v>38</v>
      </c>
      <c r="D581">
        <v>15.6</v>
      </c>
      <c r="E581">
        <v>8</v>
      </c>
      <c r="F581" s="1" t="s">
        <v>111</v>
      </c>
      <c r="G581">
        <v>2.2000000000000002</v>
      </c>
      <c r="H581">
        <v>749.01</v>
      </c>
      <c r="I581" s="1" t="s">
        <v>40</v>
      </c>
      <c r="J581">
        <v>1920</v>
      </c>
      <c r="K581">
        <v>1080</v>
      </c>
      <c r="L581" s="1" t="s">
        <v>27</v>
      </c>
      <c r="M581" s="1" t="s">
        <v>27</v>
      </c>
      <c r="N581" s="1" t="s">
        <v>27</v>
      </c>
      <c r="O581" s="1" t="s">
        <v>29</v>
      </c>
      <c r="P581">
        <v>2.7</v>
      </c>
      <c r="Q581" s="1" t="s">
        <v>71</v>
      </c>
      <c r="R581" s="1" t="str">
        <f>_xlfn.CONCAT(laptop[[#This Row],[CPU_company]]," ",laptop[[#This Row],[CPU_model]])</f>
        <v>Intel Core i7 7500U</v>
      </c>
      <c r="S581">
        <v>256</v>
      </c>
      <c r="T581">
        <v>0</v>
      </c>
      <c r="U581">
        <f>laptop[[#This Row],[PrimaryStorage]]+laptop[[#This Row],[SecondaryStorage]]</f>
        <v>256</v>
      </c>
      <c r="V581" s="1" t="s">
        <v>31</v>
      </c>
      <c r="W581" s="1" t="s">
        <v>27</v>
      </c>
      <c r="X581" s="1" t="str">
        <f>IF(laptop[[#This Row],[PrimaryStorageType]]=laptop[[#This Row],[SecondaryStorageType]],laptop[[#This Row],[PrimaryStorageType]],"SSD &amp; HDD")</f>
        <v>SSD &amp; HDD</v>
      </c>
      <c r="Y581" s="1" t="s">
        <v>67</v>
      </c>
    </row>
    <row r="582" spans="1:25" x14ac:dyDescent="0.25">
      <c r="A582" s="1" t="s">
        <v>411</v>
      </c>
      <c r="B582" s="1" t="s">
        <v>484</v>
      </c>
      <c r="C582" s="1" t="s">
        <v>38</v>
      </c>
      <c r="D582">
        <v>14</v>
      </c>
      <c r="E582">
        <v>4</v>
      </c>
      <c r="F582" s="1" t="s">
        <v>48</v>
      </c>
      <c r="G582">
        <v>1.45</v>
      </c>
      <c r="H582">
        <v>389</v>
      </c>
      <c r="I582" s="1" t="s">
        <v>40</v>
      </c>
      <c r="J582">
        <v>1920</v>
      </c>
      <c r="K582">
        <v>1080</v>
      </c>
      <c r="L582" s="1" t="s">
        <v>27</v>
      </c>
      <c r="M582" s="1" t="s">
        <v>28</v>
      </c>
      <c r="N582" s="1" t="s">
        <v>27</v>
      </c>
      <c r="O582" s="1" t="s">
        <v>29</v>
      </c>
      <c r="P582">
        <v>1.1000000000000001</v>
      </c>
      <c r="Q582" s="1" t="s">
        <v>375</v>
      </c>
      <c r="R582" s="1" t="str">
        <f>_xlfn.CONCAT(laptop[[#This Row],[CPU_company]]," ",laptop[[#This Row],[CPU_model]])</f>
        <v>Intel Celeron Quad Core N3450</v>
      </c>
      <c r="S582">
        <v>32</v>
      </c>
      <c r="T582">
        <v>0</v>
      </c>
      <c r="U582">
        <f>laptop[[#This Row],[PrimaryStorage]]+laptop[[#This Row],[SecondaryStorage]]</f>
        <v>32</v>
      </c>
      <c r="V582" s="1" t="s">
        <v>31</v>
      </c>
      <c r="W582" s="1" t="s">
        <v>27</v>
      </c>
      <c r="X582" s="1" t="str">
        <f>IF(laptop[[#This Row],[PrimaryStorageType]]=laptop[[#This Row],[SecondaryStorageType]],laptop[[#This Row],[PrimaryStorageType]],"SSD &amp; HDD")</f>
        <v>SSD &amp; HDD</v>
      </c>
      <c r="Y582" s="1" t="s">
        <v>110</v>
      </c>
    </row>
    <row r="583" spans="1:25" x14ac:dyDescent="0.25">
      <c r="A583" s="1" t="s">
        <v>65</v>
      </c>
      <c r="B583" s="1" t="s">
        <v>481</v>
      </c>
      <c r="C583" s="1" t="s">
        <v>38</v>
      </c>
      <c r="D583">
        <v>15.6</v>
      </c>
      <c r="E583">
        <v>8</v>
      </c>
      <c r="F583" s="1" t="s">
        <v>48</v>
      </c>
      <c r="G583">
        <v>1.9</v>
      </c>
      <c r="H583">
        <v>1008.52</v>
      </c>
      <c r="I583" s="1" t="s">
        <v>26</v>
      </c>
      <c r="J583">
        <v>1366</v>
      </c>
      <c r="K583">
        <v>768</v>
      </c>
      <c r="L583" s="1" t="s">
        <v>27</v>
      </c>
      <c r="M583" s="1" t="s">
        <v>27</v>
      </c>
      <c r="N583" s="1" t="s">
        <v>27</v>
      </c>
      <c r="O583" s="1" t="s">
        <v>29</v>
      </c>
      <c r="P583">
        <v>2.6</v>
      </c>
      <c r="Q583" s="1" t="s">
        <v>358</v>
      </c>
      <c r="R583" s="1" t="str">
        <f>_xlfn.CONCAT(laptop[[#This Row],[CPU_company]]," ",laptop[[#This Row],[CPU_model]])</f>
        <v>Intel Core i5 7300U</v>
      </c>
      <c r="S583">
        <v>500</v>
      </c>
      <c r="T583">
        <v>0</v>
      </c>
      <c r="U583">
        <f>laptop[[#This Row],[PrimaryStorage]]+laptop[[#This Row],[SecondaryStorage]]</f>
        <v>500</v>
      </c>
      <c r="V583" s="1" t="s">
        <v>51</v>
      </c>
      <c r="W583" s="1" t="s">
        <v>27</v>
      </c>
      <c r="X583" s="1" t="str">
        <f>IF(laptop[[#This Row],[PrimaryStorageType]]=laptop[[#This Row],[SecondaryStorageType]],laptop[[#This Row],[PrimaryStorageType]],"SSD &amp; HDD")</f>
        <v>SSD &amp; HDD</v>
      </c>
      <c r="Y583" s="1" t="s">
        <v>42</v>
      </c>
    </row>
    <row r="584" spans="1:25" x14ac:dyDescent="0.25">
      <c r="A584" s="1" t="s">
        <v>36</v>
      </c>
      <c r="B584" s="1" t="s">
        <v>136</v>
      </c>
      <c r="C584" s="1" t="s">
        <v>38</v>
      </c>
      <c r="D584">
        <v>13.3</v>
      </c>
      <c r="E584">
        <v>4</v>
      </c>
      <c r="F584" s="1" t="s">
        <v>48</v>
      </c>
      <c r="G584">
        <v>1.49</v>
      </c>
      <c r="H584">
        <v>719</v>
      </c>
      <c r="I584" s="1" t="s">
        <v>40</v>
      </c>
      <c r="J584">
        <v>1920</v>
      </c>
      <c r="K584">
        <v>1080</v>
      </c>
      <c r="L584" s="1" t="s">
        <v>27</v>
      </c>
      <c r="M584" s="1" t="s">
        <v>27</v>
      </c>
      <c r="N584" s="1" t="s">
        <v>27</v>
      </c>
      <c r="O584" s="1" t="s">
        <v>29</v>
      </c>
      <c r="P584">
        <v>2.4</v>
      </c>
      <c r="Q584" s="1" t="s">
        <v>75</v>
      </c>
      <c r="R584" s="1" t="str">
        <f>_xlfn.CONCAT(laptop[[#This Row],[CPU_company]]," ",laptop[[#This Row],[CPU_model]])</f>
        <v>Intel Core i3 7100U</v>
      </c>
      <c r="S584">
        <v>128</v>
      </c>
      <c r="T584">
        <v>0</v>
      </c>
      <c r="U584">
        <f>laptop[[#This Row],[PrimaryStorage]]+laptop[[#This Row],[SecondaryStorage]]</f>
        <v>128</v>
      </c>
      <c r="V584" s="1" t="s">
        <v>31</v>
      </c>
      <c r="W584" s="1" t="s">
        <v>27</v>
      </c>
      <c r="X584" s="1" t="str">
        <f>IF(laptop[[#This Row],[PrimaryStorageType]]=laptop[[#This Row],[SecondaryStorageType]],laptop[[#This Row],[PrimaryStorageType]],"SSD &amp; HDD")</f>
        <v>SSD &amp; HDD</v>
      </c>
      <c r="Y584" s="1" t="s">
        <v>42</v>
      </c>
    </row>
    <row r="585" spans="1:25" x14ac:dyDescent="0.25">
      <c r="A585" s="1" t="s">
        <v>65</v>
      </c>
      <c r="B585" s="1" t="s">
        <v>481</v>
      </c>
      <c r="C585" s="1" t="s">
        <v>38</v>
      </c>
      <c r="D585">
        <v>15.6</v>
      </c>
      <c r="E585">
        <v>16</v>
      </c>
      <c r="F585" s="1" t="s">
        <v>48</v>
      </c>
      <c r="G585">
        <v>1.93</v>
      </c>
      <c r="H585">
        <v>1537.39</v>
      </c>
      <c r="I585" s="1" t="s">
        <v>40</v>
      </c>
      <c r="J585">
        <v>1920</v>
      </c>
      <c r="K585">
        <v>1080</v>
      </c>
      <c r="L585" s="1" t="s">
        <v>27</v>
      </c>
      <c r="M585" s="1" t="s">
        <v>27</v>
      </c>
      <c r="N585" s="1" t="s">
        <v>27</v>
      </c>
      <c r="O585" s="1" t="s">
        <v>29</v>
      </c>
      <c r="P585">
        <v>2.8</v>
      </c>
      <c r="Q585" s="1" t="s">
        <v>335</v>
      </c>
      <c r="R585" s="1" t="str">
        <f>_xlfn.CONCAT(laptop[[#This Row],[CPU_company]]," ",laptop[[#This Row],[CPU_model]])</f>
        <v>Intel Core i7 7600U</v>
      </c>
      <c r="S585">
        <v>256</v>
      </c>
      <c r="T585">
        <v>0</v>
      </c>
      <c r="U585">
        <f>laptop[[#This Row],[PrimaryStorage]]+laptop[[#This Row],[SecondaryStorage]]</f>
        <v>256</v>
      </c>
      <c r="V585" s="1" t="s">
        <v>31</v>
      </c>
      <c r="W585" s="1" t="s">
        <v>27</v>
      </c>
      <c r="X585" s="1" t="str">
        <f>IF(laptop[[#This Row],[PrimaryStorageType]]=laptop[[#This Row],[SecondaryStorageType]],laptop[[#This Row],[PrimaryStorageType]],"SSD &amp; HDD")</f>
        <v>SSD &amp; HDD</v>
      </c>
      <c r="Y585" s="1" t="s">
        <v>98</v>
      </c>
    </row>
    <row r="586" spans="1:25" x14ac:dyDescent="0.25">
      <c r="A586" s="1" t="s">
        <v>65</v>
      </c>
      <c r="B586" s="1" t="s">
        <v>516</v>
      </c>
      <c r="C586" s="1" t="s">
        <v>79</v>
      </c>
      <c r="D586">
        <v>11.6</v>
      </c>
      <c r="E586">
        <v>4</v>
      </c>
      <c r="F586" s="1" t="s">
        <v>317</v>
      </c>
      <c r="G586">
        <v>1.26</v>
      </c>
      <c r="H586">
        <v>295</v>
      </c>
      <c r="I586" s="1" t="s">
        <v>26</v>
      </c>
      <c r="J586">
        <v>1366</v>
      </c>
      <c r="K586">
        <v>768</v>
      </c>
      <c r="L586" s="1" t="s">
        <v>27</v>
      </c>
      <c r="M586" s="1" t="s">
        <v>27</v>
      </c>
      <c r="N586" s="1" t="s">
        <v>27</v>
      </c>
      <c r="O586" s="1" t="s">
        <v>29</v>
      </c>
      <c r="P586">
        <v>1.6</v>
      </c>
      <c r="Q586" s="1" t="s">
        <v>151</v>
      </c>
      <c r="R586" s="1" t="str">
        <f>_xlfn.CONCAT(laptop[[#This Row],[CPU_company]]," ",laptop[[#This Row],[CPU_model]])</f>
        <v>Intel Celeron Dual Core N3060</v>
      </c>
      <c r="S586">
        <v>16</v>
      </c>
      <c r="T586">
        <v>0</v>
      </c>
      <c r="U586">
        <f>laptop[[#This Row],[PrimaryStorage]]+laptop[[#This Row],[SecondaryStorage]]</f>
        <v>16</v>
      </c>
      <c r="V586" s="1" t="s">
        <v>34</v>
      </c>
      <c r="W586" s="1" t="s">
        <v>27</v>
      </c>
      <c r="X586" s="1" t="str">
        <f>IF(laptop[[#This Row],[PrimaryStorageType]]=laptop[[#This Row],[SecondaryStorageType]],laptop[[#This Row],[PrimaryStorageType]],"SSD &amp; HDD")</f>
        <v>SSD &amp; HDD</v>
      </c>
      <c r="Y586" s="1" t="s">
        <v>81</v>
      </c>
    </row>
    <row r="587" spans="1:25" x14ac:dyDescent="0.25">
      <c r="A587" s="1" t="s">
        <v>141</v>
      </c>
      <c r="B587" s="1" t="s">
        <v>517</v>
      </c>
      <c r="C587" s="1" t="s">
        <v>83</v>
      </c>
      <c r="D587">
        <v>17.3</v>
      </c>
      <c r="E587">
        <v>16</v>
      </c>
      <c r="F587" s="1" t="s">
        <v>48</v>
      </c>
      <c r="G587">
        <v>4.5</v>
      </c>
      <c r="H587">
        <v>2349</v>
      </c>
      <c r="I587" s="1" t="s">
        <v>40</v>
      </c>
      <c r="J587">
        <v>1920</v>
      </c>
      <c r="K587">
        <v>1080</v>
      </c>
      <c r="L587" s="1" t="s">
        <v>27</v>
      </c>
      <c r="M587" s="1" t="s">
        <v>27</v>
      </c>
      <c r="N587" s="1" t="s">
        <v>27</v>
      </c>
      <c r="O587" s="1" t="s">
        <v>29</v>
      </c>
      <c r="P587">
        <v>2.7</v>
      </c>
      <c r="Q587" s="1" t="s">
        <v>514</v>
      </c>
      <c r="R587" s="1" t="str">
        <f>_xlfn.CONCAT(laptop[[#This Row],[CPU_company]]," ",laptop[[#This Row],[CPU_model]])</f>
        <v>Intel Core i7 6820HK</v>
      </c>
      <c r="S587">
        <v>128</v>
      </c>
      <c r="T587">
        <v>1024</v>
      </c>
      <c r="U587">
        <f>laptop[[#This Row],[PrimaryStorage]]+laptop[[#This Row],[SecondaryStorage]]</f>
        <v>1152</v>
      </c>
      <c r="V587" s="1" t="s">
        <v>31</v>
      </c>
      <c r="W587" s="1" t="s">
        <v>51</v>
      </c>
      <c r="X587" s="1" t="str">
        <f>IF(laptop[[#This Row],[PrimaryStorageType]]=laptop[[#This Row],[SecondaryStorageType]],laptop[[#This Row],[PrimaryStorageType]],"SSD &amp; HDD")</f>
        <v>SSD &amp; HDD</v>
      </c>
      <c r="Y587" s="1" t="s">
        <v>297</v>
      </c>
    </row>
    <row r="588" spans="1:25" x14ac:dyDescent="0.25">
      <c r="A588" s="1" t="s">
        <v>36</v>
      </c>
      <c r="B588" s="1" t="s">
        <v>518</v>
      </c>
      <c r="C588" s="1" t="s">
        <v>83</v>
      </c>
      <c r="D588">
        <v>17.3</v>
      </c>
      <c r="E588">
        <v>16</v>
      </c>
      <c r="F588" s="1" t="s">
        <v>48</v>
      </c>
      <c r="G588">
        <v>3.78</v>
      </c>
      <c r="H588">
        <v>1498</v>
      </c>
      <c r="I588" s="1" t="s">
        <v>40</v>
      </c>
      <c r="J588">
        <v>1920</v>
      </c>
      <c r="K588">
        <v>1080</v>
      </c>
      <c r="L588" s="1" t="s">
        <v>27</v>
      </c>
      <c r="M588" s="1" t="s">
        <v>28</v>
      </c>
      <c r="N588" s="1" t="s">
        <v>27</v>
      </c>
      <c r="O588" s="1" t="s">
        <v>29</v>
      </c>
      <c r="P588">
        <v>2.8</v>
      </c>
      <c r="Q588" s="1" t="s">
        <v>118</v>
      </c>
      <c r="R588" s="1" t="str">
        <f>_xlfn.CONCAT(laptop[[#This Row],[CPU_company]]," ",laptop[[#This Row],[CPU_model]])</f>
        <v>Intel Core i7 7700HQ</v>
      </c>
      <c r="S588">
        <v>256</v>
      </c>
      <c r="T588">
        <v>1024</v>
      </c>
      <c r="U588">
        <f>laptop[[#This Row],[PrimaryStorage]]+laptop[[#This Row],[SecondaryStorage]]</f>
        <v>1280</v>
      </c>
      <c r="V588" s="1" t="s">
        <v>31</v>
      </c>
      <c r="W588" s="1" t="s">
        <v>51</v>
      </c>
      <c r="X588" s="1" t="str">
        <f>IF(laptop[[#This Row],[PrimaryStorageType]]=laptop[[#This Row],[SecondaryStorageType]],laptop[[#This Row],[PrimaryStorageType]],"SSD &amp; HDD")</f>
        <v>SSD &amp; HDD</v>
      </c>
      <c r="Y588" s="1" t="s">
        <v>85</v>
      </c>
    </row>
    <row r="589" spans="1:25" x14ac:dyDescent="0.25">
      <c r="A589" s="1" t="s">
        <v>73</v>
      </c>
      <c r="B589" s="1" t="s">
        <v>444</v>
      </c>
      <c r="C589" s="1" t="s">
        <v>24</v>
      </c>
      <c r="D589">
        <v>14</v>
      </c>
      <c r="E589">
        <v>12</v>
      </c>
      <c r="F589" s="1" t="s">
        <v>48</v>
      </c>
      <c r="G589">
        <v>1.4</v>
      </c>
      <c r="H589">
        <v>1673</v>
      </c>
      <c r="I589" s="1" t="s">
        <v>40</v>
      </c>
      <c r="J589">
        <v>1920</v>
      </c>
      <c r="K589">
        <v>1080</v>
      </c>
      <c r="L589" s="1" t="s">
        <v>27</v>
      </c>
      <c r="M589" s="1" t="s">
        <v>28</v>
      </c>
      <c r="N589" s="1" t="s">
        <v>27</v>
      </c>
      <c r="O589" s="1" t="s">
        <v>29</v>
      </c>
      <c r="P589">
        <v>2.6</v>
      </c>
      <c r="Q589" s="1" t="s">
        <v>309</v>
      </c>
      <c r="R589" s="1" t="str">
        <f>_xlfn.CONCAT(laptop[[#This Row],[CPU_company]]," ",laptop[[#This Row],[CPU_model]])</f>
        <v>Intel Core i7 6600U</v>
      </c>
      <c r="S589">
        <v>256</v>
      </c>
      <c r="T589">
        <v>0</v>
      </c>
      <c r="U589">
        <f>laptop[[#This Row],[PrimaryStorage]]+laptop[[#This Row],[SecondaryStorage]]</f>
        <v>256</v>
      </c>
      <c r="V589" s="1" t="s">
        <v>31</v>
      </c>
      <c r="W589" s="1" t="s">
        <v>27</v>
      </c>
      <c r="X589" s="1" t="str">
        <f>IF(laptop[[#This Row],[PrimaryStorageType]]=laptop[[#This Row],[SecondaryStorageType]],laptop[[#This Row],[PrimaryStorageType]],"SSD &amp; HDD")</f>
        <v>SSD &amp; HDD</v>
      </c>
      <c r="Y589" s="1" t="s">
        <v>63</v>
      </c>
    </row>
    <row r="590" spans="1:25" x14ac:dyDescent="0.25">
      <c r="A590" s="1" t="s">
        <v>73</v>
      </c>
      <c r="B590" s="1" t="s">
        <v>519</v>
      </c>
      <c r="C590" s="1" t="s">
        <v>38</v>
      </c>
      <c r="D590">
        <v>15.6</v>
      </c>
      <c r="E590">
        <v>12</v>
      </c>
      <c r="F590" s="1" t="s">
        <v>48</v>
      </c>
      <c r="G590">
        <v>2.2000000000000002</v>
      </c>
      <c r="H590">
        <v>609</v>
      </c>
      <c r="I590" s="1" t="s">
        <v>26</v>
      </c>
      <c r="J590">
        <v>1366</v>
      </c>
      <c r="K590">
        <v>768</v>
      </c>
      <c r="L590" s="1" t="s">
        <v>28</v>
      </c>
      <c r="M590" s="1" t="s">
        <v>27</v>
      </c>
      <c r="N590" s="1" t="s">
        <v>27</v>
      </c>
      <c r="O590" s="1" t="s">
        <v>29</v>
      </c>
      <c r="P590">
        <v>1.8</v>
      </c>
      <c r="Q590" s="1" t="s">
        <v>57</v>
      </c>
      <c r="R590" s="1" t="str">
        <f>_xlfn.CONCAT(laptop[[#This Row],[CPU_company]]," ",laptop[[#This Row],[CPU_model]])</f>
        <v>Intel Core i7 8550U</v>
      </c>
      <c r="S590">
        <v>1024</v>
      </c>
      <c r="T590">
        <v>0</v>
      </c>
      <c r="U590">
        <f>laptop[[#This Row],[PrimaryStorage]]+laptop[[#This Row],[SecondaryStorage]]</f>
        <v>1024</v>
      </c>
      <c r="V590" s="1" t="s">
        <v>51</v>
      </c>
      <c r="W590" s="1" t="s">
        <v>27</v>
      </c>
      <c r="X590" s="1" t="str">
        <f>IF(laptop[[#This Row],[PrimaryStorageType]]=laptop[[#This Row],[SecondaryStorageType]],laptop[[#This Row],[PrimaryStorageType]],"SSD &amp; HDD")</f>
        <v>SSD &amp; HDD</v>
      </c>
      <c r="Y590" s="1" t="s">
        <v>42</v>
      </c>
    </row>
    <row r="591" spans="1:25" x14ac:dyDescent="0.25">
      <c r="A591" s="1" t="s">
        <v>55</v>
      </c>
      <c r="B591" s="1" t="s">
        <v>379</v>
      </c>
      <c r="C591" s="1" t="s">
        <v>83</v>
      </c>
      <c r="D591">
        <v>17.3</v>
      </c>
      <c r="E591">
        <v>8</v>
      </c>
      <c r="F591" s="1" t="s">
        <v>48</v>
      </c>
      <c r="G591">
        <v>2.73</v>
      </c>
      <c r="H591">
        <v>1770</v>
      </c>
      <c r="I591" s="1" t="s">
        <v>40</v>
      </c>
      <c r="J591">
        <v>1920</v>
      </c>
      <c r="K591">
        <v>1080</v>
      </c>
      <c r="L591" s="1" t="s">
        <v>27</v>
      </c>
      <c r="M591" s="1" t="s">
        <v>28</v>
      </c>
      <c r="N591" s="1" t="s">
        <v>27</v>
      </c>
      <c r="O591" s="1" t="s">
        <v>29</v>
      </c>
      <c r="P591">
        <v>2.5</v>
      </c>
      <c r="Q591" s="1" t="s">
        <v>84</v>
      </c>
      <c r="R591" s="1" t="str">
        <f>_xlfn.CONCAT(laptop[[#This Row],[CPU_company]]," ",laptop[[#This Row],[CPU_model]])</f>
        <v>Intel Core i5 7300HQ</v>
      </c>
      <c r="S591">
        <v>128</v>
      </c>
      <c r="T591">
        <v>1024</v>
      </c>
      <c r="U591">
        <f>laptop[[#This Row],[PrimaryStorage]]+laptop[[#This Row],[SecondaryStorage]]</f>
        <v>1152</v>
      </c>
      <c r="V591" s="1" t="s">
        <v>31</v>
      </c>
      <c r="W591" s="1" t="s">
        <v>51</v>
      </c>
      <c r="X591" s="1" t="str">
        <f>IF(laptop[[#This Row],[PrimaryStorageType]]=laptop[[#This Row],[SecondaryStorageType]],laptop[[#This Row],[PrimaryStorageType]],"SSD &amp; HDD")</f>
        <v>SSD &amp; HDD</v>
      </c>
      <c r="Y591" s="1" t="s">
        <v>119</v>
      </c>
    </row>
    <row r="592" spans="1:25" x14ac:dyDescent="0.25">
      <c r="A592" s="1" t="s">
        <v>55</v>
      </c>
      <c r="B592" s="1" t="s">
        <v>520</v>
      </c>
      <c r="C592" s="1" t="s">
        <v>90</v>
      </c>
      <c r="D592">
        <v>15.6</v>
      </c>
      <c r="E592">
        <v>8</v>
      </c>
      <c r="F592" s="1" t="s">
        <v>48</v>
      </c>
      <c r="G592">
        <v>2.2000000000000002</v>
      </c>
      <c r="H592">
        <v>739</v>
      </c>
      <c r="I592" s="1" t="s">
        <v>26</v>
      </c>
      <c r="J592">
        <v>1366</v>
      </c>
      <c r="K592">
        <v>768</v>
      </c>
      <c r="L592" s="1" t="s">
        <v>28</v>
      </c>
      <c r="M592" s="1" t="s">
        <v>27</v>
      </c>
      <c r="N592" s="1" t="s">
        <v>27</v>
      </c>
      <c r="O592" s="1" t="s">
        <v>29</v>
      </c>
      <c r="P592">
        <v>2.5</v>
      </c>
      <c r="Q592" s="1" t="s">
        <v>41</v>
      </c>
      <c r="R592" s="1" t="str">
        <f>_xlfn.CONCAT(laptop[[#This Row],[CPU_company]]," ",laptop[[#This Row],[CPU_model]])</f>
        <v>Intel Core i5 7200U</v>
      </c>
      <c r="S592">
        <v>1024</v>
      </c>
      <c r="T592">
        <v>0</v>
      </c>
      <c r="U592">
        <f>laptop[[#This Row],[PrimaryStorage]]+laptop[[#This Row],[SecondaryStorage]]</f>
        <v>1024</v>
      </c>
      <c r="V592" s="1" t="s">
        <v>51</v>
      </c>
      <c r="W592" s="1" t="s">
        <v>27</v>
      </c>
      <c r="X592" s="1" t="str">
        <f>IF(laptop[[#This Row],[PrimaryStorageType]]=laptop[[#This Row],[SecondaryStorageType]],laptop[[#This Row],[PrimaryStorageType]],"SSD &amp; HDD")</f>
        <v>SSD &amp; HDD</v>
      </c>
      <c r="Y592" s="1" t="s">
        <v>63</v>
      </c>
    </row>
    <row r="593" spans="1:25" x14ac:dyDescent="0.25">
      <c r="A593" s="1" t="s">
        <v>73</v>
      </c>
      <c r="B593" s="1" t="s">
        <v>362</v>
      </c>
      <c r="C593" s="1" t="s">
        <v>38</v>
      </c>
      <c r="D593">
        <v>15.6</v>
      </c>
      <c r="E593">
        <v>12</v>
      </c>
      <c r="F593" s="1" t="s">
        <v>48</v>
      </c>
      <c r="G593">
        <v>2.2000000000000002</v>
      </c>
      <c r="H593">
        <v>949</v>
      </c>
      <c r="I593" s="1" t="s">
        <v>40</v>
      </c>
      <c r="J593">
        <v>1920</v>
      </c>
      <c r="K593">
        <v>1080</v>
      </c>
      <c r="L593" s="1" t="s">
        <v>27</v>
      </c>
      <c r="M593" s="1" t="s">
        <v>27</v>
      </c>
      <c r="N593" s="1" t="s">
        <v>27</v>
      </c>
      <c r="O593" s="1" t="s">
        <v>49</v>
      </c>
      <c r="P593">
        <v>3.6</v>
      </c>
      <c r="Q593" s="1" t="s">
        <v>350</v>
      </c>
      <c r="R593" s="1" t="str">
        <f>_xlfn.CONCAT(laptop[[#This Row],[CPU_company]]," ",laptop[[#This Row],[CPU_model]])</f>
        <v>AMD A12-Series 9720P</v>
      </c>
      <c r="S593">
        <v>512</v>
      </c>
      <c r="T593">
        <v>0</v>
      </c>
      <c r="U593">
        <f>laptop[[#This Row],[PrimaryStorage]]+laptop[[#This Row],[SecondaryStorage]]</f>
        <v>512</v>
      </c>
      <c r="V593" s="1" t="s">
        <v>31</v>
      </c>
      <c r="W593" s="1" t="s">
        <v>27</v>
      </c>
      <c r="X593" s="1" t="str">
        <f>IF(laptop[[#This Row],[PrimaryStorageType]]=laptop[[#This Row],[SecondaryStorageType]],laptop[[#This Row],[PrimaryStorageType]],"SSD &amp; HDD")</f>
        <v>SSD &amp; HDD</v>
      </c>
      <c r="Y593" s="1" t="s">
        <v>94</v>
      </c>
    </row>
    <row r="594" spans="1:25" x14ac:dyDescent="0.25">
      <c r="A594" s="1" t="s">
        <v>65</v>
      </c>
      <c r="B594" s="1" t="s">
        <v>521</v>
      </c>
      <c r="C594" s="1" t="s">
        <v>90</v>
      </c>
      <c r="D594">
        <v>11.6</v>
      </c>
      <c r="E594">
        <v>4</v>
      </c>
      <c r="F594" s="1" t="s">
        <v>48</v>
      </c>
      <c r="G594">
        <v>1.39</v>
      </c>
      <c r="H594">
        <v>603</v>
      </c>
      <c r="I594" s="1" t="s">
        <v>26</v>
      </c>
      <c r="J594">
        <v>1366</v>
      </c>
      <c r="K594">
        <v>768</v>
      </c>
      <c r="L594" s="1" t="s">
        <v>28</v>
      </c>
      <c r="M594" s="1" t="s">
        <v>27</v>
      </c>
      <c r="N594" s="1" t="s">
        <v>27</v>
      </c>
      <c r="O594" s="1" t="s">
        <v>29</v>
      </c>
      <c r="P594">
        <v>1</v>
      </c>
      <c r="Q594" s="1" t="s">
        <v>522</v>
      </c>
      <c r="R594" s="1" t="str">
        <f>_xlfn.CONCAT(laptop[[#This Row],[CPU_company]]," ",laptop[[#This Row],[CPU_model]])</f>
        <v>Intel Core M 7Y30</v>
      </c>
      <c r="S594">
        <v>128</v>
      </c>
      <c r="T594">
        <v>0</v>
      </c>
      <c r="U594">
        <f>laptop[[#This Row],[PrimaryStorage]]+laptop[[#This Row],[SecondaryStorage]]</f>
        <v>128</v>
      </c>
      <c r="V594" s="1" t="s">
        <v>31</v>
      </c>
      <c r="W594" s="1" t="s">
        <v>27</v>
      </c>
      <c r="X594" s="1" t="str">
        <f>IF(laptop[[#This Row],[PrimaryStorageType]]=laptop[[#This Row],[SecondaryStorageType]],laptop[[#This Row],[PrimaryStorageType]],"SSD &amp; HDD")</f>
        <v>SSD &amp; HDD</v>
      </c>
      <c r="Y594" s="1" t="s">
        <v>70</v>
      </c>
    </row>
    <row r="595" spans="1:25" x14ac:dyDescent="0.25">
      <c r="A595" s="1" t="s">
        <v>413</v>
      </c>
      <c r="B595" s="1" t="s">
        <v>523</v>
      </c>
      <c r="C595" s="1" t="s">
        <v>38</v>
      </c>
      <c r="D595">
        <v>15.6</v>
      </c>
      <c r="E595">
        <v>16</v>
      </c>
      <c r="F595" s="1" t="s">
        <v>48</v>
      </c>
      <c r="G595">
        <v>2.5</v>
      </c>
      <c r="H595">
        <v>1699</v>
      </c>
      <c r="I595" s="1" t="s">
        <v>40</v>
      </c>
      <c r="J595">
        <v>1920</v>
      </c>
      <c r="K595">
        <v>1080</v>
      </c>
      <c r="L595" s="1" t="s">
        <v>27</v>
      </c>
      <c r="M595" s="1" t="s">
        <v>27</v>
      </c>
      <c r="N595" s="1" t="s">
        <v>27</v>
      </c>
      <c r="O595" s="1" t="s">
        <v>29</v>
      </c>
      <c r="P595">
        <v>2.8</v>
      </c>
      <c r="Q595" s="1" t="s">
        <v>118</v>
      </c>
      <c r="R595" s="1" t="str">
        <f>_xlfn.CONCAT(laptop[[#This Row],[CPU_company]]," ",laptop[[#This Row],[CPU_model]])</f>
        <v>Intel Core i7 7700HQ</v>
      </c>
      <c r="S595">
        <v>128</v>
      </c>
      <c r="T595">
        <v>1024</v>
      </c>
      <c r="U595">
        <f>laptop[[#This Row],[PrimaryStorage]]+laptop[[#This Row],[SecondaryStorage]]</f>
        <v>1152</v>
      </c>
      <c r="V595" s="1" t="s">
        <v>31</v>
      </c>
      <c r="W595" s="1" t="s">
        <v>51</v>
      </c>
      <c r="X595" s="1" t="str">
        <f>IF(laptop[[#This Row],[PrimaryStorageType]]=laptop[[#This Row],[SecondaryStorageType]],laptop[[#This Row],[PrimaryStorageType]],"SSD &amp; HDD")</f>
        <v>SSD &amp; HDD</v>
      </c>
      <c r="Y595" s="1" t="s">
        <v>85</v>
      </c>
    </row>
    <row r="596" spans="1:25" x14ac:dyDescent="0.25">
      <c r="A596" s="1" t="s">
        <v>73</v>
      </c>
      <c r="B596" s="1" t="s">
        <v>524</v>
      </c>
      <c r="C596" s="1" t="s">
        <v>38</v>
      </c>
      <c r="D596">
        <v>17.3</v>
      </c>
      <c r="E596">
        <v>4</v>
      </c>
      <c r="F596" s="1" t="s">
        <v>39</v>
      </c>
      <c r="G596">
        <v>2.8</v>
      </c>
      <c r="H596">
        <v>529</v>
      </c>
      <c r="I596" s="1" t="s">
        <v>40</v>
      </c>
      <c r="J596">
        <v>1920</v>
      </c>
      <c r="K596">
        <v>1080</v>
      </c>
      <c r="L596" s="1" t="s">
        <v>27</v>
      </c>
      <c r="M596" s="1" t="s">
        <v>27</v>
      </c>
      <c r="N596" s="1" t="s">
        <v>27</v>
      </c>
      <c r="O596" s="1" t="s">
        <v>29</v>
      </c>
      <c r="P596">
        <v>2</v>
      </c>
      <c r="Q596" s="1" t="s">
        <v>62</v>
      </c>
      <c r="R596" s="1" t="str">
        <f>_xlfn.CONCAT(laptop[[#This Row],[CPU_company]]," ",laptop[[#This Row],[CPU_model]])</f>
        <v>Intel Core i3 6006U</v>
      </c>
      <c r="S596">
        <v>500</v>
      </c>
      <c r="T596">
        <v>0</v>
      </c>
      <c r="U596">
        <f>laptop[[#This Row],[PrimaryStorage]]+laptop[[#This Row],[SecondaryStorage]]</f>
        <v>500</v>
      </c>
      <c r="V596" s="1" t="s">
        <v>51</v>
      </c>
      <c r="W596" s="1" t="s">
        <v>27</v>
      </c>
      <c r="X596" s="1" t="str">
        <f>IF(laptop[[#This Row],[PrimaryStorageType]]=laptop[[#This Row],[SecondaryStorageType]],laptop[[#This Row],[PrimaryStorageType]],"SSD &amp; HDD")</f>
        <v>SSD &amp; HDD</v>
      </c>
      <c r="Y596" s="1" t="s">
        <v>63</v>
      </c>
    </row>
    <row r="597" spans="1:25" x14ac:dyDescent="0.25">
      <c r="A597" s="1" t="s">
        <v>73</v>
      </c>
      <c r="B597" s="1" t="s">
        <v>525</v>
      </c>
      <c r="C597" s="1" t="s">
        <v>38</v>
      </c>
      <c r="D597">
        <v>15.6</v>
      </c>
      <c r="E597">
        <v>8</v>
      </c>
      <c r="F597" s="1" t="s">
        <v>48</v>
      </c>
      <c r="G597">
        <v>2.29</v>
      </c>
      <c r="H597">
        <v>459</v>
      </c>
      <c r="I597" s="1" t="s">
        <v>26</v>
      </c>
      <c r="J597">
        <v>1366</v>
      </c>
      <c r="K597">
        <v>768</v>
      </c>
      <c r="L597" s="1" t="s">
        <v>27</v>
      </c>
      <c r="M597" s="1" t="s">
        <v>27</v>
      </c>
      <c r="N597" s="1" t="s">
        <v>27</v>
      </c>
      <c r="O597" s="1" t="s">
        <v>29</v>
      </c>
      <c r="P597">
        <v>2.2999999999999998</v>
      </c>
      <c r="Q597" s="1" t="s">
        <v>450</v>
      </c>
      <c r="R597" s="1" t="str">
        <f>_xlfn.CONCAT(laptop[[#This Row],[CPU_company]]," ",laptop[[#This Row],[CPU_model]])</f>
        <v>Intel Core i3 6100U</v>
      </c>
      <c r="S597">
        <v>1024</v>
      </c>
      <c r="T597">
        <v>0</v>
      </c>
      <c r="U597">
        <f>laptop[[#This Row],[PrimaryStorage]]+laptop[[#This Row],[SecondaryStorage]]</f>
        <v>1024</v>
      </c>
      <c r="V597" s="1" t="s">
        <v>51</v>
      </c>
      <c r="W597" s="1" t="s">
        <v>27</v>
      </c>
      <c r="X597" s="1" t="str">
        <f>IF(laptop[[#This Row],[PrimaryStorageType]]=laptop[[#This Row],[SecondaryStorageType]],laptop[[#This Row],[PrimaryStorageType]],"SSD &amp; HDD")</f>
        <v>SSD &amp; HDD</v>
      </c>
      <c r="Y597" s="1" t="s">
        <v>63</v>
      </c>
    </row>
    <row r="598" spans="1:25" x14ac:dyDescent="0.25">
      <c r="A598" s="1" t="s">
        <v>73</v>
      </c>
      <c r="B598" s="1" t="s">
        <v>190</v>
      </c>
      <c r="C598" s="1" t="s">
        <v>90</v>
      </c>
      <c r="D598">
        <v>13.3</v>
      </c>
      <c r="E598">
        <v>8</v>
      </c>
      <c r="F598" s="1" t="s">
        <v>48</v>
      </c>
      <c r="G598">
        <v>1.37</v>
      </c>
      <c r="H598">
        <v>2025</v>
      </c>
      <c r="I598" s="1" t="s">
        <v>40</v>
      </c>
      <c r="J598">
        <v>1920</v>
      </c>
      <c r="K598">
        <v>1080</v>
      </c>
      <c r="L598" s="1" t="s">
        <v>28</v>
      </c>
      <c r="M598" s="1" t="s">
        <v>28</v>
      </c>
      <c r="N598" s="1" t="s">
        <v>27</v>
      </c>
      <c r="O598" s="1" t="s">
        <v>29</v>
      </c>
      <c r="P598">
        <v>2.7</v>
      </c>
      <c r="Q598" s="1" t="s">
        <v>71</v>
      </c>
      <c r="R598" s="1" t="str">
        <f>_xlfn.CONCAT(laptop[[#This Row],[CPU_company]]," ",laptop[[#This Row],[CPU_model]])</f>
        <v>Intel Core i7 7500U</v>
      </c>
      <c r="S598">
        <v>512</v>
      </c>
      <c r="T598">
        <v>0</v>
      </c>
      <c r="U598">
        <f>laptop[[#This Row],[PrimaryStorage]]+laptop[[#This Row],[SecondaryStorage]]</f>
        <v>512</v>
      </c>
      <c r="V598" s="1" t="s">
        <v>31</v>
      </c>
      <c r="W598" s="1" t="s">
        <v>27</v>
      </c>
      <c r="X598" s="1" t="str">
        <f>IF(laptop[[#This Row],[PrimaryStorageType]]=laptop[[#This Row],[SecondaryStorageType]],laptop[[#This Row],[PrimaryStorageType]],"SSD &amp; HDD")</f>
        <v>SSD &amp; HDD</v>
      </c>
      <c r="Y598" s="1" t="s">
        <v>42</v>
      </c>
    </row>
    <row r="599" spans="1:25" x14ac:dyDescent="0.25">
      <c r="A599" s="1" t="s">
        <v>73</v>
      </c>
      <c r="B599" s="1" t="s">
        <v>402</v>
      </c>
      <c r="C599" s="1" t="s">
        <v>38</v>
      </c>
      <c r="D599">
        <v>14</v>
      </c>
      <c r="E599">
        <v>8</v>
      </c>
      <c r="F599" s="1" t="s">
        <v>48</v>
      </c>
      <c r="G599">
        <v>1.7</v>
      </c>
      <c r="H599">
        <v>1474</v>
      </c>
      <c r="I599" s="1" t="s">
        <v>40</v>
      </c>
      <c r="J599">
        <v>1920</v>
      </c>
      <c r="K599">
        <v>1080</v>
      </c>
      <c r="L599" s="1" t="s">
        <v>27</v>
      </c>
      <c r="M599" s="1" t="s">
        <v>28</v>
      </c>
      <c r="N599" s="1" t="s">
        <v>27</v>
      </c>
      <c r="O599" s="1" t="s">
        <v>29</v>
      </c>
      <c r="P599">
        <v>2.5</v>
      </c>
      <c r="Q599" s="1" t="s">
        <v>84</v>
      </c>
      <c r="R599" s="1" t="str">
        <f>_xlfn.CONCAT(laptop[[#This Row],[CPU_company]]," ",laptop[[#This Row],[CPU_model]])</f>
        <v>Intel Core i5 7300HQ</v>
      </c>
      <c r="S599">
        <v>256</v>
      </c>
      <c r="T599">
        <v>0</v>
      </c>
      <c r="U599">
        <f>laptop[[#This Row],[PrimaryStorage]]+laptop[[#This Row],[SecondaryStorage]]</f>
        <v>256</v>
      </c>
      <c r="V599" s="1" t="s">
        <v>31</v>
      </c>
      <c r="W599" s="1" t="s">
        <v>27</v>
      </c>
      <c r="X599" s="1" t="str">
        <f>IF(laptop[[#This Row],[PrimaryStorageType]]=laptop[[#This Row],[SecondaryStorageType]],laptop[[#This Row],[PrimaryStorageType]],"SSD &amp; HDD")</f>
        <v>SSD &amp; HDD</v>
      </c>
      <c r="Y599" s="1" t="s">
        <v>315</v>
      </c>
    </row>
    <row r="600" spans="1:25" x14ac:dyDescent="0.25">
      <c r="A600" s="1" t="s">
        <v>65</v>
      </c>
      <c r="B600" s="1" t="s">
        <v>526</v>
      </c>
      <c r="C600" s="1" t="s">
        <v>90</v>
      </c>
      <c r="D600">
        <v>12.5</v>
      </c>
      <c r="E600">
        <v>8</v>
      </c>
      <c r="F600" s="1" t="s">
        <v>48</v>
      </c>
      <c r="G600">
        <v>1.34</v>
      </c>
      <c r="H600">
        <v>1670</v>
      </c>
      <c r="I600" s="1" t="s">
        <v>40</v>
      </c>
      <c r="J600">
        <v>1920</v>
      </c>
      <c r="K600">
        <v>1080</v>
      </c>
      <c r="L600" s="1" t="s">
        <v>28</v>
      </c>
      <c r="M600" s="1" t="s">
        <v>27</v>
      </c>
      <c r="N600" s="1" t="s">
        <v>27</v>
      </c>
      <c r="O600" s="1" t="s">
        <v>29</v>
      </c>
      <c r="P600">
        <v>2.5</v>
      </c>
      <c r="Q600" s="1" t="s">
        <v>41</v>
      </c>
      <c r="R600" s="1" t="str">
        <f>_xlfn.CONCAT(laptop[[#This Row],[CPU_company]]," ",laptop[[#This Row],[CPU_model]])</f>
        <v>Intel Core i5 7200U</v>
      </c>
      <c r="S600">
        <v>256</v>
      </c>
      <c r="T600">
        <v>0</v>
      </c>
      <c r="U600">
        <f>laptop[[#This Row],[PrimaryStorage]]+laptop[[#This Row],[SecondaryStorage]]</f>
        <v>256</v>
      </c>
      <c r="V600" s="1" t="s">
        <v>31</v>
      </c>
      <c r="W600" s="1" t="s">
        <v>27</v>
      </c>
      <c r="X600" s="1" t="str">
        <f>IF(laptop[[#This Row],[PrimaryStorageType]]=laptop[[#This Row],[SecondaryStorageType]],laptop[[#This Row],[PrimaryStorageType]],"SSD &amp; HDD")</f>
        <v>SSD &amp; HDD</v>
      </c>
      <c r="Y600" s="1" t="s">
        <v>42</v>
      </c>
    </row>
    <row r="601" spans="1:25" x14ac:dyDescent="0.25">
      <c r="A601" s="1" t="s">
        <v>65</v>
      </c>
      <c r="B601" s="1" t="s">
        <v>430</v>
      </c>
      <c r="C601" s="1" t="s">
        <v>265</v>
      </c>
      <c r="D601">
        <v>15.6</v>
      </c>
      <c r="E601">
        <v>8</v>
      </c>
      <c r="F601" s="1" t="s">
        <v>48</v>
      </c>
      <c r="G601">
        <v>2.06</v>
      </c>
      <c r="H601">
        <v>1763</v>
      </c>
      <c r="I601" s="1" t="s">
        <v>40</v>
      </c>
      <c r="J601">
        <v>1920</v>
      </c>
      <c r="K601">
        <v>1080</v>
      </c>
      <c r="L601" s="1" t="s">
        <v>28</v>
      </c>
      <c r="M601" s="1" t="s">
        <v>27</v>
      </c>
      <c r="N601" s="1" t="s">
        <v>27</v>
      </c>
      <c r="O601" s="1" t="s">
        <v>29</v>
      </c>
      <c r="P601">
        <v>2.8</v>
      </c>
      <c r="Q601" s="1" t="s">
        <v>118</v>
      </c>
      <c r="R601" s="1" t="str">
        <f>_xlfn.CONCAT(laptop[[#This Row],[CPU_company]]," ",laptop[[#This Row],[CPU_model]])</f>
        <v>Intel Core i7 7700HQ</v>
      </c>
      <c r="S601">
        <v>256</v>
      </c>
      <c r="T601">
        <v>0</v>
      </c>
      <c r="U601">
        <f>laptop[[#This Row],[PrimaryStorage]]+laptop[[#This Row],[SecondaryStorage]]</f>
        <v>256</v>
      </c>
      <c r="V601" s="1" t="s">
        <v>31</v>
      </c>
      <c r="W601" s="1" t="s">
        <v>27</v>
      </c>
      <c r="X601" s="1" t="str">
        <f>IF(laptop[[#This Row],[PrimaryStorageType]]=laptop[[#This Row],[SecondaryStorageType]],laptop[[#This Row],[PrimaryStorageType]],"SSD &amp; HDD")</f>
        <v>SSD &amp; HDD</v>
      </c>
      <c r="Y601" s="1" t="s">
        <v>431</v>
      </c>
    </row>
    <row r="602" spans="1:25" x14ac:dyDescent="0.25">
      <c r="A602" s="1" t="s">
        <v>36</v>
      </c>
      <c r="B602" s="1" t="s">
        <v>527</v>
      </c>
      <c r="C602" s="1" t="s">
        <v>38</v>
      </c>
      <c r="D602">
        <v>15.6</v>
      </c>
      <c r="E602">
        <v>8</v>
      </c>
      <c r="F602" s="1" t="s">
        <v>48</v>
      </c>
      <c r="G602">
        <v>1.84</v>
      </c>
      <c r="H602">
        <v>1219</v>
      </c>
      <c r="I602" s="1" t="s">
        <v>40</v>
      </c>
      <c r="J602">
        <v>1920</v>
      </c>
      <c r="K602">
        <v>1080</v>
      </c>
      <c r="L602" s="1" t="s">
        <v>27</v>
      </c>
      <c r="M602" s="1" t="s">
        <v>27</v>
      </c>
      <c r="N602" s="1" t="s">
        <v>27</v>
      </c>
      <c r="O602" s="1" t="s">
        <v>29</v>
      </c>
      <c r="P602">
        <v>2.7</v>
      </c>
      <c r="Q602" s="1" t="s">
        <v>71</v>
      </c>
      <c r="R602" s="1" t="str">
        <f>_xlfn.CONCAT(laptop[[#This Row],[CPU_company]]," ",laptop[[#This Row],[CPU_model]])</f>
        <v>Intel Core i7 7500U</v>
      </c>
      <c r="S602">
        <v>256</v>
      </c>
      <c r="T602">
        <v>0</v>
      </c>
      <c r="U602">
        <f>laptop[[#This Row],[PrimaryStorage]]+laptop[[#This Row],[SecondaryStorage]]</f>
        <v>256</v>
      </c>
      <c r="V602" s="1" t="s">
        <v>31</v>
      </c>
      <c r="W602" s="1" t="s">
        <v>27</v>
      </c>
      <c r="X602" s="1" t="str">
        <f>IF(laptop[[#This Row],[PrimaryStorageType]]=laptop[[#This Row],[SecondaryStorageType]],laptop[[#This Row],[PrimaryStorageType]],"SSD &amp; HDD")</f>
        <v>SSD &amp; HDD</v>
      </c>
      <c r="Y602" s="1" t="s">
        <v>42</v>
      </c>
    </row>
    <row r="603" spans="1:25" x14ac:dyDescent="0.25">
      <c r="A603" s="1" t="s">
        <v>36</v>
      </c>
      <c r="B603" s="1" t="s">
        <v>114</v>
      </c>
      <c r="C603" s="1" t="s">
        <v>38</v>
      </c>
      <c r="D603">
        <v>15.6</v>
      </c>
      <c r="E603">
        <v>4</v>
      </c>
      <c r="F603" s="1" t="s">
        <v>48</v>
      </c>
      <c r="G603">
        <v>2.1</v>
      </c>
      <c r="H603">
        <v>668.48</v>
      </c>
      <c r="I603" s="1" t="s">
        <v>26</v>
      </c>
      <c r="J603">
        <v>1366</v>
      </c>
      <c r="K603">
        <v>768</v>
      </c>
      <c r="L603" s="1" t="s">
        <v>27</v>
      </c>
      <c r="M603" s="1" t="s">
        <v>27</v>
      </c>
      <c r="N603" s="1" t="s">
        <v>27</v>
      </c>
      <c r="O603" s="1" t="s">
        <v>29</v>
      </c>
      <c r="P603">
        <v>2.4</v>
      </c>
      <c r="Q603" s="1" t="s">
        <v>75</v>
      </c>
      <c r="R603" s="1" t="str">
        <f>_xlfn.CONCAT(laptop[[#This Row],[CPU_company]]," ",laptop[[#This Row],[CPU_model]])</f>
        <v>Intel Core i3 7100U</v>
      </c>
      <c r="S603">
        <v>500</v>
      </c>
      <c r="T603">
        <v>0</v>
      </c>
      <c r="U603">
        <f>laptop[[#This Row],[PrimaryStorage]]+laptop[[#This Row],[SecondaryStorage]]</f>
        <v>500</v>
      </c>
      <c r="V603" s="1" t="s">
        <v>51</v>
      </c>
      <c r="W603" s="1" t="s">
        <v>27</v>
      </c>
      <c r="X603" s="1" t="str">
        <f>IF(laptop[[#This Row],[PrimaryStorageType]]=laptop[[#This Row],[SecondaryStorageType]],laptop[[#This Row],[PrimaryStorageType]],"SSD &amp; HDD")</f>
        <v>SSD &amp; HDD</v>
      </c>
      <c r="Y603" s="1" t="s">
        <v>42</v>
      </c>
    </row>
    <row r="604" spans="1:25" x14ac:dyDescent="0.25">
      <c r="A604" s="1" t="s">
        <v>46</v>
      </c>
      <c r="B604" s="1" t="s">
        <v>528</v>
      </c>
      <c r="C604" s="1" t="s">
        <v>38</v>
      </c>
      <c r="D604">
        <v>14</v>
      </c>
      <c r="E604">
        <v>4</v>
      </c>
      <c r="F604" s="1" t="s">
        <v>48</v>
      </c>
      <c r="G604">
        <v>1.6</v>
      </c>
      <c r="H604">
        <v>329</v>
      </c>
      <c r="I604" s="1" t="s">
        <v>40</v>
      </c>
      <c r="J604">
        <v>1920</v>
      </c>
      <c r="K604">
        <v>1080</v>
      </c>
      <c r="L604" s="1" t="s">
        <v>27</v>
      </c>
      <c r="M604" s="1" t="s">
        <v>27</v>
      </c>
      <c r="N604" s="1" t="s">
        <v>27</v>
      </c>
      <c r="O604" s="1" t="s">
        <v>29</v>
      </c>
      <c r="P604">
        <v>1.1000000000000001</v>
      </c>
      <c r="Q604" s="1" t="s">
        <v>375</v>
      </c>
      <c r="R604" s="1" t="str">
        <f>_xlfn.CONCAT(laptop[[#This Row],[CPU_company]]," ",laptop[[#This Row],[CPU_model]])</f>
        <v>Intel Celeron Quad Core N3450</v>
      </c>
      <c r="S604">
        <v>32</v>
      </c>
      <c r="T604">
        <v>0</v>
      </c>
      <c r="U604">
        <f>laptop[[#This Row],[PrimaryStorage]]+laptop[[#This Row],[SecondaryStorage]]</f>
        <v>32</v>
      </c>
      <c r="V604" s="1" t="s">
        <v>34</v>
      </c>
      <c r="W604" s="1" t="s">
        <v>27</v>
      </c>
      <c r="X604" s="1" t="str">
        <f>IF(laptop[[#This Row],[PrimaryStorageType]]=laptop[[#This Row],[SecondaryStorageType]],laptop[[#This Row],[PrimaryStorageType]],"SSD &amp; HDD")</f>
        <v>SSD &amp; HDD</v>
      </c>
      <c r="Y604" s="1" t="s">
        <v>110</v>
      </c>
    </row>
    <row r="605" spans="1:25" x14ac:dyDescent="0.25">
      <c r="A605" s="1" t="s">
        <v>141</v>
      </c>
      <c r="B605" s="1" t="s">
        <v>529</v>
      </c>
      <c r="C605" s="1" t="s">
        <v>83</v>
      </c>
      <c r="D605">
        <v>17.3</v>
      </c>
      <c r="E605">
        <v>16</v>
      </c>
      <c r="F605" s="1" t="s">
        <v>48</v>
      </c>
      <c r="G605">
        <v>4.1399999999999997</v>
      </c>
      <c r="H605">
        <v>2199</v>
      </c>
      <c r="I605" s="1" t="s">
        <v>40</v>
      </c>
      <c r="J605">
        <v>1920</v>
      </c>
      <c r="K605">
        <v>1080</v>
      </c>
      <c r="L605" s="1" t="s">
        <v>27</v>
      </c>
      <c r="M605" s="1" t="s">
        <v>27</v>
      </c>
      <c r="N605" s="1" t="s">
        <v>27</v>
      </c>
      <c r="O605" s="1" t="s">
        <v>29</v>
      </c>
      <c r="P605">
        <v>2.7</v>
      </c>
      <c r="Q605" s="1" t="s">
        <v>514</v>
      </c>
      <c r="R605" s="1" t="str">
        <f>_xlfn.CONCAT(laptop[[#This Row],[CPU_company]]," ",laptop[[#This Row],[CPU_model]])</f>
        <v>Intel Core i7 6820HK</v>
      </c>
      <c r="S605">
        <v>128</v>
      </c>
      <c r="T605">
        <v>1024</v>
      </c>
      <c r="U605">
        <f>laptop[[#This Row],[PrimaryStorage]]+laptop[[#This Row],[SecondaryStorage]]</f>
        <v>1152</v>
      </c>
      <c r="V605" s="1" t="s">
        <v>31</v>
      </c>
      <c r="W605" s="1" t="s">
        <v>51</v>
      </c>
      <c r="X605" s="1" t="str">
        <f>IF(laptop[[#This Row],[PrimaryStorageType]]=laptop[[#This Row],[SecondaryStorageType]],laptop[[#This Row],[PrimaryStorageType]],"SSD &amp; HDD")</f>
        <v>SSD &amp; HDD</v>
      </c>
      <c r="Y605" s="1" t="s">
        <v>530</v>
      </c>
    </row>
    <row r="606" spans="1:25" x14ac:dyDescent="0.25">
      <c r="A606" s="1" t="s">
        <v>65</v>
      </c>
      <c r="B606" s="1" t="s">
        <v>305</v>
      </c>
      <c r="C606" s="1" t="s">
        <v>38</v>
      </c>
      <c r="D606">
        <v>15.6</v>
      </c>
      <c r="E606">
        <v>4</v>
      </c>
      <c r="F606" s="1" t="s">
        <v>111</v>
      </c>
      <c r="G606">
        <v>2.1800000000000002</v>
      </c>
      <c r="H606">
        <v>465</v>
      </c>
      <c r="I606" s="1" t="s">
        <v>26</v>
      </c>
      <c r="J606">
        <v>1366</v>
      </c>
      <c r="K606">
        <v>768</v>
      </c>
      <c r="L606" s="1" t="s">
        <v>27</v>
      </c>
      <c r="M606" s="1" t="s">
        <v>27</v>
      </c>
      <c r="N606" s="1" t="s">
        <v>27</v>
      </c>
      <c r="O606" s="1" t="s">
        <v>29</v>
      </c>
      <c r="P606">
        <v>2</v>
      </c>
      <c r="Q606" s="1" t="s">
        <v>62</v>
      </c>
      <c r="R606" s="1" t="str">
        <f>_xlfn.CONCAT(laptop[[#This Row],[CPU_company]]," ",laptop[[#This Row],[CPU_model]])</f>
        <v>Intel Core i3 6006U</v>
      </c>
      <c r="S606">
        <v>1024</v>
      </c>
      <c r="T606">
        <v>0</v>
      </c>
      <c r="U606">
        <f>laptop[[#This Row],[PrimaryStorage]]+laptop[[#This Row],[SecondaryStorage]]</f>
        <v>1024</v>
      </c>
      <c r="V606" s="1" t="s">
        <v>51</v>
      </c>
      <c r="W606" s="1" t="s">
        <v>27</v>
      </c>
      <c r="X606" s="1" t="str">
        <f>IF(laptop[[#This Row],[PrimaryStorageType]]=laptop[[#This Row],[SecondaryStorageType]],laptop[[#This Row],[PrimaryStorageType]],"SSD &amp; HDD")</f>
        <v>SSD &amp; HDD</v>
      </c>
      <c r="Y606" s="1" t="s">
        <v>233</v>
      </c>
    </row>
    <row r="607" spans="1:25" x14ac:dyDescent="0.25">
      <c r="A607" s="1" t="s">
        <v>141</v>
      </c>
      <c r="B607" s="1" t="s">
        <v>531</v>
      </c>
      <c r="C607" s="1" t="s">
        <v>83</v>
      </c>
      <c r="D607">
        <v>15.6</v>
      </c>
      <c r="E607">
        <v>16</v>
      </c>
      <c r="F607" s="1" t="s">
        <v>48</v>
      </c>
      <c r="G607">
        <v>1.8</v>
      </c>
      <c r="H607">
        <v>2299</v>
      </c>
      <c r="I607" s="1" t="s">
        <v>215</v>
      </c>
      <c r="J607">
        <v>3840</v>
      </c>
      <c r="K607">
        <v>2160</v>
      </c>
      <c r="L607" s="1" t="s">
        <v>27</v>
      </c>
      <c r="M607" s="1" t="s">
        <v>27</v>
      </c>
      <c r="N607" s="1" t="s">
        <v>27</v>
      </c>
      <c r="O607" s="1" t="s">
        <v>29</v>
      </c>
      <c r="P607">
        <v>2.8</v>
      </c>
      <c r="Q607" s="1" t="s">
        <v>118</v>
      </c>
      <c r="R607" s="1" t="str">
        <f>_xlfn.CONCAT(laptop[[#This Row],[CPU_company]]," ",laptop[[#This Row],[CPU_model]])</f>
        <v>Intel Core i7 7700HQ</v>
      </c>
      <c r="S607">
        <v>256</v>
      </c>
      <c r="T607">
        <v>2048</v>
      </c>
      <c r="U607">
        <f>laptop[[#This Row],[PrimaryStorage]]+laptop[[#This Row],[SecondaryStorage]]</f>
        <v>2304</v>
      </c>
      <c r="V607" s="1" t="s">
        <v>31</v>
      </c>
      <c r="W607" s="1" t="s">
        <v>51</v>
      </c>
      <c r="X607" s="1" t="str">
        <f>IF(laptop[[#This Row],[PrimaryStorageType]]=laptop[[#This Row],[SecondaryStorageType]],laptop[[#This Row],[PrimaryStorageType]],"SSD &amp; HDD")</f>
        <v>SSD &amp; HDD</v>
      </c>
      <c r="Y607" s="1" t="s">
        <v>119</v>
      </c>
    </row>
    <row r="608" spans="1:25" x14ac:dyDescent="0.25">
      <c r="A608" s="1" t="s">
        <v>210</v>
      </c>
      <c r="B608" s="1" t="s">
        <v>532</v>
      </c>
      <c r="C608" s="1" t="s">
        <v>38</v>
      </c>
      <c r="D608">
        <v>15.6</v>
      </c>
      <c r="E608">
        <v>8</v>
      </c>
      <c r="F608" s="1" t="s">
        <v>48</v>
      </c>
      <c r="G608">
        <v>2.2000000000000002</v>
      </c>
      <c r="H608">
        <v>1399</v>
      </c>
      <c r="I608" s="1" t="s">
        <v>40</v>
      </c>
      <c r="J608">
        <v>1920</v>
      </c>
      <c r="K608">
        <v>1080</v>
      </c>
      <c r="L608" s="1" t="s">
        <v>27</v>
      </c>
      <c r="M608" s="1" t="s">
        <v>28</v>
      </c>
      <c r="N608" s="1" t="s">
        <v>27</v>
      </c>
      <c r="O608" s="1" t="s">
        <v>29</v>
      </c>
      <c r="P608">
        <v>2.5</v>
      </c>
      <c r="Q608" s="1" t="s">
        <v>274</v>
      </c>
      <c r="R608" s="1" t="str">
        <f>_xlfn.CONCAT(laptop[[#This Row],[CPU_company]]," ",laptop[[#This Row],[CPU_model]])</f>
        <v>Intel Core i7 6500U</v>
      </c>
      <c r="S608">
        <v>256</v>
      </c>
      <c r="T608">
        <v>0</v>
      </c>
      <c r="U608">
        <f>laptop[[#This Row],[PrimaryStorage]]+laptop[[#This Row],[SecondaryStorage]]</f>
        <v>256</v>
      </c>
      <c r="V608" s="1" t="s">
        <v>31</v>
      </c>
      <c r="W608" s="1" t="s">
        <v>27</v>
      </c>
      <c r="X608" s="1" t="str">
        <f>IF(laptop[[#This Row],[PrimaryStorageType]]=laptop[[#This Row],[SecondaryStorageType]],laptop[[#This Row],[PrimaryStorageType]],"SSD &amp; HDD")</f>
        <v>SSD &amp; HDD</v>
      </c>
      <c r="Y608" s="1" t="s">
        <v>63</v>
      </c>
    </row>
    <row r="609" spans="1:25" x14ac:dyDescent="0.25">
      <c r="A609" s="1" t="s">
        <v>73</v>
      </c>
      <c r="B609" s="1" t="s">
        <v>533</v>
      </c>
      <c r="C609" s="1" t="s">
        <v>38</v>
      </c>
      <c r="D609">
        <v>15.6</v>
      </c>
      <c r="E609">
        <v>6</v>
      </c>
      <c r="F609" s="1" t="s">
        <v>48</v>
      </c>
      <c r="G609">
        <v>2.4</v>
      </c>
      <c r="H609">
        <v>564</v>
      </c>
      <c r="I609" s="1" t="s">
        <v>40</v>
      </c>
      <c r="J609">
        <v>1920</v>
      </c>
      <c r="K609">
        <v>1080</v>
      </c>
      <c r="L609" s="1" t="s">
        <v>27</v>
      </c>
      <c r="M609" s="1" t="s">
        <v>27</v>
      </c>
      <c r="N609" s="1" t="s">
        <v>27</v>
      </c>
      <c r="O609" s="1" t="s">
        <v>29</v>
      </c>
      <c r="P609">
        <v>2.5</v>
      </c>
      <c r="Q609" s="1" t="s">
        <v>41</v>
      </c>
      <c r="R609" s="1" t="str">
        <f>_xlfn.CONCAT(laptop[[#This Row],[CPU_company]]," ",laptop[[#This Row],[CPU_model]])</f>
        <v>Intel Core i5 7200U</v>
      </c>
      <c r="S609">
        <v>1024</v>
      </c>
      <c r="T609">
        <v>0</v>
      </c>
      <c r="U609">
        <f>laptop[[#This Row],[PrimaryStorage]]+laptop[[#This Row],[SecondaryStorage]]</f>
        <v>1024</v>
      </c>
      <c r="V609" s="1" t="s">
        <v>51</v>
      </c>
      <c r="W609" s="1" t="s">
        <v>27</v>
      </c>
      <c r="X609" s="1" t="str">
        <f>IF(laptop[[#This Row],[PrimaryStorageType]]=laptop[[#This Row],[SecondaryStorageType]],laptop[[#This Row],[PrimaryStorageType]],"SSD &amp; HDD")</f>
        <v>SSD &amp; HDD</v>
      </c>
      <c r="Y609" s="1" t="s">
        <v>42</v>
      </c>
    </row>
    <row r="610" spans="1:25" x14ac:dyDescent="0.25">
      <c r="A610" s="1" t="s">
        <v>73</v>
      </c>
      <c r="B610" s="1" t="s">
        <v>304</v>
      </c>
      <c r="C610" s="1" t="s">
        <v>90</v>
      </c>
      <c r="D610">
        <v>15.6</v>
      </c>
      <c r="E610">
        <v>8</v>
      </c>
      <c r="F610" s="1" t="s">
        <v>48</v>
      </c>
      <c r="G610">
        <v>2</v>
      </c>
      <c r="H610">
        <v>1299</v>
      </c>
      <c r="I610" s="1" t="s">
        <v>40</v>
      </c>
      <c r="J610">
        <v>1920</v>
      </c>
      <c r="K610">
        <v>1080</v>
      </c>
      <c r="L610" s="1" t="s">
        <v>28</v>
      </c>
      <c r="M610" s="1" t="s">
        <v>28</v>
      </c>
      <c r="N610" s="1" t="s">
        <v>27</v>
      </c>
      <c r="O610" s="1" t="s">
        <v>29</v>
      </c>
      <c r="P610">
        <v>2.8</v>
      </c>
      <c r="Q610" s="1" t="s">
        <v>118</v>
      </c>
      <c r="R610" s="1" t="str">
        <f>_xlfn.CONCAT(laptop[[#This Row],[CPU_company]]," ",laptop[[#This Row],[CPU_model]])</f>
        <v>Intel Core i7 7700HQ</v>
      </c>
      <c r="S610">
        <v>256</v>
      </c>
      <c r="T610">
        <v>0</v>
      </c>
      <c r="U610">
        <f>laptop[[#This Row],[PrimaryStorage]]+laptop[[#This Row],[SecondaryStorage]]</f>
        <v>256</v>
      </c>
      <c r="V610" s="1" t="s">
        <v>31</v>
      </c>
      <c r="W610" s="1" t="s">
        <v>27</v>
      </c>
      <c r="X610" s="1" t="str">
        <f>IF(laptop[[#This Row],[PrimaryStorageType]]=laptop[[#This Row],[SecondaryStorageType]],laptop[[#This Row],[PrimaryStorageType]],"SSD &amp; HDD")</f>
        <v>SSD &amp; HDD</v>
      </c>
      <c r="Y610" s="1" t="s">
        <v>315</v>
      </c>
    </row>
    <row r="611" spans="1:25" x14ac:dyDescent="0.25">
      <c r="A611" s="1" t="s">
        <v>46</v>
      </c>
      <c r="B611" s="1" t="s">
        <v>534</v>
      </c>
      <c r="C611" s="1" t="s">
        <v>38</v>
      </c>
      <c r="D611">
        <v>14</v>
      </c>
      <c r="E611">
        <v>4</v>
      </c>
      <c r="F611" s="1" t="s">
        <v>48</v>
      </c>
      <c r="G611">
        <v>1.6</v>
      </c>
      <c r="H611">
        <v>349</v>
      </c>
      <c r="I611" s="1" t="s">
        <v>26</v>
      </c>
      <c r="J611">
        <v>1366</v>
      </c>
      <c r="K611">
        <v>768</v>
      </c>
      <c r="L611" s="1" t="s">
        <v>27</v>
      </c>
      <c r="M611" s="1" t="s">
        <v>27</v>
      </c>
      <c r="N611" s="1" t="s">
        <v>27</v>
      </c>
      <c r="O611" s="1" t="s">
        <v>29</v>
      </c>
      <c r="P611">
        <v>1.6</v>
      </c>
      <c r="Q611" s="1" t="s">
        <v>346</v>
      </c>
      <c r="R611" s="1" t="str">
        <f>_xlfn.CONCAT(laptop[[#This Row],[CPU_company]]," ",laptop[[#This Row],[CPU_model]])</f>
        <v>Intel Pentium Quad Core N3710</v>
      </c>
      <c r="S611">
        <v>128</v>
      </c>
      <c r="T611">
        <v>0</v>
      </c>
      <c r="U611">
        <f>laptop[[#This Row],[PrimaryStorage]]+laptop[[#This Row],[SecondaryStorage]]</f>
        <v>128</v>
      </c>
      <c r="V611" s="1" t="s">
        <v>34</v>
      </c>
      <c r="W611" s="1" t="s">
        <v>27</v>
      </c>
      <c r="X611" s="1" t="str">
        <f>IF(laptop[[#This Row],[PrimaryStorageType]]=laptop[[#This Row],[SecondaryStorageType]],laptop[[#This Row],[PrimaryStorageType]],"SSD &amp; HDD")</f>
        <v>SSD &amp; HDD</v>
      </c>
      <c r="Y611" s="1" t="s">
        <v>347</v>
      </c>
    </row>
    <row r="612" spans="1:25" x14ac:dyDescent="0.25">
      <c r="A612" s="1" t="s">
        <v>73</v>
      </c>
      <c r="B612" s="1" t="s">
        <v>417</v>
      </c>
      <c r="C612" s="1" t="s">
        <v>38</v>
      </c>
      <c r="D612">
        <v>15.6</v>
      </c>
      <c r="E612">
        <v>32</v>
      </c>
      <c r="F612" s="1" t="s">
        <v>48</v>
      </c>
      <c r="G612">
        <v>2.5</v>
      </c>
      <c r="H612">
        <v>4899</v>
      </c>
      <c r="I612" s="1" t="s">
        <v>215</v>
      </c>
      <c r="J612">
        <v>3840</v>
      </c>
      <c r="K612">
        <v>2160</v>
      </c>
      <c r="L612" s="1" t="s">
        <v>27</v>
      </c>
      <c r="M612" s="1" t="s">
        <v>28</v>
      </c>
      <c r="N612" s="1" t="s">
        <v>27</v>
      </c>
      <c r="O612" s="1" t="s">
        <v>29</v>
      </c>
      <c r="P612">
        <v>3.1</v>
      </c>
      <c r="Q612" s="1" t="s">
        <v>535</v>
      </c>
      <c r="R612" s="1" t="str">
        <f>_xlfn.CONCAT(laptop[[#This Row],[CPU_company]]," ",laptop[[#This Row],[CPU_model]])</f>
        <v>Intel Xeon E3-1535M v6</v>
      </c>
      <c r="S612">
        <v>1024</v>
      </c>
      <c r="T612">
        <v>0</v>
      </c>
      <c r="U612">
        <f>laptop[[#This Row],[PrimaryStorage]]+laptop[[#This Row],[SecondaryStorage]]</f>
        <v>1024</v>
      </c>
      <c r="V612" s="1" t="s">
        <v>31</v>
      </c>
      <c r="W612" s="1" t="s">
        <v>27</v>
      </c>
      <c r="X612" s="1" t="str">
        <f>IF(laptop[[#This Row],[PrimaryStorageType]]=laptop[[#This Row],[SecondaryStorageType]],laptop[[#This Row],[PrimaryStorageType]],"SSD &amp; HDD")</f>
        <v>SSD &amp; HDD</v>
      </c>
      <c r="Y612" s="1" t="s">
        <v>418</v>
      </c>
    </row>
    <row r="613" spans="1:25" x14ac:dyDescent="0.25">
      <c r="A613" s="1" t="s">
        <v>65</v>
      </c>
      <c r="B613" s="1" t="s">
        <v>536</v>
      </c>
      <c r="C613" s="1" t="s">
        <v>83</v>
      </c>
      <c r="D613">
        <v>15.6</v>
      </c>
      <c r="E613">
        <v>16</v>
      </c>
      <c r="F613" s="1" t="s">
        <v>48</v>
      </c>
      <c r="G613">
        <v>2.59</v>
      </c>
      <c r="H613">
        <v>879.01</v>
      </c>
      <c r="I613" s="1" t="s">
        <v>40</v>
      </c>
      <c r="J613">
        <v>1920</v>
      </c>
      <c r="K613">
        <v>1080</v>
      </c>
      <c r="L613" s="1" t="s">
        <v>27</v>
      </c>
      <c r="M613" s="1" t="s">
        <v>27</v>
      </c>
      <c r="N613" s="1" t="s">
        <v>27</v>
      </c>
      <c r="O613" s="1" t="s">
        <v>29</v>
      </c>
      <c r="P613">
        <v>2.6</v>
      </c>
      <c r="Q613" s="1" t="s">
        <v>447</v>
      </c>
      <c r="R613" s="1" t="str">
        <f>_xlfn.CONCAT(laptop[[#This Row],[CPU_company]]," ",laptop[[#This Row],[CPU_model]])</f>
        <v>Intel Core i7 6700HQ</v>
      </c>
      <c r="S613">
        <v>1024</v>
      </c>
      <c r="T613">
        <v>0</v>
      </c>
      <c r="U613">
        <f>laptop[[#This Row],[PrimaryStorage]]+laptop[[#This Row],[SecondaryStorage]]</f>
        <v>1024</v>
      </c>
      <c r="V613" s="1" t="s">
        <v>51</v>
      </c>
      <c r="W613" s="1" t="s">
        <v>27</v>
      </c>
      <c r="X613" s="1" t="str">
        <f>IF(laptop[[#This Row],[PrimaryStorageType]]=laptop[[#This Row],[SecondaryStorageType]],laptop[[#This Row],[PrimaryStorageType]],"SSD &amp; HDD")</f>
        <v>SSD &amp; HDD</v>
      </c>
      <c r="Y613" s="1" t="s">
        <v>537</v>
      </c>
    </row>
    <row r="614" spans="1:25" x14ac:dyDescent="0.25">
      <c r="A614" s="1" t="s">
        <v>65</v>
      </c>
      <c r="B614" s="1" t="s">
        <v>305</v>
      </c>
      <c r="C614" s="1" t="s">
        <v>38</v>
      </c>
      <c r="D614">
        <v>15.6</v>
      </c>
      <c r="E614">
        <v>4</v>
      </c>
      <c r="F614" s="1" t="s">
        <v>111</v>
      </c>
      <c r="G614">
        <v>2.1800000000000002</v>
      </c>
      <c r="H614">
        <v>443.9</v>
      </c>
      <c r="I614" s="1" t="s">
        <v>26</v>
      </c>
      <c r="J614">
        <v>1366</v>
      </c>
      <c r="K614">
        <v>768</v>
      </c>
      <c r="L614" s="1" t="s">
        <v>27</v>
      </c>
      <c r="M614" s="1" t="s">
        <v>27</v>
      </c>
      <c r="N614" s="1" t="s">
        <v>27</v>
      </c>
      <c r="O614" s="1" t="s">
        <v>29</v>
      </c>
      <c r="P614">
        <v>2</v>
      </c>
      <c r="Q614" s="1" t="s">
        <v>62</v>
      </c>
      <c r="R614" s="1" t="str">
        <f>_xlfn.CONCAT(laptop[[#This Row],[CPU_company]]," ",laptop[[#This Row],[CPU_model]])</f>
        <v>Intel Core i3 6006U</v>
      </c>
      <c r="S614">
        <v>1024</v>
      </c>
      <c r="T614">
        <v>0</v>
      </c>
      <c r="U614">
        <f>laptop[[#This Row],[PrimaryStorage]]+laptop[[#This Row],[SecondaryStorage]]</f>
        <v>1024</v>
      </c>
      <c r="V614" s="1" t="s">
        <v>51</v>
      </c>
      <c r="W614" s="1" t="s">
        <v>27</v>
      </c>
      <c r="X614" s="1" t="str">
        <f>IF(laptop[[#This Row],[PrimaryStorageType]]=laptop[[#This Row],[SecondaryStorageType]],laptop[[#This Row],[PrimaryStorageType]],"SSD &amp; HDD")</f>
        <v>SSD &amp; HDD</v>
      </c>
      <c r="Y614" s="1" t="s">
        <v>63</v>
      </c>
    </row>
    <row r="615" spans="1:25" x14ac:dyDescent="0.25">
      <c r="A615" s="1" t="s">
        <v>65</v>
      </c>
      <c r="B615" s="1" t="s">
        <v>66</v>
      </c>
      <c r="C615" s="1" t="s">
        <v>38</v>
      </c>
      <c r="D615">
        <v>15.6</v>
      </c>
      <c r="E615">
        <v>4</v>
      </c>
      <c r="F615" s="1" t="s">
        <v>111</v>
      </c>
      <c r="G615">
        <v>2.25</v>
      </c>
      <c r="H615">
        <v>359</v>
      </c>
      <c r="I615" s="1" t="s">
        <v>26</v>
      </c>
      <c r="J615">
        <v>1366</v>
      </c>
      <c r="K615">
        <v>768</v>
      </c>
      <c r="L615" s="1" t="s">
        <v>27</v>
      </c>
      <c r="M615" s="1" t="s">
        <v>27</v>
      </c>
      <c r="N615" s="1" t="s">
        <v>27</v>
      </c>
      <c r="O615" s="1" t="s">
        <v>29</v>
      </c>
      <c r="P615">
        <v>2</v>
      </c>
      <c r="Q615" s="1" t="s">
        <v>62</v>
      </c>
      <c r="R615" s="1" t="str">
        <f>_xlfn.CONCAT(laptop[[#This Row],[CPU_company]]," ",laptop[[#This Row],[CPU_model]])</f>
        <v>Intel Core i3 6006U</v>
      </c>
      <c r="S615">
        <v>1024</v>
      </c>
      <c r="T615">
        <v>0</v>
      </c>
      <c r="U615">
        <f>laptop[[#This Row],[PrimaryStorage]]+laptop[[#This Row],[SecondaryStorage]]</f>
        <v>1024</v>
      </c>
      <c r="V615" s="1" t="s">
        <v>51</v>
      </c>
      <c r="W615" s="1" t="s">
        <v>27</v>
      </c>
      <c r="X615" s="1" t="str">
        <f>IF(laptop[[#This Row],[PrimaryStorageType]]=laptop[[#This Row],[SecondaryStorageType]],laptop[[#This Row],[PrimaryStorageType]],"SSD &amp; HDD")</f>
        <v>SSD &amp; HDD</v>
      </c>
      <c r="Y615" s="1" t="s">
        <v>63</v>
      </c>
    </row>
    <row r="616" spans="1:25" x14ac:dyDescent="0.25">
      <c r="A616" s="1" t="s">
        <v>65</v>
      </c>
      <c r="B616" s="1" t="s">
        <v>481</v>
      </c>
      <c r="C616" s="1" t="s">
        <v>38</v>
      </c>
      <c r="D616">
        <v>15.6</v>
      </c>
      <c r="E616">
        <v>4</v>
      </c>
      <c r="F616" s="1" t="s">
        <v>111</v>
      </c>
      <c r="G616">
        <v>1.93</v>
      </c>
      <c r="H616">
        <v>869</v>
      </c>
      <c r="I616" s="1" t="s">
        <v>26</v>
      </c>
      <c r="J616">
        <v>1366</v>
      </c>
      <c r="K616">
        <v>768</v>
      </c>
      <c r="L616" s="1" t="s">
        <v>27</v>
      </c>
      <c r="M616" s="1" t="s">
        <v>27</v>
      </c>
      <c r="N616" s="1" t="s">
        <v>27</v>
      </c>
      <c r="O616" s="1" t="s">
        <v>29</v>
      </c>
      <c r="P616">
        <v>2.6</v>
      </c>
      <c r="Q616" s="1" t="s">
        <v>358</v>
      </c>
      <c r="R616" s="1" t="str">
        <f>_xlfn.CONCAT(laptop[[#This Row],[CPU_company]]," ",laptop[[#This Row],[CPU_model]])</f>
        <v>Intel Core i5 7300U</v>
      </c>
      <c r="S616">
        <v>500</v>
      </c>
      <c r="T616">
        <v>0</v>
      </c>
      <c r="U616">
        <f>laptop[[#This Row],[PrimaryStorage]]+laptop[[#This Row],[SecondaryStorage]]</f>
        <v>500</v>
      </c>
      <c r="V616" s="1" t="s">
        <v>51</v>
      </c>
      <c r="W616" s="1" t="s">
        <v>27</v>
      </c>
      <c r="X616" s="1" t="str">
        <f>IF(laptop[[#This Row],[PrimaryStorageType]]=laptop[[#This Row],[SecondaryStorageType]],laptop[[#This Row],[PrimaryStorageType]],"SSD &amp; HDD")</f>
        <v>SSD &amp; HDD</v>
      </c>
      <c r="Y616" s="1" t="s">
        <v>42</v>
      </c>
    </row>
    <row r="617" spans="1:25" x14ac:dyDescent="0.25">
      <c r="A617" s="1" t="s">
        <v>55</v>
      </c>
      <c r="B617" s="1" t="s">
        <v>538</v>
      </c>
      <c r="C617" s="1" t="s">
        <v>83</v>
      </c>
      <c r="D617">
        <v>17.3</v>
      </c>
      <c r="E617">
        <v>8</v>
      </c>
      <c r="F617" s="1" t="s">
        <v>48</v>
      </c>
      <c r="G617">
        <v>3</v>
      </c>
      <c r="H617">
        <v>1168</v>
      </c>
      <c r="I617" s="1" t="s">
        <v>40</v>
      </c>
      <c r="J617">
        <v>1920</v>
      </c>
      <c r="K617">
        <v>1080</v>
      </c>
      <c r="L617" s="1" t="s">
        <v>27</v>
      </c>
      <c r="M617" s="1" t="s">
        <v>27</v>
      </c>
      <c r="N617" s="1" t="s">
        <v>27</v>
      </c>
      <c r="O617" s="1" t="s">
        <v>29</v>
      </c>
      <c r="P617">
        <v>2.8</v>
      </c>
      <c r="Q617" s="1" t="s">
        <v>118</v>
      </c>
      <c r="R617" s="1" t="str">
        <f>_xlfn.CONCAT(laptop[[#This Row],[CPU_company]]," ",laptop[[#This Row],[CPU_model]])</f>
        <v>Intel Core i7 7700HQ</v>
      </c>
      <c r="S617">
        <v>128</v>
      </c>
      <c r="T617">
        <v>1024</v>
      </c>
      <c r="U617">
        <f>laptop[[#This Row],[PrimaryStorage]]+laptop[[#This Row],[SecondaryStorage]]</f>
        <v>1152</v>
      </c>
      <c r="V617" s="1" t="s">
        <v>31</v>
      </c>
      <c r="W617" s="1" t="s">
        <v>51</v>
      </c>
      <c r="X617" s="1" t="str">
        <f>IF(laptop[[#This Row],[PrimaryStorageType]]=laptop[[#This Row],[SecondaryStorageType]],laptop[[#This Row],[PrimaryStorageType]],"SSD &amp; HDD")</f>
        <v>SSD &amp; HDD</v>
      </c>
      <c r="Y617" s="1" t="s">
        <v>85</v>
      </c>
    </row>
    <row r="618" spans="1:25" x14ac:dyDescent="0.25">
      <c r="A618" s="1" t="s">
        <v>65</v>
      </c>
      <c r="B618" s="1" t="s">
        <v>305</v>
      </c>
      <c r="C618" s="1" t="s">
        <v>38</v>
      </c>
      <c r="D618">
        <v>15.6</v>
      </c>
      <c r="E618">
        <v>4</v>
      </c>
      <c r="F618" s="1" t="s">
        <v>111</v>
      </c>
      <c r="G618">
        <v>2.1800000000000002</v>
      </c>
      <c r="H618">
        <v>569</v>
      </c>
      <c r="I618" s="1" t="s">
        <v>40</v>
      </c>
      <c r="J618">
        <v>1920</v>
      </c>
      <c r="K618">
        <v>1080</v>
      </c>
      <c r="L618" s="1" t="s">
        <v>27</v>
      </c>
      <c r="M618" s="1" t="s">
        <v>27</v>
      </c>
      <c r="N618" s="1" t="s">
        <v>27</v>
      </c>
      <c r="O618" s="1" t="s">
        <v>29</v>
      </c>
      <c r="P618">
        <v>2.5</v>
      </c>
      <c r="Q618" s="1" t="s">
        <v>41</v>
      </c>
      <c r="R618" s="1" t="str">
        <f>_xlfn.CONCAT(laptop[[#This Row],[CPU_company]]," ",laptop[[#This Row],[CPU_model]])</f>
        <v>Intel Core i5 7200U</v>
      </c>
      <c r="S618">
        <v>128</v>
      </c>
      <c r="T618">
        <v>0</v>
      </c>
      <c r="U618">
        <f>laptop[[#This Row],[PrimaryStorage]]+laptop[[#This Row],[SecondaryStorage]]</f>
        <v>128</v>
      </c>
      <c r="V618" s="1" t="s">
        <v>31</v>
      </c>
      <c r="W618" s="1" t="s">
        <v>27</v>
      </c>
      <c r="X618" s="1" t="str">
        <f>IF(laptop[[#This Row],[PrimaryStorageType]]=laptop[[#This Row],[SecondaryStorageType]],laptop[[#This Row],[PrimaryStorageType]],"SSD &amp; HDD")</f>
        <v>SSD &amp; HDD</v>
      </c>
      <c r="Y618" s="1" t="s">
        <v>233</v>
      </c>
    </row>
    <row r="619" spans="1:25" x14ac:dyDescent="0.25">
      <c r="A619" s="1" t="s">
        <v>36</v>
      </c>
      <c r="B619" s="1" t="s">
        <v>527</v>
      </c>
      <c r="C619" s="1" t="s">
        <v>24</v>
      </c>
      <c r="D619">
        <v>15.6</v>
      </c>
      <c r="E619">
        <v>8</v>
      </c>
      <c r="F619" s="1" t="s">
        <v>48</v>
      </c>
      <c r="G619">
        <v>1.84</v>
      </c>
      <c r="H619">
        <v>1389</v>
      </c>
      <c r="I619" s="1" t="s">
        <v>40</v>
      </c>
      <c r="J619">
        <v>1920</v>
      </c>
      <c r="K619">
        <v>1080</v>
      </c>
      <c r="L619" s="1" t="s">
        <v>27</v>
      </c>
      <c r="M619" s="1" t="s">
        <v>27</v>
      </c>
      <c r="N619" s="1" t="s">
        <v>27</v>
      </c>
      <c r="O619" s="1" t="s">
        <v>29</v>
      </c>
      <c r="P619">
        <v>2.7</v>
      </c>
      <c r="Q619" s="1" t="s">
        <v>71</v>
      </c>
      <c r="R619" s="1" t="str">
        <f>_xlfn.CONCAT(laptop[[#This Row],[CPU_company]]," ",laptop[[#This Row],[CPU_model]])</f>
        <v>Intel Core i7 7500U</v>
      </c>
      <c r="S619">
        <v>512</v>
      </c>
      <c r="T619">
        <v>0</v>
      </c>
      <c r="U619">
        <f>laptop[[#This Row],[PrimaryStorage]]+laptop[[#This Row],[SecondaryStorage]]</f>
        <v>512</v>
      </c>
      <c r="V619" s="1" t="s">
        <v>31</v>
      </c>
      <c r="W619" s="1" t="s">
        <v>27</v>
      </c>
      <c r="X619" s="1" t="str">
        <f>IF(laptop[[#This Row],[PrimaryStorageType]]=laptop[[#This Row],[SecondaryStorageType]],laptop[[#This Row],[PrimaryStorageType]],"SSD &amp; HDD")</f>
        <v>SSD &amp; HDD</v>
      </c>
      <c r="Y619" s="1" t="s">
        <v>42</v>
      </c>
    </row>
    <row r="620" spans="1:25" x14ac:dyDescent="0.25">
      <c r="A620" s="1" t="s">
        <v>141</v>
      </c>
      <c r="B620" s="1" t="s">
        <v>539</v>
      </c>
      <c r="C620" s="1" t="s">
        <v>83</v>
      </c>
      <c r="D620">
        <v>15.6</v>
      </c>
      <c r="E620">
        <v>16</v>
      </c>
      <c r="F620" s="1" t="s">
        <v>48</v>
      </c>
      <c r="G620">
        <v>2.94</v>
      </c>
      <c r="H620">
        <v>2267.86</v>
      </c>
      <c r="I620" s="1" t="s">
        <v>40</v>
      </c>
      <c r="J620">
        <v>1920</v>
      </c>
      <c r="K620">
        <v>1080</v>
      </c>
      <c r="L620" s="1" t="s">
        <v>27</v>
      </c>
      <c r="M620" s="1" t="s">
        <v>27</v>
      </c>
      <c r="N620" s="1" t="s">
        <v>27</v>
      </c>
      <c r="O620" s="1" t="s">
        <v>29</v>
      </c>
      <c r="P620">
        <v>2.8</v>
      </c>
      <c r="Q620" s="1" t="s">
        <v>118</v>
      </c>
      <c r="R620" s="1" t="str">
        <f>_xlfn.CONCAT(laptop[[#This Row],[CPU_company]]," ",laptop[[#This Row],[CPU_model]])</f>
        <v>Intel Core i7 7700HQ</v>
      </c>
      <c r="S620">
        <v>256</v>
      </c>
      <c r="T620">
        <v>1024</v>
      </c>
      <c r="U620">
        <f>laptop[[#This Row],[PrimaryStorage]]+laptop[[#This Row],[SecondaryStorage]]</f>
        <v>1280</v>
      </c>
      <c r="V620" s="1" t="s">
        <v>31</v>
      </c>
      <c r="W620" s="1" t="s">
        <v>51</v>
      </c>
      <c r="X620" s="1" t="str">
        <f>IF(laptop[[#This Row],[PrimaryStorageType]]=laptop[[#This Row],[SecondaryStorageType]],laptop[[#This Row],[PrimaryStorageType]],"SSD &amp; HDD")</f>
        <v>SSD &amp; HDD</v>
      </c>
      <c r="Y620" s="1" t="s">
        <v>143</v>
      </c>
    </row>
    <row r="621" spans="1:25" x14ac:dyDescent="0.25">
      <c r="A621" s="1" t="s">
        <v>46</v>
      </c>
      <c r="B621" s="1" t="s">
        <v>540</v>
      </c>
      <c r="C621" s="1" t="s">
        <v>90</v>
      </c>
      <c r="D621">
        <v>11.6</v>
      </c>
      <c r="E621">
        <v>4</v>
      </c>
      <c r="F621" s="1" t="s">
        <v>317</v>
      </c>
      <c r="G621">
        <v>1.25</v>
      </c>
      <c r="H621">
        <v>379</v>
      </c>
      <c r="I621" s="1" t="s">
        <v>26</v>
      </c>
      <c r="J621">
        <v>1366</v>
      </c>
      <c r="K621">
        <v>768</v>
      </c>
      <c r="L621" s="1" t="s">
        <v>28</v>
      </c>
      <c r="M621" s="1" t="s">
        <v>28</v>
      </c>
      <c r="N621" s="1" t="s">
        <v>27</v>
      </c>
      <c r="O621" s="1" t="s">
        <v>29</v>
      </c>
      <c r="P621">
        <v>1.6</v>
      </c>
      <c r="Q621" s="1" t="s">
        <v>541</v>
      </c>
      <c r="R621" s="1" t="str">
        <f>_xlfn.CONCAT(laptop[[#This Row],[CPU_company]]," ",laptop[[#This Row],[CPU_model]])</f>
        <v>Intel Celeron Quad Core N3160</v>
      </c>
      <c r="S621">
        <v>32</v>
      </c>
      <c r="T621">
        <v>0</v>
      </c>
      <c r="U621">
        <f>laptop[[#This Row],[PrimaryStorage]]+laptop[[#This Row],[SecondaryStorage]]</f>
        <v>32</v>
      </c>
      <c r="V621" s="1" t="s">
        <v>34</v>
      </c>
      <c r="W621" s="1" t="s">
        <v>27</v>
      </c>
      <c r="X621" s="1" t="str">
        <f>IF(laptop[[#This Row],[PrimaryStorageType]]=laptop[[#This Row],[SecondaryStorageType]],laptop[[#This Row],[PrimaryStorageType]],"SSD &amp; HDD")</f>
        <v>SSD &amp; HDD</v>
      </c>
      <c r="Y621" s="1" t="s">
        <v>81</v>
      </c>
    </row>
    <row r="622" spans="1:25" x14ac:dyDescent="0.25">
      <c r="A622" s="1" t="s">
        <v>36</v>
      </c>
      <c r="B622" s="1" t="s">
        <v>407</v>
      </c>
      <c r="C622" s="1" t="s">
        <v>38</v>
      </c>
      <c r="D622">
        <v>14</v>
      </c>
      <c r="E622">
        <v>8</v>
      </c>
      <c r="F622" s="1" t="s">
        <v>48</v>
      </c>
      <c r="G622">
        <v>2.31</v>
      </c>
      <c r="H622">
        <v>1124</v>
      </c>
      <c r="I622" s="1" t="s">
        <v>26</v>
      </c>
      <c r="J622">
        <v>1366</v>
      </c>
      <c r="K622">
        <v>768</v>
      </c>
      <c r="L622" s="1" t="s">
        <v>27</v>
      </c>
      <c r="M622" s="1" t="s">
        <v>27</v>
      </c>
      <c r="N622" s="1" t="s">
        <v>27</v>
      </c>
      <c r="O622" s="1" t="s">
        <v>29</v>
      </c>
      <c r="P622">
        <v>2.6</v>
      </c>
      <c r="Q622" s="1" t="s">
        <v>358</v>
      </c>
      <c r="R622" s="1" t="str">
        <f>_xlfn.CONCAT(laptop[[#This Row],[CPU_company]]," ",laptop[[#This Row],[CPU_model]])</f>
        <v>Intel Core i5 7300U</v>
      </c>
      <c r="S622">
        <v>256</v>
      </c>
      <c r="T622">
        <v>0</v>
      </c>
      <c r="U622">
        <f>laptop[[#This Row],[PrimaryStorage]]+laptop[[#This Row],[SecondaryStorage]]</f>
        <v>256</v>
      </c>
      <c r="V622" s="1" t="s">
        <v>31</v>
      </c>
      <c r="W622" s="1" t="s">
        <v>27</v>
      </c>
      <c r="X622" s="1" t="str">
        <f>IF(laptop[[#This Row],[PrimaryStorageType]]=laptop[[#This Row],[SecondaryStorageType]],laptop[[#This Row],[PrimaryStorageType]],"SSD &amp; HDD")</f>
        <v>SSD &amp; HDD</v>
      </c>
      <c r="Y622" s="1" t="s">
        <v>42</v>
      </c>
    </row>
    <row r="623" spans="1:25" x14ac:dyDescent="0.25">
      <c r="A623" s="1" t="s">
        <v>73</v>
      </c>
      <c r="B623" s="1" t="s">
        <v>435</v>
      </c>
      <c r="C623" s="1" t="s">
        <v>38</v>
      </c>
      <c r="D623">
        <v>14</v>
      </c>
      <c r="E623">
        <v>8</v>
      </c>
      <c r="F623" s="1" t="s">
        <v>480</v>
      </c>
      <c r="G623">
        <v>1.65</v>
      </c>
      <c r="H623">
        <v>1465</v>
      </c>
      <c r="I623" s="1" t="s">
        <v>40</v>
      </c>
      <c r="J623">
        <v>1920</v>
      </c>
      <c r="K623">
        <v>1080</v>
      </c>
      <c r="L623" s="1" t="s">
        <v>27</v>
      </c>
      <c r="M623" s="1" t="s">
        <v>27</v>
      </c>
      <c r="N623" s="1" t="s">
        <v>27</v>
      </c>
      <c r="O623" s="1" t="s">
        <v>29</v>
      </c>
      <c r="P623">
        <v>2.2999999999999998</v>
      </c>
      <c r="Q623" s="1" t="s">
        <v>212</v>
      </c>
      <c r="R623" s="1" t="str">
        <f>_xlfn.CONCAT(laptop[[#This Row],[CPU_company]]," ",laptop[[#This Row],[CPU_model]])</f>
        <v>Intel Core i5 6200U</v>
      </c>
      <c r="S623">
        <v>256</v>
      </c>
      <c r="T623">
        <v>0</v>
      </c>
      <c r="U623">
        <f>laptop[[#This Row],[PrimaryStorage]]+laptop[[#This Row],[SecondaryStorage]]</f>
        <v>256</v>
      </c>
      <c r="V623" s="1" t="s">
        <v>31</v>
      </c>
      <c r="W623" s="1" t="s">
        <v>27</v>
      </c>
      <c r="X623" s="1" t="str">
        <f>IF(laptop[[#This Row],[PrimaryStorageType]]=laptop[[#This Row],[SecondaryStorageType]],laptop[[#This Row],[PrimaryStorageType]],"SSD &amp; HDD")</f>
        <v>SSD &amp; HDD</v>
      </c>
      <c r="Y623" s="1" t="s">
        <v>63</v>
      </c>
    </row>
    <row r="624" spans="1:25" x14ac:dyDescent="0.25">
      <c r="A624" s="1" t="s">
        <v>65</v>
      </c>
      <c r="B624" s="1" t="s">
        <v>93</v>
      </c>
      <c r="C624" s="1" t="s">
        <v>38</v>
      </c>
      <c r="D624">
        <v>15.6</v>
      </c>
      <c r="E624">
        <v>4</v>
      </c>
      <c r="F624" s="1" t="s">
        <v>48</v>
      </c>
      <c r="G624">
        <v>2.2000000000000002</v>
      </c>
      <c r="H624">
        <v>776</v>
      </c>
      <c r="I624" s="1" t="s">
        <v>40</v>
      </c>
      <c r="J624">
        <v>1920</v>
      </c>
      <c r="K624">
        <v>1080</v>
      </c>
      <c r="L624" s="1" t="s">
        <v>27</v>
      </c>
      <c r="M624" s="1" t="s">
        <v>27</v>
      </c>
      <c r="N624" s="1" t="s">
        <v>27</v>
      </c>
      <c r="O624" s="1" t="s">
        <v>29</v>
      </c>
      <c r="P624">
        <v>1.6</v>
      </c>
      <c r="Q624" s="1" t="s">
        <v>60</v>
      </c>
      <c r="R624" s="1" t="str">
        <f>_xlfn.CONCAT(laptop[[#This Row],[CPU_company]]," ",laptop[[#This Row],[CPU_model]])</f>
        <v>Intel Core i5 8250U</v>
      </c>
      <c r="S624">
        <v>1024</v>
      </c>
      <c r="T624">
        <v>0</v>
      </c>
      <c r="U624">
        <f>laptop[[#This Row],[PrimaryStorage]]+laptop[[#This Row],[SecondaryStorage]]</f>
        <v>1024</v>
      </c>
      <c r="V624" s="1" t="s">
        <v>51</v>
      </c>
      <c r="W624" s="1" t="s">
        <v>27</v>
      </c>
      <c r="X624" s="1" t="str">
        <f>IF(laptop[[#This Row],[PrimaryStorageType]]=laptop[[#This Row],[SecondaryStorageType]],laptop[[#This Row],[PrimaryStorageType]],"SSD &amp; HDD")</f>
        <v>SSD &amp; HDD</v>
      </c>
      <c r="Y624" s="1" t="s">
        <v>94</v>
      </c>
    </row>
    <row r="625" spans="1:25" x14ac:dyDescent="0.25">
      <c r="A625" s="1" t="s">
        <v>504</v>
      </c>
      <c r="B625" s="1" t="s">
        <v>542</v>
      </c>
      <c r="C625" s="1" t="s">
        <v>38</v>
      </c>
      <c r="D625">
        <v>15.6</v>
      </c>
      <c r="E625">
        <v>8</v>
      </c>
      <c r="F625" s="1" t="s">
        <v>48</v>
      </c>
      <c r="G625">
        <v>2.2000000000000002</v>
      </c>
      <c r="H625">
        <v>799</v>
      </c>
      <c r="I625" s="1" t="s">
        <v>26</v>
      </c>
      <c r="J625">
        <v>1366</v>
      </c>
      <c r="K625">
        <v>768</v>
      </c>
      <c r="L625" s="1" t="s">
        <v>27</v>
      </c>
      <c r="M625" s="1" t="s">
        <v>27</v>
      </c>
      <c r="N625" s="1" t="s">
        <v>27</v>
      </c>
      <c r="O625" s="1" t="s">
        <v>29</v>
      </c>
      <c r="P625">
        <v>2.5</v>
      </c>
      <c r="Q625" s="1" t="s">
        <v>41</v>
      </c>
      <c r="R625" s="1" t="str">
        <f>_xlfn.CONCAT(laptop[[#This Row],[CPU_company]]," ",laptop[[#This Row],[CPU_model]])</f>
        <v>Intel Core i5 7200U</v>
      </c>
      <c r="S625">
        <v>256</v>
      </c>
      <c r="T625">
        <v>0</v>
      </c>
      <c r="U625">
        <f>laptop[[#This Row],[PrimaryStorage]]+laptop[[#This Row],[SecondaryStorage]]</f>
        <v>256</v>
      </c>
      <c r="V625" s="1" t="s">
        <v>31</v>
      </c>
      <c r="W625" s="1" t="s">
        <v>27</v>
      </c>
      <c r="X625" s="1" t="str">
        <f>IF(laptop[[#This Row],[PrimaryStorageType]]=laptop[[#This Row],[SecondaryStorageType]],laptop[[#This Row],[PrimaryStorageType]],"SSD &amp; HDD")</f>
        <v>SSD &amp; HDD</v>
      </c>
      <c r="Y625" s="1" t="s">
        <v>42</v>
      </c>
    </row>
    <row r="626" spans="1:25" x14ac:dyDescent="0.25">
      <c r="A626" s="1" t="s">
        <v>36</v>
      </c>
      <c r="B626" s="1" t="s">
        <v>527</v>
      </c>
      <c r="C626" s="1" t="s">
        <v>38</v>
      </c>
      <c r="D626">
        <v>15.6</v>
      </c>
      <c r="E626">
        <v>4</v>
      </c>
      <c r="F626" s="1" t="s">
        <v>480</v>
      </c>
      <c r="G626">
        <v>1.88</v>
      </c>
      <c r="H626">
        <v>932</v>
      </c>
      <c r="I626" s="1" t="s">
        <v>26</v>
      </c>
      <c r="J626">
        <v>1366</v>
      </c>
      <c r="K626">
        <v>768</v>
      </c>
      <c r="L626" s="1" t="s">
        <v>27</v>
      </c>
      <c r="M626" s="1" t="s">
        <v>27</v>
      </c>
      <c r="N626" s="1" t="s">
        <v>27</v>
      </c>
      <c r="O626" s="1" t="s">
        <v>29</v>
      </c>
      <c r="P626">
        <v>2.2999999999999998</v>
      </c>
      <c r="Q626" s="1" t="s">
        <v>212</v>
      </c>
      <c r="R626" s="1" t="str">
        <f>_xlfn.CONCAT(laptop[[#This Row],[CPU_company]]," ",laptop[[#This Row],[CPU_model]])</f>
        <v>Intel Core i5 6200U</v>
      </c>
      <c r="S626">
        <v>500</v>
      </c>
      <c r="T626">
        <v>0</v>
      </c>
      <c r="U626">
        <f>laptop[[#This Row],[PrimaryStorage]]+laptop[[#This Row],[SecondaryStorage]]</f>
        <v>500</v>
      </c>
      <c r="V626" s="1" t="s">
        <v>51</v>
      </c>
      <c r="W626" s="1" t="s">
        <v>27</v>
      </c>
      <c r="X626" s="1" t="str">
        <f>IF(laptop[[#This Row],[PrimaryStorageType]]=laptop[[#This Row],[SecondaryStorageType]],laptop[[#This Row],[PrimaryStorageType]],"SSD &amp; HDD")</f>
        <v>SSD &amp; HDD</v>
      </c>
      <c r="Y626" s="1" t="s">
        <v>63</v>
      </c>
    </row>
    <row r="627" spans="1:25" x14ac:dyDescent="0.25">
      <c r="A627" s="1" t="s">
        <v>73</v>
      </c>
      <c r="B627" s="1" t="s">
        <v>74</v>
      </c>
      <c r="C627" s="1" t="s">
        <v>38</v>
      </c>
      <c r="D627">
        <v>15.6</v>
      </c>
      <c r="E627">
        <v>8</v>
      </c>
      <c r="F627" s="1" t="s">
        <v>48</v>
      </c>
      <c r="G627">
        <v>2.2000000000000002</v>
      </c>
      <c r="H627">
        <v>899</v>
      </c>
      <c r="I627" s="1" t="s">
        <v>40</v>
      </c>
      <c r="J627">
        <v>1920</v>
      </c>
      <c r="K627">
        <v>1080</v>
      </c>
      <c r="L627" s="1" t="s">
        <v>27</v>
      </c>
      <c r="M627" s="1" t="s">
        <v>27</v>
      </c>
      <c r="N627" s="1" t="s">
        <v>27</v>
      </c>
      <c r="O627" s="1" t="s">
        <v>29</v>
      </c>
      <c r="P627">
        <v>2.7</v>
      </c>
      <c r="Q627" s="1" t="s">
        <v>71</v>
      </c>
      <c r="R627" s="1" t="str">
        <f>_xlfn.CONCAT(laptop[[#This Row],[CPU_company]]," ",laptop[[#This Row],[CPU_model]])</f>
        <v>Intel Core i7 7500U</v>
      </c>
      <c r="S627">
        <v>1024</v>
      </c>
      <c r="T627">
        <v>0</v>
      </c>
      <c r="U627">
        <f>laptop[[#This Row],[PrimaryStorage]]+laptop[[#This Row],[SecondaryStorage]]</f>
        <v>1024</v>
      </c>
      <c r="V627" s="1" t="s">
        <v>51</v>
      </c>
      <c r="W627" s="1" t="s">
        <v>27</v>
      </c>
      <c r="X627" s="1" t="str">
        <f>IF(laptop[[#This Row],[PrimaryStorageType]]=laptop[[#This Row],[SecondaryStorageType]],laptop[[#This Row],[PrimaryStorageType]],"SSD &amp; HDD")</f>
        <v>SSD &amp; HDD</v>
      </c>
      <c r="Y627" s="1" t="s">
        <v>131</v>
      </c>
    </row>
    <row r="628" spans="1:25" x14ac:dyDescent="0.25">
      <c r="A628" s="1" t="s">
        <v>411</v>
      </c>
      <c r="B628" s="1" t="s">
        <v>543</v>
      </c>
      <c r="C628" s="1" t="s">
        <v>38</v>
      </c>
      <c r="D628">
        <v>14</v>
      </c>
      <c r="E628">
        <v>2</v>
      </c>
      <c r="F628" s="1" t="s">
        <v>48</v>
      </c>
      <c r="G628">
        <v>1.4</v>
      </c>
      <c r="H628">
        <v>239</v>
      </c>
      <c r="I628" s="1" t="s">
        <v>40</v>
      </c>
      <c r="J628">
        <v>1920</v>
      </c>
      <c r="K628">
        <v>1080</v>
      </c>
      <c r="L628" s="1" t="s">
        <v>27</v>
      </c>
      <c r="M628" s="1" t="s">
        <v>27</v>
      </c>
      <c r="N628" s="1" t="s">
        <v>27</v>
      </c>
      <c r="O628" s="1" t="s">
        <v>29</v>
      </c>
      <c r="P628">
        <v>1.44</v>
      </c>
      <c r="Q628" s="1" t="s">
        <v>80</v>
      </c>
      <c r="R628" s="1" t="str">
        <f>_xlfn.CONCAT(laptop[[#This Row],[CPU_company]]," ",laptop[[#This Row],[CPU_model]])</f>
        <v>Intel Atom x5-Z8350</v>
      </c>
      <c r="S628">
        <v>32</v>
      </c>
      <c r="T628">
        <v>0</v>
      </c>
      <c r="U628">
        <f>laptop[[#This Row],[PrimaryStorage]]+laptop[[#This Row],[SecondaryStorage]]</f>
        <v>32</v>
      </c>
      <c r="V628" s="1" t="s">
        <v>34</v>
      </c>
      <c r="W628" s="1" t="s">
        <v>27</v>
      </c>
      <c r="X628" s="1" t="str">
        <f>IF(laptop[[#This Row],[PrimaryStorageType]]=laptop[[#This Row],[SecondaryStorageType]],laptop[[#This Row],[PrimaryStorageType]],"SSD &amp; HDD")</f>
        <v>SSD &amp; HDD</v>
      </c>
      <c r="Y628" s="1" t="s">
        <v>102</v>
      </c>
    </row>
    <row r="629" spans="1:25" x14ac:dyDescent="0.25">
      <c r="A629" s="1" t="s">
        <v>73</v>
      </c>
      <c r="B629" s="1" t="s">
        <v>161</v>
      </c>
      <c r="C629" s="1" t="s">
        <v>38</v>
      </c>
      <c r="D629">
        <v>15.6</v>
      </c>
      <c r="E629">
        <v>4</v>
      </c>
      <c r="F629" s="1" t="s">
        <v>39</v>
      </c>
      <c r="G629">
        <v>2.2000000000000002</v>
      </c>
      <c r="H629">
        <v>468</v>
      </c>
      <c r="I629" s="1" t="s">
        <v>40</v>
      </c>
      <c r="J629">
        <v>1920</v>
      </c>
      <c r="K629">
        <v>1080</v>
      </c>
      <c r="L629" s="1" t="s">
        <v>27</v>
      </c>
      <c r="M629" s="1" t="s">
        <v>27</v>
      </c>
      <c r="N629" s="1" t="s">
        <v>27</v>
      </c>
      <c r="O629" s="1" t="s">
        <v>29</v>
      </c>
      <c r="P629">
        <v>2.5</v>
      </c>
      <c r="Q629" s="1" t="s">
        <v>41</v>
      </c>
      <c r="R629" s="1" t="str">
        <f>_xlfn.CONCAT(laptop[[#This Row],[CPU_company]]," ",laptop[[#This Row],[CPU_model]])</f>
        <v>Intel Core i5 7200U</v>
      </c>
      <c r="S629">
        <v>128</v>
      </c>
      <c r="T629">
        <v>0</v>
      </c>
      <c r="U629">
        <f>laptop[[#This Row],[PrimaryStorage]]+laptop[[#This Row],[SecondaryStorage]]</f>
        <v>128</v>
      </c>
      <c r="V629" s="1" t="s">
        <v>31</v>
      </c>
      <c r="W629" s="1" t="s">
        <v>27</v>
      </c>
      <c r="X629" s="1" t="str">
        <f>IF(laptop[[#This Row],[PrimaryStorageType]]=laptop[[#This Row],[SecondaryStorageType]],laptop[[#This Row],[PrimaryStorageType]],"SSD &amp; HDD")</f>
        <v>SSD &amp; HDD</v>
      </c>
      <c r="Y629" s="1" t="s">
        <v>42</v>
      </c>
    </row>
    <row r="630" spans="1:25" x14ac:dyDescent="0.25">
      <c r="A630" s="1" t="s">
        <v>55</v>
      </c>
      <c r="B630" s="1" t="s">
        <v>544</v>
      </c>
      <c r="C630" s="1" t="s">
        <v>90</v>
      </c>
      <c r="D630">
        <v>13.3</v>
      </c>
      <c r="E630">
        <v>6</v>
      </c>
      <c r="F630" s="1" t="s">
        <v>48</v>
      </c>
      <c r="G630">
        <v>1.5</v>
      </c>
      <c r="H630">
        <v>639.01</v>
      </c>
      <c r="I630" s="1" t="s">
        <v>40</v>
      </c>
      <c r="J630">
        <v>1920</v>
      </c>
      <c r="K630">
        <v>1080</v>
      </c>
      <c r="L630" s="1" t="s">
        <v>28</v>
      </c>
      <c r="M630" s="1" t="s">
        <v>27</v>
      </c>
      <c r="N630" s="1" t="s">
        <v>27</v>
      </c>
      <c r="O630" s="1" t="s">
        <v>29</v>
      </c>
      <c r="P630">
        <v>2.5</v>
      </c>
      <c r="Q630" s="1" t="s">
        <v>41</v>
      </c>
      <c r="R630" s="1" t="str">
        <f>_xlfn.CONCAT(laptop[[#This Row],[CPU_company]]," ",laptop[[#This Row],[CPU_model]])</f>
        <v>Intel Core i5 7200U</v>
      </c>
      <c r="S630">
        <v>1024</v>
      </c>
      <c r="T630">
        <v>0</v>
      </c>
      <c r="U630">
        <f>laptop[[#This Row],[PrimaryStorage]]+laptop[[#This Row],[SecondaryStorage]]</f>
        <v>1024</v>
      </c>
      <c r="V630" s="1" t="s">
        <v>51</v>
      </c>
      <c r="W630" s="1" t="s">
        <v>27</v>
      </c>
      <c r="X630" s="1" t="str">
        <f>IF(laptop[[#This Row],[PrimaryStorageType]]=laptop[[#This Row],[SecondaryStorageType]],laptop[[#This Row],[PrimaryStorageType]],"SSD &amp; HDD")</f>
        <v>SSD &amp; HDD</v>
      </c>
      <c r="Y630" s="1" t="s">
        <v>42</v>
      </c>
    </row>
    <row r="631" spans="1:25" x14ac:dyDescent="0.25">
      <c r="A631" s="1" t="s">
        <v>65</v>
      </c>
      <c r="B631" s="1" t="s">
        <v>249</v>
      </c>
      <c r="C631" s="1" t="s">
        <v>38</v>
      </c>
      <c r="D631">
        <v>15.6</v>
      </c>
      <c r="E631">
        <v>8</v>
      </c>
      <c r="F631" s="1" t="s">
        <v>48</v>
      </c>
      <c r="G631">
        <v>2</v>
      </c>
      <c r="H631">
        <v>1820</v>
      </c>
      <c r="I631" s="1" t="s">
        <v>40</v>
      </c>
      <c r="J631">
        <v>1920</v>
      </c>
      <c r="K631">
        <v>1080</v>
      </c>
      <c r="L631" s="1" t="s">
        <v>27</v>
      </c>
      <c r="M631" s="1" t="s">
        <v>27</v>
      </c>
      <c r="N631" s="1" t="s">
        <v>27</v>
      </c>
      <c r="O631" s="1" t="s">
        <v>29</v>
      </c>
      <c r="P631">
        <v>2.8</v>
      </c>
      <c r="Q631" s="1" t="s">
        <v>118</v>
      </c>
      <c r="R631" s="1" t="str">
        <f>_xlfn.CONCAT(laptop[[#This Row],[CPU_company]]," ",laptop[[#This Row],[CPU_model]])</f>
        <v>Intel Core i7 7700HQ</v>
      </c>
      <c r="S631">
        <v>256</v>
      </c>
      <c r="T631">
        <v>0</v>
      </c>
      <c r="U631">
        <f>laptop[[#This Row],[PrimaryStorage]]+laptop[[#This Row],[SecondaryStorage]]</f>
        <v>256</v>
      </c>
      <c r="V631" s="1" t="s">
        <v>31</v>
      </c>
      <c r="W631" s="1" t="s">
        <v>27</v>
      </c>
      <c r="X631" s="1" t="str">
        <f>IF(laptop[[#This Row],[PrimaryStorageType]]=laptop[[#This Row],[SecondaryStorageType]],laptop[[#This Row],[PrimaryStorageType]],"SSD &amp; HDD")</f>
        <v>SSD &amp; HDD</v>
      </c>
      <c r="Y631" s="1" t="s">
        <v>85</v>
      </c>
    </row>
    <row r="632" spans="1:25" x14ac:dyDescent="0.25">
      <c r="A632" s="1" t="s">
        <v>55</v>
      </c>
      <c r="B632" s="1" t="s">
        <v>545</v>
      </c>
      <c r="C632" s="1" t="s">
        <v>24</v>
      </c>
      <c r="D632">
        <v>14</v>
      </c>
      <c r="E632">
        <v>16</v>
      </c>
      <c r="F632" s="1" t="s">
        <v>48</v>
      </c>
      <c r="G632">
        <v>1.1000000000000001</v>
      </c>
      <c r="H632">
        <v>1900</v>
      </c>
      <c r="I632" s="1" t="s">
        <v>40</v>
      </c>
      <c r="J632">
        <v>1920</v>
      </c>
      <c r="K632">
        <v>1080</v>
      </c>
      <c r="L632" s="1" t="s">
        <v>27</v>
      </c>
      <c r="M632" s="1" t="s">
        <v>27</v>
      </c>
      <c r="N632" s="1" t="s">
        <v>27</v>
      </c>
      <c r="O632" s="1" t="s">
        <v>29</v>
      </c>
      <c r="P632">
        <v>2.7</v>
      </c>
      <c r="Q632" s="1" t="s">
        <v>71</v>
      </c>
      <c r="R632" s="1" t="str">
        <f>_xlfn.CONCAT(laptop[[#This Row],[CPU_company]]," ",laptop[[#This Row],[CPU_model]])</f>
        <v>Intel Core i7 7500U</v>
      </c>
      <c r="S632">
        <v>512</v>
      </c>
      <c r="T632">
        <v>0</v>
      </c>
      <c r="U632">
        <f>laptop[[#This Row],[PrimaryStorage]]+laptop[[#This Row],[SecondaryStorage]]</f>
        <v>512</v>
      </c>
      <c r="V632" s="1" t="s">
        <v>31</v>
      </c>
      <c r="W632" s="1" t="s">
        <v>27</v>
      </c>
      <c r="X632" s="1" t="str">
        <f>IF(laptop[[#This Row],[PrimaryStorageType]]=laptop[[#This Row],[SecondaryStorageType]],laptop[[#This Row],[PrimaryStorageType]],"SSD &amp; HDD")</f>
        <v>SSD &amp; HDD</v>
      </c>
      <c r="Y632" s="1" t="s">
        <v>42</v>
      </c>
    </row>
    <row r="633" spans="1:25" x14ac:dyDescent="0.25">
      <c r="A633" s="1" t="s">
        <v>65</v>
      </c>
      <c r="B633" s="1" t="s">
        <v>222</v>
      </c>
      <c r="C633" s="1" t="s">
        <v>83</v>
      </c>
      <c r="D633">
        <v>15.6</v>
      </c>
      <c r="E633">
        <v>16</v>
      </c>
      <c r="F633" s="1" t="s">
        <v>48</v>
      </c>
      <c r="G633">
        <v>2.62</v>
      </c>
      <c r="H633">
        <v>1479</v>
      </c>
      <c r="I633" s="1" t="s">
        <v>40</v>
      </c>
      <c r="J633">
        <v>1920</v>
      </c>
      <c r="K633">
        <v>1080</v>
      </c>
      <c r="L633" s="1" t="s">
        <v>27</v>
      </c>
      <c r="M633" s="1" t="s">
        <v>27</v>
      </c>
      <c r="N633" s="1" t="s">
        <v>27</v>
      </c>
      <c r="O633" s="1" t="s">
        <v>29</v>
      </c>
      <c r="P633">
        <v>2.8</v>
      </c>
      <c r="Q633" s="1" t="s">
        <v>118</v>
      </c>
      <c r="R633" s="1" t="str">
        <f>_xlfn.CONCAT(laptop[[#This Row],[CPU_company]]," ",laptop[[#This Row],[CPU_model]])</f>
        <v>Intel Core i7 7700HQ</v>
      </c>
      <c r="S633">
        <v>256</v>
      </c>
      <c r="T633">
        <v>1024</v>
      </c>
      <c r="U633">
        <f>laptop[[#This Row],[PrimaryStorage]]+laptop[[#This Row],[SecondaryStorage]]</f>
        <v>1280</v>
      </c>
      <c r="V633" s="1" t="s">
        <v>31</v>
      </c>
      <c r="W633" s="1" t="s">
        <v>51</v>
      </c>
      <c r="X633" s="1" t="str">
        <f>IF(laptop[[#This Row],[PrimaryStorageType]]=laptop[[#This Row],[SecondaryStorageType]],laptop[[#This Row],[PrimaryStorageType]],"SSD &amp; HDD")</f>
        <v>SSD &amp; HDD</v>
      </c>
      <c r="Y633" s="1" t="s">
        <v>149</v>
      </c>
    </row>
    <row r="634" spans="1:25" x14ac:dyDescent="0.25">
      <c r="A634" s="1" t="s">
        <v>73</v>
      </c>
      <c r="B634" s="1" t="s">
        <v>546</v>
      </c>
      <c r="C634" s="1" t="s">
        <v>38</v>
      </c>
      <c r="D634">
        <v>15.6</v>
      </c>
      <c r="E634">
        <v>4</v>
      </c>
      <c r="F634" s="1" t="s">
        <v>48</v>
      </c>
      <c r="G634">
        <v>1.8</v>
      </c>
      <c r="H634">
        <v>829</v>
      </c>
      <c r="I634" s="1" t="s">
        <v>40</v>
      </c>
      <c r="J634">
        <v>1920</v>
      </c>
      <c r="K634">
        <v>1080</v>
      </c>
      <c r="L634" s="1" t="s">
        <v>27</v>
      </c>
      <c r="M634" s="1" t="s">
        <v>27</v>
      </c>
      <c r="N634" s="1" t="s">
        <v>27</v>
      </c>
      <c r="O634" s="1" t="s">
        <v>29</v>
      </c>
      <c r="P634">
        <v>1.6</v>
      </c>
      <c r="Q634" s="1" t="s">
        <v>60</v>
      </c>
      <c r="R634" s="1" t="str">
        <f>_xlfn.CONCAT(laptop[[#This Row],[CPU_company]]," ",laptop[[#This Row],[CPU_model]])</f>
        <v>Intel Core i5 8250U</v>
      </c>
      <c r="S634">
        <v>256</v>
      </c>
      <c r="T634">
        <v>0</v>
      </c>
      <c r="U634">
        <f>laptop[[#This Row],[PrimaryStorage]]+laptop[[#This Row],[SecondaryStorage]]</f>
        <v>256</v>
      </c>
      <c r="V634" s="1" t="s">
        <v>31</v>
      </c>
      <c r="W634" s="1" t="s">
        <v>27</v>
      </c>
      <c r="X634" s="1" t="str">
        <f>IF(laptop[[#This Row],[PrimaryStorageType]]=laptop[[#This Row],[SecondaryStorageType]],laptop[[#This Row],[PrimaryStorageType]],"SSD &amp; HDD")</f>
        <v>SSD &amp; HDD</v>
      </c>
      <c r="Y634" s="1" t="s">
        <v>61</v>
      </c>
    </row>
    <row r="635" spans="1:25" x14ac:dyDescent="0.25">
      <c r="A635" s="1" t="s">
        <v>73</v>
      </c>
      <c r="B635" s="1" t="s">
        <v>547</v>
      </c>
      <c r="C635" s="1" t="s">
        <v>38</v>
      </c>
      <c r="D635">
        <v>15.6</v>
      </c>
      <c r="E635">
        <v>4</v>
      </c>
      <c r="F635" s="1" t="s">
        <v>48</v>
      </c>
      <c r="G635">
        <v>2.2000000000000002</v>
      </c>
      <c r="H635">
        <v>579</v>
      </c>
      <c r="I635" s="1" t="s">
        <v>40</v>
      </c>
      <c r="J635">
        <v>1920</v>
      </c>
      <c r="K635">
        <v>1080</v>
      </c>
      <c r="L635" s="1" t="s">
        <v>27</v>
      </c>
      <c r="M635" s="1" t="s">
        <v>27</v>
      </c>
      <c r="N635" s="1" t="s">
        <v>27</v>
      </c>
      <c r="O635" s="1" t="s">
        <v>29</v>
      </c>
      <c r="P635">
        <v>2</v>
      </c>
      <c r="Q635" s="1" t="s">
        <v>62</v>
      </c>
      <c r="R635" s="1" t="str">
        <f>_xlfn.CONCAT(laptop[[#This Row],[CPU_company]]," ",laptop[[#This Row],[CPU_model]])</f>
        <v>Intel Core i3 6006U</v>
      </c>
      <c r="S635">
        <v>1024</v>
      </c>
      <c r="T635">
        <v>0</v>
      </c>
      <c r="U635">
        <f>laptop[[#This Row],[PrimaryStorage]]+laptop[[#This Row],[SecondaryStorage]]</f>
        <v>1024</v>
      </c>
      <c r="V635" s="1" t="s">
        <v>51</v>
      </c>
      <c r="W635" s="1" t="s">
        <v>27</v>
      </c>
      <c r="X635" s="1" t="str">
        <f>IF(laptop[[#This Row],[PrimaryStorageType]]=laptop[[#This Row],[SecondaryStorageType]],laptop[[#This Row],[PrimaryStorageType]],"SSD &amp; HDD")</f>
        <v>SSD &amp; HDD</v>
      </c>
      <c r="Y635" s="1" t="s">
        <v>277</v>
      </c>
    </row>
    <row r="636" spans="1:25" x14ac:dyDescent="0.25">
      <c r="A636" s="1" t="s">
        <v>55</v>
      </c>
      <c r="B636" s="1" t="s">
        <v>548</v>
      </c>
      <c r="C636" s="1" t="s">
        <v>38</v>
      </c>
      <c r="D636">
        <v>15.6</v>
      </c>
      <c r="E636">
        <v>8</v>
      </c>
      <c r="F636" s="1" t="s">
        <v>48</v>
      </c>
      <c r="G636">
        <v>2</v>
      </c>
      <c r="H636">
        <v>399</v>
      </c>
      <c r="I636" s="1" t="s">
        <v>26</v>
      </c>
      <c r="J636">
        <v>1366</v>
      </c>
      <c r="K636">
        <v>768</v>
      </c>
      <c r="L636" s="1" t="s">
        <v>27</v>
      </c>
      <c r="M636" s="1" t="s">
        <v>27</v>
      </c>
      <c r="N636" s="1" t="s">
        <v>27</v>
      </c>
      <c r="O636" s="1" t="s">
        <v>29</v>
      </c>
      <c r="P636">
        <v>1.1000000000000001</v>
      </c>
      <c r="Q636" s="1" t="s">
        <v>109</v>
      </c>
      <c r="R636" s="1" t="str">
        <f>_xlfn.CONCAT(laptop[[#This Row],[CPU_company]]," ",laptop[[#This Row],[CPU_model]])</f>
        <v>Intel Celeron Dual Core N3350</v>
      </c>
      <c r="S636">
        <v>1024</v>
      </c>
      <c r="T636">
        <v>0</v>
      </c>
      <c r="U636">
        <f>laptop[[#This Row],[PrimaryStorage]]+laptop[[#This Row],[SecondaryStorage]]</f>
        <v>1024</v>
      </c>
      <c r="V636" s="1" t="s">
        <v>51</v>
      </c>
      <c r="W636" s="1" t="s">
        <v>27</v>
      </c>
      <c r="X636" s="1" t="str">
        <f>IF(laptop[[#This Row],[PrimaryStorageType]]=laptop[[#This Row],[SecondaryStorageType]],laptop[[#This Row],[PrimaryStorageType]],"SSD &amp; HDD")</f>
        <v>SSD &amp; HDD</v>
      </c>
      <c r="Y636" s="1" t="s">
        <v>110</v>
      </c>
    </row>
    <row r="637" spans="1:25" x14ac:dyDescent="0.25">
      <c r="A637" s="1" t="s">
        <v>55</v>
      </c>
      <c r="B637" s="1" t="s">
        <v>291</v>
      </c>
      <c r="C637" s="1" t="s">
        <v>38</v>
      </c>
      <c r="D637">
        <v>15.6</v>
      </c>
      <c r="E637">
        <v>8</v>
      </c>
      <c r="F637" s="1" t="s">
        <v>48</v>
      </c>
      <c r="G637">
        <v>1.99</v>
      </c>
      <c r="H637">
        <v>906.62</v>
      </c>
      <c r="I637" s="1" t="s">
        <v>40</v>
      </c>
      <c r="J637">
        <v>1920</v>
      </c>
      <c r="K637">
        <v>1080</v>
      </c>
      <c r="L637" s="1" t="s">
        <v>27</v>
      </c>
      <c r="M637" s="1" t="s">
        <v>27</v>
      </c>
      <c r="N637" s="1" t="s">
        <v>27</v>
      </c>
      <c r="O637" s="1" t="s">
        <v>29</v>
      </c>
      <c r="P637">
        <v>2.5</v>
      </c>
      <c r="Q637" s="1" t="s">
        <v>84</v>
      </c>
      <c r="R637" s="1" t="str">
        <f>_xlfn.CONCAT(laptop[[#This Row],[CPU_company]]," ",laptop[[#This Row],[CPU_model]])</f>
        <v>Intel Core i5 7300HQ</v>
      </c>
      <c r="S637">
        <v>1024</v>
      </c>
      <c r="T637">
        <v>0</v>
      </c>
      <c r="U637">
        <f>laptop[[#This Row],[PrimaryStorage]]+laptop[[#This Row],[SecondaryStorage]]</f>
        <v>1024</v>
      </c>
      <c r="V637" s="1" t="s">
        <v>51</v>
      </c>
      <c r="W637" s="1" t="s">
        <v>27</v>
      </c>
      <c r="X637" s="1" t="str">
        <f>IF(laptop[[#This Row],[PrimaryStorageType]]=laptop[[#This Row],[SecondaryStorageType]],laptop[[#This Row],[PrimaryStorageType]],"SSD &amp; HDD")</f>
        <v>SSD &amp; HDD</v>
      </c>
      <c r="Y637" s="1" t="s">
        <v>85</v>
      </c>
    </row>
    <row r="638" spans="1:25" x14ac:dyDescent="0.25">
      <c r="A638" s="1" t="s">
        <v>65</v>
      </c>
      <c r="B638" s="1" t="s">
        <v>77</v>
      </c>
      <c r="C638" s="1" t="s">
        <v>24</v>
      </c>
      <c r="D638">
        <v>13.3</v>
      </c>
      <c r="E638">
        <v>8</v>
      </c>
      <c r="F638" s="1" t="s">
        <v>48</v>
      </c>
      <c r="G638">
        <v>1.23</v>
      </c>
      <c r="H638">
        <v>1869</v>
      </c>
      <c r="I638" s="1" t="s">
        <v>107</v>
      </c>
      <c r="J638">
        <v>3200</v>
      </c>
      <c r="K638">
        <v>1800</v>
      </c>
      <c r="L638" s="1" t="s">
        <v>28</v>
      </c>
      <c r="M638" s="1" t="s">
        <v>27</v>
      </c>
      <c r="N638" s="1" t="s">
        <v>27</v>
      </c>
      <c r="O638" s="1" t="s">
        <v>29</v>
      </c>
      <c r="P638">
        <v>1.6</v>
      </c>
      <c r="Q638" s="1" t="s">
        <v>60</v>
      </c>
      <c r="R638" s="1" t="str">
        <f>_xlfn.CONCAT(laptop[[#This Row],[CPU_company]]," ",laptop[[#This Row],[CPU_model]])</f>
        <v>Intel Core i5 8250U</v>
      </c>
      <c r="S638">
        <v>256</v>
      </c>
      <c r="T638">
        <v>0</v>
      </c>
      <c r="U638">
        <f>laptop[[#This Row],[PrimaryStorage]]+laptop[[#This Row],[SecondaryStorage]]</f>
        <v>256</v>
      </c>
      <c r="V638" s="1" t="s">
        <v>31</v>
      </c>
      <c r="W638" s="1" t="s">
        <v>27</v>
      </c>
      <c r="X638" s="1" t="str">
        <f>IF(laptop[[#This Row],[PrimaryStorageType]]=laptop[[#This Row],[SecondaryStorageType]],laptop[[#This Row],[PrimaryStorageType]],"SSD &amp; HDD")</f>
        <v>SSD &amp; HDD</v>
      </c>
      <c r="Y638" s="1" t="s">
        <v>61</v>
      </c>
    </row>
    <row r="639" spans="1:25" x14ac:dyDescent="0.25">
      <c r="A639" s="1" t="s">
        <v>73</v>
      </c>
      <c r="B639" s="1" t="s">
        <v>549</v>
      </c>
      <c r="C639" s="1" t="s">
        <v>38</v>
      </c>
      <c r="D639">
        <v>14</v>
      </c>
      <c r="E639">
        <v>2</v>
      </c>
      <c r="F639" s="1" t="s">
        <v>48</v>
      </c>
      <c r="G639">
        <v>1.42</v>
      </c>
      <c r="H639">
        <v>249</v>
      </c>
      <c r="I639" s="1" t="s">
        <v>26</v>
      </c>
      <c r="J639">
        <v>1366</v>
      </c>
      <c r="K639">
        <v>768</v>
      </c>
      <c r="L639" s="1" t="s">
        <v>27</v>
      </c>
      <c r="M639" s="1" t="s">
        <v>27</v>
      </c>
      <c r="N639" s="1" t="s">
        <v>27</v>
      </c>
      <c r="O639" s="1" t="s">
        <v>29</v>
      </c>
      <c r="P639">
        <v>1.6</v>
      </c>
      <c r="Q639" s="1" t="s">
        <v>151</v>
      </c>
      <c r="R639" s="1" t="str">
        <f>_xlfn.CONCAT(laptop[[#This Row],[CPU_company]]," ",laptop[[#This Row],[CPU_model]])</f>
        <v>Intel Celeron Dual Core N3060</v>
      </c>
      <c r="S639">
        <v>32</v>
      </c>
      <c r="T639">
        <v>0</v>
      </c>
      <c r="U639">
        <f>laptop[[#This Row],[PrimaryStorage]]+laptop[[#This Row],[SecondaryStorage]]</f>
        <v>32</v>
      </c>
      <c r="V639" s="1" t="s">
        <v>34</v>
      </c>
      <c r="W639" s="1" t="s">
        <v>27</v>
      </c>
      <c r="X639" s="1" t="str">
        <f>IF(laptop[[#This Row],[PrimaryStorageType]]=laptop[[#This Row],[SecondaryStorageType]],laptop[[#This Row],[PrimaryStorageType]],"SSD &amp; HDD")</f>
        <v>SSD &amp; HDD</v>
      </c>
      <c r="Y639" s="1" t="s">
        <v>81</v>
      </c>
    </row>
    <row r="640" spans="1:25" x14ac:dyDescent="0.25">
      <c r="A640" s="1" t="s">
        <v>73</v>
      </c>
      <c r="B640" s="1" t="s">
        <v>252</v>
      </c>
      <c r="C640" s="1" t="s">
        <v>90</v>
      </c>
      <c r="D640">
        <v>13.3</v>
      </c>
      <c r="E640">
        <v>8</v>
      </c>
      <c r="F640" s="1" t="s">
        <v>48</v>
      </c>
      <c r="G640">
        <v>1.37</v>
      </c>
      <c r="H640">
        <v>1757.42</v>
      </c>
      <c r="I640" s="1" t="s">
        <v>40</v>
      </c>
      <c r="J640">
        <v>1920</v>
      </c>
      <c r="K640">
        <v>1080</v>
      </c>
      <c r="L640" s="1" t="s">
        <v>28</v>
      </c>
      <c r="M640" s="1" t="s">
        <v>28</v>
      </c>
      <c r="N640" s="1" t="s">
        <v>27</v>
      </c>
      <c r="O640" s="1" t="s">
        <v>29</v>
      </c>
      <c r="P640">
        <v>2.7</v>
      </c>
      <c r="Q640" s="1" t="s">
        <v>71</v>
      </c>
      <c r="R640" s="1" t="str">
        <f>_xlfn.CONCAT(laptop[[#This Row],[CPU_company]]," ",laptop[[#This Row],[CPU_model]])</f>
        <v>Intel Core i7 7500U</v>
      </c>
      <c r="S640">
        <v>256</v>
      </c>
      <c r="T640">
        <v>0</v>
      </c>
      <c r="U640">
        <f>laptop[[#This Row],[PrimaryStorage]]+laptop[[#This Row],[SecondaryStorage]]</f>
        <v>256</v>
      </c>
      <c r="V640" s="1" t="s">
        <v>31</v>
      </c>
      <c r="W640" s="1" t="s">
        <v>27</v>
      </c>
      <c r="X640" s="1" t="str">
        <f>IF(laptop[[#This Row],[PrimaryStorageType]]=laptop[[#This Row],[SecondaryStorageType]],laptop[[#This Row],[PrimaryStorageType]],"SSD &amp; HDD")</f>
        <v>SSD &amp; HDD</v>
      </c>
      <c r="Y640" s="1" t="s">
        <v>42</v>
      </c>
    </row>
    <row r="641" spans="1:25" x14ac:dyDescent="0.25">
      <c r="A641" s="1" t="s">
        <v>65</v>
      </c>
      <c r="B641" s="1" t="s">
        <v>249</v>
      </c>
      <c r="C641" s="1" t="s">
        <v>38</v>
      </c>
      <c r="D641">
        <v>15.6</v>
      </c>
      <c r="E641">
        <v>16</v>
      </c>
      <c r="F641" s="1" t="s">
        <v>48</v>
      </c>
      <c r="G641">
        <v>2.06</v>
      </c>
      <c r="H641">
        <v>2399</v>
      </c>
      <c r="I641" s="1" t="s">
        <v>215</v>
      </c>
      <c r="J641">
        <v>3840</v>
      </c>
      <c r="K641">
        <v>2160</v>
      </c>
      <c r="L641" s="1" t="s">
        <v>28</v>
      </c>
      <c r="M641" s="1" t="s">
        <v>27</v>
      </c>
      <c r="N641" s="1" t="s">
        <v>27</v>
      </c>
      <c r="O641" s="1" t="s">
        <v>29</v>
      </c>
      <c r="P641">
        <v>2.8</v>
      </c>
      <c r="Q641" s="1" t="s">
        <v>118</v>
      </c>
      <c r="R641" s="1" t="str">
        <f>_xlfn.CONCAT(laptop[[#This Row],[CPU_company]]," ",laptop[[#This Row],[CPU_model]])</f>
        <v>Intel Core i7 7700HQ</v>
      </c>
      <c r="S641">
        <v>1024</v>
      </c>
      <c r="T641">
        <v>0</v>
      </c>
      <c r="U641">
        <f>laptop[[#This Row],[PrimaryStorage]]+laptop[[#This Row],[SecondaryStorage]]</f>
        <v>1024</v>
      </c>
      <c r="V641" s="1" t="s">
        <v>31</v>
      </c>
      <c r="W641" s="1" t="s">
        <v>27</v>
      </c>
      <c r="X641" s="1" t="str">
        <f>IF(laptop[[#This Row],[PrimaryStorageType]]=laptop[[#This Row],[SecondaryStorageType]],laptop[[#This Row],[PrimaryStorageType]],"SSD &amp; HDD")</f>
        <v>SSD &amp; HDD</v>
      </c>
      <c r="Y641" s="1" t="s">
        <v>85</v>
      </c>
    </row>
    <row r="642" spans="1:25" x14ac:dyDescent="0.25">
      <c r="A642" s="1" t="s">
        <v>73</v>
      </c>
      <c r="B642" s="1" t="s">
        <v>82</v>
      </c>
      <c r="C642" s="1" t="s">
        <v>83</v>
      </c>
      <c r="D642">
        <v>15.6</v>
      </c>
      <c r="E642">
        <v>8</v>
      </c>
      <c r="F642" s="1" t="s">
        <v>48</v>
      </c>
      <c r="G642">
        <v>2.5</v>
      </c>
      <c r="H642">
        <v>1109</v>
      </c>
      <c r="I642" s="1" t="s">
        <v>40</v>
      </c>
      <c r="J642">
        <v>1920</v>
      </c>
      <c r="K642">
        <v>1080</v>
      </c>
      <c r="L642" s="1" t="s">
        <v>27</v>
      </c>
      <c r="M642" s="1" t="s">
        <v>28</v>
      </c>
      <c r="N642" s="1" t="s">
        <v>27</v>
      </c>
      <c r="O642" s="1" t="s">
        <v>29</v>
      </c>
      <c r="P642">
        <v>2.8</v>
      </c>
      <c r="Q642" s="1" t="s">
        <v>118</v>
      </c>
      <c r="R642" s="1" t="str">
        <f>_xlfn.CONCAT(laptop[[#This Row],[CPU_company]]," ",laptop[[#This Row],[CPU_model]])</f>
        <v>Intel Core i7 7700HQ</v>
      </c>
      <c r="S642">
        <v>128</v>
      </c>
      <c r="T642">
        <v>1024</v>
      </c>
      <c r="U642">
        <f>laptop[[#This Row],[PrimaryStorage]]+laptop[[#This Row],[SecondaryStorage]]</f>
        <v>1152</v>
      </c>
      <c r="V642" s="1" t="s">
        <v>31</v>
      </c>
      <c r="W642" s="1" t="s">
        <v>51</v>
      </c>
      <c r="X642" s="1" t="str">
        <f>IF(laptop[[#This Row],[PrimaryStorageType]]=laptop[[#This Row],[SecondaryStorageType]],laptop[[#This Row],[PrimaryStorageType]],"SSD &amp; HDD")</f>
        <v>SSD &amp; HDD</v>
      </c>
      <c r="Y642" s="1" t="s">
        <v>209</v>
      </c>
    </row>
    <row r="643" spans="1:25" x14ac:dyDescent="0.25">
      <c r="A643" s="1" t="s">
        <v>36</v>
      </c>
      <c r="B643" s="1" t="s">
        <v>550</v>
      </c>
      <c r="C643" s="1" t="s">
        <v>38</v>
      </c>
      <c r="D643">
        <v>17</v>
      </c>
      <c r="E643">
        <v>8</v>
      </c>
      <c r="F643" s="1" t="s">
        <v>48</v>
      </c>
      <c r="G643">
        <v>2.6</v>
      </c>
      <c r="H643">
        <v>520.9</v>
      </c>
      <c r="I643" s="1" t="s">
        <v>26</v>
      </c>
      <c r="J643">
        <v>1600</v>
      </c>
      <c r="K643">
        <v>900</v>
      </c>
      <c r="L643" s="1" t="s">
        <v>27</v>
      </c>
      <c r="M643" s="1" t="s">
        <v>27</v>
      </c>
      <c r="N643" s="1" t="s">
        <v>27</v>
      </c>
      <c r="O643" s="1" t="s">
        <v>49</v>
      </c>
      <c r="P643">
        <v>3</v>
      </c>
      <c r="Q643" s="1" t="s">
        <v>50</v>
      </c>
      <c r="R643" s="1" t="str">
        <f>_xlfn.CONCAT(laptop[[#This Row],[CPU_company]]," ",laptop[[#This Row],[CPU_model]])</f>
        <v>AMD A9-Series 9420</v>
      </c>
      <c r="S643">
        <v>1024</v>
      </c>
      <c r="T643">
        <v>0</v>
      </c>
      <c r="U643">
        <f>laptop[[#This Row],[PrimaryStorage]]+laptop[[#This Row],[SecondaryStorage]]</f>
        <v>1024</v>
      </c>
      <c r="V643" s="1" t="s">
        <v>51</v>
      </c>
      <c r="W643" s="1" t="s">
        <v>27</v>
      </c>
      <c r="X643" s="1" t="str">
        <f>IF(laptop[[#This Row],[PrimaryStorageType]]=laptop[[#This Row],[SecondaryStorageType]],laptop[[#This Row],[PrimaryStorageType]],"SSD &amp; HDD")</f>
        <v>SSD &amp; HDD</v>
      </c>
      <c r="Y643" s="1" t="s">
        <v>52</v>
      </c>
    </row>
    <row r="644" spans="1:25" x14ac:dyDescent="0.25">
      <c r="A644" s="1" t="s">
        <v>73</v>
      </c>
      <c r="B644" s="1" t="s">
        <v>308</v>
      </c>
      <c r="C644" s="1" t="s">
        <v>24</v>
      </c>
      <c r="D644">
        <v>14</v>
      </c>
      <c r="E644">
        <v>16</v>
      </c>
      <c r="F644" s="1" t="s">
        <v>48</v>
      </c>
      <c r="G644">
        <v>1.1399999999999999</v>
      </c>
      <c r="H644">
        <v>2450</v>
      </c>
      <c r="I644" s="1" t="s">
        <v>40</v>
      </c>
      <c r="J644">
        <v>1920</v>
      </c>
      <c r="K644">
        <v>1080</v>
      </c>
      <c r="L644" s="1" t="s">
        <v>27</v>
      </c>
      <c r="M644" s="1" t="s">
        <v>28</v>
      </c>
      <c r="N644" s="1" t="s">
        <v>27</v>
      </c>
      <c r="O644" s="1" t="s">
        <v>29</v>
      </c>
      <c r="P644">
        <v>2.7</v>
      </c>
      <c r="Q644" s="1" t="s">
        <v>71</v>
      </c>
      <c r="R644" s="1" t="str">
        <f>_xlfn.CONCAT(laptop[[#This Row],[CPU_company]]," ",laptop[[#This Row],[CPU_model]])</f>
        <v>Intel Core i7 7500U</v>
      </c>
      <c r="S644">
        <v>512</v>
      </c>
      <c r="T644">
        <v>0</v>
      </c>
      <c r="U644">
        <f>laptop[[#This Row],[PrimaryStorage]]+laptop[[#This Row],[SecondaryStorage]]</f>
        <v>512</v>
      </c>
      <c r="V644" s="1" t="s">
        <v>31</v>
      </c>
      <c r="W644" s="1" t="s">
        <v>27</v>
      </c>
      <c r="X644" s="1" t="str">
        <f>IF(laptop[[#This Row],[PrimaryStorageType]]=laptop[[#This Row],[SecondaryStorageType]],laptop[[#This Row],[PrimaryStorageType]],"SSD &amp; HDD")</f>
        <v>SSD &amp; HDD</v>
      </c>
      <c r="Y644" s="1" t="s">
        <v>42</v>
      </c>
    </row>
    <row r="645" spans="1:25" x14ac:dyDescent="0.25">
      <c r="A645" s="1" t="s">
        <v>55</v>
      </c>
      <c r="B645" s="1" t="s">
        <v>551</v>
      </c>
      <c r="C645" s="1" t="s">
        <v>83</v>
      </c>
      <c r="D645">
        <v>15.6</v>
      </c>
      <c r="E645">
        <v>8</v>
      </c>
      <c r="F645" s="1" t="s">
        <v>39</v>
      </c>
      <c r="G645">
        <v>2.5</v>
      </c>
      <c r="H645">
        <v>1169</v>
      </c>
      <c r="I645" s="1" t="s">
        <v>40</v>
      </c>
      <c r="J645">
        <v>1920</v>
      </c>
      <c r="K645">
        <v>1080</v>
      </c>
      <c r="L645" s="1" t="s">
        <v>27</v>
      </c>
      <c r="M645" s="1" t="s">
        <v>28</v>
      </c>
      <c r="N645" s="1" t="s">
        <v>27</v>
      </c>
      <c r="O645" s="1" t="s">
        <v>29</v>
      </c>
      <c r="P645">
        <v>2.8</v>
      </c>
      <c r="Q645" s="1" t="s">
        <v>118</v>
      </c>
      <c r="R645" s="1" t="str">
        <f>_xlfn.CONCAT(laptop[[#This Row],[CPU_company]]," ",laptop[[#This Row],[CPU_model]])</f>
        <v>Intel Core i7 7700HQ</v>
      </c>
      <c r="S645">
        <v>1024</v>
      </c>
      <c r="T645">
        <v>0</v>
      </c>
      <c r="U645">
        <f>laptop[[#This Row],[PrimaryStorage]]+laptop[[#This Row],[SecondaryStorage]]</f>
        <v>1024</v>
      </c>
      <c r="V645" s="1" t="s">
        <v>51</v>
      </c>
      <c r="W645" s="1" t="s">
        <v>27</v>
      </c>
      <c r="X645" s="1" t="str">
        <f>IF(laptop[[#This Row],[PrimaryStorageType]]=laptop[[#This Row],[SecondaryStorageType]],laptop[[#This Row],[PrimaryStorageType]],"SSD &amp; HDD")</f>
        <v>SSD &amp; HDD</v>
      </c>
      <c r="Y645" s="1" t="s">
        <v>149</v>
      </c>
    </row>
    <row r="646" spans="1:25" x14ac:dyDescent="0.25">
      <c r="A646" s="1" t="s">
        <v>46</v>
      </c>
      <c r="B646" s="1" t="s">
        <v>552</v>
      </c>
      <c r="C646" s="1" t="s">
        <v>38</v>
      </c>
      <c r="D646">
        <v>15.6</v>
      </c>
      <c r="E646">
        <v>4</v>
      </c>
      <c r="F646" s="1" t="s">
        <v>48</v>
      </c>
      <c r="G646">
        <v>2.4</v>
      </c>
      <c r="H646">
        <v>450</v>
      </c>
      <c r="I646" s="1" t="s">
        <v>26</v>
      </c>
      <c r="J646">
        <v>1366</v>
      </c>
      <c r="K646">
        <v>768</v>
      </c>
      <c r="L646" s="1" t="s">
        <v>27</v>
      </c>
      <c r="M646" s="1" t="s">
        <v>27</v>
      </c>
      <c r="N646" s="1" t="s">
        <v>27</v>
      </c>
      <c r="O646" s="1" t="s">
        <v>29</v>
      </c>
      <c r="P646">
        <v>2</v>
      </c>
      <c r="Q646" s="1" t="s">
        <v>62</v>
      </c>
      <c r="R646" s="1" t="str">
        <f>_xlfn.CONCAT(laptop[[#This Row],[CPU_company]]," ",laptop[[#This Row],[CPU_model]])</f>
        <v>Intel Core i3 6006U</v>
      </c>
      <c r="S646">
        <v>500</v>
      </c>
      <c r="T646">
        <v>0</v>
      </c>
      <c r="U646">
        <f>laptop[[#This Row],[PrimaryStorage]]+laptop[[#This Row],[SecondaryStorage]]</f>
        <v>500</v>
      </c>
      <c r="V646" s="1" t="s">
        <v>51</v>
      </c>
      <c r="W646" s="1" t="s">
        <v>27</v>
      </c>
      <c r="X646" s="1" t="str">
        <f>IF(laptop[[#This Row],[PrimaryStorageType]]=laptop[[#This Row],[SecondaryStorageType]],laptop[[#This Row],[PrimaryStorageType]],"SSD &amp; HDD")</f>
        <v>SSD &amp; HDD</v>
      </c>
      <c r="Y646" s="1" t="s">
        <v>63</v>
      </c>
    </row>
    <row r="647" spans="1:25" x14ac:dyDescent="0.25">
      <c r="A647" s="1" t="s">
        <v>73</v>
      </c>
      <c r="B647" s="1" t="s">
        <v>549</v>
      </c>
      <c r="C647" s="1" t="s">
        <v>38</v>
      </c>
      <c r="D647">
        <v>14</v>
      </c>
      <c r="E647">
        <v>4</v>
      </c>
      <c r="F647" s="1" t="s">
        <v>48</v>
      </c>
      <c r="G647">
        <v>1.43</v>
      </c>
      <c r="H647">
        <v>274</v>
      </c>
      <c r="I647" s="1" t="s">
        <v>26</v>
      </c>
      <c r="J647">
        <v>1366</v>
      </c>
      <c r="K647">
        <v>768</v>
      </c>
      <c r="L647" s="1" t="s">
        <v>27</v>
      </c>
      <c r="M647" s="1" t="s">
        <v>27</v>
      </c>
      <c r="N647" s="1" t="s">
        <v>27</v>
      </c>
      <c r="O647" s="1" t="s">
        <v>29</v>
      </c>
      <c r="P647">
        <v>1.6</v>
      </c>
      <c r="Q647" s="1" t="s">
        <v>151</v>
      </c>
      <c r="R647" s="1" t="str">
        <f>_xlfn.CONCAT(laptop[[#This Row],[CPU_company]]," ",laptop[[#This Row],[CPU_model]])</f>
        <v>Intel Celeron Dual Core N3060</v>
      </c>
      <c r="S647">
        <v>32</v>
      </c>
      <c r="T647">
        <v>0</v>
      </c>
      <c r="U647">
        <f>laptop[[#This Row],[PrimaryStorage]]+laptop[[#This Row],[SecondaryStorage]]</f>
        <v>32</v>
      </c>
      <c r="V647" s="1" t="s">
        <v>34</v>
      </c>
      <c r="W647" s="1" t="s">
        <v>27</v>
      </c>
      <c r="X647" s="1" t="str">
        <f>IF(laptop[[#This Row],[PrimaryStorageType]]=laptop[[#This Row],[SecondaryStorageType]],laptop[[#This Row],[PrimaryStorageType]],"SSD &amp; HDD")</f>
        <v>SSD &amp; HDD</v>
      </c>
      <c r="Y647" s="1" t="s">
        <v>102</v>
      </c>
    </row>
    <row r="648" spans="1:25" x14ac:dyDescent="0.25">
      <c r="A648" s="1" t="s">
        <v>46</v>
      </c>
      <c r="B648" s="1" t="s">
        <v>59</v>
      </c>
      <c r="C648" s="1" t="s">
        <v>24</v>
      </c>
      <c r="D648">
        <v>14</v>
      </c>
      <c r="E648">
        <v>8</v>
      </c>
      <c r="F648" s="1" t="s">
        <v>48</v>
      </c>
      <c r="G648">
        <v>1.8</v>
      </c>
      <c r="H648">
        <v>919</v>
      </c>
      <c r="I648" s="1" t="s">
        <v>40</v>
      </c>
      <c r="J648">
        <v>1920</v>
      </c>
      <c r="K648">
        <v>1080</v>
      </c>
      <c r="L648" s="1" t="s">
        <v>27</v>
      </c>
      <c r="M648" s="1" t="s">
        <v>28</v>
      </c>
      <c r="N648" s="1" t="s">
        <v>27</v>
      </c>
      <c r="O648" s="1" t="s">
        <v>29</v>
      </c>
      <c r="P648">
        <v>2.5</v>
      </c>
      <c r="Q648" s="1" t="s">
        <v>41</v>
      </c>
      <c r="R648" s="1" t="str">
        <f>_xlfn.CONCAT(laptop[[#This Row],[CPU_company]]," ",laptop[[#This Row],[CPU_model]])</f>
        <v>Intel Core i5 7200U</v>
      </c>
      <c r="S648">
        <v>256</v>
      </c>
      <c r="T648">
        <v>0</v>
      </c>
      <c r="U648">
        <f>laptop[[#This Row],[PrimaryStorage]]+laptop[[#This Row],[SecondaryStorage]]</f>
        <v>256</v>
      </c>
      <c r="V648" s="1" t="s">
        <v>31</v>
      </c>
      <c r="W648" s="1" t="s">
        <v>27</v>
      </c>
      <c r="X648" s="1" t="str">
        <f>IF(laptop[[#This Row],[PrimaryStorageType]]=laptop[[#This Row],[SecondaryStorageType]],laptop[[#This Row],[PrimaryStorageType]],"SSD &amp; HDD")</f>
        <v>SSD &amp; HDD</v>
      </c>
      <c r="Y648" s="1" t="s">
        <v>553</v>
      </c>
    </row>
    <row r="649" spans="1:25" x14ac:dyDescent="0.25">
      <c r="A649" s="1" t="s">
        <v>256</v>
      </c>
      <c r="B649" s="1" t="s">
        <v>257</v>
      </c>
      <c r="C649" s="1" t="s">
        <v>83</v>
      </c>
      <c r="D649">
        <v>14</v>
      </c>
      <c r="E649">
        <v>16</v>
      </c>
      <c r="F649" s="1" t="s">
        <v>48</v>
      </c>
      <c r="G649">
        <v>1.95</v>
      </c>
      <c r="H649">
        <v>2599</v>
      </c>
      <c r="I649" s="1" t="s">
        <v>40</v>
      </c>
      <c r="J649">
        <v>1920</v>
      </c>
      <c r="K649">
        <v>1080</v>
      </c>
      <c r="L649" s="1" t="s">
        <v>27</v>
      </c>
      <c r="M649" s="1" t="s">
        <v>27</v>
      </c>
      <c r="N649" s="1" t="s">
        <v>27</v>
      </c>
      <c r="O649" s="1" t="s">
        <v>29</v>
      </c>
      <c r="P649">
        <v>2.8</v>
      </c>
      <c r="Q649" s="1" t="s">
        <v>118</v>
      </c>
      <c r="R649" s="1" t="str">
        <f>_xlfn.CONCAT(laptop[[#This Row],[CPU_company]]," ",laptop[[#This Row],[CPU_model]])</f>
        <v>Intel Core i7 7700HQ</v>
      </c>
      <c r="S649">
        <v>256</v>
      </c>
      <c r="T649">
        <v>0</v>
      </c>
      <c r="U649">
        <f>laptop[[#This Row],[PrimaryStorage]]+laptop[[#This Row],[SecondaryStorage]]</f>
        <v>256</v>
      </c>
      <c r="V649" s="1" t="s">
        <v>31</v>
      </c>
      <c r="W649" s="1" t="s">
        <v>27</v>
      </c>
      <c r="X649" s="1" t="str">
        <f>IF(laptop[[#This Row],[PrimaryStorageType]]=laptop[[#This Row],[SecondaryStorageType]],laptop[[#This Row],[PrimaryStorageType]],"SSD &amp; HDD")</f>
        <v>SSD &amp; HDD</v>
      </c>
      <c r="Y649" s="1" t="s">
        <v>119</v>
      </c>
    </row>
    <row r="650" spans="1:25" x14ac:dyDescent="0.25">
      <c r="A650" s="1" t="s">
        <v>210</v>
      </c>
      <c r="B650" s="1" t="s">
        <v>554</v>
      </c>
      <c r="C650" s="1" t="s">
        <v>38</v>
      </c>
      <c r="D650">
        <v>13.3</v>
      </c>
      <c r="E650">
        <v>8</v>
      </c>
      <c r="F650" s="1" t="s">
        <v>48</v>
      </c>
      <c r="G650">
        <v>1.2</v>
      </c>
      <c r="H650">
        <v>1213</v>
      </c>
      <c r="I650" s="1" t="s">
        <v>40</v>
      </c>
      <c r="J650">
        <v>1920</v>
      </c>
      <c r="K650">
        <v>1080</v>
      </c>
      <c r="L650" s="1" t="s">
        <v>27</v>
      </c>
      <c r="M650" s="1" t="s">
        <v>27</v>
      </c>
      <c r="N650" s="1" t="s">
        <v>27</v>
      </c>
      <c r="O650" s="1" t="s">
        <v>29</v>
      </c>
      <c r="P650">
        <v>2.2999999999999998</v>
      </c>
      <c r="Q650" s="1" t="s">
        <v>212</v>
      </c>
      <c r="R650" s="1" t="str">
        <f>_xlfn.CONCAT(laptop[[#This Row],[CPU_company]]," ",laptop[[#This Row],[CPU_model]])</f>
        <v>Intel Core i5 6200U</v>
      </c>
      <c r="S650">
        <v>256</v>
      </c>
      <c r="T650">
        <v>0</v>
      </c>
      <c r="U650">
        <f>laptop[[#This Row],[PrimaryStorage]]+laptop[[#This Row],[SecondaryStorage]]</f>
        <v>256</v>
      </c>
      <c r="V650" s="1" t="s">
        <v>31</v>
      </c>
      <c r="W650" s="1" t="s">
        <v>27</v>
      </c>
      <c r="X650" s="1" t="str">
        <f>IF(laptop[[#This Row],[PrimaryStorageType]]=laptop[[#This Row],[SecondaryStorageType]],laptop[[#This Row],[PrimaryStorageType]],"SSD &amp; HDD")</f>
        <v>SSD &amp; HDD</v>
      </c>
      <c r="Y650" s="1" t="s">
        <v>63</v>
      </c>
    </row>
    <row r="651" spans="1:25" x14ac:dyDescent="0.25">
      <c r="A651" s="1" t="s">
        <v>73</v>
      </c>
      <c r="B651" s="1" t="s">
        <v>454</v>
      </c>
      <c r="C651" s="1" t="s">
        <v>24</v>
      </c>
      <c r="D651">
        <v>12.5</v>
      </c>
      <c r="E651">
        <v>8</v>
      </c>
      <c r="F651" s="1" t="s">
        <v>48</v>
      </c>
      <c r="G651">
        <v>1.36</v>
      </c>
      <c r="H651">
        <v>1584</v>
      </c>
      <c r="I651" s="1" t="s">
        <v>40</v>
      </c>
      <c r="J651">
        <v>1920</v>
      </c>
      <c r="K651">
        <v>1080</v>
      </c>
      <c r="L651" s="1" t="s">
        <v>27</v>
      </c>
      <c r="M651" s="1" t="s">
        <v>28</v>
      </c>
      <c r="N651" s="1" t="s">
        <v>27</v>
      </c>
      <c r="O651" s="1" t="s">
        <v>29</v>
      </c>
      <c r="P651">
        <v>2.7</v>
      </c>
      <c r="Q651" s="1" t="s">
        <v>71</v>
      </c>
      <c r="R651" s="1" t="str">
        <f>_xlfn.CONCAT(laptop[[#This Row],[CPU_company]]," ",laptop[[#This Row],[CPU_model]])</f>
        <v>Intel Core i7 7500U</v>
      </c>
      <c r="S651">
        <v>256</v>
      </c>
      <c r="T651">
        <v>0</v>
      </c>
      <c r="U651">
        <f>laptop[[#This Row],[PrimaryStorage]]+laptop[[#This Row],[SecondaryStorage]]</f>
        <v>256</v>
      </c>
      <c r="V651" s="1" t="s">
        <v>31</v>
      </c>
      <c r="W651" s="1" t="s">
        <v>27</v>
      </c>
      <c r="X651" s="1" t="str">
        <f>IF(laptop[[#This Row],[PrimaryStorageType]]=laptop[[#This Row],[SecondaryStorageType]],laptop[[#This Row],[PrimaryStorageType]],"SSD &amp; HDD")</f>
        <v>SSD &amp; HDD</v>
      </c>
      <c r="Y651" s="1" t="s">
        <v>42</v>
      </c>
    </row>
    <row r="652" spans="1:25" x14ac:dyDescent="0.25">
      <c r="A652" s="1" t="s">
        <v>55</v>
      </c>
      <c r="B652" s="1" t="s">
        <v>555</v>
      </c>
      <c r="C652" s="1" t="s">
        <v>83</v>
      </c>
      <c r="D652">
        <v>17.3</v>
      </c>
      <c r="E652">
        <v>32</v>
      </c>
      <c r="F652" s="1" t="s">
        <v>48</v>
      </c>
      <c r="G652">
        <v>3.8</v>
      </c>
      <c r="H652">
        <v>2799</v>
      </c>
      <c r="I652" s="1" t="s">
        <v>40</v>
      </c>
      <c r="J652">
        <v>1920</v>
      </c>
      <c r="K652">
        <v>1080</v>
      </c>
      <c r="L652" s="1" t="s">
        <v>27</v>
      </c>
      <c r="M652" s="1" t="s">
        <v>28</v>
      </c>
      <c r="N652" s="1" t="s">
        <v>27</v>
      </c>
      <c r="O652" s="1" t="s">
        <v>29</v>
      </c>
      <c r="P652">
        <v>2.7</v>
      </c>
      <c r="Q652" s="1" t="s">
        <v>514</v>
      </c>
      <c r="R652" s="1" t="str">
        <f>_xlfn.CONCAT(laptop[[#This Row],[CPU_company]]," ",laptop[[#This Row],[CPU_model]])</f>
        <v>Intel Core i7 6820HK</v>
      </c>
      <c r="S652">
        <v>512</v>
      </c>
      <c r="T652">
        <v>0</v>
      </c>
      <c r="U652">
        <f>laptop[[#This Row],[PrimaryStorage]]+laptop[[#This Row],[SecondaryStorage]]</f>
        <v>512</v>
      </c>
      <c r="V652" s="1" t="s">
        <v>31</v>
      </c>
      <c r="W652" s="1" t="s">
        <v>27</v>
      </c>
      <c r="X652" s="1" t="str">
        <f>IF(laptop[[#This Row],[PrimaryStorageType]]=laptop[[#This Row],[SecondaryStorageType]],laptop[[#This Row],[PrimaryStorageType]],"SSD &amp; HDD")</f>
        <v>SSD &amp; HDD</v>
      </c>
      <c r="Y652" s="1" t="s">
        <v>259</v>
      </c>
    </row>
    <row r="653" spans="1:25" x14ac:dyDescent="0.25">
      <c r="A653" s="1" t="s">
        <v>46</v>
      </c>
      <c r="B653" s="1" t="s">
        <v>556</v>
      </c>
      <c r="C653" s="1" t="s">
        <v>83</v>
      </c>
      <c r="D653">
        <v>15.6</v>
      </c>
      <c r="E653">
        <v>8</v>
      </c>
      <c r="F653" s="1" t="s">
        <v>111</v>
      </c>
      <c r="G653">
        <v>2.4</v>
      </c>
      <c r="H653">
        <v>709</v>
      </c>
      <c r="I653" s="1" t="s">
        <v>40</v>
      </c>
      <c r="J653">
        <v>1920</v>
      </c>
      <c r="K653">
        <v>1080</v>
      </c>
      <c r="L653" s="1" t="s">
        <v>27</v>
      </c>
      <c r="M653" s="1" t="s">
        <v>27</v>
      </c>
      <c r="N653" s="1" t="s">
        <v>27</v>
      </c>
      <c r="O653" s="1" t="s">
        <v>29</v>
      </c>
      <c r="P653">
        <v>2.5</v>
      </c>
      <c r="Q653" s="1" t="s">
        <v>84</v>
      </c>
      <c r="R653" s="1" t="str">
        <f>_xlfn.CONCAT(laptop[[#This Row],[CPU_company]]," ",laptop[[#This Row],[CPU_model]])</f>
        <v>Intel Core i5 7300HQ</v>
      </c>
      <c r="S653">
        <v>1024</v>
      </c>
      <c r="T653">
        <v>0</v>
      </c>
      <c r="U653">
        <f>laptop[[#This Row],[PrimaryStorage]]+laptop[[#This Row],[SecondaryStorage]]</f>
        <v>1024</v>
      </c>
      <c r="V653" s="1" t="s">
        <v>51</v>
      </c>
      <c r="W653" s="1" t="s">
        <v>27</v>
      </c>
      <c r="X653" s="1" t="str">
        <f>IF(laptop[[#This Row],[PrimaryStorageType]]=laptop[[#This Row],[SecondaryStorageType]],laptop[[#This Row],[PrimaryStorageType]],"SSD &amp; HDD")</f>
        <v>SSD &amp; HDD</v>
      </c>
      <c r="Y653" s="1" t="s">
        <v>85</v>
      </c>
    </row>
    <row r="654" spans="1:25" x14ac:dyDescent="0.25">
      <c r="A654" s="1" t="s">
        <v>65</v>
      </c>
      <c r="B654" s="1" t="s">
        <v>77</v>
      </c>
      <c r="C654" s="1" t="s">
        <v>24</v>
      </c>
      <c r="D654">
        <v>13.3</v>
      </c>
      <c r="E654">
        <v>8</v>
      </c>
      <c r="F654" s="1" t="s">
        <v>48</v>
      </c>
      <c r="G654">
        <v>1.2</v>
      </c>
      <c r="H654">
        <v>1449.9</v>
      </c>
      <c r="I654" s="1" t="s">
        <v>40</v>
      </c>
      <c r="J654">
        <v>1920</v>
      </c>
      <c r="K654">
        <v>1080</v>
      </c>
      <c r="L654" s="1" t="s">
        <v>27</v>
      </c>
      <c r="M654" s="1" t="s">
        <v>27</v>
      </c>
      <c r="N654" s="1" t="s">
        <v>27</v>
      </c>
      <c r="O654" s="1" t="s">
        <v>29</v>
      </c>
      <c r="P654">
        <v>1.6</v>
      </c>
      <c r="Q654" s="1" t="s">
        <v>60</v>
      </c>
      <c r="R654" s="1" t="str">
        <f>_xlfn.CONCAT(laptop[[#This Row],[CPU_company]]," ",laptop[[#This Row],[CPU_model]])</f>
        <v>Intel Core i5 8250U</v>
      </c>
      <c r="S654">
        <v>256</v>
      </c>
      <c r="T654">
        <v>0</v>
      </c>
      <c r="U654">
        <f>laptop[[#This Row],[PrimaryStorage]]+laptop[[#This Row],[SecondaryStorage]]</f>
        <v>256</v>
      </c>
      <c r="V654" s="1" t="s">
        <v>31</v>
      </c>
      <c r="W654" s="1" t="s">
        <v>27</v>
      </c>
      <c r="X654" s="1" t="str">
        <f>IF(laptop[[#This Row],[PrimaryStorageType]]=laptop[[#This Row],[SecondaryStorageType]],laptop[[#This Row],[PrimaryStorageType]],"SSD &amp; HDD")</f>
        <v>SSD &amp; HDD</v>
      </c>
      <c r="Y654" s="1" t="s">
        <v>61</v>
      </c>
    </row>
    <row r="655" spans="1:25" x14ac:dyDescent="0.25">
      <c r="A655" s="1" t="s">
        <v>141</v>
      </c>
      <c r="B655" s="1" t="s">
        <v>557</v>
      </c>
      <c r="C655" s="1" t="s">
        <v>83</v>
      </c>
      <c r="D655">
        <v>15.6</v>
      </c>
      <c r="E655">
        <v>8</v>
      </c>
      <c r="F655" s="1" t="s">
        <v>48</v>
      </c>
      <c r="G655">
        <v>2.2000000000000002</v>
      </c>
      <c r="H655">
        <v>1191.8</v>
      </c>
      <c r="I655" s="1" t="s">
        <v>40</v>
      </c>
      <c r="J655">
        <v>1920</v>
      </c>
      <c r="K655">
        <v>1080</v>
      </c>
      <c r="L655" s="1" t="s">
        <v>27</v>
      </c>
      <c r="M655" s="1" t="s">
        <v>27</v>
      </c>
      <c r="N655" s="1" t="s">
        <v>27</v>
      </c>
      <c r="O655" s="1" t="s">
        <v>29</v>
      </c>
      <c r="P655">
        <v>2.8</v>
      </c>
      <c r="Q655" s="1" t="s">
        <v>118</v>
      </c>
      <c r="R655" s="1" t="str">
        <f>_xlfn.CONCAT(laptop[[#This Row],[CPU_company]]," ",laptop[[#This Row],[CPU_model]])</f>
        <v>Intel Core i7 7700HQ</v>
      </c>
      <c r="S655">
        <v>128</v>
      </c>
      <c r="T655">
        <v>1024</v>
      </c>
      <c r="U655">
        <f>laptop[[#This Row],[PrimaryStorage]]+laptop[[#This Row],[SecondaryStorage]]</f>
        <v>1152</v>
      </c>
      <c r="V655" s="1" t="s">
        <v>31</v>
      </c>
      <c r="W655" s="1" t="s">
        <v>51</v>
      </c>
      <c r="X655" s="1" t="str">
        <f>IF(laptop[[#This Row],[PrimaryStorageType]]=laptop[[#This Row],[SecondaryStorageType]],laptop[[#This Row],[PrimaryStorageType]],"SSD &amp; HDD")</f>
        <v>SSD &amp; HDD</v>
      </c>
      <c r="Y655" s="1" t="s">
        <v>149</v>
      </c>
    </row>
    <row r="656" spans="1:25" x14ac:dyDescent="0.25">
      <c r="A656" s="1" t="s">
        <v>36</v>
      </c>
      <c r="B656" s="1" t="s">
        <v>37</v>
      </c>
      <c r="C656" s="1" t="s">
        <v>38</v>
      </c>
      <c r="D656">
        <v>15.6</v>
      </c>
      <c r="E656">
        <v>4</v>
      </c>
      <c r="F656" s="1" t="s">
        <v>39</v>
      </c>
      <c r="G656">
        <v>1.86</v>
      </c>
      <c r="H656">
        <v>364.9</v>
      </c>
      <c r="I656" s="1" t="s">
        <v>26</v>
      </c>
      <c r="J656">
        <v>1366</v>
      </c>
      <c r="K656">
        <v>768</v>
      </c>
      <c r="L656" s="1" t="s">
        <v>27</v>
      </c>
      <c r="M656" s="1" t="s">
        <v>27</v>
      </c>
      <c r="N656" s="1" t="s">
        <v>27</v>
      </c>
      <c r="O656" s="1" t="s">
        <v>29</v>
      </c>
      <c r="P656">
        <v>2</v>
      </c>
      <c r="Q656" s="1" t="s">
        <v>62</v>
      </c>
      <c r="R656" s="1" t="str">
        <f>_xlfn.CONCAT(laptop[[#This Row],[CPU_company]]," ",laptop[[#This Row],[CPU_model]])</f>
        <v>Intel Core i3 6006U</v>
      </c>
      <c r="S656">
        <v>500</v>
      </c>
      <c r="T656">
        <v>0</v>
      </c>
      <c r="U656">
        <f>laptop[[#This Row],[PrimaryStorage]]+laptop[[#This Row],[SecondaryStorage]]</f>
        <v>500</v>
      </c>
      <c r="V656" s="1" t="s">
        <v>51</v>
      </c>
      <c r="W656" s="1" t="s">
        <v>27</v>
      </c>
      <c r="X656" s="1" t="str">
        <f>IF(laptop[[#This Row],[PrimaryStorageType]]=laptop[[#This Row],[SecondaryStorageType]],laptop[[#This Row],[PrimaryStorageType]],"SSD &amp; HDD")</f>
        <v>SSD &amp; HDD</v>
      </c>
      <c r="Y656" s="1" t="s">
        <v>63</v>
      </c>
    </row>
    <row r="657" spans="1:25" x14ac:dyDescent="0.25">
      <c r="A657" s="1" t="s">
        <v>210</v>
      </c>
      <c r="B657" s="1" t="s">
        <v>558</v>
      </c>
      <c r="C657" s="1" t="s">
        <v>38</v>
      </c>
      <c r="D657">
        <v>15.6</v>
      </c>
      <c r="E657">
        <v>8</v>
      </c>
      <c r="F657" s="1" t="s">
        <v>48</v>
      </c>
      <c r="G657">
        <v>2</v>
      </c>
      <c r="H657">
        <v>1064</v>
      </c>
      <c r="I657" s="1" t="s">
        <v>40</v>
      </c>
      <c r="J657">
        <v>1920</v>
      </c>
      <c r="K657">
        <v>1080</v>
      </c>
      <c r="L657" s="1" t="s">
        <v>27</v>
      </c>
      <c r="M657" s="1" t="s">
        <v>28</v>
      </c>
      <c r="N657" s="1" t="s">
        <v>27</v>
      </c>
      <c r="O657" s="1" t="s">
        <v>29</v>
      </c>
      <c r="P657">
        <v>2.5</v>
      </c>
      <c r="Q657" s="1" t="s">
        <v>41</v>
      </c>
      <c r="R657" s="1" t="str">
        <f>_xlfn.CONCAT(laptop[[#This Row],[CPU_company]]," ",laptop[[#This Row],[CPU_model]])</f>
        <v>Intel Core i5 7200U</v>
      </c>
      <c r="S657">
        <v>500</v>
      </c>
      <c r="T657">
        <v>0</v>
      </c>
      <c r="U657">
        <f>laptop[[#This Row],[PrimaryStorage]]+laptop[[#This Row],[SecondaryStorage]]</f>
        <v>500</v>
      </c>
      <c r="V657" s="1" t="s">
        <v>51</v>
      </c>
      <c r="W657" s="1" t="s">
        <v>27</v>
      </c>
      <c r="X657" s="1" t="str">
        <f>IF(laptop[[#This Row],[PrimaryStorageType]]=laptop[[#This Row],[SecondaryStorageType]],laptop[[#This Row],[PrimaryStorageType]],"SSD &amp; HDD")</f>
        <v>SSD &amp; HDD</v>
      </c>
      <c r="Y657" s="1" t="s">
        <v>42</v>
      </c>
    </row>
    <row r="658" spans="1:25" x14ac:dyDescent="0.25">
      <c r="A658" s="1" t="s">
        <v>65</v>
      </c>
      <c r="B658" s="1" t="s">
        <v>93</v>
      </c>
      <c r="C658" s="1" t="s">
        <v>38</v>
      </c>
      <c r="D658">
        <v>15.6</v>
      </c>
      <c r="E658">
        <v>8</v>
      </c>
      <c r="F658" s="1" t="s">
        <v>48</v>
      </c>
      <c r="G658">
        <v>2.2000000000000002</v>
      </c>
      <c r="H658">
        <v>919</v>
      </c>
      <c r="I658" s="1" t="s">
        <v>40</v>
      </c>
      <c r="J658">
        <v>1920</v>
      </c>
      <c r="K658">
        <v>1080</v>
      </c>
      <c r="L658" s="1" t="s">
        <v>27</v>
      </c>
      <c r="M658" s="1" t="s">
        <v>27</v>
      </c>
      <c r="N658" s="1" t="s">
        <v>27</v>
      </c>
      <c r="O658" s="1" t="s">
        <v>29</v>
      </c>
      <c r="P658">
        <v>1.8</v>
      </c>
      <c r="Q658" s="1" t="s">
        <v>57</v>
      </c>
      <c r="R658" s="1" t="str">
        <f>_xlfn.CONCAT(laptop[[#This Row],[CPU_company]]," ",laptop[[#This Row],[CPU_model]])</f>
        <v>Intel Core i7 8550U</v>
      </c>
      <c r="S658">
        <v>256</v>
      </c>
      <c r="T658">
        <v>0</v>
      </c>
      <c r="U658">
        <f>laptop[[#This Row],[PrimaryStorage]]+laptop[[#This Row],[SecondaryStorage]]</f>
        <v>256</v>
      </c>
      <c r="V658" s="1" t="s">
        <v>31</v>
      </c>
      <c r="W658" s="1" t="s">
        <v>27</v>
      </c>
      <c r="X658" s="1" t="str">
        <f>IF(laptop[[#This Row],[PrimaryStorageType]]=laptop[[#This Row],[SecondaryStorageType]],laptop[[#This Row],[PrimaryStorageType]],"SSD &amp; HDD")</f>
        <v>SSD &amp; HDD</v>
      </c>
      <c r="Y658" s="1" t="s">
        <v>94</v>
      </c>
    </row>
    <row r="659" spans="1:25" x14ac:dyDescent="0.25">
      <c r="A659" s="1" t="s">
        <v>65</v>
      </c>
      <c r="B659" s="1" t="s">
        <v>93</v>
      </c>
      <c r="C659" s="1" t="s">
        <v>38</v>
      </c>
      <c r="D659">
        <v>15.6</v>
      </c>
      <c r="E659">
        <v>16</v>
      </c>
      <c r="F659" s="1" t="s">
        <v>48</v>
      </c>
      <c r="G659">
        <v>2.2000000000000002</v>
      </c>
      <c r="H659">
        <v>1135</v>
      </c>
      <c r="I659" s="1" t="s">
        <v>40</v>
      </c>
      <c r="J659">
        <v>1920</v>
      </c>
      <c r="K659">
        <v>1080</v>
      </c>
      <c r="L659" s="1" t="s">
        <v>27</v>
      </c>
      <c r="M659" s="1" t="s">
        <v>27</v>
      </c>
      <c r="N659" s="1" t="s">
        <v>27</v>
      </c>
      <c r="O659" s="1" t="s">
        <v>29</v>
      </c>
      <c r="P659">
        <v>1.8</v>
      </c>
      <c r="Q659" s="1" t="s">
        <v>57</v>
      </c>
      <c r="R659" s="1" t="str">
        <f>_xlfn.CONCAT(laptop[[#This Row],[CPU_company]]," ",laptop[[#This Row],[CPU_model]])</f>
        <v>Intel Core i7 8550U</v>
      </c>
      <c r="S659">
        <v>256</v>
      </c>
      <c r="T659">
        <v>2048</v>
      </c>
      <c r="U659">
        <f>laptop[[#This Row],[PrimaryStorage]]+laptop[[#This Row],[SecondaryStorage]]</f>
        <v>2304</v>
      </c>
      <c r="V659" s="1" t="s">
        <v>31</v>
      </c>
      <c r="W659" s="1" t="s">
        <v>51</v>
      </c>
      <c r="X659" s="1" t="str">
        <f>IF(laptop[[#This Row],[PrimaryStorageType]]=laptop[[#This Row],[SecondaryStorageType]],laptop[[#This Row],[PrimaryStorageType]],"SSD &amp; HDD")</f>
        <v>SSD &amp; HDD</v>
      </c>
      <c r="Y659" s="1" t="s">
        <v>94</v>
      </c>
    </row>
    <row r="660" spans="1:25" x14ac:dyDescent="0.25">
      <c r="A660" s="1" t="s">
        <v>73</v>
      </c>
      <c r="B660" s="1" t="s">
        <v>559</v>
      </c>
      <c r="C660" s="1" t="s">
        <v>83</v>
      </c>
      <c r="D660">
        <v>15.6</v>
      </c>
      <c r="E660">
        <v>8</v>
      </c>
      <c r="F660" s="1" t="s">
        <v>48</v>
      </c>
      <c r="G660">
        <v>3.31</v>
      </c>
      <c r="H660">
        <v>1196</v>
      </c>
      <c r="I660" s="1" t="s">
        <v>40</v>
      </c>
      <c r="J660">
        <v>1920</v>
      </c>
      <c r="K660">
        <v>1080</v>
      </c>
      <c r="L660" s="1" t="s">
        <v>27</v>
      </c>
      <c r="M660" s="1" t="s">
        <v>28</v>
      </c>
      <c r="N660" s="1" t="s">
        <v>27</v>
      </c>
      <c r="O660" s="1" t="s">
        <v>29</v>
      </c>
      <c r="P660">
        <v>2.6</v>
      </c>
      <c r="Q660" s="1" t="s">
        <v>447</v>
      </c>
      <c r="R660" s="1" t="str">
        <f>_xlfn.CONCAT(laptop[[#This Row],[CPU_company]]," ",laptop[[#This Row],[CPU_model]])</f>
        <v>Intel Core i7 6700HQ</v>
      </c>
      <c r="S660">
        <v>128</v>
      </c>
      <c r="T660">
        <v>1024</v>
      </c>
      <c r="U660">
        <f>laptop[[#This Row],[PrimaryStorage]]+laptop[[#This Row],[SecondaryStorage]]</f>
        <v>1152</v>
      </c>
      <c r="V660" s="1" t="s">
        <v>31</v>
      </c>
      <c r="W660" s="1" t="s">
        <v>51</v>
      </c>
      <c r="X660" s="1" t="str">
        <f>IF(laptop[[#This Row],[PrimaryStorageType]]=laptop[[#This Row],[SecondaryStorageType]],laptop[[#This Row],[PrimaryStorageType]],"SSD &amp; HDD")</f>
        <v>SSD &amp; HDD</v>
      </c>
      <c r="Y660" s="1" t="s">
        <v>560</v>
      </c>
    </row>
    <row r="661" spans="1:25" x14ac:dyDescent="0.25">
      <c r="A661" s="1" t="s">
        <v>65</v>
      </c>
      <c r="B661" s="1" t="s">
        <v>275</v>
      </c>
      <c r="C661" s="1" t="s">
        <v>83</v>
      </c>
      <c r="D661">
        <v>17.3</v>
      </c>
      <c r="E661">
        <v>32</v>
      </c>
      <c r="F661" s="1" t="s">
        <v>48</v>
      </c>
      <c r="G661">
        <v>4.42</v>
      </c>
      <c r="H661">
        <v>3147.37</v>
      </c>
      <c r="I661" s="1" t="s">
        <v>215</v>
      </c>
      <c r="J661">
        <v>3840</v>
      </c>
      <c r="K661">
        <v>2160</v>
      </c>
      <c r="L661" s="1" t="s">
        <v>27</v>
      </c>
      <c r="M661" s="1" t="s">
        <v>28</v>
      </c>
      <c r="N661" s="1" t="s">
        <v>27</v>
      </c>
      <c r="O661" s="1" t="s">
        <v>29</v>
      </c>
      <c r="P661">
        <v>2.8</v>
      </c>
      <c r="Q661" s="1" t="s">
        <v>118</v>
      </c>
      <c r="R661" s="1" t="str">
        <f>_xlfn.CONCAT(laptop[[#This Row],[CPU_company]]," ",laptop[[#This Row],[CPU_model]])</f>
        <v>Intel Core i7 7700HQ</v>
      </c>
      <c r="S661">
        <v>512</v>
      </c>
      <c r="T661">
        <v>1024</v>
      </c>
      <c r="U661">
        <f>laptop[[#This Row],[PrimaryStorage]]+laptop[[#This Row],[SecondaryStorage]]</f>
        <v>1536</v>
      </c>
      <c r="V661" s="1" t="s">
        <v>31</v>
      </c>
      <c r="W661" s="1" t="s">
        <v>51</v>
      </c>
      <c r="X661" s="1" t="str">
        <f>IF(laptop[[#This Row],[PrimaryStorageType]]=laptop[[#This Row],[SecondaryStorageType]],laptop[[#This Row],[PrimaryStorageType]],"SSD &amp; HDD")</f>
        <v>SSD &amp; HDD</v>
      </c>
      <c r="Y661" s="1" t="s">
        <v>143</v>
      </c>
    </row>
    <row r="662" spans="1:25" x14ac:dyDescent="0.25">
      <c r="A662" s="1" t="s">
        <v>65</v>
      </c>
      <c r="B662" s="1" t="s">
        <v>561</v>
      </c>
      <c r="C662" s="1" t="s">
        <v>38</v>
      </c>
      <c r="D662">
        <v>14</v>
      </c>
      <c r="E662">
        <v>8</v>
      </c>
      <c r="F662" s="1" t="s">
        <v>48</v>
      </c>
      <c r="G662">
        <v>1.56</v>
      </c>
      <c r="H662">
        <v>1229</v>
      </c>
      <c r="I662" s="1" t="s">
        <v>40</v>
      </c>
      <c r="J662">
        <v>1920</v>
      </c>
      <c r="K662">
        <v>1080</v>
      </c>
      <c r="L662" s="1" t="s">
        <v>27</v>
      </c>
      <c r="M662" s="1" t="s">
        <v>27</v>
      </c>
      <c r="N662" s="1" t="s">
        <v>27</v>
      </c>
      <c r="O662" s="1" t="s">
        <v>29</v>
      </c>
      <c r="P662">
        <v>2.4</v>
      </c>
      <c r="Q662" s="1" t="s">
        <v>562</v>
      </c>
      <c r="R662" s="1" t="str">
        <f>_xlfn.CONCAT(laptop[[#This Row],[CPU_company]]," ",laptop[[#This Row],[CPU_model]])</f>
        <v>Intel Core i5 6300U</v>
      </c>
      <c r="S662">
        <v>256</v>
      </c>
      <c r="T662">
        <v>0</v>
      </c>
      <c r="U662">
        <f>laptop[[#This Row],[PrimaryStorage]]+laptop[[#This Row],[SecondaryStorage]]</f>
        <v>256</v>
      </c>
      <c r="V662" s="1" t="s">
        <v>31</v>
      </c>
      <c r="W662" s="1" t="s">
        <v>27</v>
      </c>
      <c r="X662" s="1" t="str">
        <f>IF(laptop[[#This Row],[PrimaryStorageType]]=laptop[[#This Row],[SecondaryStorageType]],laptop[[#This Row],[PrimaryStorageType]],"SSD &amp; HDD")</f>
        <v>SSD &amp; HDD</v>
      </c>
      <c r="Y662" s="1" t="s">
        <v>63</v>
      </c>
    </row>
    <row r="663" spans="1:25" x14ac:dyDescent="0.25">
      <c r="A663" s="1" t="s">
        <v>73</v>
      </c>
      <c r="B663" s="1" t="s">
        <v>563</v>
      </c>
      <c r="C663" s="1" t="s">
        <v>38</v>
      </c>
      <c r="D663">
        <v>15.6</v>
      </c>
      <c r="E663">
        <v>4</v>
      </c>
      <c r="F663" s="1" t="s">
        <v>48</v>
      </c>
      <c r="G663">
        <v>2.2000000000000002</v>
      </c>
      <c r="H663">
        <v>419</v>
      </c>
      <c r="I663" s="1" t="s">
        <v>26</v>
      </c>
      <c r="J663">
        <v>1366</v>
      </c>
      <c r="K663">
        <v>768</v>
      </c>
      <c r="L663" s="1" t="s">
        <v>27</v>
      </c>
      <c r="M663" s="1" t="s">
        <v>27</v>
      </c>
      <c r="N663" s="1" t="s">
        <v>27</v>
      </c>
      <c r="O663" s="1" t="s">
        <v>29</v>
      </c>
      <c r="P663">
        <v>1.1000000000000001</v>
      </c>
      <c r="Q663" s="1" t="s">
        <v>109</v>
      </c>
      <c r="R663" s="1" t="str">
        <f>_xlfn.CONCAT(laptop[[#This Row],[CPU_company]]," ",laptop[[#This Row],[CPU_model]])</f>
        <v>Intel Celeron Dual Core N3350</v>
      </c>
      <c r="S663">
        <v>500</v>
      </c>
      <c r="T663">
        <v>0</v>
      </c>
      <c r="U663">
        <f>laptop[[#This Row],[PrimaryStorage]]+laptop[[#This Row],[SecondaryStorage]]</f>
        <v>500</v>
      </c>
      <c r="V663" s="1" t="s">
        <v>51</v>
      </c>
      <c r="W663" s="1" t="s">
        <v>27</v>
      </c>
      <c r="X663" s="1" t="str">
        <f>IF(laptop[[#This Row],[PrimaryStorageType]]=laptop[[#This Row],[SecondaryStorageType]],laptop[[#This Row],[PrimaryStorageType]],"SSD &amp; HDD")</f>
        <v>SSD &amp; HDD</v>
      </c>
      <c r="Y663" s="1" t="s">
        <v>110</v>
      </c>
    </row>
    <row r="664" spans="1:25" x14ac:dyDescent="0.25">
      <c r="A664" s="1" t="s">
        <v>73</v>
      </c>
      <c r="B664" s="1" t="s">
        <v>125</v>
      </c>
      <c r="C664" s="1" t="s">
        <v>38</v>
      </c>
      <c r="D664">
        <v>15.6</v>
      </c>
      <c r="E664">
        <v>4</v>
      </c>
      <c r="F664" s="1" t="s">
        <v>48</v>
      </c>
      <c r="G664">
        <v>2.2000000000000002</v>
      </c>
      <c r="H664">
        <v>535</v>
      </c>
      <c r="I664" s="1" t="s">
        <v>40</v>
      </c>
      <c r="J664">
        <v>1920</v>
      </c>
      <c r="K664">
        <v>1080</v>
      </c>
      <c r="L664" s="1" t="s">
        <v>27</v>
      </c>
      <c r="M664" s="1" t="s">
        <v>27</v>
      </c>
      <c r="N664" s="1" t="s">
        <v>27</v>
      </c>
      <c r="O664" s="1" t="s">
        <v>29</v>
      </c>
      <c r="P664">
        <v>2.2999999999999998</v>
      </c>
      <c r="Q664" s="1" t="s">
        <v>212</v>
      </c>
      <c r="R664" s="1" t="str">
        <f>_xlfn.CONCAT(laptop[[#This Row],[CPU_company]]," ",laptop[[#This Row],[CPU_model]])</f>
        <v>Intel Core i5 6200U</v>
      </c>
      <c r="S664">
        <v>500</v>
      </c>
      <c r="T664">
        <v>0</v>
      </c>
      <c r="U664">
        <f>laptop[[#This Row],[PrimaryStorage]]+laptop[[#This Row],[SecondaryStorage]]</f>
        <v>500</v>
      </c>
      <c r="V664" s="1" t="s">
        <v>51</v>
      </c>
      <c r="W664" s="1" t="s">
        <v>27</v>
      </c>
      <c r="X664" s="1" t="str">
        <f>IF(laptop[[#This Row],[PrimaryStorageType]]=laptop[[#This Row],[SecondaryStorageType]],laptop[[#This Row],[PrimaryStorageType]],"SSD &amp; HDD")</f>
        <v>SSD &amp; HDD</v>
      </c>
      <c r="Y664" s="1" t="s">
        <v>63</v>
      </c>
    </row>
    <row r="665" spans="1:25" x14ac:dyDescent="0.25">
      <c r="A665" s="1" t="s">
        <v>36</v>
      </c>
      <c r="B665" s="1" t="s">
        <v>564</v>
      </c>
      <c r="C665" s="1" t="s">
        <v>38</v>
      </c>
      <c r="D665">
        <v>15.6</v>
      </c>
      <c r="E665">
        <v>6</v>
      </c>
      <c r="F665" s="1" t="s">
        <v>48</v>
      </c>
      <c r="G665">
        <v>2.04</v>
      </c>
      <c r="H665">
        <v>539</v>
      </c>
      <c r="I665" s="1" t="s">
        <v>26</v>
      </c>
      <c r="J665">
        <v>1920</v>
      </c>
      <c r="K665">
        <v>1080</v>
      </c>
      <c r="L665" s="1" t="s">
        <v>27</v>
      </c>
      <c r="M665" s="1" t="s">
        <v>27</v>
      </c>
      <c r="N665" s="1" t="s">
        <v>27</v>
      </c>
      <c r="O665" s="1" t="s">
        <v>29</v>
      </c>
      <c r="P665">
        <v>2</v>
      </c>
      <c r="Q665" s="1" t="s">
        <v>62</v>
      </c>
      <c r="R665" s="1" t="str">
        <f>_xlfn.CONCAT(laptop[[#This Row],[CPU_company]]," ",laptop[[#This Row],[CPU_model]])</f>
        <v>Intel Core i3 6006U</v>
      </c>
      <c r="S665">
        <v>1024</v>
      </c>
      <c r="T665">
        <v>0</v>
      </c>
      <c r="U665">
        <f>laptop[[#This Row],[PrimaryStorage]]+laptop[[#This Row],[SecondaryStorage]]</f>
        <v>1024</v>
      </c>
      <c r="V665" s="1" t="s">
        <v>51</v>
      </c>
      <c r="W665" s="1" t="s">
        <v>27</v>
      </c>
      <c r="X665" s="1" t="str">
        <f>IF(laptop[[#This Row],[PrimaryStorageType]]=laptop[[#This Row],[SecondaryStorageType]],laptop[[#This Row],[PrimaryStorageType]],"SSD &amp; HDD")</f>
        <v>SSD &amp; HDD</v>
      </c>
      <c r="Y665" s="1" t="s">
        <v>67</v>
      </c>
    </row>
    <row r="666" spans="1:25" x14ac:dyDescent="0.25">
      <c r="A666" s="1" t="s">
        <v>141</v>
      </c>
      <c r="B666" s="1" t="s">
        <v>565</v>
      </c>
      <c r="C666" s="1" t="s">
        <v>83</v>
      </c>
      <c r="D666">
        <v>17.3</v>
      </c>
      <c r="E666">
        <v>8</v>
      </c>
      <c r="F666" s="1" t="s">
        <v>48</v>
      </c>
      <c r="G666">
        <v>2.7</v>
      </c>
      <c r="H666">
        <v>1486.77</v>
      </c>
      <c r="I666" s="1" t="s">
        <v>40</v>
      </c>
      <c r="J666">
        <v>1920</v>
      </c>
      <c r="K666">
        <v>1080</v>
      </c>
      <c r="L666" s="1" t="s">
        <v>27</v>
      </c>
      <c r="M666" s="1" t="s">
        <v>27</v>
      </c>
      <c r="N666" s="1" t="s">
        <v>27</v>
      </c>
      <c r="O666" s="1" t="s">
        <v>29</v>
      </c>
      <c r="P666">
        <v>2.8</v>
      </c>
      <c r="Q666" s="1" t="s">
        <v>118</v>
      </c>
      <c r="R666" s="1" t="str">
        <f>_xlfn.CONCAT(laptop[[#This Row],[CPU_company]]," ",laptop[[#This Row],[CPU_model]])</f>
        <v>Intel Core i7 7700HQ</v>
      </c>
      <c r="S666">
        <v>128</v>
      </c>
      <c r="T666">
        <v>1024</v>
      </c>
      <c r="U666">
        <f>laptop[[#This Row],[PrimaryStorage]]+laptop[[#This Row],[SecondaryStorage]]</f>
        <v>1152</v>
      </c>
      <c r="V666" s="1" t="s">
        <v>31</v>
      </c>
      <c r="W666" s="1" t="s">
        <v>51</v>
      </c>
      <c r="X666" s="1" t="str">
        <f>IF(laptop[[#This Row],[PrimaryStorageType]]=laptop[[#This Row],[SecondaryStorageType]],laptop[[#This Row],[PrimaryStorageType]],"SSD &amp; HDD")</f>
        <v>SSD &amp; HDD</v>
      </c>
      <c r="Y666" s="1" t="s">
        <v>119</v>
      </c>
    </row>
    <row r="667" spans="1:25" x14ac:dyDescent="0.25">
      <c r="A667" s="1" t="s">
        <v>210</v>
      </c>
      <c r="B667" s="1" t="s">
        <v>211</v>
      </c>
      <c r="C667" s="1" t="s">
        <v>38</v>
      </c>
      <c r="D667">
        <v>15.6</v>
      </c>
      <c r="E667">
        <v>4</v>
      </c>
      <c r="F667" s="1" t="s">
        <v>48</v>
      </c>
      <c r="G667">
        <v>2.1</v>
      </c>
      <c r="H667">
        <v>498</v>
      </c>
      <c r="I667" s="1" t="s">
        <v>26</v>
      </c>
      <c r="J667">
        <v>1366</v>
      </c>
      <c r="K667">
        <v>768</v>
      </c>
      <c r="L667" s="1" t="s">
        <v>27</v>
      </c>
      <c r="M667" s="1" t="s">
        <v>27</v>
      </c>
      <c r="N667" s="1" t="s">
        <v>27</v>
      </c>
      <c r="O667" s="1" t="s">
        <v>29</v>
      </c>
      <c r="P667">
        <v>2.1</v>
      </c>
      <c r="Q667" s="1" t="s">
        <v>450</v>
      </c>
      <c r="R667" s="1" t="str">
        <f>_xlfn.CONCAT(laptop[[#This Row],[CPU_company]]," ",laptop[[#This Row],[CPU_model]])</f>
        <v>Intel Core i3 6100U</v>
      </c>
      <c r="S667">
        <v>128</v>
      </c>
      <c r="T667">
        <v>0</v>
      </c>
      <c r="U667">
        <f>laptop[[#This Row],[PrimaryStorage]]+laptop[[#This Row],[SecondaryStorage]]</f>
        <v>128</v>
      </c>
      <c r="V667" s="1" t="s">
        <v>31</v>
      </c>
      <c r="W667" s="1" t="s">
        <v>27</v>
      </c>
      <c r="X667" s="1" t="str">
        <f>IF(laptop[[#This Row],[PrimaryStorageType]]=laptop[[#This Row],[SecondaryStorageType]],laptop[[#This Row],[PrimaryStorageType]],"SSD &amp; HDD")</f>
        <v>SSD &amp; HDD</v>
      </c>
      <c r="Y667" s="1" t="s">
        <v>63</v>
      </c>
    </row>
    <row r="668" spans="1:25" x14ac:dyDescent="0.25">
      <c r="A668" s="1" t="s">
        <v>65</v>
      </c>
      <c r="B668" s="1" t="s">
        <v>566</v>
      </c>
      <c r="C668" s="1" t="s">
        <v>38</v>
      </c>
      <c r="D668">
        <v>15.6</v>
      </c>
      <c r="E668">
        <v>8</v>
      </c>
      <c r="F668" s="1" t="s">
        <v>48</v>
      </c>
      <c r="G668">
        <v>2.06</v>
      </c>
      <c r="H668">
        <v>955</v>
      </c>
      <c r="I668" s="1" t="s">
        <v>40</v>
      </c>
      <c r="J668">
        <v>1920</v>
      </c>
      <c r="K668">
        <v>1080</v>
      </c>
      <c r="L668" s="1" t="s">
        <v>27</v>
      </c>
      <c r="M668" s="1" t="s">
        <v>27</v>
      </c>
      <c r="N668" s="1" t="s">
        <v>27</v>
      </c>
      <c r="O668" s="1" t="s">
        <v>29</v>
      </c>
      <c r="P668">
        <v>2.5</v>
      </c>
      <c r="Q668" s="1" t="s">
        <v>41</v>
      </c>
      <c r="R668" s="1" t="str">
        <f>_xlfn.CONCAT(laptop[[#This Row],[CPU_company]]," ",laptop[[#This Row],[CPU_model]])</f>
        <v>Intel Core i5 7200U</v>
      </c>
      <c r="S668">
        <v>1024</v>
      </c>
      <c r="T668">
        <v>0</v>
      </c>
      <c r="U668">
        <f>laptop[[#This Row],[PrimaryStorage]]+laptop[[#This Row],[SecondaryStorage]]</f>
        <v>1024</v>
      </c>
      <c r="V668" s="1" t="s">
        <v>51</v>
      </c>
      <c r="W668" s="1" t="s">
        <v>27</v>
      </c>
      <c r="X668" s="1" t="str">
        <f>IF(laptop[[#This Row],[PrimaryStorageType]]=laptop[[#This Row],[SecondaryStorageType]],laptop[[#This Row],[PrimaryStorageType]],"SSD &amp; HDD")</f>
        <v>SSD &amp; HDD</v>
      </c>
      <c r="Y668" s="1" t="s">
        <v>42</v>
      </c>
    </row>
    <row r="669" spans="1:25" x14ac:dyDescent="0.25">
      <c r="A669" s="1" t="s">
        <v>36</v>
      </c>
      <c r="B669" s="1" t="s">
        <v>567</v>
      </c>
      <c r="C669" s="1" t="s">
        <v>38</v>
      </c>
      <c r="D669">
        <v>15.6</v>
      </c>
      <c r="E669">
        <v>8</v>
      </c>
      <c r="F669" s="1" t="s">
        <v>48</v>
      </c>
      <c r="G669">
        <v>2.1</v>
      </c>
      <c r="H669">
        <v>745</v>
      </c>
      <c r="I669" s="1" t="s">
        <v>40</v>
      </c>
      <c r="J669">
        <v>1920</v>
      </c>
      <c r="K669">
        <v>1080</v>
      </c>
      <c r="L669" s="1" t="s">
        <v>27</v>
      </c>
      <c r="M669" s="1" t="s">
        <v>27</v>
      </c>
      <c r="N669" s="1" t="s">
        <v>27</v>
      </c>
      <c r="O669" s="1" t="s">
        <v>29</v>
      </c>
      <c r="P669">
        <v>2.7</v>
      </c>
      <c r="Q669" s="1" t="s">
        <v>71</v>
      </c>
      <c r="R669" s="1" t="str">
        <f>_xlfn.CONCAT(laptop[[#This Row],[CPU_company]]," ",laptop[[#This Row],[CPU_model]])</f>
        <v>Intel Core i7 7500U</v>
      </c>
      <c r="S669">
        <v>1024</v>
      </c>
      <c r="T669">
        <v>0</v>
      </c>
      <c r="U669">
        <f>laptop[[#This Row],[PrimaryStorage]]+laptop[[#This Row],[SecondaryStorage]]</f>
        <v>1024</v>
      </c>
      <c r="V669" s="1" t="s">
        <v>51</v>
      </c>
      <c r="W669" s="1" t="s">
        <v>27</v>
      </c>
      <c r="X669" s="1" t="str">
        <f>IF(laptop[[#This Row],[PrimaryStorageType]]=laptop[[#This Row],[SecondaryStorageType]],laptop[[#This Row],[PrimaryStorageType]],"SSD &amp; HDD")</f>
        <v>SSD &amp; HDD</v>
      </c>
      <c r="Y669" s="1" t="s">
        <v>94</v>
      </c>
    </row>
    <row r="670" spans="1:25" x14ac:dyDescent="0.25">
      <c r="A670" s="1" t="s">
        <v>210</v>
      </c>
      <c r="B670" s="1" t="s">
        <v>568</v>
      </c>
      <c r="C670" s="1" t="s">
        <v>38</v>
      </c>
      <c r="D670">
        <v>15.6</v>
      </c>
      <c r="E670">
        <v>8</v>
      </c>
      <c r="F670" s="1" t="s">
        <v>48</v>
      </c>
      <c r="G670">
        <v>2</v>
      </c>
      <c r="H670">
        <v>1258</v>
      </c>
      <c r="I670" s="1" t="s">
        <v>40</v>
      </c>
      <c r="J670">
        <v>1920</v>
      </c>
      <c r="K670">
        <v>1080</v>
      </c>
      <c r="L670" s="1" t="s">
        <v>27</v>
      </c>
      <c r="M670" s="1" t="s">
        <v>28</v>
      </c>
      <c r="N670" s="1" t="s">
        <v>27</v>
      </c>
      <c r="O670" s="1" t="s">
        <v>29</v>
      </c>
      <c r="P670">
        <v>2.5</v>
      </c>
      <c r="Q670" s="1" t="s">
        <v>41</v>
      </c>
      <c r="R670" s="1" t="str">
        <f>_xlfn.CONCAT(laptop[[#This Row],[CPU_company]]," ",laptop[[#This Row],[CPU_model]])</f>
        <v>Intel Core i5 7200U</v>
      </c>
      <c r="S670">
        <v>256</v>
      </c>
      <c r="T670">
        <v>0</v>
      </c>
      <c r="U670">
        <f>laptop[[#This Row],[PrimaryStorage]]+laptop[[#This Row],[SecondaryStorage]]</f>
        <v>256</v>
      </c>
      <c r="V670" s="1" t="s">
        <v>31</v>
      </c>
      <c r="W670" s="1" t="s">
        <v>27</v>
      </c>
      <c r="X670" s="1" t="str">
        <f>IF(laptop[[#This Row],[PrimaryStorageType]]=laptop[[#This Row],[SecondaryStorageType]],laptop[[#This Row],[PrimaryStorageType]],"SSD &amp; HDD")</f>
        <v>SSD &amp; HDD</v>
      </c>
      <c r="Y670" s="1" t="s">
        <v>42</v>
      </c>
    </row>
    <row r="671" spans="1:25" x14ac:dyDescent="0.25">
      <c r="A671" s="1" t="s">
        <v>46</v>
      </c>
      <c r="B671" s="1" t="s">
        <v>47</v>
      </c>
      <c r="C671" s="1" t="s">
        <v>38</v>
      </c>
      <c r="D671">
        <v>15.6</v>
      </c>
      <c r="E671">
        <v>4</v>
      </c>
      <c r="F671" s="1" t="s">
        <v>111</v>
      </c>
      <c r="G671">
        <v>2.1</v>
      </c>
      <c r="H671">
        <v>412</v>
      </c>
      <c r="I671" s="1" t="s">
        <v>26</v>
      </c>
      <c r="J671">
        <v>1366</v>
      </c>
      <c r="K671">
        <v>768</v>
      </c>
      <c r="L671" s="1" t="s">
        <v>27</v>
      </c>
      <c r="M671" s="1" t="s">
        <v>27</v>
      </c>
      <c r="N671" s="1" t="s">
        <v>27</v>
      </c>
      <c r="O671" s="1" t="s">
        <v>29</v>
      </c>
      <c r="P671">
        <v>2</v>
      </c>
      <c r="Q671" s="1" t="s">
        <v>62</v>
      </c>
      <c r="R671" s="1" t="str">
        <f>_xlfn.CONCAT(laptop[[#This Row],[CPU_company]]," ",laptop[[#This Row],[CPU_model]])</f>
        <v>Intel Core i3 6006U</v>
      </c>
      <c r="S671">
        <v>128</v>
      </c>
      <c r="T671">
        <v>0</v>
      </c>
      <c r="U671">
        <f>laptop[[#This Row],[PrimaryStorage]]+laptop[[#This Row],[SecondaryStorage]]</f>
        <v>128</v>
      </c>
      <c r="V671" s="1" t="s">
        <v>31</v>
      </c>
      <c r="W671" s="1" t="s">
        <v>27</v>
      </c>
      <c r="X671" s="1" t="str">
        <f>IF(laptop[[#This Row],[PrimaryStorageType]]=laptop[[#This Row],[SecondaryStorageType]],laptop[[#This Row],[PrimaryStorageType]],"SSD &amp; HDD")</f>
        <v>SSD &amp; HDD</v>
      </c>
      <c r="Y671" s="1" t="s">
        <v>63</v>
      </c>
    </row>
    <row r="672" spans="1:25" x14ac:dyDescent="0.25">
      <c r="A672" s="1" t="s">
        <v>154</v>
      </c>
      <c r="B672" s="1" t="s">
        <v>155</v>
      </c>
      <c r="C672" s="1" t="s">
        <v>24</v>
      </c>
      <c r="D672">
        <v>13.5</v>
      </c>
      <c r="E672">
        <v>8</v>
      </c>
      <c r="F672" s="1" t="s">
        <v>156</v>
      </c>
      <c r="G672">
        <v>1.252</v>
      </c>
      <c r="H672">
        <v>1867.85</v>
      </c>
      <c r="I672" s="1" t="s">
        <v>26</v>
      </c>
      <c r="J672">
        <v>2256</v>
      </c>
      <c r="K672">
        <v>1504</v>
      </c>
      <c r="L672" s="1" t="s">
        <v>28</v>
      </c>
      <c r="M672" s="1" t="s">
        <v>27</v>
      </c>
      <c r="N672" s="1" t="s">
        <v>27</v>
      </c>
      <c r="O672" s="1" t="s">
        <v>29</v>
      </c>
      <c r="P672">
        <v>2.8</v>
      </c>
      <c r="Q672" s="1" t="s">
        <v>335</v>
      </c>
      <c r="R672" s="1" t="str">
        <f>_xlfn.CONCAT(laptop[[#This Row],[CPU_company]]," ",laptop[[#This Row],[CPU_model]])</f>
        <v>Intel Core i7 7600U</v>
      </c>
      <c r="S672">
        <v>256</v>
      </c>
      <c r="T672">
        <v>0</v>
      </c>
      <c r="U672">
        <f>laptop[[#This Row],[PrimaryStorage]]+laptop[[#This Row],[SecondaryStorage]]</f>
        <v>256</v>
      </c>
      <c r="V672" s="1" t="s">
        <v>31</v>
      </c>
      <c r="W672" s="1" t="s">
        <v>27</v>
      </c>
      <c r="X672" s="1" t="str">
        <f>IF(laptop[[#This Row],[PrimaryStorageType]]=laptop[[#This Row],[SecondaryStorageType]],laptop[[#This Row],[PrimaryStorageType]],"SSD &amp; HDD")</f>
        <v>SSD &amp; HDD</v>
      </c>
      <c r="Y672" s="1" t="s">
        <v>32</v>
      </c>
    </row>
    <row r="673" spans="1:25" x14ac:dyDescent="0.25">
      <c r="A673" s="1" t="s">
        <v>73</v>
      </c>
      <c r="B673" s="1" t="s">
        <v>569</v>
      </c>
      <c r="C673" s="1" t="s">
        <v>38</v>
      </c>
      <c r="D673">
        <v>15.6</v>
      </c>
      <c r="E673">
        <v>8</v>
      </c>
      <c r="F673" s="1" t="s">
        <v>48</v>
      </c>
      <c r="G673">
        <v>1.9</v>
      </c>
      <c r="H673">
        <v>817.95</v>
      </c>
      <c r="I673" s="1" t="s">
        <v>40</v>
      </c>
      <c r="J673">
        <v>1920</v>
      </c>
      <c r="K673">
        <v>1080</v>
      </c>
      <c r="L673" s="1" t="s">
        <v>27</v>
      </c>
      <c r="M673" s="1" t="s">
        <v>27</v>
      </c>
      <c r="N673" s="1" t="s">
        <v>27</v>
      </c>
      <c r="O673" s="1" t="s">
        <v>29</v>
      </c>
      <c r="P673">
        <v>2.5</v>
      </c>
      <c r="Q673" s="1" t="s">
        <v>41</v>
      </c>
      <c r="R673" s="1" t="str">
        <f>_xlfn.CONCAT(laptop[[#This Row],[CPU_company]]," ",laptop[[#This Row],[CPU_model]])</f>
        <v>Intel Core i5 7200U</v>
      </c>
      <c r="S673">
        <v>128</v>
      </c>
      <c r="T673">
        <v>1024</v>
      </c>
      <c r="U673">
        <f>laptop[[#This Row],[PrimaryStorage]]+laptop[[#This Row],[SecondaryStorage]]</f>
        <v>1152</v>
      </c>
      <c r="V673" s="1" t="s">
        <v>31</v>
      </c>
      <c r="W673" s="1" t="s">
        <v>51</v>
      </c>
      <c r="X673" s="1" t="str">
        <f>IF(laptop[[#This Row],[PrimaryStorageType]]=laptop[[#This Row],[SecondaryStorageType]],laptop[[#This Row],[PrimaryStorageType]],"SSD &amp; HDD")</f>
        <v>SSD &amp; HDD</v>
      </c>
      <c r="Y673" s="1" t="s">
        <v>67</v>
      </c>
    </row>
    <row r="674" spans="1:25" x14ac:dyDescent="0.25">
      <c r="A674" s="1" t="s">
        <v>73</v>
      </c>
      <c r="B674" s="1" t="s">
        <v>570</v>
      </c>
      <c r="C674" s="1" t="s">
        <v>90</v>
      </c>
      <c r="D674">
        <v>13.3</v>
      </c>
      <c r="E674">
        <v>8</v>
      </c>
      <c r="F674" s="1" t="s">
        <v>48</v>
      </c>
      <c r="G674">
        <v>1.3</v>
      </c>
      <c r="H674">
        <v>1034</v>
      </c>
      <c r="I674" s="1" t="s">
        <v>40</v>
      </c>
      <c r="J674">
        <v>1920</v>
      </c>
      <c r="K674">
        <v>1080</v>
      </c>
      <c r="L674" s="1" t="s">
        <v>28</v>
      </c>
      <c r="M674" s="1" t="s">
        <v>28</v>
      </c>
      <c r="N674" s="1" t="s">
        <v>27</v>
      </c>
      <c r="O674" s="1" t="s">
        <v>29</v>
      </c>
      <c r="P674">
        <v>2.5</v>
      </c>
      <c r="Q674" s="1" t="s">
        <v>41</v>
      </c>
      <c r="R674" s="1" t="str">
        <f>_xlfn.CONCAT(laptop[[#This Row],[CPU_company]]," ",laptop[[#This Row],[CPU_model]])</f>
        <v>Intel Core i5 7200U</v>
      </c>
      <c r="S674">
        <v>256</v>
      </c>
      <c r="T674">
        <v>0</v>
      </c>
      <c r="U674">
        <f>laptop[[#This Row],[PrimaryStorage]]+laptop[[#This Row],[SecondaryStorage]]</f>
        <v>256</v>
      </c>
      <c r="V674" s="1" t="s">
        <v>31</v>
      </c>
      <c r="W674" s="1" t="s">
        <v>27</v>
      </c>
      <c r="X674" s="1" t="str">
        <f>IF(laptop[[#This Row],[PrimaryStorageType]]=laptop[[#This Row],[SecondaryStorageType]],laptop[[#This Row],[PrimaryStorageType]],"SSD &amp; HDD")</f>
        <v>SSD &amp; HDD</v>
      </c>
      <c r="Y674" s="1" t="s">
        <v>42</v>
      </c>
    </row>
    <row r="675" spans="1:25" x14ac:dyDescent="0.25">
      <c r="A675" s="1" t="s">
        <v>73</v>
      </c>
      <c r="B675" s="1" t="s">
        <v>165</v>
      </c>
      <c r="C675" s="1" t="s">
        <v>38</v>
      </c>
      <c r="D675">
        <v>15.6</v>
      </c>
      <c r="E675">
        <v>4</v>
      </c>
      <c r="F675" s="1" t="s">
        <v>48</v>
      </c>
      <c r="G675">
        <v>2.2000000000000002</v>
      </c>
      <c r="H675">
        <v>349</v>
      </c>
      <c r="I675" s="1" t="s">
        <v>26</v>
      </c>
      <c r="J675">
        <v>1366</v>
      </c>
      <c r="K675">
        <v>768</v>
      </c>
      <c r="L675" s="1" t="s">
        <v>27</v>
      </c>
      <c r="M675" s="1" t="s">
        <v>27</v>
      </c>
      <c r="N675" s="1" t="s">
        <v>27</v>
      </c>
      <c r="O675" s="1" t="s">
        <v>49</v>
      </c>
      <c r="P675">
        <v>2.2000000000000002</v>
      </c>
      <c r="Q675" s="1" t="s">
        <v>571</v>
      </c>
      <c r="R675" s="1" t="str">
        <f>_xlfn.CONCAT(laptop[[#This Row],[CPU_company]]," ",laptop[[#This Row],[CPU_model]])</f>
        <v>AMD E-Series E2-9000</v>
      </c>
      <c r="S675">
        <v>128</v>
      </c>
      <c r="T675">
        <v>0</v>
      </c>
      <c r="U675">
        <f>laptop[[#This Row],[PrimaryStorage]]+laptop[[#This Row],[SecondaryStorage]]</f>
        <v>128</v>
      </c>
      <c r="V675" s="1" t="s">
        <v>31</v>
      </c>
      <c r="W675" s="1" t="s">
        <v>27</v>
      </c>
      <c r="X675" s="1" t="str">
        <f>IF(laptop[[#This Row],[PrimaryStorageType]]=laptop[[#This Row],[SecondaryStorageType]],laptop[[#This Row],[PrimaryStorageType]],"SSD &amp; HDD")</f>
        <v>SSD &amp; HDD</v>
      </c>
      <c r="Y675" s="1" t="s">
        <v>490</v>
      </c>
    </row>
    <row r="676" spans="1:25" x14ac:dyDescent="0.25">
      <c r="A676" s="1" t="s">
        <v>36</v>
      </c>
      <c r="B676" s="1" t="s">
        <v>572</v>
      </c>
      <c r="C676" s="1" t="s">
        <v>90</v>
      </c>
      <c r="D676">
        <v>14</v>
      </c>
      <c r="E676">
        <v>4</v>
      </c>
      <c r="F676" s="1" t="s">
        <v>48</v>
      </c>
      <c r="G676">
        <v>1.63</v>
      </c>
      <c r="H676">
        <v>699</v>
      </c>
      <c r="I676" s="1" t="s">
        <v>40</v>
      </c>
      <c r="J676">
        <v>1920</v>
      </c>
      <c r="K676">
        <v>1080</v>
      </c>
      <c r="L676" s="1" t="s">
        <v>28</v>
      </c>
      <c r="M676" s="1" t="s">
        <v>28</v>
      </c>
      <c r="N676" s="1" t="s">
        <v>27</v>
      </c>
      <c r="O676" s="1" t="s">
        <v>29</v>
      </c>
      <c r="P676">
        <v>2.4</v>
      </c>
      <c r="Q676" s="1" t="s">
        <v>75</v>
      </c>
      <c r="R676" s="1" t="str">
        <f>_xlfn.CONCAT(laptop[[#This Row],[CPU_company]]," ",laptop[[#This Row],[CPU_model]])</f>
        <v>Intel Core i3 7100U</v>
      </c>
      <c r="S676">
        <v>128</v>
      </c>
      <c r="T676">
        <v>0</v>
      </c>
      <c r="U676">
        <f>laptop[[#This Row],[PrimaryStorage]]+laptop[[#This Row],[SecondaryStorage]]</f>
        <v>128</v>
      </c>
      <c r="V676" s="1" t="s">
        <v>31</v>
      </c>
      <c r="W676" s="1" t="s">
        <v>27</v>
      </c>
      <c r="X676" s="1" t="str">
        <f>IF(laptop[[#This Row],[PrimaryStorageType]]=laptop[[#This Row],[SecondaryStorageType]],laptop[[#This Row],[PrimaryStorageType]],"SSD &amp; HDD")</f>
        <v>SSD &amp; HDD</v>
      </c>
      <c r="Y676" s="1" t="s">
        <v>76</v>
      </c>
    </row>
    <row r="677" spans="1:25" x14ac:dyDescent="0.25">
      <c r="A677" s="1" t="s">
        <v>141</v>
      </c>
      <c r="B677" s="1" t="s">
        <v>573</v>
      </c>
      <c r="C677" s="1" t="s">
        <v>83</v>
      </c>
      <c r="D677">
        <v>15.6</v>
      </c>
      <c r="E677">
        <v>16</v>
      </c>
      <c r="F677" s="1" t="s">
        <v>48</v>
      </c>
      <c r="G677">
        <v>2.4</v>
      </c>
      <c r="H677">
        <v>1294</v>
      </c>
      <c r="I677" s="1" t="s">
        <v>40</v>
      </c>
      <c r="J677">
        <v>1920</v>
      </c>
      <c r="K677">
        <v>1080</v>
      </c>
      <c r="L677" s="1" t="s">
        <v>27</v>
      </c>
      <c r="M677" s="1" t="s">
        <v>27</v>
      </c>
      <c r="N677" s="1" t="s">
        <v>27</v>
      </c>
      <c r="O677" s="1" t="s">
        <v>29</v>
      </c>
      <c r="P677">
        <v>2.8</v>
      </c>
      <c r="Q677" s="1" t="s">
        <v>118</v>
      </c>
      <c r="R677" s="1" t="str">
        <f>_xlfn.CONCAT(laptop[[#This Row],[CPU_company]]," ",laptop[[#This Row],[CPU_model]])</f>
        <v>Intel Core i7 7700HQ</v>
      </c>
      <c r="S677">
        <v>256</v>
      </c>
      <c r="T677">
        <v>1024</v>
      </c>
      <c r="U677">
        <f>laptop[[#This Row],[PrimaryStorage]]+laptop[[#This Row],[SecondaryStorage]]</f>
        <v>1280</v>
      </c>
      <c r="V677" s="1" t="s">
        <v>31</v>
      </c>
      <c r="W677" s="1" t="s">
        <v>51</v>
      </c>
      <c r="X677" s="1" t="str">
        <f>IF(laptop[[#This Row],[PrimaryStorageType]]=laptop[[#This Row],[SecondaryStorageType]],laptop[[#This Row],[PrimaryStorageType]],"SSD &amp; HDD")</f>
        <v>SSD &amp; HDD</v>
      </c>
      <c r="Y677" s="1" t="s">
        <v>85</v>
      </c>
    </row>
    <row r="678" spans="1:25" x14ac:dyDescent="0.25">
      <c r="A678" s="1" t="s">
        <v>55</v>
      </c>
      <c r="B678" s="1" t="s">
        <v>398</v>
      </c>
      <c r="C678" s="1" t="s">
        <v>24</v>
      </c>
      <c r="D678">
        <v>14</v>
      </c>
      <c r="E678">
        <v>8</v>
      </c>
      <c r="F678" s="1" t="s">
        <v>48</v>
      </c>
      <c r="G678">
        <v>1.1000000000000001</v>
      </c>
      <c r="H678">
        <v>1135</v>
      </c>
      <c r="I678" s="1" t="s">
        <v>40</v>
      </c>
      <c r="J678">
        <v>1920</v>
      </c>
      <c r="K678">
        <v>1080</v>
      </c>
      <c r="L678" s="1" t="s">
        <v>27</v>
      </c>
      <c r="M678" s="1" t="s">
        <v>27</v>
      </c>
      <c r="N678" s="1" t="s">
        <v>27</v>
      </c>
      <c r="O678" s="1" t="s">
        <v>29</v>
      </c>
      <c r="P678">
        <v>2.5</v>
      </c>
      <c r="Q678" s="1" t="s">
        <v>41</v>
      </c>
      <c r="R678" s="1" t="str">
        <f>_xlfn.CONCAT(laptop[[#This Row],[CPU_company]]," ",laptop[[#This Row],[CPU_model]])</f>
        <v>Intel Core i5 7200U</v>
      </c>
      <c r="S678">
        <v>256</v>
      </c>
      <c r="T678">
        <v>0</v>
      </c>
      <c r="U678">
        <f>laptop[[#This Row],[PrimaryStorage]]+laptop[[#This Row],[SecondaryStorage]]</f>
        <v>256</v>
      </c>
      <c r="V678" s="1" t="s">
        <v>31</v>
      </c>
      <c r="W678" s="1" t="s">
        <v>27</v>
      </c>
      <c r="X678" s="1" t="str">
        <f>IF(laptop[[#This Row],[PrimaryStorageType]]=laptop[[#This Row],[SecondaryStorageType]],laptop[[#This Row],[PrimaryStorageType]],"SSD &amp; HDD")</f>
        <v>SSD &amp; HDD</v>
      </c>
      <c r="Y678" s="1" t="s">
        <v>42</v>
      </c>
    </row>
    <row r="679" spans="1:25" x14ac:dyDescent="0.25">
      <c r="A679" s="1" t="s">
        <v>36</v>
      </c>
      <c r="B679" s="1" t="s">
        <v>574</v>
      </c>
      <c r="C679" s="1" t="s">
        <v>90</v>
      </c>
      <c r="D679">
        <v>11.6</v>
      </c>
      <c r="E679">
        <v>8</v>
      </c>
      <c r="F679" s="1" t="s">
        <v>317</v>
      </c>
      <c r="G679">
        <v>1.4</v>
      </c>
      <c r="H679">
        <v>495</v>
      </c>
      <c r="I679" s="1" t="s">
        <v>26</v>
      </c>
      <c r="J679">
        <v>1366</v>
      </c>
      <c r="K679">
        <v>768</v>
      </c>
      <c r="L679" s="1" t="s">
        <v>28</v>
      </c>
      <c r="M679" s="1" t="s">
        <v>27</v>
      </c>
      <c r="N679" s="1" t="s">
        <v>27</v>
      </c>
      <c r="O679" s="1" t="s">
        <v>29</v>
      </c>
      <c r="P679">
        <v>1.1000000000000001</v>
      </c>
      <c r="Q679" s="1" t="s">
        <v>109</v>
      </c>
      <c r="R679" s="1" t="str">
        <f>_xlfn.CONCAT(laptop[[#This Row],[CPU_company]]," ",laptop[[#This Row],[CPU_model]])</f>
        <v>Intel Celeron Dual Core N3350</v>
      </c>
      <c r="S679">
        <v>64</v>
      </c>
      <c r="T679">
        <v>0</v>
      </c>
      <c r="U679">
        <f>laptop[[#This Row],[PrimaryStorage]]+laptop[[#This Row],[SecondaryStorage]]</f>
        <v>64</v>
      </c>
      <c r="V679" s="1" t="s">
        <v>34</v>
      </c>
      <c r="W679" s="1" t="s">
        <v>27</v>
      </c>
      <c r="X679" s="1" t="str">
        <f>IF(laptop[[#This Row],[PrimaryStorageType]]=laptop[[#This Row],[SecondaryStorageType]],laptop[[#This Row],[PrimaryStorageType]],"SSD &amp; HDD")</f>
        <v>SSD &amp; HDD</v>
      </c>
      <c r="Y679" s="1" t="s">
        <v>110</v>
      </c>
    </row>
    <row r="680" spans="1:25" x14ac:dyDescent="0.25">
      <c r="A680" s="1" t="s">
        <v>575</v>
      </c>
      <c r="B680" s="1" t="s">
        <v>576</v>
      </c>
      <c r="C680" s="1" t="s">
        <v>24</v>
      </c>
      <c r="D680">
        <v>15.6</v>
      </c>
      <c r="E680">
        <v>8</v>
      </c>
      <c r="F680" s="1" t="s">
        <v>48</v>
      </c>
      <c r="G680">
        <v>1.0900000000000001</v>
      </c>
      <c r="H680">
        <v>2299</v>
      </c>
      <c r="I680" s="1" t="s">
        <v>40</v>
      </c>
      <c r="J680">
        <v>1920</v>
      </c>
      <c r="K680">
        <v>1080</v>
      </c>
      <c r="L680" s="1" t="s">
        <v>27</v>
      </c>
      <c r="M680" s="1" t="s">
        <v>28</v>
      </c>
      <c r="N680" s="1" t="s">
        <v>27</v>
      </c>
      <c r="O680" s="1" t="s">
        <v>29</v>
      </c>
      <c r="P680">
        <v>1.8</v>
      </c>
      <c r="Q680" s="1" t="s">
        <v>57</v>
      </c>
      <c r="R680" s="1" t="str">
        <f>_xlfn.CONCAT(laptop[[#This Row],[CPU_company]]," ",laptop[[#This Row],[CPU_model]])</f>
        <v>Intel Core i7 8550U</v>
      </c>
      <c r="S680">
        <v>512</v>
      </c>
      <c r="T680">
        <v>0</v>
      </c>
      <c r="U680">
        <f>laptop[[#This Row],[PrimaryStorage]]+laptop[[#This Row],[SecondaryStorage]]</f>
        <v>512</v>
      </c>
      <c r="V680" s="1" t="s">
        <v>31</v>
      </c>
      <c r="W680" s="1" t="s">
        <v>27</v>
      </c>
      <c r="X680" s="1" t="str">
        <f>IF(laptop[[#This Row],[PrimaryStorageType]]=laptop[[#This Row],[SecondaryStorageType]],laptop[[#This Row],[PrimaryStorageType]],"SSD &amp; HDD")</f>
        <v>SSD &amp; HDD</v>
      </c>
      <c r="Y680" s="1" t="s">
        <v>42</v>
      </c>
    </row>
    <row r="681" spans="1:25" x14ac:dyDescent="0.25">
      <c r="A681" s="1" t="s">
        <v>46</v>
      </c>
      <c r="B681" s="1" t="s">
        <v>577</v>
      </c>
      <c r="C681" s="1" t="s">
        <v>83</v>
      </c>
      <c r="D681">
        <v>15.6</v>
      </c>
      <c r="E681">
        <v>16</v>
      </c>
      <c r="F681" s="1" t="s">
        <v>48</v>
      </c>
      <c r="G681">
        <v>2.5</v>
      </c>
      <c r="H681">
        <v>1299</v>
      </c>
      <c r="I681" s="1" t="s">
        <v>40</v>
      </c>
      <c r="J681">
        <v>1920</v>
      </c>
      <c r="K681">
        <v>1080</v>
      </c>
      <c r="L681" s="1" t="s">
        <v>27</v>
      </c>
      <c r="M681" s="1" t="s">
        <v>27</v>
      </c>
      <c r="N681" s="1" t="s">
        <v>27</v>
      </c>
      <c r="O681" s="1" t="s">
        <v>29</v>
      </c>
      <c r="P681">
        <v>2.5</v>
      </c>
      <c r="Q681" s="1" t="s">
        <v>84</v>
      </c>
      <c r="R681" s="1" t="str">
        <f>_xlfn.CONCAT(laptop[[#This Row],[CPU_company]]," ",laptop[[#This Row],[CPU_model]])</f>
        <v>Intel Core i5 7300HQ</v>
      </c>
      <c r="S681">
        <v>256</v>
      </c>
      <c r="T681">
        <v>0</v>
      </c>
      <c r="U681">
        <f>laptop[[#This Row],[PrimaryStorage]]+laptop[[#This Row],[SecondaryStorage]]</f>
        <v>256</v>
      </c>
      <c r="V681" s="1" t="s">
        <v>31</v>
      </c>
      <c r="W681" s="1" t="s">
        <v>27</v>
      </c>
      <c r="X681" s="1" t="str">
        <f>IF(laptop[[#This Row],[PrimaryStorageType]]=laptop[[#This Row],[SecondaryStorageType]],laptop[[#This Row],[PrimaryStorageType]],"SSD &amp; HDD")</f>
        <v>SSD &amp; HDD</v>
      </c>
      <c r="Y681" s="1" t="s">
        <v>149</v>
      </c>
    </row>
    <row r="682" spans="1:25" x14ac:dyDescent="0.25">
      <c r="A682" s="1" t="s">
        <v>141</v>
      </c>
      <c r="B682" s="1" t="s">
        <v>578</v>
      </c>
      <c r="C682" s="1" t="s">
        <v>83</v>
      </c>
      <c r="D682">
        <v>15.6</v>
      </c>
      <c r="E682">
        <v>8</v>
      </c>
      <c r="F682" s="1" t="s">
        <v>48</v>
      </c>
      <c r="G682">
        <v>2.2000000000000002</v>
      </c>
      <c r="H682">
        <v>997.9</v>
      </c>
      <c r="I682" s="1" t="s">
        <v>40</v>
      </c>
      <c r="J682">
        <v>1920</v>
      </c>
      <c r="K682">
        <v>1080</v>
      </c>
      <c r="L682" s="1" t="s">
        <v>27</v>
      </c>
      <c r="M682" s="1" t="s">
        <v>27</v>
      </c>
      <c r="N682" s="1" t="s">
        <v>27</v>
      </c>
      <c r="O682" s="1" t="s">
        <v>29</v>
      </c>
      <c r="P682">
        <v>2.5</v>
      </c>
      <c r="Q682" s="1" t="s">
        <v>84</v>
      </c>
      <c r="R682" s="1" t="str">
        <f>_xlfn.CONCAT(laptop[[#This Row],[CPU_company]]," ",laptop[[#This Row],[CPU_model]])</f>
        <v>Intel Core i5 7300HQ</v>
      </c>
      <c r="S682">
        <v>256</v>
      </c>
      <c r="T682">
        <v>0</v>
      </c>
      <c r="U682">
        <f>laptop[[#This Row],[PrimaryStorage]]+laptop[[#This Row],[SecondaryStorage]]</f>
        <v>256</v>
      </c>
      <c r="V682" s="1" t="s">
        <v>31</v>
      </c>
      <c r="W682" s="1" t="s">
        <v>27</v>
      </c>
      <c r="X682" s="1" t="str">
        <f>IF(laptop[[#This Row],[PrimaryStorageType]]=laptop[[#This Row],[SecondaryStorageType]],laptop[[#This Row],[PrimaryStorageType]],"SSD &amp; HDD")</f>
        <v>SSD &amp; HDD</v>
      </c>
      <c r="Y682" s="1" t="s">
        <v>85</v>
      </c>
    </row>
    <row r="683" spans="1:25" x14ac:dyDescent="0.25">
      <c r="A683" s="1" t="s">
        <v>55</v>
      </c>
      <c r="B683" s="1" t="s">
        <v>579</v>
      </c>
      <c r="C683" s="1" t="s">
        <v>38</v>
      </c>
      <c r="D683">
        <v>15.6</v>
      </c>
      <c r="E683">
        <v>4</v>
      </c>
      <c r="F683" s="1" t="s">
        <v>48</v>
      </c>
      <c r="G683">
        <v>1.86</v>
      </c>
      <c r="H683">
        <v>419</v>
      </c>
      <c r="I683" s="1" t="s">
        <v>26</v>
      </c>
      <c r="J683">
        <v>1366</v>
      </c>
      <c r="K683">
        <v>768</v>
      </c>
      <c r="L683" s="1" t="s">
        <v>27</v>
      </c>
      <c r="M683" s="1" t="s">
        <v>27</v>
      </c>
      <c r="N683" s="1" t="s">
        <v>27</v>
      </c>
      <c r="O683" s="1" t="s">
        <v>29</v>
      </c>
      <c r="P683">
        <v>1.1000000000000001</v>
      </c>
      <c r="Q683" s="1" t="s">
        <v>109</v>
      </c>
      <c r="R683" s="1" t="str">
        <f>_xlfn.CONCAT(laptop[[#This Row],[CPU_company]]," ",laptop[[#This Row],[CPU_model]])</f>
        <v>Intel Celeron Dual Core N3350</v>
      </c>
      <c r="S683">
        <v>128</v>
      </c>
      <c r="T683">
        <v>0</v>
      </c>
      <c r="U683">
        <f>laptop[[#This Row],[PrimaryStorage]]+laptop[[#This Row],[SecondaryStorage]]</f>
        <v>128</v>
      </c>
      <c r="V683" s="1" t="s">
        <v>31</v>
      </c>
      <c r="W683" s="1" t="s">
        <v>27</v>
      </c>
      <c r="X683" s="1" t="str">
        <f>IF(laptop[[#This Row],[PrimaryStorageType]]=laptop[[#This Row],[SecondaryStorageType]],laptop[[#This Row],[PrimaryStorageType]],"SSD &amp; HDD")</f>
        <v>SSD &amp; HDD</v>
      </c>
      <c r="Y683" s="1" t="s">
        <v>110</v>
      </c>
    </row>
    <row r="684" spans="1:25" x14ac:dyDescent="0.25">
      <c r="A684" s="1" t="s">
        <v>65</v>
      </c>
      <c r="B684" s="1" t="s">
        <v>580</v>
      </c>
      <c r="C684" s="1" t="s">
        <v>83</v>
      </c>
      <c r="D684">
        <v>15.6</v>
      </c>
      <c r="E684">
        <v>16</v>
      </c>
      <c r="F684" s="1" t="s">
        <v>48</v>
      </c>
      <c r="G684">
        <v>3.21</v>
      </c>
      <c r="H684">
        <v>2051</v>
      </c>
      <c r="I684" s="1" t="s">
        <v>40</v>
      </c>
      <c r="J684">
        <v>1920</v>
      </c>
      <c r="K684">
        <v>1080</v>
      </c>
      <c r="L684" s="1" t="s">
        <v>27</v>
      </c>
      <c r="M684" s="1" t="s">
        <v>27</v>
      </c>
      <c r="N684" s="1" t="s">
        <v>27</v>
      </c>
      <c r="O684" s="1" t="s">
        <v>29</v>
      </c>
      <c r="P684">
        <v>2.5</v>
      </c>
      <c r="Q684" s="1" t="s">
        <v>84</v>
      </c>
      <c r="R684" s="1" t="str">
        <f>_xlfn.CONCAT(laptop[[#This Row],[CPU_company]]," ",laptop[[#This Row],[CPU_model]])</f>
        <v>Intel Core i5 7300HQ</v>
      </c>
      <c r="S684">
        <v>128</v>
      </c>
      <c r="T684">
        <v>1024</v>
      </c>
      <c r="U684">
        <f>laptop[[#This Row],[PrimaryStorage]]+laptop[[#This Row],[SecondaryStorage]]</f>
        <v>1152</v>
      </c>
      <c r="V684" s="1" t="s">
        <v>31</v>
      </c>
      <c r="W684" s="1" t="s">
        <v>51</v>
      </c>
      <c r="X684" s="1" t="str">
        <f>IF(laptop[[#This Row],[PrimaryStorageType]]=laptop[[#This Row],[SecondaryStorageType]],laptop[[#This Row],[PrimaryStorageType]],"SSD &amp; HDD")</f>
        <v>SSD &amp; HDD</v>
      </c>
      <c r="Y684" s="1" t="s">
        <v>119</v>
      </c>
    </row>
    <row r="685" spans="1:25" x14ac:dyDescent="0.25">
      <c r="A685" s="1" t="s">
        <v>36</v>
      </c>
      <c r="B685" s="1" t="s">
        <v>581</v>
      </c>
      <c r="C685" s="1" t="s">
        <v>38</v>
      </c>
      <c r="D685">
        <v>17.3</v>
      </c>
      <c r="E685">
        <v>4</v>
      </c>
      <c r="F685" s="1" t="s">
        <v>48</v>
      </c>
      <c r="G685">
        <v>2.5</v>
      </c>
      <c r="H685">
        <v>699</v>
      </c>
      <c r="I685" s="1" t="s">
        <v>40</v>
      </c>
      <c r="J685">
        <v>1920</v>
      </c>
      <c r="K685">
        <v>1080</v>
      </c>
      <c r="L685" s="1" t="s">
        <v>27</v>
      </c>
      <c r="M685" s="1" t="s">
        <v>28</v>
      </c>
      <c r="N685" s="1" t="s">
        <v>27</v>
      </c>
      <c r="O685" s="1" t="s">
        <v>29</v>
      </c>
      <c r="P685">
        <v>2</v>
      </c>
      <c r="Q685" s="1" t="s">
        <v>62</v>
      </c>
      <c r="R685" s="1" t="str">
        <f>_xlfn.CONCAT(laptop[[#This Row],[CPU_company]]," ",laptop[[#This Row],[CPU_model]])</f>
        <v>Intel Core i3 6006U</v>
      </c>
      <c r="S685">
        <v>256</v>
      </c>
      <c r="T685">
        <v>0</v>
      </c>
      <c r="U685">
        <f>laptop[[#This Row],[PrimaryStorage]]+laptop[[#This Row],[SecondaryStorage]]</f>
        <v>256</v>
      </c>
      <c r="V685" s="1" t="s">
        <v>31</v>
      </c>
      <c r="W685" s="1" t="s">
        <v>27</v>
      </c>
      <c r="X685" s="1" t="str">
        <f>IF(laptop[[#This Row],[PrimaryStorageType]]=laptop[[#This Row],[SecondaryStorageType]],laptop[[#This Row],[PrimaryStorageType]],"SSD &amp; HDD")</f>
        <v>SSD &amp; HDD</v>
      </c>
      <c r="Y685" s="1" t="s">
        <v>582</v>
      </c>
    </row>
    <row r="686" spans="1:25" x14ac:dyDescent="0.25">
      <c r="A686" s="1" t="s">
        <v>73</v>
      </c>
      <c r="B686" s="1" t="s">
        <v>583</v>
      </c>
      <c r="C686" s="1" t="s">
        <v>90</v>
      </c>
      <c r="D686">
        <v>13.3</v>
      </c>
      <c r="E686">
        <v>8</v>
      </c>
      <c r="F686" s="1" t="s">
        <v>48</v>
      </c>
      <c r="G686">
        <v>1.19</v>
      </c>
      <c r="H686">
        <v>1499</v>
      </c>
      <c r="I686" s="1" t="s">
        <v>40</v>
      </c>
      <c r="J686">
        <v>1920</v>
      </c>
      <c r="K686">
        <v>1080</v>
      </c>
      <c r="L686" s="1" t="s">
        <v>28</v>
      </c>
      <c r="M686" s="1" t="s">
        <v>28</v>
      </c>
      <c r="N686" s="1" t="s">
        <v>27</v>
      </c>
      <c r="O686" s="1" t="s">
        <v>29</v>
      </c>
      <c r="P686">
        <v>1.8</v>
      </c>
      <c r="Q686" s="1" t="s">
        <v>57</v>
      </c>
      <c r="R686" s="1" t="str">
        <f>_xlfn.CONCAT(laptop[[#This Row],[CPU_company]]," ",laptop[[#This Row],[CPU_model]])</f>
        <v>Intel Core i7 8550U</v>
      </c>
      <c r="S686">
        <v>512</v>
      </c>
      <c r="T686">
        <v>0</v>
      </c>
      <c r="U686">
        <f>laptop[[#This Row],[PrimaryStorage]]+laptop[[#This Row],[SecondaryStorage]]</f>
        <v>512</v>
      </c>
      <c r="V686" s="1" t="s">
        <v>31</v>
      </c>
      <c r="W686" s="1" t="s">
        <v>27</v>
      </c>
      <c r="X686" s="1" t="str">
        <f>IF(laptop[[#This Row],[PrimaryStorageType]]=laptop[[#This Row],[SecondaryStorageType]],laptop[[#This Row],[PrimaryStorageType]],"SSD &amp; HDD")</f>
        <v>SSD &amp; HDD</v>
      </c>
      <c r="Y686" s="1" t="s">
        <v>61</v>
      </c>
    </row>
    <row r="687" spans="1:25" x14ac:dyDescent="0.25">
      <c r="A687" s="1" t="s">
        <v>65</v>
      </c>
      <c r="B687" s="1" t="s">
        <v>580</v>
      </c>
      <c r="C687" s="1" t="s">
        <v>83</v>
      </c>
      <c r="D687">
        <v>15.6</v>
      </c>
      <c r="E687">
        <v>16</v>
      </c>
      <c r="F687" s="1" t="s">
        <v>48</v>
      </c>
      <c r="G687">
        <v>3.49</v>
      </c>
      <c r="H687">
        <v>2813.75</v>
      </c>
      <c r="I687" s="1" t="s">
        <v>40</v>
      </c>
      <c r="J687">
        <v>1920</v>
      </c>
      <c r="K687">
        <v>1080</v>
      </c>
      <c r="L687" s="1" t="s">
        <v>27</v>
      </c>
      <c r="M687" s="1" t="s">
        <v>27</v>
      </c>
      <c r="N687" s="1" t="s">
        <v>27</v>
      </c>
      <c r="O687" s="1" t="s">
        <v>29</v>
      </c>
      <c r="P687">
        <v>2.9</v>
      </c>
      <c r="Q687" s="1" t="s">
        <v>258</v>
      </c>
      <c r="R687" s="1" t="str">
        <f>_xlfn.CONCAT(laptop[[#This Row],[CPU_company]]," ",laptop[[#This Row],[CPU_model]])</f>
        <v>Intel Core i7 7820HK</v>
      </c>
      <c r="S687">
        <v>256</v>
      </c>
      <c r="T687">
        <v>1024</v>
      </c>
      <c r="U687">
        <f>laptop[[#This Row],[PrimaryStorage]]+laptop[[#This Row],[SecondaryStorage]]</f>
        <v>1280</v>
      </c>
      <c r="V687" s="1" t="s">
        <v>31</v>
      </c>
      <c r="W687" s="1" t="s">
        <v>51</v>
      </c>
      <c r="X687" s="1" t="str">
        <f>IF(laptop[[#This Row],[PrimaryStorageType]]=laptop[[#This Row],[SecondaryStorageType]],laptop[[#This Row],[PrimaryStorageType]],"SSD &amp; HDD")</f>
        <v>SSD &amp; HDD</v>
      </c>
      <c r="Y687" s="1" t="s">
        <v>143</v>
      </c>
    </row>
    <row r="688" spans="1:25" x14ac:dyDescent="0.25">
      <c r="A688" s="1" t="s">
        <v>36</v>
      </c>
      <c r="B688" s="1" t="s">
        <v>37</v>
      </c>
      <c r="C688" s="1" t="s">
        <v>38</v>
      </c>
      <c r="D688">
        <v>15.6</v>
      </c>
      <c r="E688">
        <v>4</v>
      </c>
      <c r="F688" s="1" t="s">
        <v>48</v>
      </c>
      <c r="G688">
        <v>1.86</v>
      </c>
      <c r="H688">
        <v>612.61</v>
      </c>
      <c r="I688" s="1" t="s">
        <v>26</v>
      </c>
      <c r="J688">
        <v>1366</v>
      </c>
      <c r="K688">
        <v>768</v>
      </c>
      <c r="L688" s="1" t="s">
        <v>27</v>
      </c>
      <c r="M688" s="1" t="s">
        <v>27</v>
      </c>
      <c r="N688" s="1" t="s">
        <v>27</v>
      </c>
      <c r="O688" s="1" t="s">
        <v>29</v>
      </c>
      <c r="P688">
        <v>2.5</v>
      </c>
      <c r="Q688" s="1" t="s">
        <v>41</v>
      </c>
      <c r="R688" s="1" t="str">
        <f>_xlfn.CONCAT(laptop[[#This Row],[CPU_company]]," ",laptop[[#This Row],[CPU_model]])</f>
        <v>Intel Core i5 7200U</v>
      </c>
      <c r="S688">
        <v>500</v>
      </c>
      <c r="T688">
        <v>0</v>
      </c>
      <c r="U688">
        <f>laptop[[#This Row],[PrimaryStorage]]+laptop[[#This Row],[SecondaryStorage]]</f>
        <v>500</v>
      </c>
      <c r="V688" s="1" t="s">
        <v>51</v>
      </c>
      <c r="W688" s="1" t="s">
        <v>27</v>
      </c>
      <c r="X688" s="1" t="str">
        <f>IF(laptop[[#This Row],[PrimaryStorageType]]=laptop[[#This Row],[SecondaryStorageType]],laptop[[#This Row],[PrimaryStorageType]],"SSD &amp; HDD")</f>
        <v>SSD &amp; HDD</v>
      </c>
      <c r="Y688" s="1" t="s">
        <v>138</v>
      </c>
    </row>
    <row r="689" spans="1:25" x14ac:dyDescent="0.25">
      <c r="A689" s="1" t="s">
        <v>65</v>
      </c>
      <c r="B689" s="1" t="s">
        <v>66</v>
      </c>
      <c r="C689" s="1" t="s">
        <v>38</v>
      </c>
      <c r="D689">
        <v>15.6</v>
      </c>
      <c r="E689">
        <v>4</v>
      </c>
      <c r="F689" s="1" t="s">
        <v>48</v>
      </c>
      <c r="G689">
        <v>2.2000000000000002</v>
      </c>
      <c r="H689">
        <v>545.66999999999996</v>
      </c>
      <c r="I689" s="1" t="s">
        <v>26</v>
      </c>
      <c r="J689">
        <v>1366</v>
      </c>
      <c r="K689">
        <v>768</v>
      </c>
      <c r="L689" s="1" t="s">
        <v>27</v>
      </c>
      <c r="M689" s="1" t="s">
        <v>27</v>
      </c>
      <c r="N689" s="1" t="s">
        <v>27</v>
      </c>
      <c r="O689" s="1" t="s">
        <v>29</v>
      </c>
      <c r="P689">
        <v>2</v>
      </c>
      <c r="Q689" s="1" t="s">
        <v>62</v>
      </c>
      <c r="R689" s="1" t="str">
        <f>_xlfn.CONCAT(laptop[[#This Row],[CPU_company]]," ",laptop[[#This Row],[CPU_model]])</f>
        <v>Intel Core i3 6006U</v>
      </c>
      <c r="S689">
        <v>1024</v>
      </c>
      <c r="T689">
        <v>0</v>
      </c>
      <c r="U689">
        <f>laptop[[#This Row],[PrimaryStorage]]+laptop[[#This Row],[SecondaryStorage]]</f>
        <v>1024</v>
      </c>
      <c r="V689" s="1" t="s">
        <v>51</v>
      </c>
      <c r="W689" s="1" t="s">
        <v>27</v>
      </c>
      <c r="X689" s="1" t="str">
        <f>IF(laptop[[#This Row],[PrimaryStorageType]]=laptop[[#This Row],[SecondaryStorageType]],laptop[[#This Row],[PrimaryStorageType]],"SSD &amp; HDD")</f>
        <v>SSD &amp; HDD</v>
      </c>
      <c r="Y689" s="1" t="s">
        <v>67</v>
      </c>
    </row>
    <row r="690" spans="1:25" x14ac:dyDescent="0.25">
      <c r="A690" s="1" t="s">
        <v>36</v>
      </c>
      <c r="B690" s="1" t="s">
        <v>584</v>
      </c>
      <c r="C690" s="1" t="s">
        <v>38</v>
      </c>
      <c r="D690">
        <v>17.3</v>
      </c>
      <c r="E690">
        <v>6</v>
      </c>
      <c r="F690" s="1" t="s">
        <v>48</v>
      </c>
      <c r="G690">
        <v>2.65</v>
      </c>
      <c r="H690">
        <v>569</v>
      </c>
      <c r="I690" s="1" t="s">
        <v>40</v>
      </c>
      <c r="J690">
        <v>1920</v>
      </c>
      <c r="K690">
        <v>1080</v>
      </c>
      <c r="L690" s="1" t="s">
        <v>27</v>
      </c>
      <c r="M690" s="1" t="s">
        <v>28</v>
      </c>
      <c r="N690" s="1" t="s">
        <v>27</v>
      </c>
      <c r="O690" s="1" t="s">
        <v>49</v>
      </c>
      <c r="P690">
        <v>2.4</v>
      </c>
      <c r="Q690" s="1" t="s">
        <v>326</v>
      </c>
      <c r="R690" s="1" t="str">
        <f>_xlfn.CONCAT(laptop[[#This Row],[CPU_company]]," ",laptop[[#This Row],[CPU_model]])</f>
        <v>AMD A10-Series 9600P</v>
      </c>
      <c r="S690">
        <v>2048</v>
      </c>
      <c r="T690">
        <v>0</v>
      </c>
      <c r="U690">
        <f>laptop[[#This Row],[PrimaryStorage]]+laptop[[#This Row],[SecondaryStorage]]</f>
        <v>2048</v>
      </c>
      <c r="V690" s="1" t="s">
        <v>51</v>
      </c>
      <c r="W690" s="1" t="s">
        <v>27</v>
      </c>
      <c r="X690" s="1" t="str">
        <f>IF(laptop[[#This Row],[PrimaryStorageType]]=laptop[[#This Row],[SecondaryStorageType]],laptop[[#This Row],[PrimaryStorageType]],"SSD &amp; HDD")</f>
        <v>SSD &amp; HDD</v>
      </c>
      <c r="Y690" s="1" t="s">
        <v>585</v>
      </c>
    </row>
    <row r="691" spans="1:25" x14ac:dyDescent="0.25">
      <c r="A691" s="1" t="s">
        <v>73</v>
      </c>
      <c r="B691" s="1" t="s">
        <v>586</v>
      </c>
      <c r="C691" s="1" t="s">
        <v>38</v>
      </c>
      <c r="D691">
        <v>15.6</v>
      </c>
      <c r="E691">
        <v>4</v>
      </c>
      <c r="F691" s="1" t="s">
        <v>48</v>
      </c>
      <c r="G691">
        <v>2.1</v>
      </c>
      <c r="H691">
        <v>318</v>
      </c>
      <c r="I691" s="1" t="s">
        <v>26</v>
      </c>
      <c r="J691">
        <v>1366</v>
      </c>
      <c r="K691">
        <v>768</v>
      </c>
      <c r="L691" s="1" t="s">
        <v>27</v>
      </c>
      <c r="M691" s="1" t="s">
        <v>27</v>
      </c>
      <c r="N691" s="1" t="s">
        <v>27</v>
      </c>
      <c r="O691" s="1" t="s">
        <v>29</v>
      </c>
      <c r="P691">
        <v>1.6</v>
      </c>
      <c r="Q691" s="1" t="s">
        <v>342</v>
      </c>
      <c r="R691" s="1" t="str">
        <f>_xlfn.CONCAT(laptop[[#This Row],[CPU_company]]," ",laptop[[#This Row],[CPU_model]])</f>
        <v>Intel Celeron Dual Core 3855U</v>
      </c>
      <c r="S691">
        <v>500</v>
      </c>
      <c r="T691">
        <v>0</v>
      </c>
      <c r="U691">
        <f>laptop[[#This Row],[PrimaryStorage]]+laptop[[#This Row],[SecondaryStorage]]</f>
        <v>500</v>
      </c>
      <c r="V691" s="1" t="s">
        <v>51</v>
      </c>
      <c r="W691" s="1" t="s">
        <v>27</v>
      </c>
      <c r="X691" s="1" t="str">
        <f>IF(laptop[[#This Row],[PrimaryStorageType]]=laptop[[#This Row],[SecondaryStorageType]],laptop[[#This Row],[PrimaryStorageType]],"SSD &amp; HDD")</f>
        <v>SSD &amp; HDD</v>
      </c>
      <c r="Y691" s="1" t="s">
        <v>343</v>
      </c>
    </row>
    <row r="692" spans="1:25" x14ac:dyDescent="0.25">
      <c r="A692" s="1" t="s">
        <v>46</v>
      </c>
      <c r="B692" s="1" t="s">
        <v>587</v>
      </c>
      <c r="C692" s="1" t="s">
        <v>38</v>
      </c>
      <c r="D692">
        <v>14</v>
      </c>
      <c r="E692">
        <v>4</v>
      </c>
      <c r="F692" s="1" t="s">
        <v>317</v>
      </c>
      <c r="G692">
        <v>1.45</v>
      </c>
      <c r="H692">
        <v>375</v>
      </c>
      <c r="I692" s="1" t="s">
        <v>26</v>
      </c>
      <c r="J692">
        <v>1366</v>
      </c>
      <c r="K692">
        <v>768</v>
      </c>
      <c r="L692" s="1" t="s">
        <v>27</v>
      </c>
      <c r="M692" s="1" t="s">
        <v>27</v>
      </c>
      <c r="N692" s="1" t="s">
        <v>27</v>
      </c>
      <c r="O692" s="1" t="s">
        <v>29</v>
      </c>
      <c r="P692">
        <v>1.6</v>
      </c>
      <c r="Q692" s="1" t="s">
        <v>342</v>
      </c>
      <c r="R692" s="1" t="str">
        <f>_xlfn.CONCAT(laptop[[#This Row],[CPU_company]]," ",laptop[[#This Row],[CPU_model]])</f>
        <v>Intel Celeron Dual Core 3855U</v>
      </c>
      <c r="S692">
        <v>32</v>
      </c>
      <c r="T692">
        <v>0</v>
      </c>
      <c r="U692">
        <f>laptop[[#This Row],[PrimaryStorage]]+laptop[[#This Row],[SecondaryStorage]]</f>
        <v>32</v>
      </c>
      <c r="V692" s="1" t="s">
        <v>34</v>
      </c>
      <c r="W692" s="1" t="s">
        <v>27</v>
      </c>
      <c r="X692" s="1" t="str">
        <f>IF(laptop[[#This Row],[PrimaryStorageType]]=laptop[[#This Row],[SecondaryStorageType]],laptop[[#This Row],[PrimaryStorageType]],"SSD &amp; HDD")</f>
        <v>SSD &amp; HDD</v>
      </c>
      <c r="Y692" s="1" t="s">
        <v>343</v>
      </c>
    </row>
    <row r="693" spans="1:25" x14ac:dyDescent="0.25">
      <c r="A693" s="1" t="s">
        <v>73</v>
      </c>
      <c r="B693" s="1" t="s">
        <v>588</v>
      </c>
      <c r="C693" s="1" t="s">
        <v>38</v>
      </c>
      <c r="D693">
        <v>14</v>
      </c>
      <c r="E693">
        <v>4</v>
      </c>
      <c r="F693" s="1" t="s">
        <v>48</v>
      </c>
      <c r="G693">
        <v>1.7</v>
      </c>
      <c r="H693">
        <v>699</v>
      </c>
      <c r="I693" s="1" t="s">
        <v>40</v>
      </c>
      <c r="J693">
        <v>1920</v>
      </c>
      <c r="K693">
        <v>1080</v>
      </c>
      <c r="L693" s="1" t="s">
        <v>27</v>
      </c>
      <c r="M693" s="1" t="s">
        <v>27</v>
      </c>
      <c r="N693" s="1" t="s">
        <v>27</v>
      </c>
      <c r="O693" s="1" t="s">
        <v>29</v>
      </c>
      <c r="P693">
        <v>2.5</v>
      </c>
      <c r="Q693" s="1" t="s">
        <v>41</v>
      </c>
      <c r="R693" s="1" t="str">
        <f>_xlfn.CONCAT(laptop[[#This Row],[CPU_company]]," ",laptop[[#This Row],[CPU_model]])</f>
        <v>Intel Core i5 7200U</v>
      </c>
      <c r="S693">
        <v>256</v>
      </c>
      <c r="T693">
        <v>0</v>
      </c>
      <c r="U693">
        <f>laptop[[#This Row],[PrimaryStorage]]+laptop[[#This Row],[SecondaryStorage]]</f>
        <v>256</v>
      </c>
      <c r="V693" s="1" t="s">
        <v>31</v>
      </c>
      <c r="W693" s="1" t="s">
        <v>27</v>
      </c>
      <c r="X693" s="1" t="str">
        <f>IF(laptop[[#This Row],[PrimaryStorageType]]=laptop[[#This Row],[SecondaryStorageType]],laptop[[#This Row],[PrimaryStorageType]],"SSD &amp; HDD")</f>
        <v>SSD &amp; HDD</v>
      </c>
      <c r="Y693" s="1" t="s">
        <v>42</v>
      </c>
    </row>
    <row r="694" spans="1:25" x14ac:dyDescent="0.25">
      <c r="A694" s="1" t="s">
        <v>36</v>
      </c>
      <c r="B694" s="1" t="s">
        <v>506</v>
      </c>
      <c r="C694" s="1" t="s">
        <v>265</v>
      </c>
      <c r="D694">
        <v>17.3</v>
      </c>
      <c r="E694">
        <v>8</v>
      </c>
      <c r="F694" s="1" t="s">
        <v>48</v>
      </c>
      <c r="G694">
        <v>3.14</v>
      </c>
      <c r="H694">
        <v>1907.99</v>
      </c>
      <c r="I694" s="1" t="s">
        <v>40</v>
      </c>
      <c r="J694">
        <v>1920</v>
      </c>
      <c r="K694">
        <v>1080</v>
      </c>
      <c r="L694" s="1" t="s">
        <v>27</v>
      </c>
      <c r="M694" s="1" t="s">
        <v>27</v>
      </c>
      <c r="N694" s="1" t="s">
        <v>27</v>
      </c>
      <c r="O694" s="1" t="s">
        <v>29</v>
      </c>
      <c r="P694">
        <v>2.8</v>
      </c>
      <c r="Q694" s="1" t="s">
        <v>118</v>
      </c>
      <c r="R694" s="1" t="str">
        <f>_xlfn.CONCAT(laptop[[#This Row],[CPU_company]]," ",laptop[[#This Row],[CPU_model]])</f>
        <v>Intel Core i7 7700HQ</v>
      </c>
      <c r="S694">
        <v>500</v>
      </c>
      <c r="T694">
        <v>0</v>
      </c>
      <c r="U694">
        <f>laptop[[#This Row],[PrimaryStorage]]+laptop[[#This Row],[SecondaryStorage]]</f>
        <v>500</v>
      </c>
      <c r="V694" s="1" t="s">
        <v>51</v>
      </c>
      <c r="W694" s="1" t="s">
        <v>27</v>
      </c>
      <c r="X694" s="1" t="str">
        <f>IF(laptop[[#This Row],[PrimaryStorageType]]=laptop[[#This Row],[SecondaryStorageType]],laptop[[#This Row],[PrimaryStorageType]],"SSD &amp; HDD")</f>
        <v>SSD &amp; HDD</v>
      </c>
      <c r="Y694" s="1" t="s">
        <v>267</v>
      </c>
    </row>
    <row r="695" spans="1:25" x14ac:dyDescent="0.25">
      <c r="A695" s="1" t="s">
        <v>73</v>
      </c>
      <c r="B695" s="1" t="s">
        <v>308</v>
      </c>
      <c r="C695" s="1" t="s">
        <v>90</v>
      </c>
      <c r="D695">
        <v>14</v>
      </c>
      <c r="E695">
        <v>8</v>
      </c>
      <c r="F695" s="1" t="s">
        <v>48</v>
      </c>
      <c r="G695">
        <v>1.42</v>
      </c>
      <c r="H695">
        <v>2590</v>
      </c>
      <c r="I695" s="1" t="s">
        <v>26</v>
      </c>
      <c r="J695">
        <v>2560</v>
      </c>
      <c r="K695">
        <v>1440</v>
      </c>
      <c r="L695" s="1" t="s">
        <v>28</v>
      </c>
      <c r="M695" s="1" t="s">
        <v>27</v>
      </c>
      <c r="N695" s="1" t="s">
        <v>27</v>
      </c>
      <c r="O695" s="1" t="s">
        <v>29</v>
      </c>
      <c r="P695">
        <v>2.7</v>
      </c>
      <c r="Q695" s="1" t="s">
        <v>71</v>
      </c>
      <c r="R695" s="1" t="str">
        <f>_xlfn.CONCAT(laptop[[#This Row],[CPU_company]]," ",laptop[[#This Row],[CPU_model]])</f>
        <v>Intel Core i7 7500U</v>
      </c>
      <c r="S695">
        <v>256</v>
      </c>
      <c r="T695">
        <v>0</v>
      </c>
      <c r="U695">
        <f>laptop[[#This Row],[PrimaryStorage]]+laptop[[#This Row],[SecondaryStorage]]</f>
        <v>256</v>
      </c>
      <c r="V695" s="1" t="s">
        <v>31</v>
      </c>
      <c r="W695" s="1" t="s">
        <v>27</v>
      </c>
      <c r="X695" s="1" t="str">
        <f>IF(laptop[[#This Row],[PrimaryStorageType]]=laptop[[#This Row],[SecondaryStorageType]],laptop[[#This Row],[PrimaryStorageType]],"SSD &amp; HDD")</f>
        <v>SSD &amp; HDD</v>
      </c>
      <c r="Y695" s="1" t="s">
        <v>42</v>
      </c>
    </row>
    <row r="696" spans="1:25" x14ac:dyDescent="0.25">
      <c r="A696" s="1" t="s">
        <v>210</v>
      </c>
      <c r="B696" s="1" t="s">
        <v>211</v>
      </c>
      <c r="C696" s="1" t="s">
        <v>38</v>
      </c>
      <c r="D696">
        <v>13.3</v>
      </c>
      <c r="E696">
        <v>8</v>
      </c>
      <c r="F696" s="1" t="s">
        <v>48</v>
      </c>
      <c r="G696">
        <v>1.5</v>
      </c>
      <c r="H696">
        <v>973</v>
      </c>
      <c r="I696" s="1" t="s">
        <v>40</v>
      </c>
      <c r="J696">
        <v>1920</v>
      </c>
      <c r="K696">
        <v>1080</v>
      </c>
      <c r="L696" s="1" t="s">
        <v>27</v>
      </c>
      <c r="M696" s="1" t="s">
        <v>28</v>
      </c>
      <c r="N696" s="1" t="s">
        <v>27</v>
      </c>
      <c r="O696" s="1" t="s">
        <v>29</v>
      </c>
      <c r="P696">
        <v>2.5</v>
      </c>
      <c r="Q696" s="1" t="s">
        <v>41</v>
      </c>
      <c r="R696" s="1" t="str">
        <f>_xlfn.CONCAT(laptop[[#This Row],[CPU_company]]," ",laptop[[#This Row],[CPU_model]])</f>
        <v>Intel Core i5 7200U</v>
      </c>
      <c r="S696">
        <v>256</v>
      </c>
      <c r="T696">
        <v>0</v>
      </c>
      <c r="U696">
        <f>laptop[[#This Row],[PrimaryStorage]]+laptop[[#This Row],[SecondaryStorage]]</f>
        <v>256</v>
      </c>
      <c r="V696" s="1" t="s">
        <v>31</v>
      </c>
      <c r="W696" s="1" t="s">
        <v>27</v>
      </c>
      <c r="X696" s="1" t="str">
        <f>IF(laptop[[#This Row],[PrimaryStorageType]]=laptop[[#This Row],[SecondaryStorageType]],laptop[[#This Row],[PrimaryStorageType]],"SSD &amp; HDD")</f>
        <v>SSD &amp; HDD</v>
      </c>
      <c r="Y696" s="1" t="s">
        <v>42</v>
      </c>
    </row>
    <row r="697" spans="1:25" x14ac:dyDescent="0.25">
      <c r="A697" s="1" t="s">
        <v>46</v>
      </c>
      <c r="B697" s="1" t="s">
        <v>589</v>
      </c>
      <c r="C697" s="1" t="s">
        <v>79</v>
      </c>
      <c r="D697">
        <v>11.6</v>
      </c>
      <c r="E697">
        <v>4</v>
      </c>
      <c r="F697" s="1" t="s">
        <v>48</v>
      </c>
      <c r="G697">
        <v>1.4</v>
      </c>
      <c r="H697">
        <v>269</v>
      </c>
      <c r="I697" s="1" t="s">
        <v>26</v>
      </c>
      <c r="J697">
        <v>1366</v>
      </c>
      <c r="K697">
        <v>768</v>
      </c>
      <c r="L697" s="1" t="s">
        <v>27</v>
      </c>
      <c r="M697" s="1" t="s">
        <v>27</v>
      </c>
      <c r="N697" s="1" t="s">
        <v>27</v>
      </c>
      <c r="O697" s="1" t="s">
        <v>29</v>
      </c>
      <c r="P697">
        <v>1.6</v>
      </c>
      <c r="Q697" s="1" t="s">
        <v>590</v>
      </c>
      <c r="R697" s="1" t="str">
        <f>_xlfn.CONCAT(laptop[[#This Row],[CPU_company]]," ",laptop[[#This Row],[CPU_model]])</f>
        <v>Intel Celeron Dual Core N3050</v>
      </c>
      <c r="S697">
        <v>32</v>
      </c>
      <c r="T697">
        <v>0</v>
      </c>
      <c r="U697">
        <f>laptop[[#This Row],[PrimaryStorage]]+laptop[[#This Row],[SecondaryStorage]]</f>
        <v>32</v>
      </c>
      <c r="V697" s="1" t="s">
        <v>34</v>
      </c>
      <c r="W697" s="1" t="s">
        <v>27</v>
      </c>
      <c r="X697" s="1" t="str">
        <f>IF(laptop[[#This Row],[PrimaryStorageType]]=laptop[[#This Row],[SecondaryStorageType]],laptop[[#This Row],[PrimaryStorageType]],"SSD &amp; HDD")</f>
        <v>SSD &amp; HDD</v>
      </c>
      <c r="Y697" s="1" t="s">
        <v>102</v>
      </c>
    </row>
    <row r="698" spans="1:25" x14ac:dyDescent="0.25">
      <c r="A698" s="1" t="s">
        <v>73</v>
      </c>
      <c r="B698" s="1" t="s">
        <v>293</v>
      </c>
      <c r="C698" s="1" t="s">
        <v>90</v>
      </c>
      <c r="D698">
        <v>14</v>
      </c>
      <c r="E698">
        <v>16</v>
      </c>
      <c r="F698" s="1" t="s">
        <v>48</v>
      </c>
      <c r="G698">
        <v>1.38</v>
      </c>
      <c r="H698">
        <v>1749</v>
      </c>
      <c r="I698" s="1" t="s">
        <v>40</v>
      </c>
      <c r="J698">
        <v>1920</v>
      </c>
      <c r="K698">
        <v>1080</v>
      </c>
      <c r="L698" s="1" t="s">
        <v>28</v>
      </c>
      <c r="M698" s="1" t="s">
        <v>27</v>
      </c>
      <c r="N698" s="1" t="s">
        <v>27</v>
      </c>
      <c r="O698" s="1" t="s">
        <v>29</v>
      </c>
      <c r="P698">
        <v>2.7</v>
      </c>
      <c r="Q698" s="1" t="s">
        <v>71</v>
      </c>
      <c r="R698" s="1" t="str">
        <f>_xlfn.CONCAT(laptop[[#This Row],[CPU_company]]," ",laptop[[#This Row],[CPU_model]])</f>
        <v>Intel Core i7 7500U</v>
      </c>
      <c r="S698">
        <v>512</v>
      </c>
      <c r="T698">
        <v>0</v>
      </c>
      <c r="U698">
        <f>laptop[[#This Row],[PrimaryStorage]]+laptop[[#This Row],[SecondaryStorage]]</f>
        <v>512</v>
      </c>
      <c r="V698" s="1" t="s">
        <v>31</v>
      </c>
      <c r="W698" s="1" t="s">
        <v>27</v>
      </c>
      <c r="X698" s="1" t="str">
        <f>IF(laptop[[#This Row],[PrimaryStorageType]]=laptop[[#This Row],[SecondaryStorageType]],laptop[[#This Row],[PrimaryStorageType]],"SSD &amp; HDD")</f>
        <v>SSD &amp; HDD</v>
      </c>
      <c r="Y698" s="1" t="s">
        <v>42</v>
      </c>
    </row>
    <row r="699" spans="1:25" x14ac:dyDescent="0.25">
      <c r="A699" s="1" t="s">
        <v>55</v>
      </c>
      <c r="B699" s="1" t="s">
        <v>591</v>
      </c>
      <c r="C699" s="1" t="s">
        <v>90</v>
      </c>
      <c r="D699">
        <v>12.5</v>
      </c>
      <c r="E699">
        <v>4</v>
      </c>
      <c r="F699" s="1" t="s">
        <v>317</v>
      </c>
      <c r="G699">
        <v>1.2</v>
      </c>
      <c r="H699">
        <v>669</v>
      </c>
      <c r="I699" s="1" t="s">
        <v>40</v>
      </c>
      <c r="J699">
        <v>1920</v>
      </c>
      <c r="K699">
        <v>1080</v>
      </c>
      <c r="L699" s="1" t="s">
        <v>28</v>
      </c>
      <c r="M699" s="1" t="s">
        <v>27</v>
      </c>
      <c r="N699" s="1" t="s">
        <v>27</v>
      </c>
      <c r="O699" s="1" t="s">
        <v>29</v>
      </c>
      <c r="P699">
        <v>0.9</v>
      </c>
      <c r="Q699" s="1" t="s">
        <v>592</v>
      </c>
      <c r="R699" s="1" t="str">
        <f>_xlfn.CONCAT(laptop[[#This Row],[CPU_company]]," ",laptop[[#This Row],[CPU_model]])</f>
        <v>Intel Core M M3-6Y30</v>
      </c>
      <c r="S699">
        <v>64</v>
      </c>
      <c r="T699">
        <v>0</v>
      </c>
      <c r="U699">
        <f>laptop[[#This Row],[PrimaryStorage]]+laptop[[#This Row],[SecondaryStorage]]</f>
        <v>64</v>
      </c>
      <c r="V699" s="1" t="s">
        <v>34</v>
      </c>
      <c r="W699" s="1" t="s">
        <v>27</v>
      </c>
      <c r="X699" s="1" t="str">
        <f>IF(laptop[[#This Row],[PrimaryStorageType]]=laptop[[#This Row],[SecondaryStorageType]],laptop[[#This Row],[PrimaryStorageType]],"SSD &amp; HDD")</f>
        <v>SSD &amp; HDD</v>
      </c>
      <c r="Y699" s="1" t="s">
        <v>217</v>
      </c>
    </row>
    <row r="700" spans="1:25" x14ac:dyDescent="0.25">
      <c r="A700" s="1" t="s">
        <v>210</v>
      </c>
      <c r="B700" s="1" t="s">
        <v>593</v>
      </c>
      <c r="C700" s="1" t="s">
        <v>24</v>
      </c>
      <c r="D700">
        <v>13.3</v>
      </c>
      <c r="E700">
        <v>16</v>
      </c>
      <c r="F700" s="1" t="s">
        <v>48</v>
      </c>
      <c r="G700">
        <v>1.36</v>
      </c>
      <c r="H700">
        <v>1877</v>
      </c>
      <c r="I700" s="1" t="s">
        <v>40</v>
      </c>
      <c r="J700">
        <v>1920</v>
      </c>
      <c r="K700">
        <v>1080</v>
      </c>
      <c r="L700" s="1" t="s">
        <v>28</v>
      </c>
      <c r="M700" s="1" t="s">
        <v>27</v>
      </c>
      <c r="N700" s="1" t="s">
        <v>27</v>
      </c>
      <c r="O700" s="1" t="s">
        <v>29</v>
      </c>
      <c r="P700">
        <v>2.5</v>
      </c>
      <c r="Q700" s="1" t="s">
        <v>274</v>
      </c>
      <c r="R700" s="1" t="str">
        <f>_xlfn.CONCAT(laptop[[#This Row],[CPU_company]]," ",laptop[[#This Row],[CPU_model]])</f>
        <v>Intel Core i7 6500U</v>
      </c>
      <c r="S700">
        <v>512</v>
      </c>
      <c r="T700">
        <v>0</v>
      </c>
      <c r="U700">
        <f>laptop[[#This Row],[PrimaryStorage]]+laptop[[#This Row],[SecondaryStorage]]</f>
        <v>512</v>
      </c>
      <c r="V700" s="1" t="s">
        <v>31</v>
      </c>
      <c r="W700" s="1" t="s">
        <v>27</v>
      </c>
      <c r="X700" s="1" t="str">
        <f>IF(laptop[[#This Row],[PrimaryStorageType]]=laptop[[#This Row],[SecondaryStorageType]],laptop[[#This Row],[PrimaryStorageType]],"SSD &amp; HDD")</f>
        <v>SSD &amp; HDD</v>
      </c>
      <c r="Y700" s="1" t="s">
        <v>63</v>
      </c>
    </row>
    <row r="701" spans="1:25" x14ac:dyDescent="0.25">
      <c r="A701" s="1" t="s">
        <v>36</v>
      </c>
      <c r="B701" s="1" t="s">
        <v>594</v>
      </c>
      <c r="C701" s="1" t="s">
        <v>38</v>
      </c>
      <c r="D701">
        <v>15.6</v>
      </c>
      <c r="E701">
        <v>4</v>
      </c>
      <c r="F701" s="1" t="s">
        <v>48</v>
      </c>
      <c r="G701">
        <v>2.1</v>
      </c>
      <c r="H701">
        <v>689</v>
      </c>
      <c r="I701" s="1" t="s">
        <v>40</v>
      </c>
      <c r="J701">
        <v>1920</v>
      </c>
      <c r="K701">
        <v>1080</v>
      </c>
      <c r="L701" s="1" t="s">
        <v>27</v>
      </c>
      <c r="M701" s="1" t="s">
        <v>28</v>
      </c>
      <c r="N701" s="1" t="s">
        <v>27</v>
      </c>
      <c r="O701" s="1" t="s">
        <v>29</v>
      </c>
      <c r="P701">
        <v>2.7</v>
      </c>
      <c r="Q701" s="1" t="s">
        <v>71</v>
      </c>
      <c r="R701" s="1" t="str">
        <f>_xlfn.CONCAT(laptop[[#This Row],[CPU_company]]," ",laptop[[#This Row],[CPU_model]])</f>
        <v>Intel Core i7 7500U</v>
      </c>
      <c r="S701">
        <v>500</v>
      </c>
      <c r="T701">
        <v>0</v>
      </c>
      <c r="U701">
        <f>laptop[[#This Row],[PrimaryStorage]]+laptop[[#This Row],[SecondaryStorage]]</f>
        <v>500</v>
      </c>
      <c r="V701" s="1" t="s">
        <v>51</v>
      </c>
      <c r="W701" s="1" t="s">
        <v>27</v>
      </c>
      <c r="X701" s="1" t="str">
        <f>IF(laptop[[#This Row],[PrimaryStorageType]]=laptop[[#This Row],[SecondaryStorageType]],laptop[[#This Row],[PrimaryStorageType]],"SSD &amp; HDD")</f>
        <v>SSD &amp; HDD</v>
      </c>
      <c r="Y701" s="1" t="s">
        <v>94</v>
      </c>
    </row>
    <row r="702" spans="1:25" x14ac:dyDescent="0.25">
      <c r="A702" s="1" t="s">
        <v>65</v>
      </c>
      <c r="B702" s="1" t="s">
        <v>221</v>
      </c>
      <c r="C702" s="1" t="s">
        <v>83</v>
      </c>
      <c r="D702">
        <v>15.6</v>
      </c>
      <c r="E702">
        <v>8</v>
      </c>
      <c r="F702" s="1" t="s">
        <v>48</v>
      </c>
      <c r="G702">
        <v>2.56</v>
      </c>
      <c r="H702">
        <v>819</v>
      </c>
      <c r="I702" s="1" t="s">
        <v>40</v>
      </c>
      <c r="J702">
        <v>1920</v>
      </c>
      <c r="K702">
        <v>1080</v>
      </c>
      <c r="L702" s="1" t="s">
        <v>27</v>
      </c>
      <c r="M702" s="1" t="s">
        <v>27</v>
      </c>
      <c r="N702" s="1" t="s">
        <v>27</v>
      </c>
      <c r="O702" s="1" t="s">
        <v>29</v>
      </c>
      <c r="P702">
        <v>2.5</v>
      </c>
      <c r="Q702" s="1" t="s">
        <v>84</v>
      </c>
      <c r="R702" s="1" t="str">
        <f>_xlfn.CONCAT(laptop[[#This Row],[CPU_company]]," ",laptop[[#This Row],[CPU_model]])</f>
        <v>Intel Core i5 7300HQ</v>
      </c>
      <c r="S702">
        <v>1024</v>
      </c>
      <c r="T702">
        <v>0</v>
      </c>
      <c r="U702">
        <f>laptop[[#This Row],[PrimaryStorage]]+laptop[[#This Row],[SecondaryStorage]]</f>
        <v>1024</v>
      </c>
      <c r="V702" s="1" t="s">
        <v>51</v>
      </c>
      <c r="W702" s="1" t="s">
        <v>27</v>
      </c>
      <c r="X702" s="1" t="str">
        <f>IF(laptop[[#This Row],[PrimaryStorageType]]=laptop[[#This Row],[SecondaryStorageType]],laptop[[#This Row],[PrimaryStorageType]],"SSD &amp; HDD")</f>
        <v>SSD &amp; HDD</v>
      </c>
      <c r="Y702" s="1" t="s">
        <v>85</v>
      </c>
    </row>
    <row r="703" spans="1:25" x14ac:dyDescent="0.25">
      <c r="A703" s="1" t="s">
        <v>73</v>
      </c>
      <c r="B703" s="1" t="s">
        <v>165</v>
      </c>
      <c r="C703" s="1" t="s">
        <v>38</v>
      </c>
      <c r="D703">
        <v>15.6</v>
      </c>
      <c r="E703">
        <v>4</v>
      </c>
      <c r="F703" s="1" t="s">
        <v>48</v>
      </c>
      <c r="G703">
        <v>2.2000000000000002</v>
      </c>
      <c r="H703">
        <v>399</v>
      </c>
      <c r="I703" s="1" t="s">
        <v>40</v>
      </c>
      <c r="J703">
        <v>1920</v>
      </c>
      <c r="K703">
        <v>1080</v>
      </c>
      <c r="L703" s="1" t="s">
        <v>27</v>
      </c>
      <c r="M703" s="1" t="s">
        <v>27</v>
      </c>
      <c r="N703" s="1" t="s">
        <v>27</v>
      </c>
      <c r="O703" s="1" t="s">
        <v>49</v>
      </c>
      <c r="P703">
        <v>2.9</v>
      </c>
      <c r="Q703" s="1" t="s">
        <v>50</v>
      </c>
      <c r="R703" s="1" t="str">
        <f>_xlfn.CONCAT(laptop[[#This Row],[CPU_company]]," ",laptop[[#This Row],[CPU_model]])</f>
        <v>AMD A9-Series 9420</v>
      </c>
      <c r="S703">
        <v>256</v>
      </c>
      <c r="T703">
        <v>0</v>
      </c>
      <c r="U703">
        <f>laptop[[#This Row],[PrimaryStorage]]+laptop[[#This Row],[SecondaryStorage]]</f>
        <v>256</v>
      </c>
      <c r="V703" s="1" t="s">
        <v>31</v>
      </c>
      <c r="W703" s="1" t="s">
        <v>27</v>
      </c>
      <c r="X703" s="1" t="str">
        <f>IF(laptop[[#This Row],[PrimaryStorageType]]=laptop[[#This Row],[SecondaryStorageType]],laptop[[#This Row],[PrimaryStorageType]],"SSD &amp; HDD")</f>
        <v>SSD &amp; HDD</v>
      </c>
      <c r="Y703" s="1" t="s">
        <v>94</v>
      </c>
    </row>
    <row r="704" spans="1:25" x14ac:dyDescent="0.25">
      <c r="A704" s="1" t="s">
        <v>73</v>
      </c>
      <c r="B704" s="1" t="s">
        <v>362</v>
      </c>
      <c r="C704" s="1" t="s">
        <v>38</v>
      </c>
      <c r="D704">
        <v>15.6</v>
      </c>
      <c r="E704">
        <v>8</v>
      </c>
      <c r="F704" s="1" t="s">
        <v>48</v>
      </c>
      <c r="G704">
        <v>2.2000000000000002</v>
      </c>
      <c r="H704">
        <v>429</v>
      </c>
      <c r="I704" s="1" t="s">
        <v>26</v>
      </c>
      <c r="J704">
        <v>1366</v>
      </c>
      <c r="K704">
        <v>768</v>
      </c>
      <c r="L704" s="1" t="s">
        <v>27</v>
      </c>
      <c r="M704" s="1" t="s">
        <v>27</v>
      </c>
      <c r="N704" s="1" t="s">
        <v>27</v>
      </c>
      <c r="O704" s="1" t="s">
        <v>49</v>
      </c>
      <c r="P704">
        <v>3.6</v>
      </c>
      <c r="Q704" s="1" t="s">
        <v>350</v>
      </c>
      <c r="R704" s="1" t="str">
        <f>_xlfn.CONCAT(laptop[[#This Row],[CPU_company]]," ",laptop[[#This Row],[CPU_model]])</f>
        <v>AMD A12-Series 9720P</v>
      </c>
      <c r="S704">
        <v>1024</v>
      </c>
      <c r="T704">
        <v>0</v>
      </c>
      <c r="U704">
        <f>laptop[[#This Row],[PrimaryStorage]]+laptop[[#This Row],[SecondaryStorage]]</f>
        <v>1024</v>
      </c>
      <c r="V704" s="1" t="s">
        <v>51</v>
      </c>
      <c r="W704" s="1" t="s">
        <v>27</v>
      </c>
      <c r="X704" s="1" t="str">
        <f>IF(laptop[[#This Row],[PrimaryStorageType]]=laptop[[#This Row],[SecondaryStorageType]],laptop[[#This Row],[PrimaryStorageType]],"SSD &amp; HDD")</f>
        <v>SSD &amp; HDD</v>
      </c>
      <c r="Y704" s="1" t="s">
        <v>595</v>
      </c>
    </row>
    <row r="705" spans="1:25" x14ac:dyDescent="0.25">
      <c r="A705" s="1" t="s">
        <v>73</v>
      </c>
      <c r="B705" s="1" t="s">
        <v>596</v>
      </c>
      <c r="C705" s="1" t="s">
        <v>38</v>
      </c>
      <c r="D705">
        <v>15.6</v>
      </c>
      <c r="E705">
        <v>4</v>
      </c>
      <c r="F705" s="1" t="s">
        <v>48</v>
      </c>
      <c r="G705">
        <v>2.1</v>
      </c>
      <c r="H705">
        <v>621.45000000000005</v>
      </c>
      <c r="I705" s="1" t="s">
        <v>40</v>
      </c>
      <c r="J705">
        <v>1920</v>
      </c>
      <c r="K705">
        <v>1080</v>
      </c>
      <c r="L705" s="1" t="s">
        <v>27</v>
      </c>
      <c r="M705" s="1" t="s">
        <v>27</v>
      </c>
      <c r="N705" s="1" t="s">
        <v>27</v>
      </c>
      <c r="O705" s="1" t="s">
        <v>29</v>
      </c>
      <c r="P705">
        <v>2.5</v>
      </c>
      <c r="Q705" s="1" t="s">
        <v>41</v>
      </c>
      <c r="R705" s="1" t="str">
        <f>_xlfn.CONCAT(laptop[[#This Row],[CPU_company]]," ",laptop[[#This Row],[CPU_model]])</f>
        <v>Intel Core i5 7200U</v>
      </c>
      <c r="S705">
        <v>1024</v>
      </c>
      <c r="T705">
        <v>1024</v>
      </c>
      <c r="U705">
        <f>laptop[[#This Row],[PrimaryStorage]]+laptop[[#This Row],[SecondaryStorage]]</f>
        <v>2048</v>
      </c>
      <c r="V705" s="1" t="s">
        <v>51</v>
      </c>
      <c r="W705" s="1" t="s">
        <v>51</v>
      </c>
      <c r="X705" s="1" t="str">
        <f>IF(laptop[[#This Row],[PrimaryStorageType]]=laptop[[#This Row],[SecondaryStorageType]],laptop[[#This Row],[PrimaryStorageType]],"SSD &amp; HDD")</f>
        <v>HDD</v>
      </c>
      <c r="Y705" s="1" t="s">
        <v>42</v>
      </c>
    </row>
    <row r="706" spans="1:25" x14ac:dyDescent="0.25">
      <c r="A706" s="1" t="s">
        <v>73</v>
      </c>
      <c r="B706" s="1" t="s">
        <v>597</v>
      </c>
      <c r="C706" s="1" t="s">
        <v>38</v>
      </c>
      <c r="D706">
        <v>15.6</v>
      </c>
      <c r="E706">
        <v>4</v>
      </c>
      <c r="F706" s="1" t="s">
        <v>39</v>
      </c>
      <c r="G706">
        <v>1.9</v>
      </c>
      <c r="H706">
        <v>450</v>
      </c>
      <c r="I706" s="1" t="s">
        <v>26</v>
      </c>
      <c r="J706">
        <v>1366</v>
      </c>
      <c r="K706">
        <v>768</v>
      </c>
      <c r="L706" s="1" t="s">
        <v>27</v>
      </c>
      <c r="M706" s="1" t="s">
        <v>27</v>
      </c>
      <c r="N706" s="1" t="s">
        <v>27</v>
      </c>
      <c r="O706" s="1" t="s">
        <v>29</v>
      </c>
      <c r="P706">
        <v>2</v>
      </c>
      <c r="Q706" s="1" t="s">
        <v>62</v>
      </c>
      <c r="R706" s="1" t="str">
        <f>_xlfn.CONCAT(laptop[[#This Row],[CPU_company]]," ",laptop[[#This Row],[CPU_model]])</f>
        <v>Intel Core i3 6006U</v>
      </c>
      <c r="S706">
        <v>500</v>
      </c>
      <c r="T706">
        <v>0</v>
      </c>
      <c r="U706">
        <f>laptop[[#This Row],[PrimaryStorage]]+laptop[[#This Row],[SecondaryStorage]]</f>
        <v>500</v>
      </c>
      <c r="V706" s="1" t="s">
        <v>51</v>
      </c>
      <c r="W706" s="1" t="s">
        <v>27</v>
      </c>
      <c r="X706" s="1" t="str">
        <f>IF(laptop[[#This Row],[PrimaryStorageType]]=laptop[[#This Row],[SecondaryStorageType]],laptop[[#This Row],[PrimaryStorageType]],"SSD &amp; HDD")</f>
        <v>SSD &amp; HDD</v>
      </c>
      <c r="Y706" s="1" t="s">
        <v>63</v>
      </c>
    </row>
    <row r="707" spans="1:25" x14ac:dyDescent="0.25">
      <c r="A707" s="1" t="s">
        <v>65</v>
      </c>
      <c r="B707" s="1" t="s">
        <v>471</v>
      </c>
      <c r="C707" s="1" t="s">
        <v>38</v>
      </c>
      <c r="D707">
        <v>15.6</v>
      </c>
      <c r="E707">
        <v>8</v>
      </c>
      <c r="F707" s="1" t="s">
        <v>48</v>
      </c>
      <c r="G707">
        <v>2.1800000000000002</v>
      </c>
      <c r="H707">
        <v>795</v>
      </c>
      <c r="I707" s="1" t="s">
        <v>40</v>
      </c>
      <c r="J707">
        <v>1920</v>
      </c>
      <c r="K707">
        <v>1080</v>
      </c>
      <c r="L707" s="1" t="s">
        <v>27</v>
      </c>
      <c r="M707" s="1" t="s">
        <v>27</v>
      </c>
      <c r="N707" s="1" t="s">
        <v>27</v>
      </c>
      <c r="O707" s="1" t="s">
        <v>29</v>
      </c>
      <c r="P707">
        <v>2.5</v>
      </c>
      <c r="Q707" s="1" t="s">
        <v>41</v>
      </c>
      <c r="R707" s="1" t="str">
        <f>_xlfn.CONCAT(laptop[[#This Row],[CPU_company]]," ",laptop[[#This Row],[CPU_model]])</f>
        <v>Intel Core i5 7200U</v>
      </c>
      <c r="S707">
        <v>256</v>
      </c>
      <c r="T707">
        <v>0</v>
      </c>
      <c r="U707">
        <f>laptop[[#This Row],[PrimaryStorage]]+laptop[[#This Row],[SecondaryStorage]]</f>
        <v>256</v>
      </c>
      <c r="V707" s="1" t="s">
        <v>31</v>
      </c>
      <c r="W707" s="1" t="s">
        <v>27</v>
      </c>
      <c r="X707" s="1" t="str">
        <f>IF(laptop[[#This Row],[PrimaryStorageType]]=laptop[[#This Row],[SecondaryStorageType]],laptop[[#This Row],[PrimaryStorageType]],"SSD &amp; HDD")</f>
        <v>SSD &amp; HDD</v>
      </c>
      <c r="Y707" s="1" t="s">
        <v>42</v>
      </c>
    </row>
    <row r="708" spans="1:25" x14ac:dyDescent="0.25">
      <c r="A708" s="1" t="s">
        <v>46</v>
      </c>
      <c r="B708" s="1" t="s">
        <v>176</v>
      </c>
      <c r="C708" s="1" t="s">
        <v>90</v>
      </c>
      <c r="D708">
        <v>13.3</v>
      </c>
      <c r="E708">
        <v>8</v>
      </c>
      <c r="F708" s="1" t="s">
        <v>48</v>
      </c>
      <c r="G708">
        <v>1.6</v>
      </c>
      <c r="H708">
        <v>999</v>
      </c>
      <c r="I708" s="1" t="s">
        <v>40</v>
      </c>
      <c r="J708">
        <v>1920</v>
      </c>
      <c r="K708">
        <v>1080</v>
      </c>
      <c r="L708" s="1" t="s">
        <v>28</v>
      </c>
      <c r="M708" s="1" t="s">
        <v>28</v>
      </c>
      <c r="N708" s="1" t="s">
        <v>27</v>
      </c>
      <c r="O708" s="1" t="s">
        <v>29</v>
      </c>
      <c r="P708">
        <v>1.6</v>
      </c>
      <c r="Q708" s="1" t="s">
        <v>60</v>
      </c>
      <c r="R708" s="1" t="str">
        <f>_xlfn.CONCAT(laptop[[#This Row],[CPU_company]]," ",laptop[[#This Row],[CPU_model]])</f>
        <v>Intel Core i5 8250U</v>
      </c>
      <c r="S708">
        <v>256</v>
      </c>
      <c r="T708">
        <v>0</v>
      </c>
      <c r="U708">
        <f>laptop[[#This Row],[PrimaryStorage]]+laptop[[#This Row],[SecondaryStorage]]</f>
        <v>256</v>
      </c>
      <c r="V708" s="1" t="s">
        <v>31</v>
      </c>
      <c r="W708" s="1" t="s">
        <v>27</v>
      </c>
      <c r="X708" s="1" t="str">
        <f>IF(laptop[[#This Row],[PrimaryStorageType]]=laptop[[#This Row],[SecondaryStorageType]],laptop[[#This Row],[PrimaryStorageType]],"SSD &amp; HDD")</f>
        <v>SSD &amp; HDD</v>
      </c>
      <c r="Y708" s="1" t="s">
        <v>61</v>
      </c>
    </row>
    <row r="709" spans="1:25" x14ac:dyDescent="0.25">
      <c r="A709" s="1" t="s">
        <v>73</v>
      </c>
      <c r="B709" s="1" t="s">
        <v>598</v>
      </c>
      <c r="C709" s="1" t="s">
        <v>265</v>
      </c>
      <c r="D709">
        <v>15.6</v>
      </c>
      <c r="E709">
        <v>16</v>
      </c>
      <c r="F709" s="1" t="s">
        <v>480</v>
      </c>
      <c r="G709">
        <v>2.1800000000000002</v>
      </c>
      <c r="H709">
        <v>1855</v>
      </c>
      <c r="I709" s="1" t="s">
        <v>40</v>
      </c>
      <c r="J709">
        <v>1920</v>
      </c>
      <c r="K709">
        <v>1080</v>
      </c>
      <c r="L709" s="1" t="s">
        <v>27</v>
      </c>
      <c r="M709" s="1" t="s">
        <v>27</v>
      </c>
      <c r="N709" s="1" t="s">
        <v>27</v>
      </c>
      <c r="O709" s="1" t="s">
        <v>29</v>
      </c>
      <c r="P709">
        <v>2.5</v>
      </c>
      <c r="Q709" s="1" t="s">
        <v>274</v>
      </c>
      <c r="R709" s="1" t="str">
        <f>_xlfn.CONCAT(laptop[[#This Row],[CPU_company]]," ",laptop[[#This Row],[CPU_model]])</f>
        <v>Intel Core i7 6500U</v>
      </c>
      <c r="S709">
        <v>512</v>
      </c>
      <c r="T709">
        <v>0</v>
      </c>
      <c r="U709">
        <f>laptop[[#This Row],[PrimaryStorage]]+laptop[[#This Row],[SecondaryStorage]]</f>
        <v>512</v>
      </c>
      <c r="V709" s="1" t="s">
        <v>31</v>
      </c>
      <c r="W709" s="1" t="s">
        <v>27</v>
      </c>
      <c r="X709" s="1" t="str">
        <f>IF(laptop[[#This Row],[PrimaryStorageType]]=laptop[[#This Row],[SecondaryStorageType]],laptop[[#This Row],[PrimaryStorageType]],"SSD &amp; HDD")</f>
        <v>SSD &amp; HDD</v>
      </c>
      <c r="Y709" s="1" t="s">
        <v>599</v>
      </c>
    </row>
    <row r="710" spans="1:25" x14ac:dyDescent="0.25">
      <c r="A710" s="1" t="s">
        <v>73</v>
      </c>
      <c r="B710" s="1" t="s">
        <v>600</v>
      </c>
      <c r="C710" s="1" t="s">
        <v>38</v>
      </c>
      <c r="D710">
        <v>14</v>
      </c>
      <c r="E710">
        <v>8</v>
      </c>
      <c r="F710" s="1" t="s">
        <v>48</v>
      </c>
      <c r="G710">
        <v>1.8</v>
      </c>
      <c r="H710">
        <v>1191</v>
      </c>
      <c r="I710" s="1" t="s">
        <v>40</v>
      </c>
      <c r="J710">
        <v>1920</v>
      </c>
      <c r="K710">
        <v>1080</v>
      </c>
      <c r="L710" s="1" t="s">
        <v>27</v>
      </c>
      <c r="M710" s="1" t="s">
        <v>27</v>
      </c>
      <c r="N710" s="1" t="s">
        <v>27</v>
      </c>
      <c r="O710" s="1" t="s">
        <v>29</v>
      </c>
      <c r="P710">
        <v>2.2999999999999998</v>
      </c>
      <c r="Q710" s="1" t="s">
        <v>601</v>
      </c>
      <c r="R710" s="1" t="str">
        <f>_xlfn.CONCAT(laptop[[#This Row],[CPU_company]]," ",laptop[[#This Row],[CPU_model]])</f>
        <v>Intel Core i5 6300HQ</v>
      </c>
      <c r="S710">
        <v>256</v>
      </c>
      <c r="T710">
        <v>0</v>
      </c>
      <c r="U710">
        <f>laptop[[#This Row],[PrimaryStorage]]+laptop[[#This Row],[SecondaryStorage]]</f>
        <v>256</v>
      </c>
      <c r="V710" s="1" t="s">
        <v>31</v>
      </c>
      <c r="W710" s="1" t="s">
        <v>27</v>
      </c>
      <c r="X710" s="1" t="str">
        <f>IF(laptop[[#This Row],[PrimaryStorageType]]=laptop[[#This Row],[SecondaryStorageType]],laptop[[#This Row],[PrimaryStorageType]],"SSD &amp; HDD")</f>
        <v>SSD &amp; HDD</v>
      </c>
      <c r="Y710" s="1" t="s">
        <v>63</v>
      </c>
    </row>
    <row r="711" spans="1:25" x14ac:dyDescent="0.25">
      <c r="A711" s="1" t="s">
        <v>36</v>
      </c>
      <c r="B711" s="1" t="s">
        <v>602</v>
      </c>
      <c r="C711" s="1" t="s">
        <v>38</v>
      </c>
      <c r="D711">
        <v>17.3</v>
      </c>
      <c r="E711">
        <v>6</v>
      </c>
      <c r="F711" s="1" t="s">
        <v>48</v>
      </c>
      <c r="G711">
        <v>2.71</v>
      </c>
      <c r="H711">
        <v>655.01</v>
      </c>
      <c r="I711" s="1" t="s">
        <v>40</v>
      </c>
      <c r="J711">
        <v>1920</v>
      </c>
      <c r="K711">
        <v>1080</v>
      </c>
      <c r="L711" s="1" t="s">
        <v>27</v>
      </c>
      <c r="M711" s="1" t="s">
        <v>28</v>
      </c>
      <c r="N711" s="1" t="s">
        <v>27</v>
      </c>
      <c r="O711" s="1" t="s">
        <v>49</v>
      </c>
      <c r="P711">
        <v>2.5</v>
      </c>
      <c r="Q711" s="1" t="s">
        <v>458</v>
      </c>
      <c r="R711" s="1" t="str">
        <f>_xlfn.CONCAT(laptop[[#This Row],[CPU_company]]," ",laptop[[#This Row],[CPU_model]])</f>
        <v>AMD A10-Series 9620P</v>
      </c>
      <c r="S711">
        <v>2048</v>
      </c>
      <c r="T711">
        <v>0</v>
      </c>
      <c r="U711">
        <f>laptop[[#This Row],[PrimaryStorage]]+laptop[[#This Row],[SecondaryStorage]]</f>
        <v>2048</v>
      </c>
      <c r="V711" s="1" t="s">
        <v>51</v>
      </c>
      <c r="W711" s="1" t="s">
        <v>27</v>
      </c>
      <c r="X711" s="1" t="str">
        <f>IF(laptop[[#This Row],[PrimaryStorageType]]=laptop[[#This Row],[SecondaryStorageType]],laptop[[#This Row],[PrimaryStorageType]],"SSD &amp; HDD")</f>
        <v>SSD &amp; HDD</v>
      </c>
      <c r="Y711" s="1" t="s">
        <v>94</v>
      </c>
    </row>
    <row r="712" spans="1:25" x14ac:dyDescent="0.25">
      <c r="A712" s="1" t="s">
        <v>73</v>
      </c>
      <c r="B712" s="1" t="s">
        <v>82</v>
      </c>
      <c r="C712" s="1" t="s">
        <v>83</v>
      </c>
      <c r="D712">
        <v>15.6</v>
      </c>
      <c r="E712">
        <v>8</v>
      </c>
      <c r="F712" s="1" t="s">
        <v>48</v>
      </c>
      <c r="G712">
        <v>2.5</v>
      </c>
      <c r="H712">
        <v>1249</v>
      </c>
      <c r="I712" s="1" t="s">
        <v>40</v>
      </c>
      <c r="J712">
        <v>1920</v>
      </c>
      <c r="K712">
        <v>1080</v>
      </c>
      <c r="L712" s="1" t="s">
        <v>27</v>
      </c>
      <c r="M712" s="1" t="s">
        <v>28</v>
      </c>
      <c r="N712" s="1" t="s">
        <v>27</v>
      </c>
      <c r="O712" s="1" t="s">
        <v>29</v>
      </c>
      <c r="P712">
        <v>2.8</v>
      </c>
      <c r="Q712" s="1" t="s">
        <v>118</v>
      </c>
      <c r="R712" s="1" t="str">
        <f>_xlfn.CONCAT(laptop[[#This Row],[CPU_company]]," ",laptop[[#This Row],[CPU_model]])</f>
        <v>Intel Core i7 7700HQ</v>
      </c>
      <c r="S712">
        <v>128</v>
      </c>
      <c r="T712">
        <v>1024</v>
      </c>
      <c r="U712">
        <f>laptop[[#This Row],[PrimaryStorage]]+laptop[[#This Row],[SecondaryStorage]]</f>
        <v>1152</v>
      </c>
      <c r="V712" s="1" t="s">
        <v>31</v>
      </c>
      <c r="W712" s="1" t="s">
        <v>51</v>
      </c>
      <c r="X712" s="1" t="str">
        <f>IF(laptop[[#This Row],[PrimaryStorageType]]=laptop[[#This Row],[SecondaryStorageType]],laptop[[#This Row],[PrimaryStorageType]],"SSD &amp; HDD")</f>
        <v>SSD &amp; HDD</v>
      </c>
      <c r="Y712" s="1" t="s">
        <v>149</v>
      </c>
    </row>
    <row r="713" spans="1:25" x14ac:dyDescent="0.25">
      <c r="A713" s="1" t="s">
        <v>65</v>
      </c>
      <c r="B713" s="1" t="s">
        <v>409</v>
      </c>
      <c r="C713" s="1" t="s">
        <v>38</v>
      </c>
      <c r="D713">
        <v>14</v>
      </c>
      <c r="E713">
        <v>8</v>
      </c>
      <c r="F713" s="1" t="s">
        <v>111</v>
      </c>
      <c r="G713">
        <v>1.64</v>
      </c>
      <c r="H713">
        <v>1089</v>
      </c>
      <c r="I713" s="1" t="s">
        <v>40</v>
      </c>
      <c r="J713">
        <v>1920</v>
      </c>
      <c r="K713">
        <v>1080</v>
      </c>
      <c r="L713" s="1" t="s">
        <v>27</v>
      </c>
      <c r="M713" s="1" t="s">
        <v>27</v>
      </c>
      <c r="N713" s="1" t="s">
        <v>27</v>
      </c>
      <c r="O713" s="1" t="s">
        <v>29</v>
      </c>
      <c r="P713">
        <v>2.8</v>
      </c>
      <c r="Q713" s="1" t="s">
        <v>428</v>
      </c>
      <c r="R713" s="1" t="str">
        <f>_xlfn.CONCAT(laptop[[#This Row],[CPU_company]]," ",laptop[[#This Row],[CPU_model]])</f>
        <v>Intel Core i5 7440HQ</v>
      </c>
      <c r="S713">
        <v>256</v>
      </c>
      <c r="T713">
        <v>0</v>
      </c>
      <c r="U713">
        <f>laptop[[#This Row],[PrimaryStorage]]+laptop[[#This Row],[SecondaryStorage]]</f>
        <v>256</v>
      </c>
      <c r="V713" s="1" t="s">
        <v>31</v>
      </c>
      <c r="W713" s="1" t="s">
        <v>27</v>
      </c>
      <c r="X713" s="1" t="str">
        <f>IF(laptop[[#This Row],[PrimaryStorageType]]=laptop[[#This Row],[SecondaryStorageType]],laptop[[#This Row],[PrimaryStorageType]],"SSD &amp; HDD")</f>
        <v>SSD &amp; HDD</v>
      </c>
      <c r="Y713" s="1" t="s">
        <v>98</v>
      </c>
    </row>
    <row r="714" spans="1:25" x14ac:dyDescent="0.25">
      <c r="A714" s="1" t="s">
        <v>65</v>
      </c>
      <c r="B714" s="1" t="s">
        <v>471</v>
      </c>
      <c r="C714" s="1" t="s">
        <v>38</v>
      </c>
      <c r="D714">
        <v>15.6</v>
      </c>
      <c r="E714">
        <v>8</v>
      </c>
      <c r="F714" s="1" t="s">
        <v>111</v>
      </c>
      <c r="G714">
        <v>1.98</v>
      </c>
      <c r="H714">
        <v>726</v>
      </c>
      <c r="I714" s="1" t="s">
        <v>40</v>
      </c>
      <c r="J714">
        <v>1920</v>
      </c>
      <c r="K714">
        <v>1080</v>
      </c>
      <c r="L714" s="1" t="s">
        <v>27</v>
      </c>
      <c r="M714" s="1" t="s">
        <v>27</v>
      </c>
      <c r="N714" s="1" t="s">
        <v>27</v>
      </c>
      <c r="O714" s="1" t="s">
        <v>29</v>
      </c>
      <c r="P714">
        <v>2.5</v>
      </c>
      <c r="Q714" s="1" t="s">
        <v>41</v>
      </c>
      <c r="R714" s="1" t="str">
        <f>_xlfn.CONCAT(laptop[[#This Row],[CPU_company]]," ",laptop[[#This Row],[CPU_model]])</f>
        <v>Intel Core i5 7200U</v>
      </c>
      <c r="S714">
        <v>1024</v>
      </c>
      <c r="T714">
        <v>0</v>
      </c>
      <c r="U714">
        <f>laptop[[#This Row],[PrimaryStorage]]+laptop[[#This Row],[SecondaryStorage]]</f>
        <v>1024</v>
      </c>
      <c r="V714" s="1" t="s">
        <v>51</v>
      </c>
      <c r="W714" s="1" t="s">
        <v>27</v>
      </c>
      <c r="X714" s="1" t="str">
        <f>IF(laptop[[#This Row],[PrimaryStorageType]]=laptop[[#This Row],[SecondaryStorageType]],laptop[[#This Row],[PrimaryStorageType]],"SSD &amp; HDD")</f>
        <v>SSD &amp; HDD</v>
      </c>
      <c r="Y714" s="1" t="s">
        <v>42</v>
      </c>
    </row>
    <row r="715" spans="1:25" x14ac:dyDescent="0.25">
      <c r="A715" s="1" t="s">
        <v>55</v>
      </c>
      <c r="B715" s="1" t="s">
        <v>376</v>
      </c>
      <c r="C715" s="1" t="s">
        <v>38</v>
      </c>
      <c r="D715">
        <v>14</v>
      </c>
      <c r="E715">
        <v>4</v>
      </c>
      <c r="F715" s="1" t="s">
        <v>48</v>
      </c>
      <c r="G715">
        <v>1.5</v>
      </c>
      <c r="H715">
        <v>298</v>
      </c>
      <c r="I715" s="1" t="s">
        <v>40</v>
      </c>
      <c r="J715">
        <v>1920</v>
      </c>
      <c r="K715">
        <v>1080</v>
      </c>
      <c r="L715" s="1" t="s">
        <v>27</v>
      </c>
      <c r="M715" s="1" t="s">
        <v>27</v>
      </c>
      <c r="N715" s="1" t="s">
        <v>27</v>
      </c>
      <c r="O715" s="1" t="s">
        <v>29</v>
      </c>
      <c r="P715">
        <v>1.1000000000000001</v>
      </c>
      <c r="Q715" s="1" t="s">
        <v>109</v>
      </c>
      <c r="R715" s="1" t="str">
        <f>_xlfn.CONCAT(laptop[[#This Row],[CPU_company]]," ",laptop[[#This Row],[CPU_model]])</f>
        <v>Intel Celeron Dual Core N3350</v>
      </c>
      <c r="S715">
        <v>32</v>
      </c>
      <c r="T715">
        <v>0</v>
      </c>
      <c r="U715">
        <f>laptop[[#This Row],[PrimaryStorage]]+laptop[[#This Row],[SecondaryStorage]]</f>
        <v>32</v>
      </c>
      <c r="V715" s="1" t="s">
        <v>34</v>
      </c>
      <c r="W715" s="1" t="s">
        <v>27</v>
      </c>
      <c r="X715" s="1" t="str">
        <f>IF(laptop[[#This Row],[PrimaryStorageType]]=laptop[[#This Row],[SecondaryStorageType]],laptop[[#This Row],[PrimaryStorageType]],"SSD &amp; HDD")</f>
        <v>SSD &amp; HDD</v>
      </c>
      <c r="Y715" s="1" t="s">
        <v>110</v>
      </c>
    </row>
    <row r="716" spans="1:25" x14ac:dyDescent="0.25">
      <c r="A716" s="1" t="s">
        <v>65</v>
      </c>
      <c r="B716" s="1" t="s">
        <v>481</v>
      </c>
      <c r="C716" s="1" t="s">
        <v>38</v>
      </c>
      <c r="D716">
        <v>15.6</v>
      </c>
      <c r="E716">
        <v>16</v>
      </c>
      <c r="F716" s="1" t="s">
        <v>48</v>
      </c>
      <c r="G716">
        <v>1.93</v>
      </c>
      <c r="H716">
        <v>1426.66</v>
      </c>
      <c r="I716" s="1" t="s">
        <v>40</v>
      </c>
      <c r="J716">
        <v>1920</v>
      </c>
      <c r="K716">
        <v>1080</v>
      </c>
      <c r="L716" s="1" t="s">
        <v>27</v>
      </c>
      <c r="M716" s="1" t="s">
        <v>27</v>
      </c>
      <c r="N716" s="1" t="s">
        <v>27</v>
      </c>
      <c r="O716" s="1" t="s">
        <v>29</v>
      </c>
      <c r="P716">
        <v>2.6</v>
      </c>
      <c r="Q716" s="1" t="s">
        <v>358</v>
      </c>
      <c r="R716" s="1" t="str">
        <f>_xlfn.CONCAT(laptop[[#This Row],[CPU_company]]," ",laptop[[#This Row],[CPU_model]])</f>
        <v>Intel Core i5 7300U</v>
      </c>
      <c r="S716">
        <v>512</v>
      </c>
      <c r="T716">
        <v>0</v>
      </c>
      <c r="U716">
        <f>laptop[[#This Row],[PrimaryStorage]]+laptop[[#This Row],[SecondaryStorage]]</f>
        <v>512</v>
      </c>
      <c r="V716" s="1" t="s">
        <v>31</v>
      </c>
      <c r="W716" s="1" t="s">
        <v>27</v>
      </c>
      <c r="X716" s="1" t="str">
        <f>IF(laptop[[#This Row],[PrimaryStorageType]]=laptop[[#This Row],[SecondaryStorageType]],laptop[[#This Row],[PrimaryStorageType]],"SSD &amp; HDD")</f>
        <v>SSD &amp; HDD</v>
      </c>
      <c r="Y716" s="1" t="s">
        <v>42</v>
      </c>
    </row>
    <row r="717" spans="1:25" x14ac:dyDescent="0.25">
      <c r="A717" s="1" t="s">
        <v>73</v>
      </c>
      <c r="B717" s="1" t="s">
        <v>486</v>
      </c>
      <c r="C717" s="1" t="s">
        <v>38</v>
      </c>
      <c r="D717">
        <v>14</v>
      </c>
      <c r="E717">
        <v>8</v>
      </c>
      <c r="F717" s="1" t="s">
        <v>48</v>
      </c>
      <c r="G717">
        <v>1.87</v>
      </c>
      <c r="H717">
        <v>857.07</v>
      </c>
      <c r="I717" s="1" t="s">
        <v>40</v>
      </c>
      <c r="J717">
        <v>1920</v>
      </c>
      <c r="K717">
        <v>1080</v>
      </c>
      <c r="L717" s="1" t="s">
        <v>27</v>
      </c>
      <c r="M717" s="1" t="s">
        <v>28</v>
      </c>
      <c r="N717" s="1" t="s">
        <v>27</v>
      </c>
      <c r="O717" s="1" t="s">
        <v>29</v>
      </c>
      <c r="P717">
        <v>2.5</v>
      </c>
      <c r="Q717" s="1" t="s">
        <v>41</v>
      </c>
      <c r="R717" s="1" t="str">
        <f>_xlfn.CONCAT(laptop[[#This Row],[CPU_company]]," ",laptop[[#This Row],[CPU_model]])</f>
        <v>Intel Core i5 7200U</v>
      </c>
      <c r="S717">
        <v>256</v>
      </c>
      <c r="T717">
        <v>0</v>
      </c>
      <c r="U717">
        <f>laptop[[#This Row],[PrimaryStorage]]+laptop[[#This Row],[SecondaryStorage]]</f>
        <v>256</v>
      </c>
      <c r="V717" s="1" t="s">
        <v>31</v>
      </c>
      <c r="W717" s="1" t="s">
        <v>27</v>
      </c>
      <c r="X717" s="1" t="str">
        <f>IF(laptop[[#This Row],[PrimaryStorageType]]=laptop[[#This Row],[SecondaryStorageType]],laptop[[#This Row],[PrimaryStorageType]],"SSD &amp; HDD")</f>
        <v>SSD &amp; HDD</v>
      </c>
      <c r="Y717" s="1" t="s">
        <v>131</v>
      </c>
    </row>
    <row r="718" spans="1:25" x14ac:dyDescent="0.25">
      <c r="A718" s="1" t="s">
        <v>65</v>
      </c>
      <c r="B718" s="1" t="s">
        <v>481</v>
      </c>
      <c r="C718" s="1" t="s">
        <v>38</v>
      </c>
      <c r="D718">
        <v>15.6</v>
      </c>
      <c r="E718">
        <v>8</v>
      </c>
      <c r="F718" s="1" t="s">
        <v>48</v>
      </c>
      <c r="G718">
        <v>1.9</v>
      </c>
      <c r="H718">
        <v>1179</v>
      </c>
      <c r="I718" s="1" t="s">
        <v>40</v>
      </c>
      <c r="J718">
        <v>1920</v>
      </c>
      <c r="K718">
        <v>1080</v>
      </c>
      <c r="L718" s="1" t="s">
        <v>27</v>
      </c>
      <c r="M718" s="1" t="s">
        <v>27</v>
      </c>
      <c r="N718" s="1" t="s">
        <v>27</v>
      </c>
      <c r="O718" s="1" t="s">
        <v>29</v>
      </c>
      <c r="P718">
        <v>2.6</v>
      </c>
      <c r="Q718" s="1" t="s">
        <v>358</v>
      </c>
      <c r="R718" s="1" t="str">
        <f>_xlfn.CONCAT(laptop[[#This Row],[CPU_company]]," ",laptop[[#This Row],[CPU_model]])</f>
        <v>Intel Core i5 7300U</v>
      </c>
      <c r="S718">
        <v>256</v>
      </c>
      <c r="T718">
        <v>0</v>
      </c>
      <c r="U718">
        <f>laptop[[#This Row],[PrimaryStorage]]+laptop[[#This Row],[SecondaryStorage]]</f>
        <v>256</v>
      </c>
      <c r="V718" s="1" t="s">
        <v>31</v>
      </c>
      <c r="W718" s="1" t="s">
        <v>27</v>
      </c>
      <c r="X718" s="1" t="str">
        <f>IF(laptop[[#This Row],[PrimaryStorageType]]=laptop[[#This Row],[SecondaryStorageType]],laptop[[#This Row],[PrimaryStorageType]],"SSD &amp; HDD")</f>
        <v>SSD &amp; HDD</v>
      </c>
      <c r="Y718" s="1" t="s">
        <v>42</v>
      </c>
    </row>
    <row r="719" spans="1:25" x14ac:dyDescent="0.25">
      <c r="A719" s="1" t="s">
        <v>73</v>
      </c>
      <c r="B719" s="1" t="s">
        <v>603</v>
      </c>
      <c r="C719" s="1" t="s">
        <v>38</v>
      </c>
      <c r="D719">
        <v>15.6</v>
      </c>
      <c r="E719">
        <v>4</v>
      </c>
      <c r="F719" s="1" t="s">
        <v>48</v>
      </c>
      <c r="G719">
        <v>2.19</v>
      </c>
      <c r="H719">
        <v>298</v>
      </c>
      <c r="I719" s="1" t="s">
        <v>26</v>
      </c>
      <c r="J719">
        <v>1366</v>
      </c>
      <c r="K719">
        <v>768</v>
      </c>
      <c r="L719" s="1" t="s">
        <v>27</v>
      </c>
      <c r="M719" s="1" t="s">
        <v>27</v>
      </c>
      <c r="N719" s="1" t="s">
        <v>27</v>
      </c>
      <c r="O719" s="1" t="s">
        <v>49</v>
      </c>
      <c r="P719">
        <v>2</v>
      </c>
      <c r="Q719" s="1" t="s">
        <v>604</v>
      </c>
      <c r="R719" s="1" t="str">
        <f>_xlfn.CONCAT(laptop[[#This Row],[CPU_company]]," ",laptop[[#This Row],[CPU_model]])</f>
        <v>AMD A6-Series 7310</v>
      </c>
      <c r="S719">
        <v>500</v>
      </c>
      <c r="T719">
        <v>0</v>
      </c>
      <c r="U719">
        <f>laptop[[#This Row],[PrimaryStorage]]+laptop[[#This Row],[SecondaryStorage]]</f>
        <v>500</v>
      </c>
      <c r="V719" s="1" t="s">
        <v>51</v>
      </c>
      <c r="W719" s="1" t="s">
        <v>27</v>
      </c>
      <c r="X719" s="1" t="str">
        <f>IF(laptop[[#This Row],[PrimaryStorageType]]=laptop[[#This Row],[SecondaryStorageType]],laptop[[#This Row],[PrimaryStorageType]],"SSD &amp; HDD")</f>
        <v>SSD &amp; HDD</v>
      </c>
      <c r="Y719" s="1" t="s">
        <v>425</v>
      </c>
    </row>
    <row r="720" spans="1:25" x14ac:dyDescent="0.25">
      <c r="A720" s="1" t="s">
        <v>411</v>
      </c>
      <c r="B720" s="1" t="s">
        <v>605</v>
      </c>
      <c r="C720" s="1" t="s">
        <v>38</v>
      </c>
      <c r="D720">
        <v>14</v>
      </c>
      <c r="E720">
        <v>4</v>
      </c>
      <c r="F720" s="1" t="s">
        <v>48</v>
      </c>
      <c r="G720">
        <v>1.4</v>
      </c>
      <c r="H720">
        <v>265</v>
      </c>
      <c r="I720" s="1" t="s">
        <v>40</v>
      </c>
      <c r="J720">
        <v>1920</v>
      </c>
      <c r="K720">
        <v>1200</v>
      </c>
      <c r="L720" s="1" t="s">
        <v>27</v>
      </c>
      <c r="M720" s="1" t="s">
        <v>28</v>
      </c>
      <c r="N720" s="1" t="s">
        <v>27</v>
      </c>
      <c r="O720" s="1" t="s">
        <v>29</v>
      </c>
      <c r="P720">
        <v>1.92</v>
      </c>
      <c r="Q720" s="1" t="s">
        <v>606</v>
      </c>
      <c r="R720" s="1" t="str">
        <f>_xlfn.CONCAT(laptop[[#This Row],[CPU_company]]," ",laptop[[#This Row],[CPU_model]])</f>
        <v>Intel Atom Z8350</v>
      </c>
      <c r="S720">
        <v>32</v>
      </c>
      <c r="T720">
        <v>0</v>
      </c>
      <c r="U720">
        <f>laptop[[#This Row],[PrimaryStorage]]+laptop[[#This Row],[SecondaryStorage]]</f>
        <v>32</v>
      </c>
      <c r="V720" s="1" t="s">
        <v>51</v>
      </c>
      <c r="W720" s="1" t="s">
        <v>27</v>
      </c>
      <c r="X720" s="1" t="str">
        <f>IF(laptop[[#This Row],[PrimaryStorageType]]=laptop[[#This Row],[SecondaryStorageType]],laptop[[#This Row],[PrimaryStorageType]],"SSD &amp; HDD")</f>
        <v>SSD &amp; HDD</v>
      </c>
      <c r="Y720" s="1" t="s">
        <v>81</v>
      </c>
    </row>
    <row r="721" spans="1:25" x14ac:dyDescent="0.25">
      <c r="A721" s="1" t="s">
        <v>36</v>
      </c>
      <c r="B721" s="1" t="s">
        <v>97</v>
      </c>
      <c r="C721" s="1" t="s">
        <v>38</v>
      </c>
      <c r="D721">
        <v>17.3</v>
      </c>
      <c r="E721">
        <v>8</v>
      </c>
      <c r="F721" s="1" t="s">
        <v>48</v>
      </c>
      <c r="G721">
        <v>2.63</v>
      </c>
      <c r="H721">
        <v>1200</v>
      </c>
      <c r="I721" s="1" t="s">
        <v>40</v>
      </c>
      <c r="J721">
        <v>1920</v>
      </c>
      <c r="K721">
        <v>1080</v>
      </c>
      <c r="L721" s="1" t="s">
        <v>27</v>
      </c>
      <c r="M721" s="1" t="s">
        <v>27</v>
      </c>
      <c r="N721" s="1" t="s">
        <v>27</v>
      </c>
      <c r="O721" s="1" t="s">
        <v>29</v>
      </c>
      <c r="P721">
        <v>2.7</v>
      </c>
      <c r="Q721" s="1" t="s">
        <v>71</v>
      </c>
      <c r="R721" s="1" t="str">
        <f>_xlfn.CONCAT(laptop[[#This Row],[CPU_company]]," ",laptop[[#This Row],[CPU_model]])</f>
        <v>Intel Core i7 7500U</v>
      </c>
      <c r="S721">
        <v>256</v>
      </c>
      <c r="T721">
        <v>0</v>
      </c>
      <c r="U721">
        <f>laptop[[#This Row],[PrimaryStorage]]+laptop[[#This Row],[SecondaryStorage]]</f>
        <v>256</v>
      </c>
      <c r="V721" s="1" t="s">
        <v>31</v>
      </c>
      <c r="W721" s="1" t="s">
        <v>27</v>
      </c>
      <c r="X721" s="1" t="str">
        <f>IF(laptop[[#This Row],[PrimaryStorageType]]=laptop[[#This Row],[SecondaryStorageType]],laptop[[#This Row],[PrimaryStorageType]],"SSD &amp; HDD")</f>
        <v>SSD &amp; HDD</v>
      </c>
      <c r="Y721" s="1" t="s">
        <v>98</v>
      </c>
    </row>
    <row r="722" spans="1:25" x14ac:dyDescent="0.25">
      <c r="A722" s="1" t="s">
        <v>73</v>
      </c>
      <c r="B722" s="1" t="s">
        <v>308</v>
      </c>
      <c r="C722" s="1" t="s">
        <v>24</v>
      </c>
      <c r="D722">
        <v>14</v>
      </c>
      <c r="E722">
        <v>8</v>
      </c>
      <c r="F722" s="1" t="s">
        <v>48</v>
      </c>
      <c r="G722">
        <v>1.17</v>
      </c>
      <c r="H722">
        <v>1686.64</v>
      </c>
      <c r="I722" s="1" t="s">
        <v>107</v>
      </c>
      <c r="J722">
        <v>2560</v>
      </c>
      <c r="K722">
        <v>1440</v>
      </c>
      <c r="L722" s="1" t="s">
        <v>27</v>
      </c>
      <c r="M722" s="1" t="s">
        <v>28</v>
      </c>
      <c r="N722" s="1" t="s">
        <v>27</v>
      </c>
      <c r="O722" s="1" t="s">
        <v>29</v>
      </c>
      <c r="P722">
        <v>2.5</v>
      </c>
      <c r="Q722" s="1" t="s">
        <v>274</v>
      </c>
      <c r="R722" s="1" t="str">
        <f>_xlfn.CONCAT(laptop[[#This Row],[CPU_company]]," ",laptop[[#This Row],[CPU_model]])</f>
        <v>Intel Core i7 6500U</v>
      </c>
      <c r="S722">
        <v>512</v>
      </c>
      <c r="T722">
        <v>0</v>
      </c>
      <c r="U722">
        <f>laptop[[#This Row],[PrimaryStorage]]+laptop[[#This Row],[SecondaryStorage]]</f>
        <v>512</v>
      </c>
      <c r="V722" s="1" t="s">
        <v>31</v>
      </c>
      <c r="W722" s="1" t="s">
        <v>27</v>
      </c>
      <c r="X722" s="1" t="str">
        <f>IF(laptop[[#This Row],[PrimaryStorageType]]=laptop[[#This Row],[SecondaryStorageType]],laptop[[#This Row],[PrimaryStorageType]],"SSD &amp; HDD")</f>
        <v>SSD &amp; HDD</v>
      </c>
      <c r="Y722" s="1" t="s">
        <v>63</v>
      </c>
    </row>
    <row r="723" spans="1:25" x14ac:dyDescent="0.25">
      <c r="A723" s="1" t="s">
        <v>36</v>
      </c>
      <c r="B723" s="1" t="s">
        <v>572</v>
      </c>
      <c r="C723" s="1" t="s">
        <v>90</v>
      </c>
      <c r="D723">
        <v>13.3</v>
      </c>
      <c r="E723">
        <v>8</v>
      </c>
      <c r="F723" s="1" t="s">
        <v>48</v>
      </c>
      <c r="G723">
        <v>1.58</v>
      </c>
      <c r="H723">
        <v>836.6</v>
      </c>
      <c r="I723" s="1" t="s">
        <v>26</v>
      </c>
      <c r="J723">
        <v>1366</v>
      </c>
      <c r="K723">
        <v>768</v>
      </c>
      <c r="L723" s="1" t="s">
        <v>28</v>
      </c>
      <c r="M723" s="1" t="s">
        <v>28</v>
      </c>
      <c r="N723" s="1" t="s">
        <v>27</v>
      </c>
      <c r="O723" s="1" t="s">
        <v>29</v>
      </c>
      <c r="P723">
        <v>2.5</v>
      </c>
      <c r="Q723" s="1" t="s">
        <v>41</v>
      </c>
      <c r="R723" s="1" t="str">
        <f>_xlfn.CONCAT(laptop[[#This Row],[CPU_company]]," ",laptop[[#This Row],[CPU_model]])</f>
        <v>Intel Core i5 7200U</v>
      </c>
      <c r="S723">
        <v>256</v>
      </c>
      <c r="T723">
        <v>0</v>
      </c>
      <c r="U723">
        <f>laptop[[#This Row],[PrimaryStorage]]+laptop[[#This Row],[SecondaryStorage]]</f>
        <v>256</v>
      </c>
      <c r="V723" s="1" t="s">
        <v>31</v>
      </c>
      <c r="W723" s="1" t="s">
        <v>27</v>
      </c>
      <c r="X723" s="1" t="str">
        <f>IF(laptop[[#This Row],[PrimaryStorageType]]=laptop[[#This Row],[SecondaryStorageType]],laptop[[#This Row],[PrimaryStorageType]],"SSD &amp; HDD")</f>
        <v>SSD &amp; HDD</v>
      </c>
      <c r="Y723" s="1" t="s">
        <v>42</v>
      </c>
    </row>
    <row r="724" spans="1:25" x14ac:dyDescent="0.25">
      <c r="A724" s="1" t="s">
        <v>73</v>
      </c>
      <c r="B724" s="1" t="s">
        <v>424</v>
      </c>
      <c r="C724" s="1" t="s">
        <v>24</v>
      </c>
      <c r="D724">
        <v>14</v>
      </c>
      <c r="E724">
        <v>8</v>
      </c>
      <c r="F724" s="1" t="s">
        <v>48</v>
      </c>
      <c r="G724">
        <v>1.32</v>
      </c>
      <c r="H724">
        <v>1499</v>
      </c>
      <c r="I724" s="1" t="s">
        <v>40</v>
      </c>
      <c r="J724">
        <v>1920</v>
      </c>
      <c r="K724">
        <v>1080</v>
      </c>
      <c r="L724" s="1" t="s">
        <v>27</v>
      </c>
      <c r="M724" s="1" t="s">
        <v>28</v>
      </c>
      <c r="N724" s="1" t="s">
        <v>27</v>
      </c>
      <c r="O724" s="1" t="s">
        <v>29</v>
      </c>
      <c r="P724">
        <v>2.5</v>
      </c>
      <c r="Q724" s="1" t="s">
        <v>41</v>
      </c>
      <c r="R724" s="1" t="str">
        <f>_xlfn.CONCAT(laptop[[#This Row],[CPU_company]]," ",laptop[[#This Row],[CPU_model]])</f>
        <v>Intel Core i5 7200U</v>
      </c>
      <c r="S724">
        <v>256</v>
      </c>
      <c r="T724">
        <v>0</v>
      </c>
      <c r="U724">
        <f>laptop[[#This Row],[PrimaryStorage]]+laptop[[#This Row],[SecondaryStorage]]</f>
        <v>256</v>
      </c>
      <c r="V724" s="1" t="s">
        <v>31</v>
      </c>
      <c r="W724" s="1" t="s">
        <v>27</v>
      </c>
      <c r="X724" s="1" t="str">
        <f>IF(laptop[[#This Row],[PrimaryStorageType]]=laptop[[#This Row],[SecondaryStorageType]],laptop[[#This Row],[PrimaryStorageType]],"SSD &amp; HDD")</f>
        <v>SSD &amp; HDD</v>
      </c>
      <c r="Y724" s="1" t="s">
        <v>42</v>
      </c>
    </row>
    <row r="725" spans="1:25" x14ac:dyDescent="0.25">
      <c r="A725" s="1" t="s">
        <v>65</v>
      </c>
      <c r="B725" s="1" t="s">
        <v>275</v>
      </c>
      <c r="C725" s="1" t="s">
        <v>83</v>
      </c>
      <c r="D725">
        <v>17.3</v>
      </c>
      <c r="E725">
        <v>32</v>
      </c>
      <c r="F725" s="1" t="s">
        <v>48</v>
      </c>
      <c r="G725">
        <v>4.3600000000000003</v>
      </c>
      <c r="H725">
        <v>3659.4</v>
      </c>
      <c r="I725" s="1" t="s">
        <v>215</v>
      </c>
      <c r="J725">
        <v>3840</v>
      </c>
      <c r="K725">
        <v>2160</v>
      </c>
      <c r="L725" s="1" t="s">
        <v>27</v>
      </c>
      <c r="M725" s="1" t="s">
        <v>27</v>
      </c>
      <c r="N725" s="1" t="s">
        <v>27</v>
      </c>
      <c r="O725" s="1" t="s">
        <v>29</v>
      </c>
      <c r="P725">
        <v>2.8</v>
      </c>
      <c r="Q725" s="1" t="s">
        <v>118</v>
      </c>
      <c r="R725" s="1" t="str">
        <f>_xlfn.CONCAT(laptop[[#This Row],[CPU_company]]," ",laptop[[#This Row],[CPU_model]])</f>
        <v>Intel Core i7 7700HQ</v>
      </c>
      <c r="S725">
        <v>1024</v>
      </c>
      <c r="T725">
        <v>1024</v>
      </c>
      <c r="U725">
        <f>laptop[[#This Row],[PrimaryStorage]]+laptop[[#This Row],[SecondaryStorage]]</f>
        <v>2048</v>
      </c>
      <c r="V725" s="1" t="s">
        <v>31</v>
      </c>
      <c r="W725" s="1" t="s">
        <v>51</v>
      </c>
      <c r="X725" s="1" t="str">
        <f>IF(laptop[[#This Row],[PrimaryStorageType]]=laptop[[#This Row],[SecondaryStorageType]],laptop[[#This Row],[PrimaryStorageType]],"SSD &amp; HDD")</f>
        <v>SSD &amp; HDD</v>
      </c>
      <c r="Y725" s="1" t="s">
        <v>143</v>
      </c>
    </row>
    <row r="726" spans="1:25" x14ac:dyDescent="0.25">
      <c r="A726" s="1" t="s">
        <v>141</v>
      </c>
      <c r="B726" s="1" t="s">
        <v>354</v>
      </c>
      <c r="C726" s="1" t="s">
        <v>83</v>
      </c>
      <c r="D726">
        <v>17.3</v>
      </c>
      <c r="E726">
        <v>8</v>
      </c>
      <c r="F726" s="1" t="s">
        <v>48</v>
      </c>
      <c r="G726">
        <v>2.7</v>
      </c>
      <c r="H726">
        <v>1348.48</v>
      </c>
      <c r="I726" s="1" t="s">
        <v>40</v>
      </c>
      <c r="J726">
        <v>1920</v>
      </c>
      <c r="K726">
        <v>1080</v>
      </c>
      <c r="L726" s="1" t="s">
        <v>27</v>
      </c>
      <c r="M726" s="1" t="s">
        <v>27</v>
      </c>
      <c r="N726" s="1" t="s">
        <v>27</v>
      </c>
      <c r="O726" s="1" t="s">
        <v>29</v>
      </c>
      <c r="P726">
        <v>2.8</v>
      </c>
      <c r="Q726" s="1" t="s">
        <v>118</v>
      </c>
      <c r="R726" s="1" t="str">
        <f>_xlfn.CONCAT(laptop[[#This Row],[CPU_company]]," ",laptop[[#This Row],[CPU_model]])</f>
        <v>Intel Core i7 7700HQ</v>
      </c>
      <c r="S726">
        <v>128</v>
      </c>
      <c r="T726">
        <v>1024</v>
      </c>
      <c r="U726">
        <f>laptop[[#This Row],[PrimaryStorage]]+laptop[[#This Row],[SecondaryStorage]]</f>
        <v>1152</v>
      </c>
      <c r="V726" s="1" t="s">
        <v>31</v>
      </c>
      <c r="W726" s="1" t="s">
        <v>51</v>
      </c>
      <c r="X726" s="1" t="str">
        <f>IF(laptop[[#This Row],[PrimaryStorageType]]=laptop[[#This Row],[SecondaryStorageType]],laptop[[#This Row],[PrimaryStorageType]],"SSD &amp; HDD")</f>
        <v>SSD &amp; HDD</v>
      </c>
      <c r="Y726" s="1" t="s">
        <v>149</v>
      </c>
    </row>
    <row r="727" spans="1:25" x14ac:dyDescent="0.25">
      <c r="A727" s="1" t="s">
        <v>73</v>
      </c>
      <c r="B727" s="1" t="s">
        <v>607</v>
      </c>
      <c r="C727" s="1" t="s">
        <v>38</v>
      </c>
      <c r="D727">
        <v>15.6</v>
      </c>
      <c r="E727">
        <v>4</v>
      </c>
      <c r="F727" s="1" t="s">
        <v>39</v>
      </c>
      <c r="G727">
        <v>1.9</v>
      </c>
      <c r="H727">
        <v>489.9</v>
      </c>
      <c r="I727" s="1" t="s">
        <v>26</v>
      </c>
      <c r="J727">
        <v>1366</v>
      </c>
      <c r="K727">
        <v>768</v>
      </c>
      <c r="L727" s="1" t="s">
        <v>27</v>
      </c>
      <c r="M727" s="1" t="s">
        <v>27</v>
      </c>
      <c r="N727" s="1" t="s">
        <v>27</v>
      </c>
      <c r="O727" s="1" t="s">
        <v>29</v>
      </c>
      <c r="P727">
        <v>2.5</v>
      </c>
      <c r="Q727" s="1" t="s">
        <v>41</v>
      </c>
      <c r="R727" s="1" t="str">
        <f>_xlfn.CONCAT(laptop[[#This Row],[CPU_company]]," ",laptop[[#This Row],[CPU_model]])</f>
        <v>Intel Core i5 7200U</v>
      </c>
      <c r="S727">
        <v>1024</v>
      </c>
      <c r="T727">
        <v>0</v>
      </c>
      <c r="U727">
        <f>laptop[[#This Row],[PrimaryStorage]]+laptop[[#This Row],[SecondaryStorage]]</f>
        <v>1024</v>
      </c>
      <c r="V727" s="1" t="s">
        <v>51</v>
      </c>
      <c r="W727" s="1" t="s">
        <v>27</v>
      </c>
      <c r="X727" s="1" t="str">
        <f>IF(laptop[[#This Row],[PrimaryStorageType]]=laptop[[#This Row],[SecondaryStorageType]],laptop[[#This Row],[PrimaryStorageType]],"SSD &amp; HDD")</f>
        <v>SSD &amp; HDD</v>
      </c>
      <c r="Y727" s="1" t="s">
        <v>42</v>
      </c>
    </row>
    <row r="728" spans="1:25" x14ac:dyDescent="0.25">
      <c r="A728" s="1" t="s">
        <v>65</v>
      </c>
      <c r="B728" s="1" t="s">
        <v>93</v>
      </c>
      <c r="C728" s="1" t="s">
        <v>38</v>
      </c>
      <c r="D728">
        <v>15.6</v>
      </c>
      <c r="E728">
        <v>8</v>
      </c>
      <c r="F728" s="1" t="s">
        <v>48</v>
      </c>
      <c r="G728">
        <v>2.2000000000000002</v>
      </c>
      <c r="H728">
        <v>719</v>
      </c>
      <c r="I728" s="1" t="s">
        <v>40</v>
      </c>
      <c r="J728">
        <v>1920</v>
      </c>
      <c r="K728">
        <v>1080</v>
      </c>
      <c r="L728" s="1" t="s">
        <v>27</v>
      </c>
      <c r="M728" s="1" t="s">
        <v>27</v>
      </c>
      <c r="N728" s="1" t="s">
        <v>27</v>
      </c>
      <c r="O728" s="1" t="s">
        <v>29</v>
      </c>
      <c r="P728">
        <v>1.6</v>
      </c>
      <c r="Q728" s="1" t="s">
        <v>60</v>
      </c>
      <c r="R728" s="1" t="str">
        <f>_xlfn.CONCAT(laptop[[#This Row],[CPU_company]]," ",laptop[[#This Row],[CPU_model]])</f>
        <v>Intel Core i5 8250U</v>
      </c>
      <c r="S728">
        <v>128</v>
      </c>
      <c r="T728">
        <v>1024</v>
      </c>
      <c r="U728">
        <f>laptop[[#This Row],[PrimaryStorage]]+laptop[[#This Row],[SecondaryStorage]]</f>
        <v>1152</v>
      </c>
      <c r="V728" s="1" t="s">
        <v>31</v>
      </c>
      <c r="W728" s="1" t="s">
        <v>51</v>
      </c>
      <c r="X728" s="1" t="str">
        <f>IF(laptop[[#This Row],[PrimaryStorageType]]=laptop[[#This Row],[SecondaryStorageType]],laptop[[#This Row],[PrimaryStorageType]],"SSD &amp; HDD")</f>
        <v>SSD &amp; HDD</v>
      </c>
      <c r="Y728" s="1" t="s">
        <v>94</v>
      </c>
    </row>
    <row r="729" spans="1:25" x14ac:dyDescent="0.25">
      <c r="A729" s="1" t="s">
        <v>65</v>
      </c>
      <c r="B729" s="1" t="s">
        <v>608</v>
      </c>
      <c r="C729" s="1" t="s">
        <v>90</v>
      </c>
      <c r="D729">
        <v>13.3</v>
      </c>
      <c r="E729">
        <v>4</v>
      </c>
      <c r="F729" s="1" t="s">
        <v>48</v>
      </c>
      <c r="G729">
        <v>1.71</v>
      </c>
      <c r="H729">
        <v>649</v>
      </c>
      <c r="I729" s="1" t="s">
        <v>40</v>
      </c>
      <c r="J729">
        <v>1920</v>
      </c>
      <c r="K729">
        <v>1080</v>
      </c>
      <c r="L729" s="1" t="s">
        <v>28</v>
      </c>
      <c r="M729" s="1" t="s">
        <v>27</v>
      </c>
      <c r="N729" s="1" t="s">
        <v>27</v>
      </c>
      <c r="O729" s="1" t="s">
        <v>29</v>
      </c>
      <c r="P729">
        <v>2.4</v>
      </c>
      <c r="Q729" s="1" t="s">
        <v>75</v>
      </c>
      <c r="R729" s="1" t="str">
        <f>_xlfn.CONCAT(laptop[[#This Row],[CPU_company]]," ",laptop[[#This Row],[CPU_model]])</f>
        <v>Intel Core i3 7100U</v>
      </c>
      <c r="S729">
        <v>1024</v>
      </c>
      <c r="T729">
        <v>0</v>
      </c>
      <c r="U729">
        <f>laptop[[#This Row],[PrimaryStorage]]+laptop[[#This Row],[SecondaryStorage]]</f>
        <v>1024</v>
      </c>
      <c r="V729" s="1" t="s">
        <v>51</v>
      </c>
      <c r="W729" s="1" t="s">
        <v>27</v>
      </c>
      <c r="X729" s="1" t="str">
        <f>IF(laptop[[#This Row],[PrimaryStorageType]]=laptop[[#This Row],[SecondaryStorageType]],laptop[[#This Row],[PrimaryStorageType]],"SSD &amp; HDD")</f>
        <v>SSD &amp; HDD</v>
      </c>
      <c r="Y729" s="1" t="s">
        <v>42</v>
      </c>
    </row>
    <row r="730" spans="1:25" x14ac:dyDescent="0.25">
      <c r="A730" s="1" t="s">
        <v>65</v>
      </c>
      <c r="B730" s="1" t="s">
        <v>200</v>
      </c>
      <c r="C730" s="1" t="s">
        <v>38</v>
      </c>
      <c r="D730">
        <v>15.6</v>
      </c>
      <c r="E730">
        <v>8</v>
      </c>
      <c r="F730" s="1" t="s">
        <v>111</v>
      </c>
      <c r="G730">
        <v>2.3199999999999998</v>
      </c>
      <c r="H730">
        <v>589.52</v>
      </c>
      <c r="I730" s="1" t="s">
        <v>26</v>
      </c>
      <c r="J730">
        <v>1366</v>
      </c>
      <c r="K730">
        <v>768</v>
      </c>
      <c r="L730" s="1" t="s">
        <v>27</v>
      </c>
      <c r="M730" s="1" t="s">
        <v>27</v>
      </c>
      <c r="N730" s="1" t="s">
        <v>27</v>
      </c>
      <c r="O730" s="1" t="s">
        <v>29</v>
      </c>
      <c r="P730">
        <v>2.5</v>
      </c>
      <c r="Q730" s="1" t="s">
        <v>41</v>
      </c>
      <c r="R730" s="1" t="str">
        <f>_xlfn.CONCAT(laptop[[#This Row],[CPU_company]]," ",laptop[[#This Row],[CPU_model]])</f>
        <v>Intel Core i5 7200U</v>
      </c>
      <c r="S730">
        <v>1024</v>
      </c>
      <c r="T730">
        <v>0</v>
      </c>
      <c r="U730">
        <f>laptop[[#This Row],[PrimaryStorage]]+laptop[[#This Row],[SecondaryStorage]]</f>
        <v>1024</v>
      </c>
      <c r="V730" s="1" t="s">
        <v>51</v>
      </c>
      <c r="W730" s="1" t="s">
        <v>27</v>
      </c>
      <c r="X730" s="1" t="str">
        <f>IF(laptop[[#This Row],[PrimaryStorageType]]=laptop[[#This Row],[SecondaryStorageType]],laptop[[#This Row],[PrimaryStorageType]],"SSD &amp; HDD")</f>
        <v>SSD &amp; HDD</v>
      </c>
      <c r="Y730" s="1" t="s">
        <v>201</v>
      </c>
    </row>
    <row r="731" spans="1:25" x14ac:dyDescent="0.25">
      <c r="A731" s="1" t="s">
        <v>36</v>
      </c>
      <c r="B731" s="1" t="s">
        <v>609</v>
      </c>
      <c r="C731" s="1" t="s">
        <v>38</v>
      </c>
      <c r="D731">
        <v>15.6</v>
      </c>
      <c r="E731">
        <v>4</v>
      </c>
      <c r="F731" s="1" t="s">
        <v>48</v>
      </c>
      <c r="G731">
        <v>2.1</v>
      </c>
      <c r="H731">
        <v>489</v>
      </c>
      <c r="I731" s="1" t="s">
        <v>40</v>
      </c>
      <c r="J731">
        <v>1920</v>
      </c>
      <c r="K731">
        <v>1080</v>
      </c>
      <c r="L731" s="1" t="s">
        <v>27</v>
      </c>
      <c r="M731" s="1" t="s">
        <v>27</v>
      </c>
      <c r="N731" s="1" t="s">
        <v>27</v>
      </c>
      <c r="O731" s="1" t="s">
        <v>49</v>
      </c>
      <c r="P731">
        <v>3</v>
      </c>
      <c r="Q731" s="1" t="s">
        <v>50</v>
      </c>
      <c r="R731" s="1" t="str">
        <f>_xlfn.CONCAT(laptop[[#This Row],[CPU_company]]," ",laptop[[#This Row],[CPU_model]])</f>
        <v>AMD A9-Series 9420</v>
      </c>
      <c r="S731">
        <v>1024</v>
      </c>
      <c r="T731">
        <v>0</v>
      </c>
      <c r="U731">
        <f>laptop[[#This Row],[PrimaryStorage]]+laptop[[#This Row],[SecondaryStorage]]</f>
        <v>1024</v>
      </c>
      <c r="V731" s="1" t="s">
        <v>51</v>
      </c>
      <c r="W731" s="1" t="s">
        <v>27</v>
      </c>
      <c r="X731" s="1" t="str">
        <f>IF(laptop[[#This Row],[PrimaryStorageType]]=laptop[[#This Row],[SecondaryStorageType]],laptop[[#This Row],[PrimaryStorageType]],"SSD &amp; HDD")</f>
        <v>SSD &amp; HDD</v>
      </c>
      <c r="Y731" s="1" t="s">
        <v>138</v>
      </c>
    </row>
    <row r="732" spans="1:25" x14ac:dyDescent="0.25">
      <c r="A732" s="1" t="s">
        <v>46</v>
      </c>
      <c r="B732" s="1" t="s">
        <v>610</v>
      </c>
      <c r="C732" s="1" t="s">
        <v>83</v>
      </c>
      <c r="D732">
        <v>17.3</v>
      </c>
      <c r="E732">
        <v>16</v>
      </c>
      <c r="F732" s="1" t="s">
        <v>48</v>
      </c>
      <c r="G732">
        <v>4.2</v>
      </c>
      <c r="H732">
        <v>1935</v>
      </c>
      <c r="I732" s="1" t="s">
        <v>40</v>
      </c>
      <c r="J732">
        <v>1920</v>
      </c>
      <c r="K732">
        <v>1080</v>
      </c>
      <c r="L732" s="1" t="s">
        <v>27</v>
      </c>
      <c r="M732" s="1" t="s">
        <v>28</v>
      </c>
      <c r="N732" s="1" t="s">
        <v>27</v>
      </c>
      <c r="O732" s="1" t="s">
        <v>29</v>
      </c>
      <c r="P732">
        <v>2.6</v>
      </c>
      <c r="Q732" s="1" t="s">
        <v>447</v>
      </c>
      <c r="R732" s="1" t="str">
        <f>_xlfn.CONCAT(laptop[[#This Row],[CPU_company]]," ",laptop[[#This Row],[CPU_model]])</f>
        <v>Intel Core i7 6700HQ</v>
      </c>
      <c r="S732">
        <v>128</v>
      </c>
      <c r="T732">
        <v>1024</v>
      </c>
      <c r="U732">
        <f>laptop[[#This Row],[PrimaryStorage]]+laptop[[#This Row],[SecondaryStorage]]</f>
        <v>1152</v>
      </c>
      <c r="V732" s="1" t="s">
        <v>31</v>
      </c>
      <c r="W732" s="1" t="s">
        <v>51</v>
      </c>
      <c r="X732" s="1" t="str">
        <f>IF(laptop[[#This Row],[PrimaryStorageType]]=laptop[[#This Row],[SecondaryStorageType]],laptop[[#This Row],[PrimaryStorageType]],"SSD &amp; HDD")</f>
        <v>SSD &amp; HDD</v>
      </c>
      <c r="Y732" s="1" t="s">
        <v>119</v>
      </c>
    </row>
    <row r="733" spans="1:25" x14ac:dyDescent="0.25">
      <c r="A733" s="1" t="s">
        <v>65</v>
      </c>
      <c r="B733" s="1" t="s">
        <v>66</v>
      </c>
      <c r="C733" s="1" t="s">
        <v>38</v>
      </c>
      <c r="D733">
        <v>15.6</v>
      </c>
      <c r="E733">
        <v>12</v>
      </c>
      <c r="F733" s="1" t="s">
        <v>48</v>
      </c>
      <c r="G733">
        <v>2.25</v>
      </c>
      <c r="H733">
        <v>649</v>
      </c>
      <c r="I733" s="1" t="s">
        <v>26</v>
      </c>
      <c r="J733">
        <v>1366</v>
      </c>
      <c r="K733">
        <v>768</v>
      </c>
      <c r="L733" s="1" t="s">
        <v>27</v>
      </c>
      <c r="M733" s="1" t="s">
        <v>27</v>
      </c>
      <c r="N733" s="1" t="s">
        <v>27</v>
      </c>
      <c r="O733" s="1" t="s">
        <v>29</v>
      </c>
      <c r="P733">
        <v>2.5</v>
      </c>
      <c r="Q733" s="1" t="s">
        <v>41</v>
      </c>
      <c r="R733" s="1" t="str">
        <f>_xlfn.CONCAT(laptop[[#This Row],[CPU_company]]," ",laptop[[#This Row],[CPU_model]])</f>
        <v>Intel Core i5 7200U</v>
      </c>
      <c r="S733">
        <v>1024</v>
      </c>
      <c r="T733">
        <v>0</v>
      </c>
      <c r="U733">
        <f>laptop[[#This Row],[PrimaryStorage]]+laptop[[#This Row],[SecondaryStorage]]</f>
        <v>1024</v>
      </c>
      <c r="V733" s="1" t="s">
        <v>51</v>
      </c>
      <c r="W733" s="1" t="s">
        <v>27</v>
      </c>
      <c r="X733" s="1" t="str">
        <f>IF(laptop[[#This Row],[PrimaryStorageType]]=laptop[[#This Row],[SecondaryStorageType]],laptop[[#This Row],[PrimaryStorageType]],"SSD &amp; HDD")</f>
        <v>SSD &amp; HDD</v>
      </c>
      <c r="Y733" s="1" t="s">
        <v>42</v>
      </c>
    </row>
    <row r="734" spans="1:25" x14ac:dyDescent="0.25">
      <c r="A734" s="1" t="s">
        <v>36</v>
      </c>
      <c r="B734" s="1" t="s">
        <v>611</v>
      </c>
      <c r="C734" s="1" t="s">
        <v>38</v>
      </c>
      <c r="D734">
        <v>15.6</v>
      </c>
      <c r="E734">
        <v>6</v>
      </c>
      <c r="F734" s="1" t="s">
        <v>48</v>
      </c>
      <c r="G734">
        <v>2.1</v>
      </c>
      <c r="H734">
        <v>650</v>
      </c>
      <c r="I734" s="1" t="s">
        <v>40</v>
      </c>
      <c r="J734">
        <v>1920</v>
      </c>
      <c r="K734">
        <v>1080</v>
      </c>
      <c r="L734" s="1" t="s">
        <v>27</v>
      </c>
      <c r="M734" s="1" t="s">
        <v>27</v>
      </c>
      <c r="N734" s="1" t="s">
        <v>27</v>
      </c>
      <c r="O734" s="1" t="s">
        <v>49</v>
      </c>
      <c r="P734">
        <v>3</v>
      </c>
      <c r="Q734" s="1" t="s">
        <v>509</v>
      </c>
      <c r="R734" s="1" t="str">
        <f>_xlfn.CONCAT(laptop[[#This Row],[CPU_company]]," ",laptop[[#This Row],[CPU_model]])</f>
        <v>AMD A9-Series A9-9420</v>
      </c>
      <c r="S734">
        <v>128</v>
      </c>
      <c r="T734">
        <v>1024</v>
      </c>
      <c r="U734">
        <f>laptop[[#This Row],[PrimaryStorage]]+laptop[[#This Row],[SecondaryStorage]]</f>
        <v>1152</v>
      </c>
      <c r="V734" s="1" t="s">
        <v>31</v>
      </c>
      <c r="W734" s="1" t="s">
        <v>51</v>
      </c>
      <c r="X734" s="1" t="str">
        <f>IF(laptop[[#This Row],[PrimaryStorageType]]=laptop[[#This Row],[SecondaryStorageType]],laptop[[#This Row],[PrimaryStorageType]],"SSD &amp; HDD")</f>
        <v>SSD &amp; HDD</v>
      </c>
      <c r="Y734" s="1" t="s">
        <v>138</v>
      </c>
    </row>
    <row r="735" spans="1:25" x14ac:dyDescent="0.25">
      <c r="A735" s="1" t="s">
        <v>46</v>
      </c>
      <c r="B735" s="1" t="s">
        <v>612</v>
      </c>
      <c r="C735" s="1" t="s">
        <v>38</v>
      </c>
      <c r="D735">
        <v>15.6</v>
      </c>
      <c r="E735">
        <v>4</v>
      </c>
      <c r="F735" s="1" t="s">
        <v>48</v>
      </c>
      <c r="G735">
        <v>2.4</v>
      </c>
      <c r="H735">
        <v>559</v>
      </c>
      <c r="I735" s="1" t="s">
        <v>26</v>
      </c>
      <c r="J735">
        <v>1366</v>
      </c>
      <c r="K735">
        <v>768</v>
      </c>
      <c r="L735" s="1" t="s">
        <v>27</v>
      </c>
      <c r="M735" s="1" t="s">
        <v>27</v>
      </c>
      <c r="N735" s="1" t="s">
        <v>27</v>
      </c>
      <c r="O735" s="1" t="s">
        <v>29</v>
      </c>
      <c r="P735">
        <v>2.5</v>
      </c>
      <c r="Q735" s="1" t="s">
        <v>41</v>
      </c>
      <c r="R735" s="1" t="str">
        <f>_xlfn.CONCAT(laptop[[#This Row],[CPU_company]]," ",laptop[[#This Row],[CPU_model]])</f>
        <v>Intel Core i5 7200U</v>
      </c>
      <c r="S735">
        <v>500</v>
      </c>
      <c r="T735">
        <v>0</v>
      </c>
      <c r="U735">
        <f>laptop[[#This Row],[PrimaryStorage]]+laptop[[#This Row],[SecondaryStorage]]</f>
        <v>500</v>
      </c>
      <c r="V735" s="1" t="s">
        <v>51</v>
      </c>
      <c r="W735" s="1" t="s">
        <v>27</v>
      </c>
      <c r="X735" s="1" t="str">
        <f>IF(laptop[[#This Row],[PrimaryStorageType]]=laptop[[#This Row],[SecondaryStorageType]],laptop[[#This Row],[PrimaryStorageType]],"SSD &amp; HDD")</f>
        <v>SSD &amp; HDD</v>
      </c>
      <c r="Y735" s="1" t="s">
        <v>42</v>
      </c>
    </row>
    <row r="736" spans="1:25" x14ac:dyDescent="0.25">
      <c r="A736" s="1" t="s">
        <v>73</v>
      </c>
      <c r="B736" s="1" t="s">
        <v>341</v>
      </c>
      <c r="C736" s="1" t="s">
        <v>38</v>
      </c>
      <c r="D736">
        <v>13.3</v>
      </c>
      <c r="E736">
        <v>8</v>
      </c>
      <c r="F736" s="1" t="s">
        <v>48</v>
      </c>
      <c r="G736">
        <v>1.44</v>
      </c>
      <c r="H736">
        <v>960</v>
      </c>
      <c r="I736" s="1" t="s">
        <v>40</v>
      </c>
      <c r="J736">
        <v>1920</v>
      </c>
      <c r="K736">
        <v>1080</v>
      </c>
      <c r="L736" s="1" t="s">
        <v>27</v>
      </c>
      <c r="M736" s="1" t="s">
        <v>28</v>
      </c>
      <c r="N736" s="1" t="s">
        <v>27</v>
      </c>
      <c r="O736" s="1" t="s">
        <v>29</v>
      </c>
      <c r="P736">
        <v>2.5</v>
      </c>
      <c r="Q736" s="1" t="s">
        <v>41</v>
      </c>
      <c r="R736" s="1" t="str">
        <f>_xlfn.CONCAT(laptop[[#This Row],[CPU_company]]," ",laptop[[#This Row],[CPU_model]])</f>
        <v>Intel Core i5 7200U</v>
      </c>
      <c r="S736">
        <v>256</v>
      </c>
      <c r="T736">
        <v>0</v>
      </c>
      <c r="U736">
        <f>laptop[[#This Row],[PrimaryStorage]]+laptop[[#This Row],[SecondaryStorage]]</f>
        <v>256</v>
      </c>
      <c r="V736" s="1" t="s">
        <v>31</v>
      </c>
      <c r="W736" s="1" t="s">
        <v>27</v>
      </c>
      <c r="X736" s="1" t="str">
        <f>IF(laptop[[#This Row],[PrimaryStorageType]]=laptop[[#This Row],[SecondaryStorageType]],laptop[[#This Row],[PrimaryStorageType]],"SSD &amp; HDD")</f>
        <v>SSD &amp; HDD</v>
      </c>
      <c r="Y736" s="1" t="s">
        <v>42</v>
      </c>
    </row>
    <row r="737" spans="1:25" x14ac:dyDescent="0.25">
      <c r="A737" s="1" t="s">
        <v>73</v>
      </c>
      <c r="B737" s="1" t="s">
        <v>613</v>
      </c>
      <c r="C737" s="1" t="s">
        <v>38</v>
      </c>
      <c r="D737">
        <v>15.6</v>
      </c>
      <c r="E737">
        <v>4</v>
      </c>
      <c r="F737" s="1" t="s">
        <v>48</v>
      </c>
      <c r="G737">
        <v>1.85</v>
      </c>
      <c r="H737">
        <v>779</v>
      </c>
      <c r="I737" s="1" t="s">
        <v>40</v>
      </c>
      <c r="J737">
        <v>1920</v>
      </c>
      <c r="K737">
        <v>1080</v>
      </c>
      <c r="L737" s="1" t="s">
        <v>27</v>
      </c>
      <c r="M737" s="1" t="s">
        <v>27</v>
      </c>
      <c r="N737" s="1" t="s">
        <v>27</v>
      </c>
      <c r="O737" s="1" t="s">
        <v>29</v>
      </c>
      <c r="P737">
        <v>2.7</v>
      </c>
      <c r="Q737" s="1" t="s">
        <v>71</v>
      </c>
      <c r="R737" s="1" t="str">
        <f>_xlfn.CONCAT(laptop[[#This Row],[CPU_company]]," ",laptop[[#This Row],[CPU_model]])</f>
        <v>Intel Core i7 7500U</v>
      </c>
      <c r="S737">
        <v>1024</v>
      </c>
      <c r="T737">
        <v>0</v>
      </c>
      <c r="U737">
        <f>laptop[[#This Row],[PrimaryStorage]]+laptop[[#This Row],[SecondaryStorage]]</f>
        <v>1024</v>
      </c>
      <c r="V737" s="1" t="s">
        <v>51</v>
      </c>
      <c r="W737" s="1" t="s">
        <v>27</v>
      </c>
      <c r="X737" s="1" t="str">
        <f>IF(laptop[[#This Row],[PrimaryStorageType]]=laptop[[#This Row],[SecondaryStorageType]],laptop[[#This Row],[PrimaryStorageType]],"SSD &amp; HDD")</f>
        <v>SSD &amp; HDD</v>
      </c>
      <c r="Y737" s="1" t="s">
        <v>42</v>
      </c>
    </row>
    <row r="738" spans="1:25" x14ac:dyDescent="0.25">
      <c r="A738" s="1" t="s">
        <v>36</v>
      </c>
      <c r="B738" s="1" t="s">
        <v>614</v>
      </c>
      <c r="C738" s="1" t="s">
        <v>265</v>
      </c>
      <c r="D738">
        <v>15.6</v>
      </c>
      <c r="E738">
        <v>16</v>
      </c>
      <c r="F738" s="1" t="s">
        <v>48</v>
      </c>
      <c r="G738">
        <v>2.6</v>
      </c>
      <c r="H738">
        <v>2419</v>
      </c>
      <c r="I738" s="1" t="s">
        <v>40</v>
      </c>
      <c r="J738">
        <v>1920</v>
      </c>
      <c r="K738">
        <v>1080</v>
      </c>
      <c r="L738" s="1" t="s">
        <v>27</v>
      </c>
      <c r="M738" s="1" t="s">
        <v>27</v>
      </c>
      <c r="N738" s="1" t="s">
        <v>27</v>
      </c>
      <c r="O738" s="1" t="s">
        <v>29</v>
      </c>
      <c r="P738">
        <v>2.8</v>
      </c>
      <c r="Q738" s="1" t="s">
        <v>118</v>
      </c>
      <c r="R738" s="1" t="str">
        <f>_xlfn.CONCAT(laptop[[#This Row],[CPU_company]]," ",laptop[[#This Row],[CPU_model]])</f>
        <v>Intel Core i7 7700HQ</v>
      </c>
      <c r="S738">
        <v>256</v>
      </c>
      <c r="T738">
        <v>0</v>
      </c>
      <c r="U738">
        <f>laptop[[#This Row],[PrimaryStorage]]+laptop[[#This Row],[SecondaryStorage]]</f>
        <v>256</v>
      </c>
      <c r="V738" s="1" t="s">
        <v>31</v>
      </c>
      <c r="W738" s="1" t="s">
        <v>27</v>
      </c>
      <c r="X738" s="1" t="str">
        <f>IF(laptop[[#This Row],[PrimaryStorageType]]=laptop[[#This Row],[SecondaryStorageType]],laptop[[#This Row],[PrimaryStorageType]],"SSD &amp; HDD")</f>
        <v>SSD &amp; HDD</v>
      </c>
      <c r="Y738" s="1" t="s">
        <v>615</v>
      </c>
    </row>
    <row r="739" spans="1:25" x14ac:dyDescent="0.25">
      <c r="A739" s="1" t="s">
        <v>65</v>
      </c>
      <c r="B739" s="1" t="s">
        <v>89</v>
      </c>
      <c r="C739" s="1" t="s">
        <v>90</v>
      </c>
      <c r="D739">
        <v>13.3</v>
      </c>
      <c r="E739">
        <v>8</v>
      </c>
      <c r="F739" s="1" t="s">
        <v>48</v>
      </c>
      <c r="G739">
        <v>1.55</v>
      </c>
      <c r="H739">
        <v>659</v>
      </c>
      <c r="I739" s="1" t="s">
        <v>40</v>
      </c>
      <c r="J739">
        <v>1920</v>
      </c>
      <c r="K739">
        <v>1080</v>
      </c>
      <c r="L739" s="1" t="s">
        <v>28</v>
      </c>
      <c r="M739" s="1" t="s">
        <v>27</v>
      </c>
      <c r="N739" s="1" t="s">
        <v>27</v>
      </c>
      <c r="O739" s="1" t="s">
        <v>29</v>
      </c>
      <c r="P739">
        <v>1.6</v>
      </c>
      <c r="Q739" s="1" t="s">
        <v>60</v>
      </c>
      <c r="R739" s="1" t="str">
        <f>_xlfn.CONCAT(laptop[[#This Row],[CPU_company]]," ",laptop[[#This Row],[CPU_model]])</f>
        <v>Intel Core i5 8250U</v>
      </c>
      <c r="S739">
        <v>1024</v>
      </c>
      <c r="T739">
        <v>0</v>
      </c>
      <c r="U739">
        <f>laptop[[#This Row],[PrimaryStorage]]+laptop[[#This Row],[SecondaryStorage]]</f>
        <v>1024</v>
      </c>
      <c r="V739" s="1" t="s">
        <v>51</v>
      </c>
      <c r="W739" s="1" t="s">
        <v>27</v>
      </c>
      <c r="X739" s="1" t="str">
        <f>IF(laptop[[#This Row],[PrimaryStorageType]]=laptop[[#This Row],[SecondaryStorageType]],laptop[[#This Row],[PrimaryStorageType]],"SSD &amp; HDD")</f>
        <v>SSD &amp; HDD</v>
      </c>
      <c r="Y739" s="1" t="s">
        <v>61</v>
      </c>
    </row>
    <row r="740" spans="1:25" x14ac:dyDescent="0.25">
      <c r="A740" s="1" t="s">
        <v>141</v>
      </c>
      <c r="B740" s="1" t="s">
        <v>531</v>
      </c>
      <c r="C740" s="1" t="s">
        <v>83</v>
      </c>
      <c r="D740">
        <v>15.6</v>
      </c>
      <c r="E740">
        <v>16</v>
      </c>
      <c r="F740" s="1" t="s">
        <v>48</v>
      </c>
      <c r="G740">
        <v>1.8</v>
      </c>
      <c r="H740">
        <v>2094.48</v>
      </c>
      <c r="I740" s="1" t="s">
        <v>40</v>
      </c>
      <c r="J740">
        <v>1920</v>
      </c>
      <c r="K740">
        <v>1080</v>
      </c>
      <c r="L740" s="1" t="s">
        <v>27</v>
      </c>
      <c r="M740" s="1" t="s">
        <v>27</v>
      </c>
      <c r="N740" s="1" t="s">
        <v>27</v>
      </c>
      <c r="O740" s="1" t="s">
        <v>29</v>
      </c>
      <c r="P740">
        <v>2.8</v>
      </c>
      <c r="Q740" s="1" t="s">
        <v>118</v>
      </c>
      <c r="R740" s="1" t="str">
        <f>_xlfn.CONCAT(laptop[[#This Row],[CPU_company]]," ",laptop[[#This Row],[CPU_model]])</f>
        <v>Intel Core i7 7700HQ</v>
      </c>
      <c r="S740">
        <v>256</v>
      </c>
      <c r="T740">
        <v>1024</v>
      </c>
      <c r="U740">
        <f>laptop[[#This Row],[PrimaryStorage]]+laptop[[#This Row],[SecondaryStorage]]</f>
        <v>1280</v>
      </c>
      <c r="V740" s="1" t="s">
        <v>31</v>
      </c>
      <c r="W740" s="1" t="s">
        <v>51</v>
      </c>
      <c r="X740" s="1" t="str">
        <f>IF(laptop[[#This Row],[PrimaryStorageType]]=laptop[[#This Row],[SecondaryStorageType]],laptop[[#This Row],[PrimaryStorageType]],"SSD &amp; HDD")</f>
        <v>SSD &amp; HDD</v>
      </c>
      <c r="Y740" s="1" t="s">
        <v>119</v>
      </c>
    </row>
    <row r="741" spans="1:25" x14ac:dyDescent="0.25">
      <c r="A741" s="1" t="s">
        <v>46</v>
      </c>
      <c r="B741" s="1" t="s">
        <v>429</v>
      </c>
      <c r="C741" s="1" t="s">
        <v>38</v>
      </c>
      <c r="D741">
        <v>15.6</v>
      </c>
      <c r="E741">
        <v>4</v>
      </c>
      <c r="F741" s="1" t="s">
        <v>48</v>
      </c>
      <c r="G741">
        <v>2.4</v>
      </c>
      <c r="H741">
        <v>410.8</v>
      </c>
      <c r="I741" s="1" t="s">
        <v>26</v>
      </c>
      <c r="J741">
        <v>1366</v>
      </c>
      <c r="K741">
        <v>768</v>
      </c>
      <c r="L741" s="1" t="s">
        <v>27</v>
      </c>
      <c r="M741" s="1" t="s">
        <v>27</v>
      </c>
      <c r="N741" s="1" t="s">
        <v>27</v>
      </c>
      <c r="O741" s="1" t="s">
        <v>29</v>
      </c>
      <c r="P741">
        <v>2</v>
      </c>
      <c r="Q741" s="1" t="s">
        <v>62</v>
      </c>
      <c r="R741" s="1" t="str">
        <f>_xlfn.CONCAT(laptop[[#This Row],[CPU_company]]," ",laptop[[#This Row],[CPU_model]])</f>
        <v>Intel Core i3 6006U</v>
      </c>
      <c r="S741">
        <v>500</v>
      </c>
      <c r="T741">
        <v>0</v>
      </c>
      <c r="U741">
        <f>laptop[[#This Row],[PrimaryStorage]]+laptop[[#This Row],[SecondaryStorage]]</f>
        <v>500</v>
      </c>
      <c r="V741" s="1" t="s">
        <v>51</v>
      </c>
      <c r="W741" s="1" t="s">
        <v>27</v>
      </c>
      <c r="X741" s="1" t="str">
        <f>IF(laptop[[#This Row],[PrimaryStorageType]]=laptop[[#This Row],[SecondaryStorageType]],laptop[[#This Row],[PrimaryStorageType]],"SSD &amp; HDD")</f>
        <v>SSD &amp; HDD</v>
      </c>
      <c r="Y741" s="1" t="s">
        <v>63</v>
      </c>
    </row>
    <row r="742" spans="1:25" x14ac:dyDescent="0.25">
      <c r="A742" s="1" t="s">
        <v>65</v>
      </c>
      <c r="B742" s="1" t="s">
        <v>616</v>
      </c>
      <c r="C742" s="1" t="s">
        <v>38</v>
      </c>
      <c r="D742">
        <v>15.6</v>
      </c>
      <c r="E742">
        <v>8</v>
      </c>
      <c r="F742" s="1" t="s">
        <v>48</v>
      </c>
      <c r="G742">
        <v>2</v>
      </c>
      <c r="H742">
        <v>1207</v>
      </c>
      <c r="I742" s="1" t="s">
        <v>40</v>
      </c>
      <c r="J742">
        <v>1920</v>
      </c>
      <c r="K742">
        <v>1080</v>
      </c>
      <c r="L742" s="1" t="s">
        <v>27</v>
      </c>
      <c r="M742" s="1" t="s">
        <v>27</v>
      </c>
      <c r="N742" s="1" t="s">
        <v>27</v>
      </c>
      <c r="O742" s="1" t="s">
        <v>29</v>
      </c>
      <c r="P742">
        <v>2.7</v>
      </c>
      <c r="Q742" s="1" t="s">
        <v>71</v>
      </c>
      <c r="R742" s="1" t="str">
        <f>_xlfn.CONCAT(laptop[[#This Row],[CPU_company]]," ",laptop[[#This Row],[CPU_model]])</f>
        <v>Intel Core i7 7500U</v>
      </c>
      <c r="S742">
        <v>128</v>
      </c>
      <c r="T742">
        <v>1024</v>
      </c>
      <c r="U742">
        <f>laptop[[#This Row],[PrimaryStorage]]+laptop[[#This Row],[SecondaryStorage]]</f>
        <v>1152</v>
      </c>
      <c r="V742" s="1" t="s">
        <v>31</v>
      </c>
      <c r="W742" s="1" t="s">
        <v>51</v>
      </c>
      <c r="X742" s="1" t="str">
        <f>IF(laptop[[#This Row],[PrimaryStorageType]]=laptop[[#This Row],[SecondaryStorageType]],laptop[[#This Row],[PrimaryStorageType]],"SSD &amp; HDD")</f>
        <v>SSD &amp; HDD</v>
      </c>
      <c r="Y742" s="1" t="s">
        <v>76</v>
      </c>
    </row>
    <row r="743" spans="1:25" x14ac:dyDescent="0.25">
      <c r="A743" s="1" t="s">
        <v>65</v>
      </c>
      <c r="B743" s="1" t="s">
        <v>305</v>
      </c>
      <c r="C743" s="1" t="s">
        <v>38</v>
      </c>
      <c r="D743">
        <v>15.6</v>
      </c>
      <c r="E743">
        <v>8</v>
      </c>
      <c r="F743" s="1" t="s">
        <v>48</v>
      </c>
      <c r="G743">
        <v>2</v>
      </c>
      <c r="H743">
        <v>665</v>
      </c>
      <c r="I743" s="1" t="s">
        <v>26</v>
      </c>
      <c r="J743">
        <v>1366</v>
      </c>
      <c r="K743">
        <v>768</v>
      </c>
      <c r="L743" s="1" t="s">
        <v>27</v>
      </c>
      <c r="M743" s="1" t="s">
        <v>27</v>
      </c>
      <c r="N743" s="1" t="s">
        <v>27</v>
      </c>
      <c r="O743" s="1" t="s">
        <v>29</v>
      </c>
      <c r="P743">
        <v>2</v>
      </c>
      <c r="Q743" s="1" t="s">
        <v>62</v>
      </c>
      <c r="R743" s="1" t="str">
        <f>_xlfn.CONCAT(laptop[[#This Row],[CPU_company]]," ",laptop[[#This Row],[CPU_model]])</f>
        <v>Intel Core i3 6006U</v>
      </c>
      <c r="S743">
        <v>256</v>
      </c>
      <c r="T743">
        <v>0</v>
      </c>
      <c r="U743">
        <f>laptop[[#This Row],[PrimaryStorage]]+laptop[[#This Row],[SecondaryStorage]]</f>
        <v>256</v>
      </c>
      <c r="V743" s="1" t="s">
        <v>31</v>
      </c>
      <c r="W743" s="1" t="s">
        <v>27</v>
      </c>
      <c r="X743" s="1" t="str">
        <f>IF(laptop[[#This Row],[PrimaryStorageType]]=laptop[[#This Row],[SecondaryStorageType]],laptop[[#This Row],[PrimaryStorageType]],"SSD &amp; HDD")</f>
        <v>SSD &amp; HDD</v>
      </c>
      <c r="Y743" s="1" t="s">
        <v>63</v>
      </c>
    </row>
    <row r="744" spans="1:25" x14ac:dyDescent="0.25">
      <c r="A744" s="1" t="s">
        <v>210</v>
      </c>
      <c r="B744" s="1" t="s">
        <v>617</v>
      </c>
      <c r="C744" s="1" t="s">
        <v>38</v>
      </c>
      <c r="D744">
        <v>14</v>
      </c>
      <c r="E744">
        <v>8</v>
      </c>
      <c r="F744" s="1" t="s">
        <v>48</v>
      </c>
      <c r="G744">
        <v>1.25</v>
      </c>
      <c r="H744">
        <v>1535</v>
      </c>
      <c r="I744" s="1" t="s">
        <v>40</v>
      </c>
      <c r="J744">
        <v>1920</v>
      </c>
      <c r="K744">
        <v>1080</v>
      </c>
      <c r="L744" s="1" t="s">
        <v>28</v>
      </c>
      <c r="M744" s="1" t="s">
        <v>28</v>
      </c>
      <c r="N744" s="1" t="s">
        <v>27</v>
      </c>
      <c r="O744" s="1" t="s">
        <v>29</v>
      </c>
      <c r="P744">
        <v>2.5</v>
      </c>
      <c r="Q744" s="1" t="s">
        <v>41</v>
      </c>
      <c r="R744" s="1" t="str">
        <f>_xlfn.CONCAT(laptop[[#This Row],[CPU_company]]," ",laptop[[#This Row],[CPU_model]])</f>
        <v>Intel Core i5 7200U</v>
      </c>
      <c r="S744">
        <v>256</v>
      </c>
      <c r="T744">
        <v>0</v>
      </c>
      <c r="U744">
        <f>laptop[[#This Row],[PrimaryStorage]]+laptop[[#This Row],[SecondaryStorage]]</f>
        <v>256</v>
      </c>
      <c r="V744" s="1" t="s">
        <v>31</v>
      </c>
      <c r="W744" s="1" t="s">
        <v>27</v>
      </c>
      <c r="X744" s="1" t="str">
        <f>IF(laptop[[#This Row],[PrimaryStorageType]]=laptop[[#This Row],[SecondaryStorageType]],laptop[[#This Row],[PrimaryStorageType]],"SSD &amp; HDD")</f>
        <v>SSD &amp; HDD</v>
      </c>
      <c r="Y744" s="1" t="s">
        <v>42</v>
      </c>
    </row>
    <row r="745" spans="1:25" x14ac:dyDescent="0.25">
      <c r="A745" s="1" t="s">
        <v>73</v>
      </c>
      <c r="B745" s="1" t="s">
        <v>618</v>
      </c>
      <c r="C745" s="1" t="s">
        <v>90</v>
      </c>
      <c r="D745">
        <v>14</v>
      </c>
      <c r="E745">
        <v>8</v>
      </c>
      <c r="F745" s="1" t="s">
        <v>48</v>
      </c>
      <c r="G745">
        <v>1.7</v>
      </c>
      <c r="H745">
        <v>999</v>
      </c>
      <c r="I745" s="1" t="s">
        <v>40</v>
      </c>
      <c r="J745">
        <v>1920</v>
      </c>
      <c r="K745">
        <v>1080</v>
      </c>
      <c r="L745" s="1" t="s">
        <v>28</v>
      </c>
      <c r="M745" s="1" t="s">
        <v>27</v>
      </c>
      <c r="N745" s="1" t="s">
        <v>27</v>
      </c>
      <c r="O745" s="1" t="s">
        <v>29</v>
      </c>
      <c r="P745">
        <v>2.5</v>
      </c>
      <c r="Q745" s="1" t="s">
        <v>41</v>
      </c>
      <c r="R745" s="1" t="str">
        <f>_xlfn.CONCAT(laptop[[#This Row],[CPU_company]]," ",laptop[[#This Row],[CPU_model]])</f>
        <v>Intel Core i5 7200U</v>
      </c>
      <c r="S745">
        <v>256</v>
      </c>
      <c r="T745">
        <v>0</v>
      </c>
      <c r="U745">
        <f>laptop[[#This Row],[PrimaryStorage]]+laptop[[#This Row],[SecondaryStorage]]</f>
        <v>256</v>
      </c>
      <c r="V745" s="1" t="s">
        <v>31</v>
      </c>
      <c r="W745" s="1" t="s">
        <v>27</v>
      </c>
      <c r="X745" s="1" t="str">
        <f>IF(laptop[[#This Row],[PrimaryStorageType]]=laptop[[#This Row],[SecondaryStorageType]],laptop[[#This Row],[PrimaryStorageType]],"SSD &amp; HDD")</f>
        <v>SSD &amp; HDD</v>
      </c>
      <c r="Y745" s="1" t="s">
        <v>42</v>
      </c>
    </row>
    <row r="746" spans="1:25" x14ac:dyDescent="0.25">
      <c r="A746" s="1" t="s">
        <v>73</v>
      </c>
      <c r="B746" s="1" t="s">
        <v>619</v>
      </c>
      <c r="C746" s="1" t="s">
        <v>265</v>
      </c>
      <c r="D746">
        <v>15.6</v>
      </c>
      <c r="E746">
        <v>16</v>
      </c>
      <c r="F746" s="1" t="s">
        <v>48</v>
      </c>
      <c r="G746">
        <v>2.5</v>
      </c>
      <c r="H746">
        <v>3299</v>
      </c>
      <c r="I746" s="1" t="s">
        <v>215</v>
      </c>
      <c r="J746">
        <v>3840</v>
      </c>
      <c r="K746">
        <v>2160</v>
      </c>
      <c r="L746" s="1" t="s">
        <v>27</v>
      </c>
      <c r="M746" s="1" t="s">
        <v>28</v>
      </c>
      <c r="N746" s="1" t="s">
        <v>27</v>
      </c>
      <c r="O746" s="1" t="s">
        <v>29</v>
      </c>
      <c r="P746">
        <v>2.8</v>
      </c>
      <c r="Q746" s="1" t="s">
        <v>335</v>
      </c>
      <c r="R746" s="1" t="str">
        <f>_xlfn.CONCAT(laptop[[#This Row],[CPU_company]]," ",laptop[[#This Row],[CPU_model]])</f>
        <v>Intel Core i7 7600U</v>
      </c>
      <c r="S746">
        <v>1024</v>
      </c>
      <c r="T746">
        <v>0</v>
      </c>
      <c r="U746">
        <f>laptop[[#This Row],[PrimaryStorage]]+laptop[[#This Row],[SecondaryStorage]]</f>
        <v>1024</v>
      </c>
      <c r="V746" s="1" t="s">
        <v>31</v>
      </c>
      <c r="W746" s="1" t="s">
        <v>27</v>
      </c>
      <c r="X746" s="1" t="str">
        <f>IF(laptop[[#This Row],[PrimaryStorageType]]=laptop[[#This Row],[SecondaryStorageType]],laptop[[#This Row],[PrimaryStorageType]],"SSD &amp; HDD")</f>
        <v>SSD &amp; HDD</v>
      </c>
      <c r="Y746" s="1" t="s">
        <v>599</v>
      </c>
    </row>
    <row r="747" spans="1:25" x14ac:dyDescent="0.25">
      <c r="A747" s="1" t="s">
        <v>46</v>
      </c>
      <c r="B747" s="1" t="s">
        <v>587</v>
      </c>
      <c r="C747" s="1" t="s">
        <v>38</v>
      </c>
      <c r="D747">
        <v>14</v>
      </c>
      <c r="E747">
        <v>2</v>
      </c>
      <c r="F747" s="1" t="s">
        <v>317</v>
      </c>
      <c r="G747">
        <v>1.68</v>
      </c>
      <c r="H747">
        <v>330</v>
      </c>
      <c r="I747" s="1" t="s">
        <v>26</v>
      </c>
      <c r="J747">
        <v>1366</v>
      </c>
      <c r="K747">
        <v>768</v>
      </c>
      <c r="L747" s="1" t="s">
        <v>27</v>
      </c>
      <c r="M747" s="1" t="s">
        <v>27</v>
      </c>
      <c r="N747" s="1" t="s">
        <v>27</v>
      </c>
      <c r="O747" s="1" t="s">
        <v>29</v>
      </c>
      <c r="P747">
        <v>1.6</v>
      </c>
      <c r="Q747" s="1" t="s">
        <v>151</v>
      </c>
      <c r="R747" s="1" t="str">
        <f>_xlfn.CONCAT(laptop[[#This Row],[CPU_company]]," ",laptop[[#This Row],[CPU_model]])</f>
        <v>Intel Celeron Dual Core N3060</v>
      </c>
      <c r="S747">
        <v>32</v>
      </c>
      <c r="T747">
        <v>0</v>
      </c>
      <c r="U747">
        <f>laptop[[#This Row],[PrimaryStorage]]+laptop[[#This Row],[SecondaryStorage]]</f>
        <v>32</v>
      </c>
      <c r="V747" s="1" t="s">
        <v>34</v>
      </c>
      <c r="W747" s="1" t="s">
        <v>27</v>
      </c>
      <c r="X747" s="1" t="str">
        <f>IF(laptop[[#This Row],[PrimaryStorageType]]=laptop[[#This Row],[SecondaryStorageType]],laptop[[#This Row],[PrimaryStorageType]],"SSD &amp; HDD")</f>
        <v>SSD &amp; HDD</v>
      </c>
      <c r="Y747" s="1" t="s">
        <v>81</v>
      </c>
    </row>
    <row r="748" spans="1:25" x14ac:dyDescent="0.25">
      <c r="A748" s="1" t="s">
        <v>413</v>
      </c>
      <c r="B748" s="1" t="s">
        <v>620</v>
      </c>
      <c r="C748" s="1" t="s">
        <v>24</v>
      </c>
      <c r="D748">
        <v>13.3</v>
      </c>
      <c r="E748">
        <v>16</v>
      </c>
      <c r="F748" s="1" t="s">
        <v>48</v>
      </c>
      <c r="G748">
        <v>0.81</v>
      </c>
      <c r="H748">
        <v>1649</v>
      </c>
      <c r="I748" s="1" t="s">
        <v>40</v>
      </c>
      <c r="J748">
        <v>1920</v>
      </c>
      <c r="K748">
        <v>1080</v>
      </c>
      <c r="L748" s="1" t="s">
        <v>27</v>
      </c>
      <c r="M748" s="1" t="s">
        <v>27</v>
      </c>
      <c r="N748" s="1" t="s">
        <v>27</v>
      </c>
      <c r="O748" s="1" t="s">
        <v>29</v>
      </c>
      <c r="P748">
        <v>2.7</v>
      </c>
      <c r="Q748" s="1" t="s">
        <v>71</v>
      </c>
      <c r="R748" s="1" t="str">
        <f>_xlfn.CONCAT(laptop[[#This Row],[CPU_company]]," ",laptop[[#This Row],[CPU_model]])</f>
        <v>Intel Core i7 7500U</v>
      </c>
      <c r="S748">
        <v>256</v>
      </c>
      <c r="T748">
        <v>0</v>
      </c>
      <c r="U748">
        <f>laptop[[#This Row],[PrimaryStorage]]+laptop[[#This Row],[SecondaryStorage]]</f>
        <v>256</v>
      </c>
      <c r="V748" s="1" t="s">
        <v>31</v>
      </c>
      <c r="W748" s="1" t="s">
        <v>27</v>
      </c>
      <c r="X748" s="1" t="str">
        <f>IF(laptop[[#This Row],[PrimaryStorageType]]=laptop[[#This Row],[SecondaryStorageType]],laptop[[#This Row],[PrimaryStorageType]],"SSD &amp; HDD")</f>
        <v>SSD &amp; HDD</v>
      </c>
      <c r="Y748" s="1" t="s">
        <v>42</v>
      </c>
    </row>
    <row r="749" spans="1:25" x14ac:dyDescent="0.25">
      <c r="A749" s="1" t="s">
        <v>36</v>
      </c>
      <c r="B749" s="1" t="s">
        <v>37</v>
      </c>
      <c r="C749" s="1" t="s">
        <v>38</v>
      </c>
      <c r="D749">
        <v>15.6</v>
      </c>
      <c r="E749">
        <v>8</v>
      </c>
      <c r="F749" s="1" t="s">
        <v>48</v>
      </c>
      <c r="G749">
        <v>1.86</v>
      </c>
      <c r="H749">
        <v>539</v>
      </c>
      <c r="I749" s="1" t="s">
        <v>40</v>
      </c>
      <c r="J749">
        <v>1920</v>
      </c>
      <c r="K749">
        <v>1080</v>
      </c>
      <c r="L749" s="1" t="s">
        <v>27</v>
      </c>
      <c r="M749" s="1" t="s">
        <v>27</v>
      </c>
      <c r="N749" s="1" t="s">
        <v>27</v>
      </c>
      <c r="O749" s="1" t="s">
        <v>29</v>
      </c>
      <c r="P749">
        <v>2</v>
      </c>
      <c r="Q749" s="1" t="s">
        <v>62</v>
      </c>
      <c r="R749" s="1" t="str">
        <f>_xlfn.CONCAT(laptop[[#This Row],[CPU_company]]," ",laptop[[#This Row],[CPU_model]])</f>
        <v>Intel Core i3 6006U</v>
      </c>
      <c r="S749">
        <v>256</v>
      </c>
      <c r="T749">
        <v>0</v>
      </c>
      <c r="U749">
        <f>laptop[[#This Row],[PrimaryStorage]]+laptop[[#This Row],[SecondaryStorage]]</f>
        <v>256</v>
      </c>
      <c r="V749" s="1" t="s">
        <v>31</v>
      </c>
      <c r="W749" s="1" t="s">
        <v>27</v>
      </c>
      <c r="X749" s="1" t="str">
        <f>IF(laptop[[#This Row],[PrimaryStorageType]]=laptop[[#This Row],[SecondaryStorageType]],laptop[[#This Row],[PrimaryStorageType]],"SSD &amp; HDD")</f>
        <v>SSD &amp; HDD</v>
      </c>
      <c r="Y749" s="1" t="s">
        <v>63</v>
      </c>
    </row>
    <row r="750" spans="1:25" x14ac:dyDescent="0.25">
      <c r="A750" s="1" t="s">
        <v>65</v>
      </c>
      <c r="B750" s="1" t="s">
        <v>409</v>
      </c>
      <c r="C750" s="1" t="s">
        <v>38</v>
      </c>
      <c r="D750">
        <v>14</v>
      </c>
      <c r="E750">
        <v>8</v>
      </c>
      <c r="F750" s="1" t="s">
        <v>48</v>
      </c>
      <c r="G750">
        <v>1.6</v>
      </c>
      <c r="H750">
        <v>1126.71</v>
      </c>
      <c r="I750" s="1" t="s">
        <v>26</v>
      </c>
      <c r="J750">
        <v>1366</v>
      </c>
      <c r="K750">
        <v>768</v>
      </c>
      <c r="L750" s="1" t="s">
        <v>27</v>
      </c>
      <c r="M750" s="1" t="s">
        <v>27</v>
      </c>
      <c r="N750" s="1" t="s">
        <v>27</v>
      </c>
      <c r="O750" s="1" t="s">
        <v>29</v>
      </c>
      <c r="P750">
        <v>2.5</v>
      </c>
      <c r="Q750" s="1" t="s">
        <v>41</v>
      </c>
      <c r="R750" s="1" t="str">
        <f>_xlfn.CONCAT(laptop[[#This Row],[CPU_company]]," ",laptop[[#This Row],[CPU_model]])</f>
        <v>Intel Core i5 7200U</v>
      </c>
      <c r="S750">
        <v>256</v>
      </c>
      <c r="T750">
        <v>0</v>
      </c>
      <c r="U750">
        <f>laptop[[#This Row],[PrimaryStorage]]+laptop[[#This Row],[SecondaryStorage]]</f>
        <v>256</v>
      </c>
      <c r="V750" s="1" t="s">
        <v>31</v>
      </c>
      <c r="W750" s="1" t="s">
        <v>27</v>
      </c>
      <c r="X750" s="1" t="str">
        <f>IF(laptop[[#This Row],[PrimaryStorageType]]=laptop[[#This Row],[SecondaryStorageType]],laptop[[#This Row],[PrimaryStorageType]],"SSD &amp; HDD")</f>
        <v>SSD &amp; HDD</v>
      </c>
      <c r="Y750" s="1" t="s">
        <v>42</v>
      </c>
    </row>
    <row r="751" spans="1:25" x14ac:dyDescent="0.25">
      <c r="A751" s="1" t="s">
        <v>36</v>
      </c>
      <c r="B751" s="1" t="s">
        <v>621</v>
      </c>
      <c r="C751" s="1" t="s">
        <v>265</v>
      </c>
      <c r="D751">
        <v>17.3</v>
      </c>
      <c r="E751">
        <v>16</v>
      </c>
      <c r="F751" s="1" t="s">
        <v>480</v>
      </c>
      <c r="G751">
        <v>3</v>
      </c>
      <c r="H751">
        <v>4389</v>
      </c>
      <c r="I751" s="1" t="s">
        <v>40</v>
      </c>
      <c r="J751">
        <v>1920</v>
      </c>
      <c r="K751">
        <v>1080</v>
      </c>
      <c r="L751" s="1" t="s">
        <v>27</v>
      </c>
      <c r="M751" s="1" t="s">
        <v>28</v>
      </c>
      <c r="N751" s="1" t="s">
        <v>27</v>
      </c>
      <c r="O751" s="1" t="s">
        <v>29</v>
      </c>
      <c r="P751">
        <v>2.9</v>
      </c>
      <c r="Q751" s="1" t="s">
        <v>622</v>
      </c>
      <c r="R751" s="1" t="str">
        <f>_xlfn.CONCAT(laptop[[#This Row],[CPU_company]]," ",laptop[[#This Row],[CPU_model]])</f>
        <v>Intel Xeon E3-1535M v5</v>
      </c>
      <c r="S751">
        <v>256</v>
      </c>
      <c r="T751">
        <v>0</v>
      </c>
      <c r="U751">
        <f>laptop[[#This Row],[PrimaryStorage]]+laptop[[#This Row],[SecondaryStorage]]</f>
        <v>256</v>
      </c>
      <c r="V751" s="1" t="s">
        <v>31</v>
      </c>
      <c r="W751" s="1" t="s">
        <v>27</v>
      </c>
      <c r="X751" s="1" t="str">
        <f>IF(laptop[[#This Row],[PrimaryStorageType]]=laptop[[#This Row],[SecondaryStorageType]],laptop[[#This Row],[PrimaryStorageType]],"SSD &amp; HDD")</f>
        <v>SSD &amp; HDD</v>
      </c>
      <c r="Y751" s="1" t="s">
        <v>623</v>
      </c>
    </row>
    <row r="752" spans="1:25" x14ac:dyDescent="0.25">
      <c r="A752" s="1" t="s">
        <v>73</v>
      </c>
      <c r="B752" s="1" t="s">
        <v>624</v>
      </c>
      <c r="C752" s="1" t="s">
        <v>79</v>
      </c>
      <c r="D752">
        <v>11.6</v>
      </c>
      <c r="E752">
        <v>4</v>
      </c>
      <c r="F752" s="1" t="s">
        <v>48</v>
      </c>
      <c r="G752">
        <v>1.4</v>
      </c>
      <c r="H752">
        <v>475</v>
      </c>
      <c r="I752" s="1" t="s">
        <v>26</v>
      </c>
      <c r="J752">
        <v>1366</v>
      </c>
      <c r="K752">
        <v>768</v>
      </c>
      <c r="L752" s="1" t="s">
        <v>28</v>
      </c>
      <c r="M752" s="1" t="s">
        <v>27</v>
      </c>
      <c r="N752" s="1" t="s">
        <v>27</v>
      </c>
      <c r="O752" s="1" t="s">
        <v>29</v>
      </c>
      <c r="P752">
        <v>1.6</v>
      </c>
      <c r="Q752" s="1" t="s">
        <v>151</v>
      </c>
      <c r="R752" s="1" t="str">
        <f>_xlfn.CONCAT(laptop[[#This Row],[CPU_company]]," ",laptop[[#This Row],[CPU_model]])</f>
        <v>Intel Celeron Dual Core N3060</v>
      </c>
      <c r="S752">
        <v>128</v>
      </c>
      <c r="T752">
        <v>0</v>
      </c>
      <c r="U752">
        <f>laptop[[#This Row],[PrimaryStorage]]+laptop[[#This Row],[SecondaryStorage]]</f>
        <v>128</v>
      </c>
      <c r="V752" s="1" t="s">
        <v>31</v>
      </c>
      <c r="W752" s="1" t="s">
        <v>27</v>
      </c>
      <c r="X752" s="1" t="str">
        <f>IF(laptop[[#This Row],[PrimaryStorageType]]=laptop[[#This Row],[SecondaryStorageType]],laptop[[#This Row],[PrimaryStorageType]],"SSD &amp; HDD")</f>
        <v>SSD &amp; HDD</v>
      </c>
      <c r="Y752" s="1" t="s">
        <v>81</v>
      </c>
    </row>
    <row r="753" spans="1:25" x14ac:dyDescent="0.25">
      <c r="A753" s="1" t="s">
        <v>36</v>
      </c>
      <c r="B753" s="1" t="s">
        <v>527</v>
      </c>
      <c r="C753" s="1" t="s">
        <v>38</v>
      </c>
      <c r="D753">
        <v>15.6</v>
      </c>
      <c r="E753">
        <v>8</v>
      </c>
      <c r="F753" s="1" t="s">
        <v>48</v>
      </c>
      <c r="G753">
        <v>1.84</v>
      </c>
      <c r="H753">
        <v>1900</v>
      </c>
      <c r="I753" s="1" t="s">
        <v>40</v>
      </c>
      <c r="J753">
        <v>1920</v>
      </c>
      <c r="K753">
        <v>1080</v>
      </c>
      <c r="L753" s="1" t="s">
        <v>27</v>
      </c>
      <c r="M753" s="1" t="s">
        <v>27</v>
      </c>
      <c r="N753" s="1" t="s">
        <v>27</v>
      </c>
      <c r="O753" s="1" t="s">
        <v>29</v>
      </c>
      <c r="P753">
        <v>2.4</v>
      </c>
      <c r="Q753" s="1" t="s">
        <v>562</v>
      </c>
      <c r="R753" s="1" t="str">
        <f>_xlfn.CONCAT(laptop[[#This Row],[CPU_company]]," ",laptop[[#This Row],[CPU_model]])</f>
        <v>Intel Core i5 6300U</v>
      </c>
      <c r="S753">
        <v>256</v>
      </c>
      <c r="T753">
        <v>0</v>
      </c>
      <c r="U753">
        <f>laptop[[#This Row],[PrimaryStorage]]+laptop[[#This Row],[SecondaryStorage]]</f>
        <v>256</v>
      </c>
      <c r="V753" s="1" t="s">
        <v>31</v>
      </c>
      <c r="W753" s="1" t="s">
        <v>27</v>
      </c>
      <c r="X753" s="1" t="str">
        <f>IF(laptop[[#This Row],[PrimaryStorageType]]=laptop[[#This Row],[SecondaryStorageType]],laptop[[#This Row],[PrimaryStorageType]],"SSD &amp; HDD")</f>
        <v>SSD &amp; HDD</v>
      </c>
      <c r="Y753" s="1" t="s">
        <v>63</v>
      </c>
    </row>
    <row r="754" spans="1:25" x14ac:dyDescent="0.25">
      <c r="A754" s="1" t="s">
        <v>55</v>
      </c>
      <c r="B754" s="1" t="s">
        <v>625</v>
      </c>
      <c r="C754" s="1" t="s">
        <v>38</v>
      </c>
      <c r="D754">
        <v>15.6</v>
      </c>
      <c r="E754">
        <v>4</v>
      </c>
      <c r="F754" s="1" t="s">
        <v>39</v>
      </c>
      <c r="G754">
        <v>2.4500000000000002</v>
      </c>
      <c r="H754">
        <v>579</v>
      </c>
      <c r="I754" s="1" t="s">
        <v>26</v>
      </c>
      <c r="J754">
        <v>1366</v>
      </c>
      <c r="K754">
        <v>768</v>
      </c>
      <c r="L754" s="1" t="s">
        <v>27</v>
      </c>
      <c r="M754" s="1" t="s">
        <v>27</v>
      </c>
      <c r="N754" s="1" t="s">
        <v>27</v>
      </c>
      <c r="O754" s="1" t="s">
        <v>29</v>
      </c>
      <c r="P754">
        <v>2.2999999999999998</v>
      </c>
      <c r="Q754" s="1" t="s">
        <v>601</v>
      </c>
      <c r="R754" s="1" t="str">
        <f>_xlfn.CONCAT(laptop[[#This Row],[CPU_company]]," ",laptop[[#This Row],[CPU_model]])</f>
        <v>Intel Core i5 6300HQ</v>
      </c>
      <c r="S754">
        <v>1024</v>
      </c>
      <c r="T754">
        <v>0</v>
      </c>
      <c r="U754">
        <f>laptop[[#This Row],[PrimaryStorage]]+laptop[[#This Row],[SecondaryStorage]]</f>
        <v>1024</v>
      </c>
      <c r="V754" s="1" t="s">
        <v>51</v>
      </c>
      <c r="W754" s="1" t="s">
        <v>27</v>
      </c>
      <c r="X754" s="1" t="str">
        <f>IF(laptop[[#This Row],[PrimaryStorageType]]=laptop[[#This Row],[SecondaryStorageType]],laptop[[#This Row],[PrimaryStorageType]],"SSD &amp; HDD")</f>
        <v>SSD &amp; HDD</v>
      </c>
      <c r="Y754" s="1" t="s">
        <v>279</v>
      </c>
    </row>
    <row r="755" spans="1:25" x14ac:dyDescent="0.25">
      <c r="A755" s="1" t="s">
        <v>73</v>
      </c>
      <c r="B755" s="1" t="s">
        <v>626</v>
      </c>
      <c r="C755" s="1" t="s">
        <v>24</v>
      </c>
      <c r="D755">
        <v>14</v>
      </c>
      <c r="E755">
        <v>4</v>
      </c>
      <c r="F755" s="1" t="s">
        <v>48</v>
      </c>
      <c r="G755">
        <v>1.7</v>
      </c>
      <c r="H755">
        <v>1096</v>
      </c>
      <c r="I755" s="1" t="s">
        <v>40</v>
      </c>
      <c r="J755">
        <v>1920</v>
      </c>
      <c r="K755">
        <v>1080</v>
      </c>
      <c r="L755" s="1" t="s">
        <v>27</v>
      </c>
      <c r="M755" s="1" t="s">
        <v>27</v>
      </c>
      <c r="N755" s="1" t="s">
        <v>27</v>
      </c>
      <c r="O755" s="1" t="s">
        <v>29</v>
      </c>
      <c r="P755">
        <v>2.2999999999999998</v>
      </c>
      <c r="Q755" s="1" t="s">
        <v>212</v>
      </c>
      <c r="R755" s="1" t="str">
        <f>_xlfn.CONCAT(laptop[[#This Row],[CPU_company]]," ",laptop[[#This Row],[CPU_model]])</f>
        <v>Intel Core i5 6200U</v>
      </c>
      <c r="S755">
        <v>180</v>
      </c>
      <c r="T755">
        <v>0</v>
      </c>
      <c r="U755">
        <f>laptop[[#This Row],[PrimaryStorage]]+laptop[[#This Row],[SecondaryStorage]]</f>
        <v>180</v>
      </c>
      <c r="V755" s="1" t="s">
        <v>31</v>
      </c>
      <c r="W755" s="1" t="s">
        <v>27</v>
      </c>
      <c r="X755" s="1" t="str">
        <f>IF(laptop[[#This Row],[PrimaryStorageType]]=laptop[[#This Row],[SecondaryStorageType]],laptop[[#This Row],[PrimaryStorageType]],"SSD &amp; HDD")</f>
        <v>SSD &amp; HDD</v>
      </c>
      <c r="Y755" s="1" t="s">
        <v>63</v>
      </c>
    </row>
    <row r="756" spans="1:25" x14ac:dyDescent="0.25">
      <c r="A756" s="1" t="s">
        <v>55</v>
      </c>
      <c r="B756" s="1" t="s">
        <v>627</v>
      </c>
      <c r="C756" s="1" t="s">
        <v>38</v>
      </c>
      <c r="D756">
        <v>15.6</v>
      </c>
      <c r="E756">
        <v>4</v>
      </c>
      <c r="F756" s="1" t="s">
        <v>48</v>
      </c>
      <c r="G756">
        <v>2.37</v>
      </c>
      <c r="H756">
        <v>849.9</v>
      </c>
      <c r="I756" s="1" t="s">
        <v>26</v>
      </c>
      <c r="J756">
        <v>1366</v>
      </c>
      <c r="K756">
        <v>768</v>
      </c>
      <c r="L756" s="1" t="s">
        <v>27</v>
      </c>
      <c r="M756" s="1" t="s">
        <v>27</v>
      </c>
      <c r="N756" s="1" t="s">
        <v>27</v>
      </c>
      <c r="O756" s="1" t="s">
        <v>29</v>
      </c>
      <c r="P756">
        <v>2.7</v>
      </c>
      <c r="Q756" s="1" t="s">
        <v>71</v>
      </c>
      <c r="R756" s="1" t="str">
        <f>_xlfn.CONCAT(laptop[[#This Row],[CPU_company]]," ",laptop[[#This Row],[CPU_model]])</f>
        <v>Intel Core i7 7500U</v>
      </c>
      <c r="S756">
        <v>256</v>
      </c>
      <c r="T756">
        <v>0</v>
      </c>
      <c r="U756">
        <f>laptop[[#This Row],[PrimaryStorage]]+laptop[[#This Row],[SecondaryStorage]]</f>
        <v>256</v>
      </c>
      <c r="V756" s="1" t="s">
        <v>31</v>
      </c>
      <c r="W756" s="1" t="s">
        <v>27</v>
      </c>
      <c r="X756" s="1" t="str">
        <f>IF(laptop[[#This Row],[PrimaryStorageType]]=laptop[[#This Row],[SecondaryStorageType]],laptop[[#This Row],[PrimaryStorageType]],"SSD &amp; HDD")</f>
        <v>SSD &amp; HDD</v>
      </c>
      <c r="Y756" s="1" t="s">
        <v>42</v>
      </c>
    </row>
    <row r="757" spans="1:25" x14ac:dyDescent="0.25">
      <c r="A757" s="1" t="s">
        <v>73</v>
      </c>
      <c r="B757" s="1" t="s">
        <v>628</v>
      </c>
      <c r="C757" s="1" t="s">
        <v>90</v>
      </c>
      <c r="D757">
        <v>13.3</v>
      </c>
      <c r="E757">
        <v>8</v>
      </c>
      <c r="F757" s="1" t="s">
        <v>48</v>
      </c>
      <c r="G757">
        <v>1.3</v>
      </c>
      <c r="H757">
        <v>1199</v>
      </c>
      <c r="I757" s="1" t="s">
        <v>107</v>
      </c>
      <c r="J757">
        <v>3200</v>
      </c>
      <c r="K757">
        <v>1800</v>
      </c>
      <c r="L757" s="1" t="s">
        <v>28</v>
      </c>
      <c r="M757" s="1" t="s">
        <v>28</v>
      </c>
      <c r="N757" s="1" t="s">
        <v>27</v>
      </c>
      <c r="O757" s="1" t="s">
        <v>29</v>
      </c>
      <c r="P757">
        <v>1.8</v>
      </c>
      <c r="Q757" s="1" t="s">
        <v>629</v>
      </c>
      <c r="R757" s="1" t="str">
        <f>_xlfn.CONCAT(laptop[[#This Row],[CPU_company]]," ",laptop[[#This Row],[CPU_model]])</f>
        <v>Intel Core i5 6260U</v>
      </c>
      <c r="S757">
        <v>256</v>
      </c>
      <c r="T757">
        <v>0</v>
      </c>
      <c r="U757">
        <f>laptop[[#This Row],[PrimaryStorage]]+laptop[[#This Row],[SecondaryStorage]]</f>
        <v>256</v>
      </c>
      <c r="V757" s="1" t="s">
        <v>31</v>
      </c>
      <c r="W757" s="1" t="s">
        <v>27</v>
      </c>
      <c r="X757" s="1" t="str">
        <f>IF(laptop[[#This Row],[PrimaryStorageType]]=laptop[[#This Row],[SecondaryStorageType]],laptop[[#This Row],[PrimaryStorageType]],"SSD &amp; HDD")</f>
        <v>SSD &amp; HDD</v>
      </c>
      <c r="Y757" s="1" t="s">
        <v>630</v>
      </c>
    </row>
    <row r="758" spans="1:25" x14ac:dyDescent="0.25">
      <c r="A758" s="1" t="s">
        <v>36</v>
      </c>
      <c r="B758" s="1" t="s">
        <v>631</v>
      </c>
      <c r="C758" s="1" t="s">
        <v>38</v>
      </c>
      <c r="D758">
        <v>15.6</v>
      </c>
      <c r="E758">
        <v>8</v>
      </c>
      <c r="F758" s="1" t="s">
        <v>48</v>
      </c>
      <c r="G758">
        <v>2.2000000000000002</v>
      </c>
      <c r="H758">
        <v>1099</v>
      </c>
      <c r="I758" s="1" t="s">
        <v>40</v>
      </c>
      <c r="J758">
        <v>1920</v>
      </c>
      <c r="K758">
        <v>1080</v>
      </c>
      <c r="L758" s="1" t="s">
        <v>27</v>
      </c>
      <c r="M758" s="1" t="s">
        <v>28</v>
      </c>
      <c r="N758" s="1" t="s">
        <v>27</v>
      </c>
      <c r="O758" s="1" t="s">
        <v>29</v>
      </c>
      <c r="P758">
        <v>2.5</v>
      </c>
      <c r="Q758" s="1" t="s">
        <v>84</v>
      </c>
      <c r="R758" s="1" t="str">
        <f>_xlfn.CONCAT(laptop[[#This Row],[CPU_company]]," ",laptop[[#This Row],[CPU_model]])</f>
        <v>Intel Core i5 7300HQ</v>
      </c>
      <c r="S758">
        <v>128</v>
      </c>
      <c r="T758">
        <v>1024</v>
      </c>
      <c r="U758">
        <f>laptop[[#This Row],[PrimaryStorage]]+laptop[[#This Row],[SecondaryStorage]]</f>
        <v>1152</v>
      </c>
      <c r="V758" s="1" t="s">
        <v>31</v>
      </c>
      <c r="W758" s="1" t="s">
        <v>51</v>
      </c>
      <c r="X758" s="1" t="str">
        <f>IF(laptop[[#This Row],[PrimaryStorageType]]=laptop[[#This Row],[SecondaryStorageType]],laptop[[#This Row],[PrimaryStorageType]],"SSD &amp; HDD")</f>
        <v>SSD &amp; HDD</v>
      </c>
      <c r="Y758" s="1" t="s">
        <v>85</v>
      </c>
    </row>
    <row r="759" spans="1:25" x14ac:dyDescent="0.25">
      <c r="A759" s="1" t="s">
        <v>36</v>
      </c>
      <c r="B759" s="1" t="s">
        <v>614</v>
      </c>
      <c r="C759" s="1" t="s">
        <v>265</v>
      </c>
      <c r="D759">
        <v>15.6</v>
      </c>
      <c r="E759">
        <v>8</v>
      </c>
      <c r="F759" s="1" t="s">
        <v>480</v>
      </c>
      <c r="G759">
        <v>2.59</v>
      </c>
      <c r="H759">
        <v>1561</v>
      </c>
      <c r="I759" s="1" t="s">
        <v>40</v>
      </c>
      <c r="J759">
        <v>1920</v>
      </c>
      <c r="K759">
        <v>1080</v>
      </c>
      <c r="L759" s="1" t="s">
        <v>27</v>
      </c>
      <c r="M759" s="1" t="s">
        <v>27</v>
      </c>
      <c r="N759" s="1" t="s">
        <v>27</v>
      </c>
      <c r="O759" s="1" t="s">
        <v>29</v>
      </c>
      <c r="P759">
        <v>2.6</v>
      </c>
      <c r="Q759" s="1" t="s">
        <v>447</v>
      </c>
      <c r="R759" s="1" t="str">
        <f>_xlfn.CONCAT(laptop[[#This Row],[CPU_company]]," ",laptop[[#This Row],[CPU_model]])</f>
        <v>Intel Core i7 6700HQ</v>
      </c>
      <c r="S759">
        <v>256</v>
      </c>
      <c r="T759">
        <v>0</v>
      </c>
      <c r="U759">
        <f>laptop[[#This Row],[PrimaryStorage]]+laptop[[#This Row],[SecondaryStorage]]</f>
        <v>256</v>
      </c>
      <c r="V759" s="1" t="s">
        <v>31</v>
      </c>
      <c r="W759" s="1" t="s">
        <v>27</v>
      </c>
      <c r="X759" s="1" t="str">
        <f>IF(laptop[[#This Row],[PrimaryStorageType]]=laptop[[#This Row],[SecondaryStorageType]],laptop[[#This Row],[PrimaryStorageType]],"SSD &amp; HDD")</f>
        <v>SSD &amp; HDD</v>
      </c>
      <c r="Y759" s="1" t="s">
        <v>632</v>
      </c>
    </row>
    <row r="760" spans="1:25" x14ac:dyDescent="0.25">
      <c r="A760" s="1" t="s">
        <v>65</v>
      </c>
      <c r="B760" s="1" t="s">
        <v>275</v>
      </c>
      <c r="C760" s="1" t="s">
        <v>83</v>
      </c>
      <c r="D760">
        <v>15.6</v>
      </c>
      <c r="E760">
        <v>16</v>
      </c>
      <c r="F760" s="1" t="s">
        <v>48</v>
      </c>
      <c r="G760">
        <v>4.42</v>
      </c>
      <c r="H760">
        <v>2868.99</v>
      </c>
      <c r="I760" s="1" t="s">
        <v>215</v>
      </c>
      <c r="J760">
        <v>3840</v>
      </c>
      <c r="K760">
        <v>2160</v>
      </c>
      <c r="L760" s="1" t="s">
        <v>27</v>
      </c>
      <c r="M760" s="1" t="s">
        <v>28</v>
      </c>
      <c r="N760" s="1" t="s">
        <v>27</v>
      </c>
      <c r="O760" s="1" t="s">
        <v>29</v>
      </c>
      <c r="P760">
        <v>2.8</v>
      </c>
      <c r="Q760" s="1" t="s">
        <v>118</v>
      </c>
      <c r="R760" s="1" t="str">
        <f>_xlfn.CONCAT(laptop[[#This Row],[CPU_company]]," ",laptop[[#This Row],[CPU_model]])</f>
        <v>Intel Core i7 7700HQ</v>
      </c>
      <c r="S760">
        <v>256</v>
      </c>
      <c r="T760">
        <v>1024</v>
      </c>
      <c r="U760">
        <f>laptop[[#This Row],[PrimaryStorage]]+laptop[[#This Row],[SecondaryStorage]]</f>
        <v>1280</v>
      </c>
      <c r="V760" s="1" t="s">
        <v>31</v>
      </c>
      <c r="W760" s="1" t="s">
        <v>51</v>
      </c>
      <c r="X760" s="1" t="str">
        <f>IF(laptop[[#This Row],[PrimaryStorageType]]=laptop[[#This Row],[SecondaryStorageType]],laptop[[#This Row],[PrimaryStorageType]],"SSD &amp; HDD")</f>
        <v>SSD &amp; HDD</v>
      </c>
      <c r="Y760" s="1" t="s">
        <v>143</v>
      </c>
    </row>
    <row r="761" spans="1:25" x14ac:dyDescent="0.25">
      <c r="A761" s="1" t="s">
        <v>46</v>
      </c>
      <c r="B761" s="1" t="s">
        <v>47</v>
      </c>
      <c r="C761" s="1" t="s">
        <v>38</v>
      </c>
      <c r="D761">
        <v>15.6</v>
      </c>
      <c r="E761">
        <v>4</v>
      </c>
      <c r="F761" s="1" t="s">
        <v>48</v>
      </c>
      <c r="G761">
        <v>2.1</v>
      </c>
      <c r="H761">
        <v>599</v>
      </c>
      <c r="I761" s="1" t="s">
        <v>26</v>
      </c>
      <c r="J761">
        <v>1366</v>
      </c>
      <c r="K761">
        <v>768</v>
      </c>
      <c r="L761" s="1" t="s">
        <v>27</v>
      </c>
      <c r="M761" s="1" t="s">
        <v>27</v>
      </c>
      <c r="N761" s="1" t="s">
        <v>27</v>
      </c>
      <c r="O761" s="1" t="s">
        <v>29</v>
      </c>
      <c r="P761">
        <v>2.5</v>
      </c>
      <c r="Q761" s="1" t="s">
        <v>41</v>
      </c>
      <c r="R761" s="1" t="str">
        <f>_xlfn.CONCAT(laptop[[#This Row],[CPU_company]]," ",laptop[[#This Row],[CPU_model]])</f>
        <v>Intel Core i5 7200U</v>
      </c>
      <c r="S761">
        <v>256</v>
      </c>
      <c r="T761">
        <v>0</v>
      </c>
      <c r="U761">
        <f>laptop[[#This Row],[PrimaryStorage]]+laptop[[#This Row],[SecondaryStorage]]</f>
        <v>256</v>
      </c>
      <c r="V761" s="1" t="s">
        <v>31</v>
      </c>
      <c r="W761" s="1" t="s">
        <v>27</v>
      </c>
      <c r="X761" s="1" t="str">
        <f>IF(laptop[[#This Row],[PrimaryStorageType]]=laptop[[#This Row],[SecondaryStorageType]],laptop[[#This Row],[PrimaryStorageType]],"SSD &amp; HDD")</f>
        <v>SSD &amp; HDD</v>
      </c>
      <c r="Y761" s="1" t="s">
        <v>42</v>
      </c>
    </row>
    <row r="762" spans="1:25" x14ac:dyDescent="0.25">
      <c r="A762" s="1" t="s">
        <v>73</v>
      </c>
      <c r="B762" s="1" t="s">
        <v>82</v>
      </c>
      <c r="C762" s="1" t="s">
        <v>83</v>
      </c>
      <c r="D762">
        <v>15.6</v>
      </c>
      <c r="E762">
        <v>8</v>
      </c>
      <c r="F762" s="1" t="s">
        <v>48</v>
      </c>
      <c r="G762">
        <v>2.5</v>
      </c>
      <c r="H762">
        <v>1048</v>
      </c>
      <c r="I762" s="1" t="s">
        <v>40</v>
      </c>
      <c r="J762">
        <v>1920</v>
      </c>
      <c r="K762">
        <v>1080</v>
      </c>
      <c r="L762" s="1" t="s">
        <v>27</v>
      </c>
      <c r="M762" s="1" t="s">
        <v>28</v>
      </c>
      <c r="N762" s="1" t="s">
        <v>27</v>
      </c>
      <c r="O762" s="1" t="s">
        <v>29</v>
      </c>
      <c r="P762">
        <v>2.8</v>
      </c>
      <c r="Q762" s="1" t="s">
        <v>118</v>
      </c>
      <c r="R762" s="1" t="str">
        <f>_xlfn.CONCAT(laptop[[#This Row],[CPU_company]]," ",laptop[[#This Row],[CPU_model]])</f>
        <v>Intel Core i7 7700HQ</v>
      </c>
      <c r="S762">
        <v>128</v>
      </c>
      <c r="T762">
        <v>1024</v>
      </c>
      <c r="U762">
        <f>laptop[[#This Row],[PrimaryStorage]]+laptop[[#This Row],[SecondaryStorage]]</f>
        <v>1152</v>
      </c>
      <c r="V762" s="1" t="s">
        <v>31</v>
      </c>
      <c r="W762" s="1" t="s">
        <v>51</v>
      </c>
      <c r="X762" s="1" t="str">
        <f>IF(laptop[[#This Row],[PrimaryStorageType]]=laptop[[#This Row],[SecondaryStorageType]],laptop[[#This Row],[PrimaryStorageType]],"SSD &amp; HDD")</f>
        <v>SSD &amp; HDD</v>
      </c>
      <c r="Y762" s="1" t="s">
        <v>85</v>
      </c>
    </row>
    <row r="763" spans="1:25" x14ac:dyDescent="0.25">
      <c r="A763" s="1" t="s">
        <v>65</v>
      </c>
      <c r="B763" s="1" t="s">
        <v>633</v>
      </c>
      <c r="C763" s="1" t="s">
        <v>24</v>
      </c>
      <c r="D763">
        <v>12.5</v>
      </c>
      <c r="E763">
        <v>16</v>
      </c>
      <c r="F763" s="1" t="s">
        <v>48</v>
      </c>
      <c r="G763">
        <v>1.18</v>
      </c>
      <c r="H763">
        <v>1859</v>
      </c>
      <c r="I763" s="1" t="s">
        <v>40</v>
      </c>
      <c r="J763">
        <v>1920</v>
      </c>
      <c r="K763">
        <v>1080</v>
      </c>
      <c r="L763" s="1" t="s">
        <v>27</v>
      </c>
      <c r="M763" s="1" t="s">
        <v>27</v>
      </c>
      <c r="N763" s="1" t="s">
        <v>27</v>
      </c>
      <c r="O763" s="1" t="s">
        <v>29</v>
      </c>
      <c r="P763">
        <v>2.8</v>
      </c>
      <c r="Q763" s="1" t="s">
        <v>335</v>
      </c>
      <c r="R763" s="1" t="str">
        <f>_xlfn.CONCAT(laptop[[#This Row],[CPU_company]]," ",laptop[[#This Row],[CPU_model]])</f>
        <v>Intel Core i7 7600U</v>
      </c>
      <c r="S763">
        <v>256</v>
      </c>
      <c r="T763">
        <v>0</v>
      </c>
      <c r="U763">
        <f>laptop[[#This Row],[PrimaryStorage]]+laptop[[#This Row],[SecondaryStorage]]</f>
        <v>256</v>
      </c>
      <c r="V763" s="1" t="s">
        <v>31</v>
      </c>
      <c r="W763" s="1" t="s">
        <v>27</v>
      </c>
      <c r="X763" s="1" t="str">
        <f>IF(laptop[[#This Row],[PrimaryStorageType]]=laptop[[#This Row],[SecondaryStorageType]],laptop[[#This Row],[PrimaryStorageType]],"SSD &amp; HDD")</f>
        <v>SSD &amp; HDD</v>
      </c>
      <c r="Y763" s="1" t="s">
        <v>42</v>
      </c>
    </row>
    <row r="764" spans="1:25" x14ac:dyDescent="0.25">
      <c r="A764" s="1" t="s">
        <v>421</v>
      </c>
      <c r="B764" s="1" t="s">
        <v>422</v>
      </c>
      <c r="C764" s="1" t="s">
        <v>24</v>
      </c>
      <c r="D764">
        <v>12.3</v>
      </c>
      <c r="E764">
        <v>8</v>
      </c>
      <c r="F764" s="1" t="s">
        <v>317</v>
      </c>
      <c r="G764">
        <v>1.1000000000000001</v>
      </c>
      <c r="H764">
        <v>1559</v>
      </c>
      <c r="I764" s="1" t="s">
        <v>26</v>
      </c>
      <c r="J764">
        <v>2400</v>
      </c>
      <c r="K764">
        <v>1600</v>
      </c>
      <c r="L764" s="1" t="s">
        <v>28</v>
      </c>
      <c r="M764" s="1" t="s">
        <v>27</v>
      </c>
      <c r="N764" s="1" t="s">
        <v>27</v>
      </c>
      <c r="O764" s="1" t="s">
        <v>29</v>
      </c>
      <c r="P764">
        <v>1.2</v>
      </c>
      <c r="Q764" s="1" t="s">
        <v>445</v>
      </c>
      <c r="R764" s="1" t="str">
        <f>_xlfn.CONCAT(laptop[[#This Row],[CPU_company]]," ",laptop[[#This Row],[CPU_model]])</f>
        <v>Intel Core i5 7Y57</v>
      </c>
      <c r="S764">
        <v>256</v>
      </c>
      <c r="T764">
        <v>0</v>
      </c>
      <c r="U764">
        <f>laptop[[#This Row],[PrimaryStorage]]+laptop[[#This Row],[SecondaryStorage]]</f>
        <v>256</v>
      </c>
      <c r="V764" s="1" t="s">
        <v>31</v>
      </c>
      <c r="W764" s="1" t="s">
        <v>27</v>
      </c>
      <c r="X764" s="1" t="str">
        <f>IF(laptop[[#This Row],[PrimaryStorageType]]=laptop[[#This Row],[SecondaryStorageType]],laptop[[#This Row],[PrimaryStorageType]],"SSD &amp; HDD")</f>
        <v>SSD &amp; HDD</v>
      </c>
      <c r="Y764" s="1" t="s">
        <v>70</v>
      </c>
    </row>
    <row r="765" spans="1:25" x14ac:dyDescent="0.25">
      <c r="A765" s="1" t="s">
        <v>55</v>
      </c>
      <c r="B765" s="1" t="s">
        <v>634</v>
      </c>
      <c r="C765" s="1" t="s">
        <v>24</v>
      </c>
      <c r="D765">
        <v>13.3</v>
      </c>
      <c r="E765">
        <v>8</v>
      </c>
      <c r="F765" s="1" t="s">
        <v>48</v>
      </c>
      <c r="G765">
        <v>1.2</v>
      </c>
      <c r="H765">
        <v>1129</v>
      </c>
      <c r="I765" s="1" t="s">
        <v>107</v>
      </c>
      <c r="J765">
        <v>3200</v>
      </c>
      <c r="K765">
        <v>1800</v>
      </c>
      <c r="L765" s="1" t="s">
        <v>27</v>
      </c>
      <c r="M765" s="1" t="s">
        <v>28</v>
      </c>
      <c r="N765" s="1" t="s">
        <v>27</v>
      </c>
      <c r="O765" s="1" t="s">
        <v>29</v>
      </c>
      <c r="P765">
        <v>2.5</v>
      </c>
      <c r="Q765" s="1" t="s">
        <v>41</v>
      </c>
      <c r="R765" s="1" t="str">
        <f>_xlfn.CONCAT(laptop[[#This Row],[CPU_company]]," ",laptop[[#This Row],[CPU_model]])</f>
        <v>Intel Core i5 7200U</v>
      </c>
      <c r="S765">
        <v>256</v>
      </c>
      <c r="T765">
        <v>0</v>
      </c>
      <c r="U765">
        <f>laptop[[#This Row],[PrimaryStorage]]+laptop[[#This Row],[SecondaryStorage]]</f>
        <v>256</v>
      </c>
      <c r="V765" s="1" t="s">
        <v>31</v>
      </c>
      <c r="W765" s="1" t="s">
        <v>27</v>
      </c>
      <c r="X765" s="1" t="str">
        <f>IF(laptop[[#This Row],[PrimaryStorageType]]=laptop[[#This Row],[SecondaryStorageType]],laptop[[#This Row],[PrimaryStorageType]],"SSD &amp; HDD")</f>
        <v>SSD &amp; HDD</v>
      </c>
      <c r="Y765" s="1" t="s">
        <v>42</v>
      </c>
    </row>
    <row r="766" spans="1:25" x14ac:dyDescent="0.25">
      <c r="A766" s="1" t="s">
        <v>65</v>
      </c>
      <c r="B766" s="1" t="s">
        <v>404</v>
      </c>
      <c r="C766" s="1" t="s">
        <v>38</v>
      </c>
      <c r="D766">
        <v>13.3</v>
      </c>
      <c r="E766">
        <v>4</v>
      </c>
      <c r="F766" s="1" t="s">
        <v>48</v>
      </c>
      <c r="G766">
        <v>1.65</v>
      </c>
      <c r="H766">
        <v>849</v>
      </c>
      <c r="I766" s="1" t="s">
        <v>26</v>
      </c>
      <c r="J766">
        <v>1366</v>
      </c>
      <c r="K766">
        <v>768</v>
      </c>
      <c r="L766" s="1" t="s">
        <v>27</v>
      </c>
      <c r="M766" s="1" t="s">
        <v>27</v>
      </c>
      <c r="N766" s="1" t="s">
        <v>27</v>
      </c>
      <c r="O766" s="1" t="s">
        <v>29</v>
      </c>
      <c r="P766">
        <v>2</v>
      </c>
      <c r="Q766" s="1" t="s">
        <v>62</v>
      </c>
      <c r="R766" s="1" t="str">
        <f>_xlfn.CONCAT(laptop[[#This Row],[CPU_company]]," ",laptop[[#This Row],[CPU_model]])</f>
        <v>Intel Core i3 6006U</v>
      </c>
      <c r="S766">
        <v>500</v>
      </c>
      <c r="T766">
        <v>0</v>
      </c>
      <c r="U766">
        <f>laptop[[#This Row],[PrimaryStorage]]+laptop[[#This Row],[SecondaryStorage]]</f>
        <v>500</v>
      </c>
      <c r="V766" s="1" t="s">
        <v>51</v>
      </c>
      <c r="W766" s="1" t="s">
        <v>27</v>
      </c>
      <c r="X766" s="1" t="str">
        <f>IF(laptop[[#This Row],[PrimaryStorageType]]=laptop[[#This Row],[SecondaryStorageType]],laptop[[#This Row],[PrimaryStorageType]],"SSD &amp; HDD")</f>
        <v>SSD &amp; HDD</v>
      </c>
      <c r="Y766" s="1" t="s">
        <v>63</v>
      </c>
    </row>
    <row r="767" spans="1:25" x14ac:dyDescent="0.25">
      <c r="A767" s="1" t="s">
        <v>46</v>
      </c>
      <c r="B767" s="1" t="s">
        <v>635</v>
      </c>
      <c r="C767" s="1" t="s">
        <v>38</v>
      </c>
      <c r="D767">
        <v>13.3</v>
      </c>
      <c r="E767">
        <v>4</v>
      </c>
      <c r="F767" s="1" t="s">
        <v>48</v>
      </c>
      <c r="G767">
        <v>1.6</v>
      </c>
      <c r="H767">
        <v>655</v>
      </c>
      <c r="I767" s="1" t="s">
        <v>26</v>
      </c>
      <c r="J767">
        <v>1366</v>
      </c>
      <c r="K767">
        <v>768</v>
      </c>
      <c r="L767" s="1" t="s">
        <v>27</v>
      </c>
      <c r="M767" s="1" t="s">
        <v>27</v>
      </c>
      <c r="N767" s="1" t="s">
        <v>27</v>
      </c>
      <c r="O767" s="1" t="s">
        <v>29</v>
      </c>
      <c r="P767">
        <v>2.2999999999999998</v>
      </c>
      <c r="Q767" s="1" t="s">
        <v>212</v>
      </c>
      <c r="R767" s="1" t="str">
        <f>_xlfn.CONCAT(laptop[[#This Row],[CPU_company]]," ",laptop[[#This Row],[CPU_model]])</f>
        <v>Intel Core i5 6200U</v>
      </c>
      <c r="S767">
        <v>128</v>
      </c>
      <c r="T767">
        <v>0</v>
      </c>
      <c r="U767">
        <f>laptop[[#This Row],[PrimaryStorage]]+laptop[[#This Row],[SecondaryStorage]]</f>
        <v>128</v>
      </c>
      <c r="V767" s="1" t="s">
        <v>31</v>
      </c>
      <c r="W767" s="1" t="s">
        <v>27</v>
      </c>
      <c r="X767" s="1" t="str">
        <f>IF(laptop[[#This Row],[PrimaryStorageType]]=laptop[[#This Row],[SecondaryStorageType]],laptop[[#This Row],[PrimaryStorageType]],"SSD &amp; HDD")</f>
        <v>SSD &amp; HDD</v>
      </c>
      <c r="Y767" s="1" t="s">
        <v>63</v>
      </c>
    </row>
    <row r="768" spans="1:25" x14ac:dyDescent="0.25">
      <c r="A768" s="1" t="s">
        <v>55</v>
      </c>
      <c r="B768" s="1" t="s">
        <v>636</v>
      </c>
      <c r="C768" s="1" t="s">
        <v>38</v>
      </c>
      <c r="D768">
        <v>17.3</v>
      </c>
      <c r="E768">
        <v>4</v>
      </c>
      <c r="F768" s="1" t="s">
        <v>48</v>
      </c>
      <c r="G768">
        <v>2.8</v>
      </c>
      <c r="H768">
        <v>470.34</v>
      </c>
      <c r="I768" s="1" t="s">
        <v>26</v>
      </c>
      <c r="J768">
        <v>1366</v>
      </c>
      <c r="K768">
        <v>768</v>
      </c>
      <c r="L768" s="1" t="s">
        <v>27</v>
      </c>
      <c r="M768" s="1" t="s">
        <v>27</v>
      </c>
      <c r="N768" s="1" t="s">
        <v>27</v>
      </c>
      <c r="O768" s="1" t="s">
        <v>29</v>
      </c>
      <c r="P768">
        <v>1.1000000000000001</v>
      </c>
      <c r="Q768" s="1" t="s">
        <v>130</v>
      </c>
      <c r="R768" s="1" t="str">
        <f>_xlfn.CONCAT(laptop[[#This Row],[CPU_company]]," ",laptop[[#This Row],[CPU_model]])</f>
        <v>Intel Pentium Quad Core N4200</v>
      </c>
      <c r="S768">
        <v>1024</v>
      </c>
      <c r="T768">
        <v>0</v>
      </c>
      <c r="U768">
        <f>laptop[[#This Row],[PrimaryStorage]]+laptop[[#This Row],[SecondaryStorage]]</f>
        <v>1024</v>
      </c>
      <c r="V768" s="1" t="s">
        <v>51</v>
      </c>
      <c r="W768" s="1" t="s">
        <v>27</v>
      </c>
      <c r="X768" s="1" t="str">
        <f>IF(laptop[[#This Row],[PrimaryStorageType]]=laptop[[#This Row],[SecondaryStorageType]],laptop[[#This Row],[PrimaryStorageType]],"SSD &amp; HDD")</f>
        <v>SSD &amp; HDD</v>
      </c>
      <c r="Y768" s="1" t="s">
        <v>131</v>
      </c>
    </row>
    <row r="769" spans="1:25" x14ac:dyDescent="0.25">
      <c r="A769" s="1" t="s">
        <v>65</v>
      </c>
      <c r="B769" s="1" t="s">
        <v>536</v>
      </c>
      <c r="C769" s="1" t="s">
        <v>83</v>
      </c>
      <c r="D769">
        <v>15.6</v>
      </c>
      <c r="E769">
        <v>16</v>
      </c>
      <c r="F769" s="1" t="s">
        <v>48</v>
      </c>
      <c r="G769">
        <v>2.72</v>
      </c>
      <c r="H769">
        <v>1099</v>
      </c>
      <c r="I769" s="1" t="s">
        <v>215</v>
      </c>
      <c r="J769">
        <v>3840</v>
      </c>
      <c r="K769">
        <v>2160</v>
      </c>
      <c r="L769" s="1" t="s">
        <v>28</v>
      </c>
      <c r="M769" s="1" t="s">
        <v>28</v>
      </c>
      <c r="N769" s="1" t="s">
        <v>27</v>
      </c>
      <c r="O769" s="1" t="s">
        <v>29</v>
      </c>
      <c r="P769">
        <v>2.6</v>
      </c>
      <c r="Q769" s="1" t="s">
        <v>447</v>
      </c>
      <c r="R769" s="1" t="str">
        <f>_xlfn.CONCAT(laptop[[#This Row],[CPU_company]]," ",laptop[[#This Row],[CPU_model]])</f>
        <v>Intel Core i7 6700HQ</v>
      </c>
      <c r="S769">
        <v>128</v>
      </c>
      <c r="T769">
        <v>1024</v>
      </c>
      <c r="U769">
        <f>laptop[[#This Row],[PrimaryStorage]]+laptop[[#This Row],[SecondaryStorage]]</f>
        <v>1152</v>
      </c>
      <c r="V769" s="1" t="s">
        <v>31</v>
      </c>
      <c r="W769" s="1" t="s">
        <v>51</v>
      </c>
      <c r="X769" s="1" t="str">
        <f>IF(laptop[[#This Row],[PrimaryStorageType]]=laptop[[#This Row],[SecondaryStorageType]],laptop[[#This Row],[PrimaryStorageType]],"SSD &amp; HDD")</f>
        <v>SSD &amp; HDD</v>
      </c>
      <c r="Y769" s="1" t="s">
        <v>483</v>
      </c>
    </row>
    <row r="770" spans="1:25" x14ac:dyDescent="0.25">
      <c r="A770" s="1" t="s">
        <v>413</v>
      </c>
      <c r="B770" s="1" t="s">
        <v>620</v>
      </c>
      <c r="C770" s="1" t="s">
        <v>24</v>
      </c>
      <c r="D770">
        <v>13.3</v>
      </c>
      <c r="E770">
        <v>8</v>
      </c>
      <c r="F770" s="1" t="s">
        <v>48</v>
      </c>
      <c r="G770">
        <v>1.31</v>
      </c>
      <c r="H770">
        <v>1599</v>
      </c>
      <c r="I770" s="1" t="s">
        <v>40</v>
      </c>
      <c r="J770">
        <v>1920</v>
      </c>
      <c r="K770">
        <v>1080</v>
      </c>
      <c r="L770" s="1" t="s">
        <v>28</v>
      </c>
      <c r="M770" s="1" t="s">
        <v>27</v>
      </c>
      <c r="N770" s="1" t="s">
        <v>27</v>
      </c>
      <c r="O770" s="1" t="s">
        <v>29</v>
      </c>
      <c r="P770">
        <v>2.7</v>
      </c>
      <c r="Q770" s="1" t="s">
        <v>71</v>
      </c>
      <c r="R770" s="1" t="str">
        <f>_xlfn.CONCAT(laptop[[#This Row],[CPU_company]]," ",laptop[[#This Row],[CPU_model]])</f>
        <v>Intel Core i7 7500U</v>
      </c>
      <c r="S770">
        <v>256</v>
      </c>
      <c r="T770">
        <v>0</v>
      </c>
      <c r="U770">
        <f>laptop[[#This Row],[PrimaryStorage]]+laptop[[#This Row],[SecondaryStorage]]</f>
        <v>256</v>
      </c>
      <c r="V770" s="1" t="s">
        <v>31</v>
      </c>
      <c r="W770" s="1" t="s">
        <v>27</v>
      </c>
      <c r="X770" s="1" t="str">
        <f>IF(laptop[[#This Row],[PrimaryStorageType]]=laptop[[#This Row],[SecondaryStorageType]],laptop[[#This Row],[PrimaryStorageType]],"SSD &amp; HDD")</f>
        <v>SSD &amp; HDD</v>
      </c>
      <c r="Y770" s="1" t="s">
        <v>42</v>
      </c>
    </row>
    <row r="771" spans="1:25" x14ac:dyDescent="0.25">
      <c r="A771" s="1" t="s">
        <v>46</v>
      </c>
      <c r="B771" s="1" t="s">
        <v>235</v>
      </c>
      <c r="C771" s="1" t="s">
        <v>38</v>
      </c>
      <c r="D771">
        <v>15.6</v>
      </c>
      <c r="E771">
        <v>4</v>
      </c>
      <c r="F771" s="1" t="s">
        <v>111</v>
      </c>
      <c r="G771">
        <v>2.1</v>
      </c>
      <c r="H771">
        <v>298</v>
      </c>
      <c r="I771" s="1" t="s">
        <v>26</v>
      </c>
      <c r="J771">
        <v>1366</v>
      </c>
      <c r="K771">
        <v>768</v>
      </c>
      <c r="L771" s="1" t="s">
        <v>27</v>
      </c>
      <c r="M771" s="1" t="s">
        <v>27</v>
      </c>
      <c r="N771" s="1" t="s">
        <v>27</v>
      </c>
      <c r="O771" s="1" t="s">
        <v>29</v>
      </c>
      <c r="P771">
        <v>1.1000000000000001</v>
      </c>
      <c r="Q771" s="1" t="s">
        <v>130</v>
      </c>
      <c r="R771" s="1" t="str">
        <f>_xlfn.CONCAT(laptop[[#This Row],[CPU_company]]," ",laptop[[#This Row],[CPU_model]])</f>
        <v>Intel Pentium Quad Core N4200</v>
      </c>
      <c r="S771">
        <v>1024</v>
      </c>
      <c r="T771">
        <v>0</v>
      </c>
      <c r="U771">
        <f>laptop[[#This Row],[PrimaryStorage]]+laptop[[#This Row],[SecondaryStorage]]</f>
        <v>1024</v>
      </c>
      <c r="V771" s="1" t="s">
        <v>51</v>
      </c>
      <c r="W771" s="1" t="s">
        <v>27</v>
      </c>
      <c r="X771" s="1" t="str">
        <f>IF(laptop[[#This Row],[PrimaryStorageType]]=laptop[[#This Row],[SecondaryStorageType]],laptop[[#This Row],[PrimaryStorageType]],"SSD &amp; HDD")</f>
        <v>SSD &amp; HDD</v>
      </c>
      <c r="Y771" s="1" t="s">
        <v>237</v>
      </c>
    </row>
    <row r="772" spans="1:25" x14ac:dyDescent="0.25">
      <c r="A772" s="1" t="s">
        <v>65</v>
      </c>
      <c r="B772" s="1" t="s">
        <v>200</v>
      </c>
      <c r="C772" s="1" t="s">
        <v>38</v>
      </c>
      <c r="D772">
        <v>15.6</v>
      </c>
      <c r="E772">
        <v>16</v>
      </c>
      <c r="F772" s="1" t="s">
        <v>48</v>
      </c>
      <c r="G772">
        <v>2.2999999999999998</v>
      </c>
      <c r="H772">
        <v>1181.27</v>
      </c>
      <c r="I772" s="1" t="s">
        <v>40</v>
      </c>
      <c r="J772">
        <v>1920</v>
      </c>
      <c r="K772">
        <v>1080</v>
      </c>
      <c r="L772" s="1" t="s">
        <v>27</v>
      </c>
      <c r="M772" s="1" t="s">
        <v>27</v>
      </c>
      <c r="N772" s="1" t="s">
        <v>27</v>
      </c>
      <c r="O772" s="1" t="s">
        <v>29</v>
      </c>
      <c r="P772">
        <v>2.7</v>
      </c>
      <c r="Q772" s="1" t="s">
        <v>71</v>
      </c>
      <c r="R772" s="1" t="str">
        <f>_xlfn.CONCAT(laptop[[#This Row],[CPU_company]]," ",laptop[[#This Row],[CPU_model]])</f>
        <v>Intel Core i7 7500U</v>
      </c>
      <c r="S772">
        <v>256</v>
      </c>
      <c r="T772">
        <v>0</v>
      </c>
      <c r="U772">
        <f>laptop[[#This Row],[PrimaryStorage]]+laptop[[#This Row],[SecondaryStorage]]</f>
        <v>256</v>
      </c>
      <c r="V772" s="1" t="s">
        <v>31</v>
      </c>
      <c r="W772" s="1" t="s">
        <v>27</v>
      </c>
      <c r="X772" s="1" t="str">
        <f>IF(laptop[[#This Row],[PrimaryStorageType]]=laptop[[#This Row],[SecondaryStorageType]],laptop[[#This Row],[PrimaryStorageType]],"SSD &amp; HDD")</f>
        <v>SSD &amp; HDD</v>
      </c>
      <c r="Y772" s="1" t="s">
        <v>201</v>
      </c>
    </row>
    <row r="773" spans="1:25" x14ac:dyDescent="0.25">
      <c r="A773" s="1" t="s">
        <v>413</v>
      </c>
      <c r="B773" s="1" t="s">
        <v>620</v>
      </c>
      <c r="C773" s="1" t="s">
        <v>90</v>
      </c>
      <c r="D773">
        <v>15</v>
      </c>
      <c r="E773">
        <v>16</v>
      </c>
      <c r="F773" s="1" t="s">
        <v>48</v>
      </c>
      <c r="G773">
        <v>1.71</v>
      </c>
      <c r="H773">
        <v>1799</v>
      </c>
      <c r="I773" s="1" t="s">
        <v>40</v>
      </c>
      <c r="J773">
        <v>1920</v>
      </c>
      <c r="K773">
        <v>1080</v>
      </c>
      <c r="L773" s="1" t="s">
        <v>28</v>
      </c>
      <c r="M773" s="1" t="s">
        <v>27</v>
      </c>
      <c r="N773" s="1" t="s">
        <v>27</v>
      </c>
      <c r="O773" s="1" t="s">
        <v>29</v>
      </c>
      <c r="P773">
        <v>2.7</v>
      </c>
      <c r="Q773" s="1" t="s">
        <v>71</v>
      </c>
      <c r="R773" s="1" t="str">
        <f>_xlfn.CONCAT(laptop[[#This Row],[CPU_company]]," ",laptop[[#This Row],[CPU_model]])</f>
        <v>Intel Core i7 7500U</v>
      </c>
      <c r="S773">
        <v>256</v>
      </c>
      <c r="T773">
        <v>0</v>
      </c>
      <c r="U773">
        <f>laptop[[#This Row],[PrimaryStorage]]+laptop[[#This Row],[SecondaryStorage]]</f>
        <v>256</v>
      </c>
      <c r="V773" s="1" t="s">
        <v>31</v>
      </c>
      <c r="W773" s="1" t="s">
        <v>27</v>
      </c>
      <c r="X773" s="1" t="str">
        <f>IF(laptop[[#This Row],[PrimaryStorageType]]=laptop[[#This Row],[SecondaryStorageType]],laptop[[#This Row],[PrimaryStorageType]],"SSD &amp; HDD")</f>
        <v>SSD &amp; HDD</v>
      </c>
      <c r="Y773" s="1" t="s">
        <v>637</v>
      </c>
    </row>
    <row r="774" spans="1:25" x14ac:dyDescent="0.25">
      <c r="A774" s="1" t="s">
        <v>210</v>
      </c>
      <c r="B774" s="1" t="s">
        <v>638</v>
      </c>
      <c r="C774" s="1" t="s">
        <v>38</v>
      </c>
      <c r="D774">
        <v>14</v>
      </c>
      <c r="E774">
        <v>4</v>
      </c>
      <c r="F774" s="1" t="s">
        <v>48</v>
      </c>
      <c r="G774">
        <v>1.75</v>
      </c>
      <c r="H774">
        <v>1020</v>
      </c>
      <c r="I774" s="1" t="s">
        <v>26</v>
      </c>
      <c r="J774">
        <v>1366</v>
      </c>
      <c r="K774">
        <v>768</v>
      </c>
      <c r="L774" s="1" t="s">
        <v>27</v>
      </c>
      <c r="M774" s="1" t="s">
        <v>28</v>
      </c>
      <c r="N774" s="1" t="s">
        <v>27</v>
      </c>
      <c r="O774" s="1" t="s">
        <v>29</v>
      </c>
      <c r="P774">
        <v>2.2999999999999998</v>
      </c>
      <c r="Q774" s="1" t="s">
        <v>212</v>
      </c>
      <c r="R774" s="1" t="str">
        <f>_xlfn.CONCAT(laptop[[#This Row],[CPU_company]]," ",laptop[[#This Row],[CPU_model]])</f>
        <v>Intel Core i5 6200U</v>
      </c>
      <c r="S774">
        <v>128</v>
      </c>
      <c r="T774">
        <v>0</v>
      </c>
      <c r="U774">
        <f>laptop[[#This Row],[PrimaryStorage]]+laptop[[#This Row],[SecondaryStorage]]</f>
        <v>128</v>
      </c>
      <c r="V774" s="1" t="s">
        <v>31</v>
      </c>
      <c r="W774" s="1" t="s">
        <v>27</v>
      </c>
      <c r="X774" s="1" t="str">
        <f>IF(laptop[[#This Row],[PrimaryStorageType]]=laptop[[#This Row],[SecondaryStorageType]],laptop[[#This Row],[PrimaryStorageType]],"SSD &amp; HDD")</f>
        <v>SSD &amp; HDD</v>
      </c>
      <c r="Y774" s="1" t="s">
        <v>63</v>
      </c>
    </row>
    <row r="775" spans="1:25" x14ac:dyDescent="0.25">
      <c r="A775" s="1" t="s">
        <v>65</v>
      </c>
      <c r="B775" s="1" t="s">
        <v>222</v>
      </c>
      <c r="C775" s="1" t="s">
        <v>83</v>
      </c>
      <c r="D775">
        <v>15.6</v>
      </c>
      <c r="E775">
        <v>8</v>
      </c>
      <c r="F775" s="1" t="s">
        <v>48</v>
      </c>
      <c r="G775">
        <v>2.62</v>
      </c>
      <c r="H775">
        <v>1099</v>
      </c>
      <c r="I775" s="1" t="s">
        <v>40</v>
      </c>
      <c r="J775">
        <v>1920</v>
      </c>
      <c r="K775">
        <v>1080</v>
      </c>
      <c r="L775" s="1" t="s">
        <v>27</v>
      </c>
      <c r="M775" s="1" t="s">
        <v>27</v>
      </c>
      <c r="N775" s="1" t="s">
        <v>27</v>
      </c>
      <c r="O775" s="1" t="s">
        <v>29</v>
      </c>
      <c r="P775">
        <v>2.8</v>
      </c>
      <c r="Q775" s="1" t="s">
        <v>118</v>
      </c>
      <c r="R775" s="1" t="str">
        <f>_xlfn.CONCAT(laptop[[#This Row],[CPU_company]]," ",laptop[[#This Row],[CPU_model]])</f>
        <v>Intel Core i7 7700HQ</v>
      </c>
      <c r="S775">
        <v>1024</v>
      </c>
      <c r="T775">
        <v>0</v>
      </c>
      <c r="U775">
        <f>laptop[[#This Row],[PrimaryStorage]]+laptop[[#This Row],[SecondaryStorage]]</f>
        <v>1024</v>
      </c>
      <c r="V775" s="1" t="s">
        <v>51</v>
      </c>
      <c r="W775" s="1" t="s">
        <v>27</v>
      </c>
      <c r="X775" s="1" t="str">
        <f>IF(laptop[[#This Row],[PrimaryStorageType]]=laptop[[#This Row],[SecondaryStorageType]],laptop[[#This Row],[PrimaryStorageType]],"SSD &amp; HDD")</f>
        <v>SSD &amp; HDD</v>
      </c>
      <c r="Y775" s="1" t="s">
        <v>85</v>
      </c>
    </row>
    <row r="776" spans="1:25" x14ac:dyDescent="0.25">
      <c r="A776" s="1" t="s">
        <v>36</v>
      </c>
      <c r="B776" s="1" t="s">
        <v>639</v>
      </c>
      <c r="C776" s="1" t="s">
        <v>24</v>
      </c>
      <c r="D776">
        <v>12.5</v>
      </c>
      <c r="E776">
        <v>4</v>
      </c>
      <c r="F776" s="1" t="s">
        <v>48</v>
      </c>
      <c r="G776">
        <v>1.26</v>
      </c>
      <c r="H776">
        <v>1244</v>
      </c>
      <c r="I776" s="1" t="s">
        <v>26</v>
      </c>
      <c r="J776">
        <v>1366</v>
      </c>
      <c r="K776">
        <v>768</v>
      </c>
      <c r="L776" s="1" t="s">
        <v>27</v>
      </c>
      <c r="M776" s="1" t="s">
        <v>27</v>
      </c>
      <c r="N776" s="1" t="s">
        <v>27</v>
      </c>
      <c r="O776" s="1" t="s">
        <v>29</v>
      </c>
      <c r="P776">
        <v>2.2999999999999998</v>
      </c>
      <c r="Q776" s="1" t="s">
        <v>212</v>
      </c>
      <c r="R776" s="1" t="str">
        <f>_xlfn.CONCAT(laptop[[#This Row],[CPU_company]]," ",laptop[[#This Row],[CPU_model]])</f>
        <v>Intel Core i5 6200U</v>
      </c>
      <c r="S776">
        <v>256</v>
      </c>
      <c r="T776">
        <v>0</v>
      </c>
      <c r="U776">
        <f>laptop[[#This Row],[PrimaryStorage]]+laptop[[#This Row],[SecondaryStorage]]</f>
        <v>256</v>
      </c>
      <c r="V776" s="1" t="s">
        <v>31</v>
      </c>
      <c r="W776" s="1" t="s">
        <v>27</v>
      </c>
      <c r="X776" s="1" t="str">
        <f>IF(laptop[[#This Row],[PrimaryStorageType]]=laptop[[#This Row],[SecondaryStorageType]],laptop[[#This Row],[PrimaryStorageType]],"SSD &amp; HDD")</f>
        <v>SSD &amp; HDD</v>
      </c>
      <c r="Y776" s="1" t="s">
        <v>63</v>
      </c>
    </row>
    <row r="777" spans="1:25" x14ac:dyDescent="0.25">
      <c r="A777" s="1" t="s">
        <v>55</v>
      </c>
      <c r="B777" s="1" t="s">
        <v>640</v>
      </c>
      <c r="C777" s="1" t="s">
        <v>90</v>
      </c>
      <c r="D777">
        <v>15.6</v>
      </c>
      <c r="E777">
        <v>12</v>
      </c>
      <c r="F777" s="1" t="s">
        <v>48</v>
      </c>
      <c r="G777">
        <v>2.2999999999999998</v>
      </c>
      <c r="H777">
        <v>839</v>
      </c>
      <c r="I777" s="1" t="s">
        <v>40</v>
      </c>
      <c r="J777">
        <v>1920</v>
      </c>
      <c r="K777">
        <v>1080</v>
      </c>
      <c r="L777" s="1" t="s">
        <v>28</v>
      </c>
      <c r="M777" s="1" t="s">
        <v>27</v>
      </c>
      <c r="N777" s="1" t="s">
        <v>27</v>
      </c>
      <c r="O777" s="1" t="s">
        <v>29</v>
      </c>
      <c r="P777">
        <v>2.7</v>
      </c>
      <c r="Q777" s="1" t="s">
        <v>71</v>
      </c>
      <c r="R777" s="1" t="str">
        <f>_xlfn.CONCAT(laptop[[#This Row],[CPU_company]]," ",laptop[[#This Row],[CPU_model]])</f>
        <v>Intel Core i7 7500U</v>
      </c>
      <c r="S777">
        <v>2048</v>
      </c>
      <c r="T777">
        <v>0</v>
      </c>
      <c r="U777">
        <f>laptop[[#This Row],[PrimaryStorage]]+laptop[[#This Row],[SecondaryStorage]]</f>
        <v>2048</v>
      </c>
      <c r="V777" s="1" t="s">
        <v>51</v>
      </c>
      <c r="W777" s="1" t="s">
        <v>27</v>
      </c>
      <c r="X777" s="1" t="str">
        <f>IF(laptop[[#This Row],[PrimaryStorageType]]=laptop[[#This Row],[SecondaryStorageType]],laptop[[#This Row],[PrimaryStorageType]],"SSD &amp; HDD")</f>
        <v>SSD &amp; HDD</v>
      </c>
      <c r="Y777" s="1" t="s">
        <v>76</v>
      </c>
    </row>
    <row r="778" spans="1:25" x14ac:dyDescent="0.25">
      <c r="A778" s="1" t="s">
        <v>73</v>
      </c>
      <c r="B778" s="1" t="s">
        <v>641</v>
      </c>
      <c r="C778" s="1" t="s">
        <v>38</v>
      </c>
      <c r="D778">
        <v>15.6</v>
      </c>
      <c r="E778">
        <v>16</v>
      </c>
      <c r="F778" s="1" t="s">
        <v>480</v>
      </c>
      <c r="G778">
        <v>2.5</v>
      </c>
      <c r="H778">
        <v>2370</v>
      </c>
      <c r="I778" s="1" t="s">
        <v>215</v>
      </c>
      <c r="J778">
        <v>3840</v>
      </c>
      <c r="K778">
        <v>2160</v>
      </c>
      <c r="L778" s="1" t="s">
        <v>27</v>
      </c>
      <c r="M778" s="1" t="s">
        <v>27</v>
      </c>
      <c r="N778" s="1" t="s">
        <v>27</v>
      </c>
      <c r="O778" s="1" t="s">
        <v>29</v>
      </c>
      <c r="P778">
        <v>2.7</v>
      </c>
      <c r="Q778" s="1" t="s">
        <v>388</v>
      </c>
      <c r="R778" s="1" t="str">
        <f>_xlfn.CONCAT(laptop[[#This Row],[CPU_company]]," ",laptop[[#This Row],[CPU_model]])</f>
        <v>Intel Core i7 6820HQ</v>
      </c>
      <c r="S778">
        <v>512</v>
      </c>
      <c r="T778">
        <v>0</v>
      </c>
      <c r="U778">
        <f>laptop[[#This Row],[PrimaryStorage]]+laptop[[#This Row],[SecondaryStorage]]</f>
        <v>512</v>
      </c>
      <c r="V778" s="1" t="s">
        <v>31</v>
      </c>
      <c r="W778" s="1" t="s">
        <v>27</v>
      </c>
      <c r="X778" s="1" t="str">
        <f>IF(laptop[[#This Row],[PrimaryStorageType]]=laptop[[#This Row],[SecondaryStorageType]],laptop[[#This Row],[PrimaryStorageType]],"SSD &amp; HDD")</f>
        <v>SSD &amp; HDD</v>
      </c>
      <c r="Y778" s="1" t="s">
        <v>623</v>
      </c>
    </row>
    <row r="779" spans="1:25" x14ac:dyDescent="0.25">
      <c r="A779" s="1" t="s">
        <v>46</v>
      </c>
      <c r="B779" s="1" t="s">
        <v>59</v>
      </c>
      <c r="C779" s="1" t="s">
        <v>38</v>
      </c>
      <c r="D779">
        <v>14</v>
      </c>
      <c r="E779">
        <v>4</v>
      </c>
      <c r="F779" s="1" t="s">
        <v>48</v>
      </c>
      <c r="G779">
        <v>1.8</v>
      </c>
      <c r="H779">
        <v>636</v>
      </c>
      <c r="I779" s="1" t="s">
        <v>40</v>
      </c>
      <c r="J779">
        <v>1920</v>
      </c>
      <c r="K779">
        <v>1080</v>
      </c>
      <c r="L779" s="1" t="s">
        <v>27</v>
      </c>
      <c r="M779" s="1" t="s">
        <v>28</v>
      </c>
      <c r="N779" s="1" t="s">
        <v>27</v>
      </c>
      <c r="O779" s="1" t="s">
        <v>29</v>
      </c>
      <c r="P779">
        <v>2.4</v>
      </c>
      <c r="Q779" s="1" t="s">
        <v>75</v>
      </c>
      <c r="R779" s="1" t="str">
        <f>_xlfn.CONCAT(laptop[[#This Row],[CPU_company]]," ",laptop[[#This Row],[CPU_model]])</f>
        <v>Intel Core i3 7100U</v>
      </c>
      <c r="S779">
        <v>128</v>
      </c>
      <c r="T779">
        <v>0</v>
      </c>
      <c r="U779">
        <f>laptop[[#This Row],[PrimaryStorage]]+laptop[[#This Row],[SecondaryStorage]]</f>
        <v>128</v>
      </c>
      <c r="V779" s="1" t="s">
        <v>31</v>
      </c>
      <c r="W779" s="1" t="s">
        <v>27</v>
      </c>
      <c r="X779" s="1" t="str">
        <f>IF(laptop[[#This Row],[PrimaryStorageType]]=laptop[[#This Row],[SecondaryStorageType]],laptop[[#This Row],[PrimaryStorageType]],"SSD &amp; HDD")</f>
        <v>SSD &amp; HDD</v>
      </c>
      <c r="Y779" s="1" t="s">
        <v>42</v>
      </c>
    </row>
    <row r="780" spans="1:25" x14ac:dyDescent="0.25">
      <c r="A780" s="1" t="s">
        <v>256</v>
      </c>
      <c r="B780" s="1" t="s">
        <v>257</v>
      </c>
      <c r="C780" s="1" t="s">
        <v>83</v>
      </c>
      <c r="D780">
        <v>14</v>
      </c>
      <c r="E780">
        <v>16</v>
      </c>
      <c r="F780" s="1" t="s">
        <v>48</v>
      </c>
      <c r="G780">
        <v>1.95</v>
      </c>
      <c r="H780">
        <v>2899</v>
      </c>
      <c r="I780" s="1" t="s">
        <v>40</v>
      </c>
      <c r="J780">
        <v>1920</v>
      </c>
      <c r="K780">
        <v>1080</v>
      </c>
      <c r="L780" s="1" t="s">
        <v>27</v>
      </c>
      <c r="M780" s="1" t="s">
        <v>27</v>
      </c>
      <c r="N780" s="1" t="s">
        <v>27</v>
      </c>
      <c r="O780" s="1" t="s">
        <v>29</v>
      </c>
      <c r="P780">
        <v>2.8</v>
      </c>
      <c r="Q780" s="1" t="s">
        <v>118</v>
      </c>
      <c r="R780" s="1" t="str">
        <f>_xlfn.CONCAT(laptop[[#This Row],[CPU_company]]," ",laptop[[#This Row],[CPU_model]])</f>
        <v>Intel Core i7 7700HQ</v>
      </c>
      <c r="S780">
        <v>512</v>
      </c>
      <c r="T780">
        <v>0</v>
      </c>
      <c r="U780">
        <f>laptop[[#This Row],[PrimaryStorage]]+laptop[[#This Row],[SecondaryStorage]]</f>
        <v>512</v>
      </c>
      <c r="V780" s="1" t="s">
        <v>31</v>
      </c>
      <c r="W780" s="1" t="s">
        <v>27</v>
      </c>
      <c r="X780" s="1" t="str">
        <f>IF(laptop[[#This Row],[PrimaryStorageType]]=laptop[[#This Row],[SecondaryStorageType]],laptop[[#This Row],[PrimaryStorageType]],"SSD &amp; HDD")</f>
        <v>SSD &amp; HDD</v>
      </c>
      <c r="Y780" s="1" t="s">
        <v>119</v>
      </c>
    </row>
    <row r="781" spans="1:25" x14ac:dyDescent="0.25">
      <c r="A781" s="1" t="s">
        <v>55</v>
      </c>
      <c r="B781" s="1" t="s">
        <v>642</v>
      </c>
      <c r="C781" s="1" t="s">
        <v>38</v>
      </c>
      <c r="D781">
        <v>15.6</v>
      </c>
      <c r="E781">
        <v>8</v>
      </c>
      <c r="F781" s="1" t="s">
        <v>48</v>
      </c>
      <c r="G781">
        <v>2</v>
      </c>
      <c r="H781">
        <v>581.9</v>
      </c>
      <c r="I781" s="1" t="s">
        <v>26</v>
      </c>
      <c r="J781">
        <v>1920</v>
      </c>
      <c r="K781">
        <v>1080</v>
      </c>
      <c r="L781" s="1" t="s">
        <v>27</v>
      </c>
      <c r="M781" s="1" t="s">
        <v>27</v>
      </c>
      <c r="N781" s="1" t="s">
        <v>27</v>
      </c>
      <c r="O781" s="1" t="s">
        <v>29</v>
      </c>
      <c r="P781">
        <v>1.1000000000000001</v>
      </c>
      <c r="Q781" s="1" t="s">
        <v>643</v>
      </c>
      <c r="R781" s="1" t="str">
        <f>_xlfn.CONCAT(laptop[[#This Row],[CPU_company]]," ",laptop[[#This Row],[CPU_model]])</f>
        <v>Intel Pentium Dual Core N4200</v>
      </c>
      <c r="S781">
        <v>128</v>
      </c>
      <c r="T781">
        <v>0</v>
      </c>
      <c r="U781">
        <f>laptop[[#This Row],[PrimaryStorage]]+laptop[[#This Row],[SecondaryStorage]]</f>
        <v>128</v>
      </c>
      <c r="V781" s="1" t="s">
        <v>31</v>
      </c>
      <c r="W781" s="1" t="s">
        <v>27</v>
      </c>
      <c r="X781" s="1" t="str">
        <f>IF(laptop[[#This Row],[PrimaryStorageType]]=laptop[[#This Row],[SecondaryStorageType]],laptop[[#This Row],[PrimaryStorageType]],"SSD &amp; HDD")</f>
        <v>SSD &amp; HDD</v>
      </c>
      <c r="Y781" s="1" t="s">
        <v>237</v>
      </c>
    </row>
    <row r="782" spans="1:25" x14ac:dyDescent="0.25">
      <c r="A782" s="1" t="s">
        <v>65</v>
      </c>
      <c r="B782" s="1" t="s">
        <v>275</v>
      </c>
      <c r="C782" s="1" t="s">
        <v>83</v>
      </c>
      <c r="D782">
        <v>17.3</v>
      </c>
      <c r="E782">
        <v>32</v>
      </c>
      <c r="F782" s="1" t="s">
        <v>48</v>
      </c>
      <c r="G782">
        <v>4.42</v>
      </c>
      <c r="H782">
        <v>3588.8</v>
      </c>
      <c r="I782" s="1" t="s">
        <v>40</v>
      </c>
      <c r="J782">
        <v>1920</v>
      </c>
      <c r="K782">
        <v>1080</v>
      </c>
      <c r="L782" s="1" t="s">
        <v>27</v>
      </c>
      <c r="M782" s="1" t="s">
        <v>28</v>
      </c>
      <c r="N782" s="1" t="s">
        <v>27</v>
      </c>
      <c r="O782" s="1" t="s">
        <v>29</v>
      </c>
      <c r="P782">
        <v>2.8</v>
      </c>
      <c r="Q782" s="1" t="s">
        <v>118</v>
      </c>
      <c r="R782" s="1" t="str">
        <f>_xlfn.CONCAT(laptop[[#This Row],[CPU_company]]," ",laptop[[#This Row],[CPU_model]])</f>
        <v>Intel Core i7 7700HQ</v>
      </c>
      <c r="S782">
        <v>1024</v>
      </c>
      <c r="T782">
        <v>1024</v>
      </c>
      <c r="U782">
        <f>laptop[[#This Row],[PrimaryStorage]]+laptop[[#This Row],[SecondaryStorage]]</f>
        <v>2048</v>
      </c>
      <c r="V782" s="1" t="s">
        <v>31</v>
      </c>
      <c r="W782" s="1" t="s">
        <v>51</v>
      </c>
      <c r="X782" s="1" t="str">
        <f>IF(laptop[[#This Row],[PrimaryStorageType]]=laptop[[#This Row],[SecondaryStorageType]],laptop[[#This Row],[PrimaryStorageType]],"SSD &amp; HDD")</f>
        <v>SSD &amp; HDD</v>
      </c>
      <c r="Y782" s="1" t="s">
        <v>644</v>
      </c>
    </row>
    <row r="783" spans="1:25" x14ac:dyDescent="0.25">
      <c r="A783" s="1" t="s">
        <v>55</v>
      </c>
      <c r="B783" s="1" t="s">
        <v>645</v>
      </c>
      <c r="C783" s="1" t="s">
        <v>83</v>
      </c>
      <c r="D783">
        <v>17.3</v>
      </c>
      <c r="E783">
        <v>16</v>
      </c>
      <c r="F783" s="1" t="s">
        <v>48</v>
      </c>
      <c r="G783">
        <v>4.3</v>
      </c>
      <c r="H783">
        <v>2350</v>
      </c>
      <c r="I783" s="1" t="s">
        <v>40</v>
      </c>
      <c r="J783">
        <v>1920</v>
      </c>
      <c r="K783">
        <v>1080</v>
      </c>
      <c r="L783" s="1" t="s">
        <v>27</v>
      </c>
      <c r="M783" s="1" t="s">
        <v>28</v>
      </c>
      <c r="N783" s="1" t="s">
        <v>27</v>
      </c>
      <c r="O783" s="1" t="s">
        <v>29</v>
      </c>
      <c r="P783">
        <v>2.6</v>
      </c>
      <c r="Q783" s="1" t="s">
        <v>447</v>
      </c>
      <c r="R783" s="1" t="str">
        <f>_xlfn.CONCAT(laptop[[#This Row],[CPU_company]]," ",laptop[[#This Row],[CPU_model]])</f>
        <v>Intel Core i7 6700HQ</v>
      </c>
      <c r="S783">
        <v>256</v>
      </c>
      <c r="T783">
        <v>1024</v>
      </c>
      <c r="U783">
        <f>laptop[[#This Row],[PrimaryStorage]]+laptop[[#This Row],[SecondaryStorage]]</f>
        <v>1280</v>
      </c>
      <c r="V783" s="1" t="s">
        <v>31</v>
      </c>
      <c r="W783" s="1" t="s">
        <v>51</v>
      </c>
      <c r="X783" s="1" t="str">
        <f>IF(laptop[[#This Row],[PrimaryStorageType]]=laptop[[#This Row],[SecondaryStorageType]],laptop[[#This Row],[PrimaryStorageType]],"SSD &amp; HDD")</f>
        <v>SSD &amp; HDD</v>
      </c>
      <c r="Y783" s="1" t="s">
        <v>143</v>
      </c>
    </row>
    <row r="784" spans="1:25" x14ac:dyDescent="0.25">
      <c r="A784" s="1" t="s">
        <v>210</v>
      </c>
      <c r="B784" s="1" t="s">
        <v>646</v>
      </c>
      <c r="C784" s="1" t="s">
        <v>24</v>
      </c>
      <c r="D784">
        <v>14</v>
      </c>
      <c r="E784">
        <v>16</v>
      </c>
      <c r="F784" s="1" t="s">
        <v>48</v>
      </c>
      <c r="G784">
        <v>1.47</v>
      </c>
      <c r="H784">
        <v>1764</v>
      </c>
      <c r="I784" s="1" t="s">
        <v>40</v>
      </c>
      <c r="J784">
        <v>1920</v>
      </c>
      <c r="K784">
        <v>1080</v>
      </c>
      <c r="L784" s="1" t="s">
        <v>27</v>
      </c>
      <c r="M784" s="1" t="s">
        <v>28</v>
      </c>
      <c r="N784" s="1" t="s">
        <v>27</v>
      </c>
      <c r="O784" s="1" t="s">
        <v>29</v>
      </c>
      <c r="P784">
        <v>2.6</v>
      </c>
      <c r="Q784" s="1" t="s">
        <v>309</v>
      </c>
      <c r="R784" s="1" t="str">
        <f>_xlfn.CONCAT(laptop[[#This Row],[CPU_company]]," ",laptop[[#This Row],[CPU_model]])</f>
        <v>Intel Core i7 6600U</v>
      </c>
      <c r="S784">
        <v>512</v>
      </c>
      <c r="T784">
        <v>0</v>
      </c>
      <c r="U784">
        <f>laptop[[#This Row],[PrimaryStorage]]+laptop[[#This Row],[SecondaryStorage]]</f>
        <v>512</v>
      </c>
      <c r="V784" s="1" t="s">
        <v>31</v>
      </c>
      <c r="W784" s="1" t="s">
        <v>27</v>
      </c>
      <c r="X784" s="1" t="str">
        <f>IF(laptop[[#This Row],[PrimaryStorageType]]=laptop[[#This Row],[SecondaryStorageType]],laptop[[#This Row],[PrimaryStorageType]],"SSD &amp; HDD")</f>
        <v>SSD &amp; HDD</v>
      </c>
      <c r="Y784" s="1" t="s">
        <v>310</v>
      </c>
    </row>
    <row r="785" spans="1:25" x14ac:dyDescent="0.25">
      <c r="A785" s="1" t="s">
        <v>73</v>
      </c>
      <c r="B785" s="1" t="s">
        <v>647</v>
      </c>
      <c r="C785" s="1" t="s">
        <v>38</v>
      </c>
      <c r="D785">
        <v>15.6</v>
      </c>
      <c r="E785">
        <v>8</v>
      </c>
      <c r="F785" s="1" t="s">
        <v>39</v>
      </c>
      <c r="G785">
        <v>2.2000000000000002</v>
      </c>
      <c r="H785">
        <v>329</v>
      </c>
      <c r="I785" s="1" t="s">
        <v>26</v>
      </c>
      <c r="J785">
        <v>1366</v>
      </c>
      <c r="K785">
        <v>768</v>
      </c>
      <c r="L785" s="1" t="s">
        <v>27</v>
      </c>
      <c r="M785" s="1" t="s">
        <v>27</v>
      </c>
      <c r="N785" s="1" t="s">
        <v>27</v>
      </c>
      <c r="O785" s="1" t="s">
        <v>29</v>
      </c>
      <c r="P785">
        <v>1.6</v>
      </c>
      <c r="Q785" s="1" t="s">
        <v>648</v>
      </c>
      <c r="R785" s="1" t="str">
        <f>_xlfn.CONCAT(laptop[[#This Row],[CPU_company]]," ",laptop[[#This Row],[CPU_model]])</f>
        <v>Intel Celeron Quad Core N3710</v>
      </c>
      <c r="S785">
        <v>1024</v>
      </c>
      <c r="T785">
        <v>0</v>
      </c>
      <c r="U785">
        <f>laptop[[#This Row],[PrimaryStorage]]+laptop[[#This Row],[SecondaryStorage]]</f>
        <v>1024</v>
      </c>
      <c r="V785" s="1" t="s">
        <v>51</v>
      </c>
      <c r="W785" s="1" t="s">
        <v>27</v>
      </c>
      <c r="X785" s="1" t="str">
        <f>IF(laptop[[#This Row],[PrimaryStorageType]]=laptop[[#This Row],[SecondaryStorageType]],laptop[[#This Row],[PrimaryStorageType]],"SSD &amp; HDD")</f>
        <v>SSD &amp; HDD</v>
      </c>
      <c r="Y785" s="1" t="s">
        <v>347</v>
      </c>
    </row>
    <row r="786" spans="1:25" x14ac:dyDescent="0.25">
      <c r="A786" s="1" t="s">
        <v>73</v>
      </c>
      <c r="B786" s="1" t="s">
        <v>424</v>
      </c>
      <c r="C786" s="1" t="s">
        <v>24</v>
      </c>
      <c r="D786">
        <v>14</v>
      </c>
      <c r="E786">
        <v>16</v>
      </c>
      <c r="F786" s="1" t="s">
        <v>48</v>
      </c>
      <c r="G786">
        <v>1.7</v>
      </c>
      <c r="H786">
        <v>2299</v>
      </c>
      <c r="I786" s="1" t="s">
        <v>40</v>
      </c>
      <c r="J786">
        <v>1920</v>
      </c>
      <c r="K786">
        <v>1080</v>
      </c>
      <c r="L786" s="1" t="s">
        <v>27</v>
      </c>
      <c r="M786" s="1" t="s">
        <v>27</v>
      </c>
      <c r="N786" s="1" t="s">
        <v>27</v>
      </c>
      <c r="O786" s="1" t="s">
        <v>29</v>
      </c>
      <c r="P786">
        <v>2.7</v>
      </c>
      <c r="Q786" s="1" t="s">
        <v>71</v>
      </c>
      <c r="R786" s="1" t="str">
        <f>_xlfn.CONCAT(laptop[[#This Row],[CPU_company]]," ",laptop[[#This Row],[CPU_model]])</f>
        <v>Intel Core i7 7500U</v>
      </c>
      <c r="S786">
        <v>512</v>
      </c>
      <c r="T786">
        <v>0</v>
      </c>
      <c r="U786">
        <f>laptop[[#This Row],[PrimaryStorage]]+laptop[[#This Row],[SecondaryStorage]]</f>
        <v>512</v>
      </c>
      <c r="V786" s="1" t="s">
        <v>31</v>
      </c>
      <c r="W786" s="1" t="s">
        <v>27</v>
      </c>
      <c r="X786" s="1" t="str">
        <f>IF(laptop[[#This Row],[PrimaryStorageType]]=laptop[[#This Row],[SecondaryStorageType]],laptop[[#This Row],[PrimaryStorageType]],"SSD &amp; HDD")</f>
        <v>SSD &amp; HDD</v>
      </c>
      <c r="Y786" s="1" t="s">
        <v>42</v>
      </c>
    </row>
    <row r="787" spans="1:25" x14ac:dyDescent="0.25">
      <c r="A787" s="1" t="s">
        <v>141</v>
      </c>
      <c r="B787" s="1" t="s">
        <v>649</v>
      </c>
      <c r="C787" s="1" t="s">
        <v>83</v>
      </c>
      <c r="D787">
        <v>14</v>
      </c>
      <c r="E787">
        <v>16</v>
      </c>
      <c r="F787" s="1" t="s">
        <v>48</v>
      </c>
      <c r="G787">
        <v>1.6</v>
      </c>
      <c r="H787">
        <v>1891</v>
      </c>
      <c r="I787" s="1" t="s">
        <v>40</v>
      </c>
      <c r="J787">
        <v>1920</v>
      </c>
      <c r="K787">
        <v>1080</v>
      </c>
      <c r="L787" s="1" t="s">
        <v>27</v>
      </c>
      <c r="M787" s="1" t="s">
        <v>28</v>
      </c>
      <c r="N787" s="1" t="s">
        <v>27</v>
      </c>
      <c r="O787" s="1" t="s">
        <v>29</v>
      </c>
      <c r="P787">
        <v>2.8</v>
      </c>
      <c r="Q787" s="1" t="s">
        <v>118</v>
      </c>
      <c r="R787" s="1" t="str">
        <f>_xlfn.CONCAT(laptop[[#This Row],[CPU_company]]," ",laptop[[#This Row],[CPU_model]])</f>
        <v>Intel Core i7 7700HQ</v>
      </c>
      <c r="S787">
        <v>256</v>
      </c>
      <c r="T787">
        <v>1024</v>
      </c>
      <c r="U787">
        <f>laptop[[#This Row],[PrimaryStorage]]+laptop[[#This Row],[SecondaryStorage]]</f>
        <v>1280</v>
      </c>
      <c r="V787" s="1" t="s">
        <v>31</v>
      </c>
      <c r="W787" s="1" t="s">
        <v>51</v>
      </c>
      <c r="X787" s="1" t="str">
        <f>IF(laptop[[#This Row],[PrimaryStorageType]]=laptop[[#This Row],[SecondaryStorageType]],laptop[[#This Row],[PrimaryStorageType]],"SSD &amp; HDD")</f>
        <v>SSD &amp; HDD</v>
      </c>
      <c r="Y787" s="1" t="s">
        <v>119</v>
      </c>
    </row>
    <row r="788" spans="1:25" x14ac:dyDescent="0.25">
      <c r="A788" s="1" t="s">
        <v>141</v>
      </c>
      <c r="B788" s="1" t="s">
        <v>650</v>
      </c>
      <c r="C788" s="1" t="s">
        <v>83</v>
      </c>
      <c r="D788">
        <v>15.6</v>
      </c>
      <c r="E788">
        <v>8</v>
      </c>
      <c r="F788" s="1" t="s">
        <v>48</v>
      </c>
      <c r="G788">
        <v>2.2000000000000002</v>
      </c>
      <c r="H788">
        <v>1089</v>
      </c>
      <c r="I788" s="1" t="s">
        <v>40</v>
      </c>
      <c r="J788">
        <v>1920</v>
      </c>
      <c r="K788">
        <v>1080</v>
      </c>
      <c r="L788" s="1" t="s">
        <v>27</v>
      </c>
      <c r="M788" s="1" t="s">
        <v>27</v>
      </c>
      <c r="N788" s="1" t="s">
        <v>27</v>
      </c>
      <c r="O788" s="1" t="s">
        <v>29</v>
      </c>
      <c r="P788">
        <v>2.5</v>
      </c>
      <c r="Q788" s="1" t="s">
        <v>84</v>
      </c>
      <c r="R788" s="1" t="str">
        <f>_xlfn.CONCAT(laptop[[#This Row],[CPU_company]]," ",laptop[[#This Row],[CPU_model]])</f>
        <v>Intel Core i5 7300HQ</v>
      </c>
      <c r="S788">
        <v>128</v>
      </c>
      <c r="T788">
        <v>1024</v>
      </c>
      <c r="U788">
        <f>laptop[[#This Row],[PrimaryStorage]]+laptop[[#This Row],[SecondaryStorage]]</f>
        <v>1152</v>
      </c>
      <c r="V788" s="1" t="s">
        <v>31</v>
      </c>
      <c r="W788" s="1" t="s">
        <v>51</v>
      </c>
      <c r="X788" s="1" t="str">
        <f>IF(laptop[[#This Row],[PrimaryStorageType]]=laptop[[#This Row],[SecondaryStorageType]],laptop[[#This Row],[PrimaryStorageType]],"SSD &amp; HDD")</f>
        <v>SSD &amp; HDD</v>
      </c>
      <c r="Y788" s="1" t="s">
        <v>85</v>
      </c>
    </row>
    <row r="789" spans="1:25" x14ac:dyDescent="0.25">
      <c r="A789" s="1" t="s">
        <v>73</v>
      </c>
      <c r="B789" s="1" t="s">
        <v>82</v>
      </c>
      <c r="C789" s="1" t="s">
        <v>83</v>
      </c>
      <c r="D789">
        <v>15.6</v>
      </c>
      <c r="E789">
        <v>4</v>
      </c>
      <c r="F789" s="1" t="s">
        <v>48</v>
      </c>
      <c r="G789">
        <v>2.4</v>
      </c>
      <c r="H789">
        <v>999</v>
      </c>
      <c r="I789" s="1" t="s">
        <v>40</v>
      </c>
      <c r="J789">
        <v>1920</v>
      </c>
      <c r="K789">
        <v>1080</v>
      </c>
      <c r="L789" s="1" t="s">
        <v>27</v>
      </c>
      <c r="M789" s="1" t="s">
        <v>28</v>
      </c>
      <c r="N789" s="1" t="s">
        <v>27</v>
      </c>
      <c r="O789" s="1" t="s">
        <v>29</v>
      </c>
      <c r="P789">
        <v>2.8</v>
      </c>
      <c r="Q789" s="1" t="s">
        <v>118</v>
      </c>
      <c r="R789" s="1" t="str">
        <f>_xlfn.CONCAT(laptop[[#This Row],[CPU_company]]," ",laptop[[#This Row],[CPU_model]])</f>
        <v>Intel Core i7 7700HQ</v>
      </c>
      <c r="S789">
        <v>1024</v>
      </c>
      <c r="T789">
        <v>0</v>
      </c>
      <c r="U789">
        <f>laptop[[#This Row],[PrimaryStorage]]+laptop[[#This Row],[SecondaryStorage]]</f>
        <v>1024</v>
      </c>
      <c r="V789" s="1" t="s">
        <v>51</v>
      </c>
      <c r="W789" s="1" t="s">
        <v>27</v>
      </c>
      <c r="X789" s="1" t="str">
        <f>IF(laptop[[#This Row],[PrimaryStorageType]]=laptop[[#This Row],[SecondaryStorageType]],laptop[[#This Row],[PrimaryStorageType]],"SSD &amp; HDD")</f>
        <v>SSD &amp; HDD</v>
      </c>
      <c r="Y789" s="1" t="s">
        <v>85</v>
      </c>
    </row>
    <row r="790" spans="1:25" x14ac:dyDescent="0.25">
      <c r="A790" s="1" t="s">
        <v>46</v>
      </c>
      <c r="B790" s="1" t="s">
        <v>651</v>
      </c>
      <c r="C790" s="1" t="s">
        <v>83</v>
      </c>
      <c r="D790">
        <v>17.3</v>
      </c>
      <c r="E790">
        <v>16</v>
      </c>
      <c r="F790" s="1" t="s">
        <v>48</v>
      </c>
      <c r="G790">
        <v>4.2</v>
      </c>
      <c r="H790">
        <v>2299</v>
      </c>
      <c r="I790" s="1" t="s">
        <v>40</v>
      </c>
      <c r="J790">
        <v>1920</v>
      </c>
      <c r="K790">
        <v>1080</v>
      </c>
      <c r="L790" s="1" t="s">
        <v>27</v>
      </c>
      <c r="M790" s="1" t="s">
        <v>28</v>
      </c>
      <c r="N790" s="1" t="s">
        <v>27</v>
      </c>
      <c r="O790" s="1" t="s">
        <v>29</v>
      </c>
      <c r="P790">
        <v>2.8</v>
      </c>
      <c r="Q790" s="1" t="s">
        <v>118</v>
      </c>
      <c r="R790" s="1" t="str">
        <f>_xlfn.CONCAT(laptop[[#This Row],[CPU_company]]," ",laptop[[#This Row],[CPU_model]])</f>
        <v>Intel Core i7 7700HQ</v>
      </c>
      <c r="S790">
        <v>256</v>
      </c>
      <c r="T790">
        <v>1024</v>
      </c>
      <c r="U790">
        <f>laptop[[#This Row],[PrimaryStorage]]+laptop[[#This Row],[SecondaryStorage]]</f>
        <v>1280</v>
      </c>
      <c r="V790" s="1" t="s">
        <v>31</v>
      </c>
      <c r="W790" s="1" t="s">
        <v>51</v>
      </c>
      <c r="X790" s="1" t="str">
        <f>IF(laptop[[#This Row],[PrimaryStorageType]]=laptop[[#This Row],[SecondaryStorageType]],laptop[[#This Row],[PrimaryStorageType]],"SSD &amp; HDD")</f>
        <v>SSD &amp; HDD</v>
      </c>
      <c r="Y790" s="1" t="s">
        <v>119</v>
      </c>
    </row>
    <row r="791" spans="1:25" x14ac:dyDescent="0.25">
      <c r="A791" s="1" t="s">
        <v>65</v>
      </c>
      <c r="B791" s="1" t="s">
        <v>222</v>
      </c>
      <c r="C791" s="1" t="s">
        <v>83</v>
      </c>
      <c r="D791">
        <v>15.6</v>
      </c>
      <c r="E791">
        <v>8</v>
      </c>
      <c r="F791" s="1" t="s">
        <v>48</v>
      </c>
      <c r="G791">
        <v>2.62</v>
      </c>
      <c r="H791">
        <v>985</v>
      </c>
      <c r="I791" s="1" t="s">
        <v>40</v>
      </c>
      <c r="J791">
        <v>1920</v>
      </c>
      <c r="K791">
        <v>1080</v>
      </c>
      <c r="L791" s="1" t="s">
        <v>27</v>
      </c>
      <c r="M791" s="1" t="s">
        <v>27</v>
      </c>
      <c r="N791" s="1" t="s">
        <v>27</v>
      </c>
      <c r="O791" s="1" t="s">
        <v>29</v>
      </c>
      <c r="P791">
        <v>2.5</v>
      </c>
      <c r="Q791" s="1" t="s">
        <v>84</v>
      </c>
      <c r="R791" s="1" t="str">
        <f>_xlfn.CONCAT(laptop[[#This Row],[CPU_company]]," ",laptop[[#This Row],[CPU_model]])</f>
        <v>Intel Core i5 7300HQ</v>
      </c>
      <c r="S791">
        <v>256</v>
      </c>
      <c r="T791">
        <v>0</v>
      </c>
      <c r="U791">
        <f>laptop[[#This Row],[PrimaryStorage]]+laptop[[#This Row],[SecondaryStorage]]</f>
        <v>256</v>
      </c>
      <c r="V791" s="1" t="s">
        <v>31</v>
      </c>
      <c r="W791" s="1" t="s">
        <v>27</v>
      </c>
      <c r="X791" s="1" t="str">
        <f>IF(laptop[[#This Row],[PrimaryStorageType]]=laptop[[#This Row],[SecondaryStorageType]],laptop[[#This Row],[PrimaryStorageType]],"SSD &amp; HDD")</f>
        <v>SSD &amp; HDD</v>
      </c>
      <c r="Y791" s="1" t="s">
        <v>85</v>
      </c>
    </row>
    <row r="792" spans="1:25" x14ac:dyDescent="0.25">
      <c r="A792" s="1" t="s">
        <v>55</v>
      </c>
      <c r="B792" s="1" t="s">
        <v>652</v>
      </c>
      <c r="C792" s="1" t="s">
        <v>83</v>
      </c>
      <c r="D792">
        <v>15.6</v>
      </c>
      <c r="E792">
        <v>8</v>
      </c>
      <c r="F792" s="1" t="s">
        <v>48</v>
      </c>
      <c r="G792">
        <v>2.2400000000000002</v>
      </c>
      <c r="H792">
        <v>1339</v>
      </c>
      <c r="I792" s="1" t="s">
        <v>40</v>
      </c>
      <c r="J792">
        <v>1920</v>
      </c>
      <c r="K792">
        <v>1080</v>
      </c>
      <c r="L792" s="1" t="s">
        <v>27</v>
      </c>
      <c r="M792" s="1" t="s">
        <v>27</v>
      </c>
      <c r="N792" s="1" t="s">
        <v>27</v>
      </c>
      <c r="O792" s="1" t="s">
        <v>29</v>
      </c>
      <c r="P792">
        <v>2.8</v>
      </c>
      <c r="Q792" s="1" t="s">
        <v>118</v>
      </c>
      <c r="R792" s="1" t="str">
        <f>_xlfn.CONCAT(laptop[[#This Row],[CPU_company]]," ",laptop[[#This Row],[CPU_model]])</f>
        <v>Intel Core i7 7700HQ</v>
      </c>
      <c r="S792">
        <v>128</v>
      </c>
      <c r="T792">
        <v>1024</v>
      </c>
      <c r="U792">
        <f>laptop[[#This Row],[PrimaryStorage]]+laptop[[#This Row],[SecondaryStorage]]</f>
        <v>1152</v>
      </c>
      <c r="V792" s="1" t="s">
        <v>31</v>
      </c>
      <c r="W792" s="1" t="s">
        <v>51</v>
      </c>
      <c r="X792" s="1" t="str">
        <f>IF(laptop[[#This Row],[PrimaryStorageType]]=laptop[[#This Row],[SecondaryStorageType]],laptop[[#This Row],[PrimaryStorageType]],"SSD &amp; HDD")</f>
        <v>SSD &amp; HDD</v>
      </c>
      <c r="Y792" s="1" t="s">
        <v>653</v>
      </c>
    </row>
    <row r="793" spans="1:25" x14ac:dyDescent="0.25">
      <c r="A793" s="1" t="s">
        <v>253</v>
      </c>
      <c r="B793" s="1" t="s">
        <v>654</v>
      </c>
      <c r="C793" s="1" t="s">
        <v>38</v>
      </c>
      <c r="D793">
        <v>14</v>
      </c>
      <c r="E793">
        <v>4</v>
      </c>
      <c r="F793" s="1" t="s">
        <v>48</v>
      </c>
      <c r="G793">
        <v>1.22</v>
      </c>
      <c r="H793">
        <v>202.9</v>
      </c>
      <c r="I793" s="1" t="s">
        <v>26</v>
      </c>
      <c r="J793">
        <v>1920</v>
      </c>
      <c r="K793">
        <v>1080</v>
      </c>
      <c r="L793" s="1" t="s">
        <v>27</v>
      </c>
      <c r="M793" s="1" t="s">
        <v>27</v>
      </c>
      <c r="N793" s="1" t="s">
        <v>27</v>
      </c>
      <c r="O793" s="1" t="s">
        <v>29</v>
      </c>
      <c r="P793">
        <v>1.1000000000000001</v>
      </c>
      <c r="Q793" s="1" t="s">
        <v>109</v>
      </c>
      <c r="R793" s="1" t="str">
        <f>_xlfn.CONCAT(laptop[[#This Row],[CPU_company]]," ",laptop[[#This Row],[CPU_model]])</f>
        <v>Intel Celeron Dual Core N3350</v>
      </c>
      <c r="S793">
        <v>32</v>
      </c>
      <c r="T793">
        <v>0</v>
      </c>
      <c r="U793">
        <f>laptop[[#This Row],[PrimaryStorage]]+laptop[[#This Row],[SecondaryStorage]]</f>
        <v>32</v>
      </c>
      <c r="V793" s="1" t="s">
        <v>34</v>
      </c>
      <c r="W793" s="1" t="s">
        <v>27</v>
      </c>
      <c r="X793" s="1" t="str">
        <f>IF(laptop[[#This Row],[PrimaryStorageType]]=laptop[[#This Row],[SecondaryStorageType]],laptop[[#This Row],[PrimaryStorageType]],"SSD &amp; HDD")</f>
        <v>SSD &amp; HDD</v>
      </c>
      <c r="Y793" s="1" t="s">
        <v>110</v>
      </c>
    </row>
    <row r="794" spans="1:25" x14ac:dyDescent="0.25">
      <c r="A794" s="1" t="s">
        <v>73</v>
      </c>
      <c r="B794" s="1" t="s">
        <v>190</v>
      </c>
      <c r="C794" s="1" t="s">
        <v>90</v>
      </c>
      <c r="D794">
        <v>13.3</v>
      </c>
      <c r="E794">
        <v>8</v>
      </c>
      <c r="F794" s="1" t="s">
        <v>48</v>
      </c>
      <c r="G794">
        <v>1.37</v>
      </c>
      <c r="H794">
        <v>1970</v>
      </c>
      <c r="I794" s="1" t="s">
        <v>40</v>
      </c>
      <c r="J794">
        <v>1920</v>
      </c>
      <c r="K794">
        <v>1080</v>
      </c>
      <c r="L794" s="1" t="s">
        <v>28</v>
      </c>
      <c r="M794" s="1" t="s">
        <v>28</v>
      </c>
      <c r="N794" s="1" t="s">
        <v>27</v>
      </c>
      <c r="O794" s="1" t="s">
        <v>29</v>
      </c>
      <c r="P794">
        <v>2.7</v>
      </c>
      <c r="Q794" s="1" t="s">
        <v>71</v>
      </c>
      <c r="R794" s="1" t="str">
        <f>_xlfn.CONCAT(laptop[[#This Row],[CPU_company]]," ",laptop[[#This Row],[CPU_model]])</f>
        <v>Intel Core i7 7500U</v>
      </c>
      <c r="S794">
        <v>512</v>
      </c>
      <c r="T794">
        <v>0</v>
      </c>
      <c r="U794">
        <f>laptop[[#This Row],[PrimaryStorage]]+laptop[[#This Row],[SecondaryStorage]]</f>
        <v>512</v>
      </c>
      <c r="V794" s="1" t="s">
        <v>31</v>
      </c>
      <c r="W794" s="1" t="s">
        <v>27</v>
      </c>
      <c r="X794" s="1" t="str">
        <f>IF(laptop[[#This Row],[PrimaryStorageType]]=laptop[[#This Row],[SecondaryStorageType]],laptop[[#This Row],[PrimaryStorageType]],"SSD &amp; HDD")</f>
        <v>SSD &amp; HDD</v>
      </c>
      <c r="Y794" s="1" t="s">
        <v>42</v>
      </c>
    </row>
    <row r="795" spans="1:25" x14ac:dyDescent="0.25">
      <c r="A795" s="1" t="s">
        <v>73</v>
      </c>
      <c r="B795" s="1" t="s">
        <v>655</v>
      </c>
      <c r="C795" s="1" t="s">
        <v>90</v>
      </c>
      <c r="D795">
        <v>15.6</v>
      </c>
      <c r="E795">
        <v>8</v>
      </c>
      <c r="F795" s="1" t="s">
        <v>48</v>
      </c>
      <c r="G795">
        <v>2.08</v>
      </c>
      <c r="H795">
        <v>959</v>
      </c>
      <c r="I795" s="1" t="s">
        <v>40</v>
      </c>
      <c r="J795">
        <v>1920</v>
      </c>
      <c r="K795">
        <v>1080</v>
      </c>
      <c r="L795" s="1" t="s">
        <v>28</v>
      </c>
      <c r="M795" s="1" t="s">
        <v>27</v>
      </c>
      <c r="N795" s="1" t="s">
        <v>27</v>
      </c>
      <c r="O795" s="1" t="s">
        <v>29</v>
      </c>
      <c r="P795">
        <v>2.5</v>
      </c>
      <c r="Q795" s="1" t="s">
        <v>41</v>
      </c>
      <c r="R795" s="1" t="str">
        <f>_xlfn.CONCAT(laptop[[#This Row],[CPU_company]]," ",laptop[[#This Row],[CPU_model]])</f>
        <v>Intel Core i5 7200U</v>
      </c>
      <c r="S795">
        <v>256</v>
      </c>
      <c r="T795">
        <v>0</v>
      </c>
      <c r="U795">
        <f>laptop[[#This Row],[PrimaryStorage]]+laptop[[#This Row],[SecondaryStorage]]</f>
        <v>256</v>
      </c>
      <c r="V795" s="1" t="s">
        <v>31</v>
      </c>
      <c r="W795" s="1" t="s">
        <v>27</v>
      </c>
      <c r="X795" s="1" t="str">
        <f>IF(laptop[[#This Row],[PrimaryStorageType]]=laptop[[#This Row],[SecondaryStorageType]],laptop[[#This Row],[PrimaryStorageType]],"SSD &amp; HDD")</f>
        <v>SSD &amp; HDD</v>
      </c>
      <c r="Y795" s="1" t="s">
        <v>441</v>
      </c>
    </row>
    <row r="796" spans="1:25" x14ac:dyDescent="0.25">
      <c r="A796" s="1" t="s">
        <v>22</v>
      </c>
      <c r="B796" s="1" t="s">
        <v>68</v>
      </c>
      <c r="C796" s="1" t="s">
        <v>24</v>
      </c>
      <c r="D796">
        <v>12</v>
      </c>
      <c r="E796">
        <v>8</v>
      </c>
      <c r="F796" s="1" t="s">
        <v>53</v>
      </c>
      <c r="G796">
        <v>0.92</v>
      </c>
      <c r="H796">
        <v>1165</v>
      </c>
      <c r="I796" s="1" t="s">
        <v>26</v>
      </c>
      <c r="J796">
        <v>2304</v>
      </c>
      <c r="K796">
        <v>1440</v>
      </c>
      <c r="L796" s="1" t="s">
        <v>27</v>
      </c>
      <c r="M796" s="1" t="s">
        <v>28</v>
      </c>
      <c r="N796" s="1" t="s">
        <v>28</v>
      </c>
      <c r="O796" s="1" t="s">
        <v>29</v>
      </c>
      <c r="P796">
        <v>1.2</v>
      </c>
      <c r="Q796" s="1" t="s">
        <v>656</v>
      </c>
      <c r="R796" s="1" t="str">
        <f>_xlfn.CONCAT(laptop[[#This Row],[CPU_company]]," ",laptop[[#This Row],[CPU_model]])</f>
        <v>Intel Core M</v>
      </c>
      <c r="S796">
        <v>512</v>
      </c>
      <c r="T796">
        <v>0</v>
      </c>
      <c r="U796">
        <f>laptop[[#This Row],[PrimaryStorage]]+laptop[[#This Row],[SecondaryStorage]]</f>
        <v>512</v>
      </c>
      <c r="V796" s="1" t="s">
        <v>34</v>
      </c>
      <c r="W796" s="1" t="s">
        <v>27</v>
      </c>
      <c r="X796" s="1" t="str">
        <f>IF(laptop[[#This Row],[PrimaryStorageType]]=laptop[[#This Row],[SecondaryStorageType]],laptop[[#This Row],[PrimaryStorageType]],"SSD &amp; HDD")</f>
        <v>SSD &amp; HDD</v>
      </c>
      <c r="Y796" s="1" t="s">
        <v>657</v>
      </c>
    </row>
    <row r="797" spans="1:25" x14ac:dyDescent="0.25">
      <c r="A797" s="1" t="s">
        <v>73</v>
      </c>
      <c r="B797" s="1" t="s">
        <v>308</v>
      </c>
      <c r="C797" s="1" t="s">
        <v>90</v>
      </c>
      <c r="D797">
        <v>14</v>
      </c>
      <c r="E797">
        <v>8</v>
      </c>
      <c r="F797" s="1" t="s">
        <v>48</v>
      </c>
      <c r="G797">
        <v>1.42</v>
      </c>
      <c r="H797">
        <v>2330</v>
      </c>
      <c r="I797" s="1" t="s">
        <v>26</v>
      </c>
      <c r="J797">
        <v>2560</v>
      </c>
      <c r="K797">
        <v>1440</v>
      </c>
      <c r="L797" s="1" t="s">
        <v>28</v>
      </c>
      <c r="M797" s="1" t="s">
        <v>28</v>
      </c>
      <c r="N797" s="1" t="s">
        <v>27</v>
      </c>
      <c r="O797" s="1" t="s">
        <v>29</v>
      </c>
      <c r="P797">
        <v>2.5</v>
      </c>
      <c r="Q797" s="1" t="s">
        <v>41</v>
      </c>
      <c r="R797" s="1" t="str">
        <f>_xlfn.CONCAT(laptop[[#This Row],[CPU_company]]," ",laptop[[#This Row],[CPU_model]])</f>
        <v>Intel Core i5 7200U</v>
      </c>
      <c r="S797">
        <v>256</v>
      </c>
      <c r="T797">
        <v>0</v>
      </c>
      <c r="U797">
        <f>laptop[[#This Row],[PrimaryStorage]]+laptop[[#This Row],[SecondaryStorage]]</f>
        <v>256</v>
      </c>
      <c r="V797" s="1" t="s">
        <v>31</v>
      </c>
      <c r="W797" s="1" t="s">
        <v>27</v>
      </c>
      <c r="X797" s="1" t="str">
        <f>IF(laptop[[#This Row],[PrimaryStorageType]]=laptop[[#This Row],[SecondaryStorageType]],laptop[[#This Row],[PrimaryStorageType]],"SSD &amp; HDD")</f>
        <v>SSD &amp; HDD</v>
      </c>
      <c r="Y797" s="1" t="s">
        <v>42</v>
      </c>
    </row>
    <row r="798" spans="1:25" x14ac:dyDescent="0.25">
      <c r="A798" s="1" t="s">
        <v>55</v>
      </c>
      <c r="B798" s="1" t="s">
        <v>658</v>
      </c>
      <c r="C798" s="1" t="s">
        <v>38</v>
      </c>
      <c r="D798">
        <v>14</v>
      </c>
      <c r="E798">
        <v>4</v>
      </c>
      <c r="F798" s="1" t="s">
        <v>48</v>
      </c>
      <c r="G798">
        <v>1.63</v>
      </c>
      <c r="H798">
        <v>299</v>
      </c>
      <c r="I798" s="1" t="s">
        <v>26</v>
      </c>
      <c r="J798">
        <v>1366</v>
      </c>
      <c r="K798">
        <v>768</v>
      </c>
      <c r="L798" s="1" t="s">
        <v>27</v>
      </c>
      <c r="M798" s="1" t="s">
        <v>27</v>
      </c>
      <c r="N798" s="1" t="s">
        <v>27</v>
      </c>
      <c r="O798" s="1" t="s">
        <v>29</v>
      </c>
      <c r="P798">
        <v>1.1000000000000001</v>
      </c>
      <c r="Q798" s="1" t="s">
        <v>109</v>
      </c>
      <c r="R798" s="1" t="str">
        <f>_xlfn.CONCAT(laptop[[#This Row],[CPU_company]]," ",laptop[[#This Row],[CPU_model]])</f>
        <v>Intel Celeron Dual Core N3350</v>
      </c>
      <c r="S798">
        <v>32</v>
      </c>
      <c r="T798">
        <v>0</v>
      </c>
      <c r="U798">
        <f>laptop[[#This Row],[PrimaryStorage]]+laptop[[#This Row],[SecondaryStorage]]</f>
        <v>32</v>
      </c>
      <c r="V798" s="1" t="s">
        <v>34</v>
      </c>
      <c r="W798" s="1" t="s">
        <v>27</v>
      </c>
      <c r="X798" s="1" t="str">
        <f>IF(laptop[[#This Row],[PrimaryStorageType]]=laptop[[#This Row],[SecondaryStorageType]],laptop[[#This Row],[PrimaryStorageType]],"SSD &amp; HDD")</f>
        <v>SSD &amp; HDD</v>
      </c>
      <c r="Y798" s="1" t="s">
        <v>110</v>
      </c>
    </row>
    <row r="799" spans="1:25" x14ac:dyDescent="0.25">
      <c r="A799" s="1" t="s">
        <v>65</v>
      </c>
      <c r="B799" s="1" t="s">
        <v>566</v>
      </c>
      <c r="C799" s="1" t="s">
        <v>38</v>
      </c>
      <c r="D799">
        <v>15.6</v>
      </c>
      <c r="E799">
        <v>8</v>
      </c>
      <c r="F799" s="1" t="s">
        <v>48</v>
      </c>
      <c r="G799">
        <v>1.95</v>
      </c>
      <c r="H799">
        <v>810</v>
      </c>
      <c r="I799" s="1" t="s">
        <v>26</v>
      </c>
      <c r="J799">
        <v>1366</v>
      </c>
      <c r="K799">
        <v>768</v>
      </c>
      <c r="L799" s="1" t="s">
        <v>27</v>
      </c>
      <c r="M799" s="1" t="s">
        <v>27</v>
      </c>
      <c r="N799" s="1" t="s">
        <v>27</v>
      </c>
      <c r="O799" s="1" t="s">
        <v>29</v>
      </c>
      <c r="P799">
        <v>2.5</v>
      </c>
      <c r="Q799" s="1" t="s">
        <v>41</v>
      </c>
      <c r="R799" s="1" t="str">
        <f>_xlfn.CONCAT(laptop[[#This Row],[CPU_company]]," ",laptop[[#This Row],[CPU_model]])</f>
        <v>Intel Core i5 7200U</v>
      </c>
      <c r="S799">
        <v>128</v>
      </c>
      <c r="T799">
        <v>0</v>
      </c>
      <c r="U799">
        <f>laptop[[#This Row],[PrimaryStorage]]+laptop[[#This Row],[SecondaryStorage]]</f>
        <v>128</v>
      </c>
      <c r="V799" s="1" t="s">
        <v>31</v>
      </c>
      <c r="W799" s="1" t="s">
        <v>27</v>
      </c>
      <c r="X799" s="1" t="str">
        <f>IF(laptop[[#This Row],[PrimaryStorageType]]=laptop[[#This Row],[SecondaryStorageType]],laptop[[#This Row],[PrimaryStorageType]],"SSD &amp; HDD")</f>
        <v>SSD &amp; HDD</v>
      </c>
      <c r="Y799" s="1" t="s">
        <v>42</v>
      </c>
    </row>
    <row r="800" spans="1:25" x14ac:dyDescent="0.25">
      <c r="A800" s="1" t="s">
        <v>73</v>
      </c>
      <c r="B800" s="1" t="s">
        <v>293</v>
      </c>
      <c r="C800" s="1" t="s">
        <v>90</v>
      </c>
      <c r="D800">
        <v>13.9</v>
      </c>
      <c r="E800">
        <v>8</v>
      </c>
      <c r="F800" s="1" t="s">
        <v>48</v>
      </c>
      <c r="G800">
        <v>1.38</v>
      </c>
      <c r="H800">
        <v>1349</v>
      </c>
      <c r="I800" s="1" t="s">
        <v>40</v>
      </c>
      <c r="J800">
        <v>1920</v>
      </c>
      <c r="K800">
        <v>1080</v>
      </c>
      <c r="L800" s="1" t="s">
        <v>28</v>
      </c>
      <c r="M800" s="1" t="s">
        <v>28</v>
      </c>
      <c r="N800" s="1" t="s">
        <v>27</v>
      </c>
      <c r="O800" s="1" t="s">
        <v>29</v>
      </c>
      <c r="P800">
        <v>2.7</v>
      </c>
      <c r="Q800" s="1" t="s">
        <v>71</v>
      </c>
      <c r="R800" s="1" t="str">
        <f>_xlfn.CONCAT(laptop[[#This Row],[CPU_company]]," ",laptop[[#This Row],[CPU_model]])</f>
        <v>Intel Core i7 7500U</v>
      </c>
      <c r="S800">
        <v>256</v>
      </c>
      <c r="T800">
        <v>0</v>
      </c>
      <c r="U800">
        <f>laptop[[#This Row],[PrimaryStorage]]+laptop[[#This Row],[SecondaryStorage]]</f>
        <v>256</v>
      </c>
      <c r="V800" s="1" t="s">
        <v>31</v>
      </c>
      <c r="W800" s="1" t="s">
        <v>27</v>
      </c>
      <c r="X800" s="1" t="str">
        <f>IF(laptop[[#This Row],[PrimaryStorageType]]=laptop[[#This Row],[SecondaryStorageType]],laptop[[#This Row],[PrimaryStorageType]],"SSD &amp; HDD")</f>
        <v>SSD &amp; HDD</v>
      </c>
      <c r="Y800" s="1" t="s">
        <v>42</v>
      </c>
    </row>
    <row r="801" spans="1:25" x14ac:dyDescent="0.25">
      <c r="A801" s="1" t="s">
        <v>65</v>
      </c>
      <c r="B801" s="1" t="s">
        <v>471</v>
      </c>
      <c r="C801" s="1" t="s">
        <v>38</v>
      </c>
      <c r="D801">
        <v>15.6</v>
      </c>
      <c r="E801">
        <v>8</v>
      </c>
      <c r="F801" s="1" t="s">
        <v>48</v>
      </c>
      <c r="G801">
        <v>2</v>
      </c>
      <c r="H801">
        <v>739</v>
      </c>
      <c r="I801" s="1" t="s">
        <v>40</v>
      </c>
      <c r="J801">
        <v>1920</v>
      </c>
      <c r="K801">
        <v>1080</v>
      </c>
      <c r="L801" s="1" t="s">
        <v>27</v>
      </c>
      <c r="M801" s="1" t="s">
        <v>27</v>
      </c>
      <c r="N801" s="1" t="s">
        <v>27</v>
      </c>
      <c r="O801" s="1" t="s">
        <v>29</v>
      </c>
      <c r="P801">
        <v>2</v>
      </c>
      <c r="Q801" s="1" t="s">
        <v>62</v>
      </c>
      <c r="R801" s="1" t="str">
        <f>_xlfn.CONCAT(laptop[[#This Row],[CPU_company]]," ",laptop[[#This Row],[CPU_model]])</f>
        <v>Intel Core i3 6006U</v>
      </c>
      <c r="S801">
        <v>256</v>
      </c>
      <c r="T801">
        <v>0</v>
      </c>
      <c r="U801">
        <f>laptop[[#This Row],[PrimaryStorage]]+laptop[[#This Row],[SecondaryStorage]]</f>
        <v>256</v>
      </c>
      <c r="V801" s="1" t="s">
        <v>31</v>
      </c>
      <c r="W801" s="1" t="s">
        <v>27</v>
      </c>
      <c r="X801" s="1" t="str">
        <f>IF(laptop[[#This Row],[PrimaryStorageType]]=laptop[[#This Row],[SecondaryStorageType]],laptop[[#This Row],[PrimaryStorageType]],"SSD &amp; HDD")</f>
        <v>SSD &amp; HDD</v>
      </c>
      <c r="Y801" s="1" t="s">
        <v>659</v>
      </c>
    </row>
    <row r="802" spans="1:25" x14ac:dyDescent="0.25">
      <c r="A802" s="1" t="s">
        <v>36</v>
      </c>
      <c r="B802" s="1" t="s">
        <v>506</v>
      </c>
      <c r="C802" s="1" t="s">
        <v>265</v>
      </c>
      <c r="D802">
        <v>15.6</v>
      </c>
      <c r="E802">
        <v>8</v>
      </c>
      <c r="F802" s="1" t="s">
        <v>48</v>
      </c>
      <c r="G802">
        <v>3.14</v>
      </c>
      <c r="H802">
        <v>2064.9</v>
      </c>
      <c r="I802" s="1" t="s">
        <v>40</v>
      </c>
      <c r="J802">
        <v>1920</v>
      </c>
      <c r="K802">
        <v>1080</v>
      </c>
      <c r="L802" s="1" t="s">
        <v>27</v>
      </c>
      <c r="M802" s="1" t="s">
        <v>27</v>
      </c>
      <c r="N802" s="1" t="s">
        <v>27</v>
      </c>
      <c r="O802" s="1" t="s">
        <v>29</v>
      </c>
      <c r="P802">
        <v>2.8</v>
      </c>
      <c r="Q802" s="1" t="s">
        <v>118</v>
      </c>
      <c r="R802" s="1" t="str">
        <f>_xlfn.CONCAT(laptop[[#This Row],[CPU_company]]," ",laptop[[#This Row],[CPU_model]])</f>
        <v>Intel Core i7 7700HQ</v>
      </c>
      <c r="S802">
        <v>256</v>
      </c>
      <c r="T802">
        <v>0</v>
      </c>
      <c r="U802">
        <f>laptop[[#This Row],[PrimaryStorage]]+laptop[[#This Row],[SecondaryStorage]]</f>
        <v>256</v>
      </c>
      <c r="V802" s="1" t="s">
        <v>31</v>
      </c>
      <c r="W802" s="1" t="s">
        <v>27</v>
      </c>
      <c r="X802" s="1" t="str">
        <f>IF(laptop[[#This Row],[PrimaryStorageType]]=laptop[[#This Row],[SecondaryStorageType]],laptop[[#This Row],[PrimaryStorageType]],"SSD &amp; HDD")</f>
        <v>SSD &amp; HDD</v>
      </c>
      <c r="Y802" s="1" t="s">
        <v>615</v>
      </c>
    </row>
    <row r="803" spans="1:25" x14ac:dyDescent="0.25">
      <c r="A803" s="1" t="s">
        <v>55</v>
      </c>
      <c r="B803" s="1" t="s">
        <v>660</v>
      </c>
      <c r="C803" s="1" t="s">
        <v>38</v>
      </c>
      <c r="D803">
        <v>15.6</v>
      </c>
      <c r="E803">
        <v>8</v>
      </c>
      <c r="F803" s="1" t="s">
        <v>48</v>
      </c>
      <c r="G803">
        <v>2.37</v>
      </c>
      <c r="H803">
        <v>1099</v>
      </c>
      <c r="I803" s="1" t="s">
        <v>40</v>
      </c>
      <c r="J803">
        <v>1920</v>
      </c>
      <c r="K803">
        <v>1080</v>
      </c>
      <c r="L803" s="1" t="s">
        <v>27</v>
      </c>
      <c r="M803" s="1" t="s">
        <v>27</v>
      </c>
      <c r="N803" s="1" t="s">
        <v>27</v>
      </c>
      <c r="O803" s="1" t="s">
        <v>29</v>
      </c>
      <c r="P803">
        <v>2.5</v>
      </c>
      <c r="Q803" s="1" t="s">
        <v>41</v>
      </c>
      <c r="R803" s="1" t="str">
        <f>_xlfn.CONCAT(laptop[[#This Row],[CPU_company]]," ",laptop[[#This Row],[CPU_model]])</f>
        <v>Intel Core i5 7200U</v>
      </c>
      <c r="S803">
        <v>256</v>
      </c>
      <c r="T803">
        <v>0</v>
      </c>
      <c r="U803">
        <f>laptop[[#This Row],[PrimaryStorage]]+laptop[[#This Row],[SecondaryStorage]]</f>
        <v>256</v>
      </c>
      <c r="V803" s="1" t="s">
        <v>31</v>
      </c>
      <c r="W803" s="1" t="s">
        <v>27</v>
      </c>
      <c r="X803" s="1" t="str">
        <f>IF(laptop[[#This Row],[PrimaryStorageType]]=laptop[[#This Row],[SecondaryStorageType]],laptop[[#This Row],[PrimaryStorageType]],"SSD &amp; HDD")</f>
        <v>SSD &amp; HDD</v>
      </c>
      <c r="Y803" s="1" t="s">
        <v>42</v>
      </c>
    </row>
    <row r="804" spans="1:25" x14ac:dyDescent="0.25">
      <c r="A804" s="1" t="s">
        <v>65</v>
      </c>
      <c r="B804" s="1" t="s">
        <v>77</v>
      </c>
      <c r="C804" s="1" t="s">
        <v>24</v>
      </c>
      <c r="D804">
        <v>13.3</v>
      </c>
      <c r="E804">
        <v>8</v>
      </c>
      <c r="F804" s="1" t="s">
        <v>48</v>
      </c>
      <c r="G804">
        <v>1.29</v>
      </c>
      <c r="H804">
        <v>1499</v>
      </c>
      <c r="I804" s="1" t="s">
        <v>40</v>
      </c>
      <c r="J804">
        <v>1920</v>
      </c>
      <c r="K804">
        <v>1080</v>
      </c>
      <c r="L804" s="1" t="s">
        <v>27</v>
      </c>
      <c r="M804" s="1" t="s">
        <v>27</v>
      </c>
      <c r="N804" s="1" t="s">
        <v>27</v>
      </c>
      <c r="O804" s="1" t="s">
        <v>29</v>
      </c>
      <c r="P804">
        <v>2.5</v>
      </c>
      <c r="Q804" s="1" t="s">
        <v>41</v>
      </c>
      <c r="R804" s="1" t="str">
        <f>_xlfn.CONCAT(laptop[[#This Row],[CPU_company]]," ",laptop[[#This Row],[CPU_model]])</f>
        <v>Intel Core i5 7200U</v>
      </c>
      <c r="S804">
        <v>256</v>
      </c>
      <c r="T804">
        <v>0</v>
      </c>
      <c r="U804">
        <f>laptop[[#This Row],[PrimaryStorage]]+laptop[[#This Row],[SecondaryStorage]]</f>
        <v>256</v>
      </c>
      <c r="V804" s="1" t="s">
        <v>31</v>
      </c>
      <c r="W804" s="1" t="s">
        <v>27</v>
      </c>
      <c r="X804" s="1" t="str">
        <f>IF(laptop[[#This Row],[PrimaryStorageType]]=laptop[[#This Row],[SecondaryStorageType]],laptop[[#This Row],[PrimaryStorageType]],"SSD &amp; HDD")</f>
        <v>SSD &amp; HDD</v>
      </c>
      <c r="Y804" s="1" t="s">
        <v>42</v>
      </c>
    </row>
    <row r="805" spans="1:25" x14ac:dyDescent="0.25">
      <c r="A805" s="1" t="s">
        <v>65</v>
      </c>
      <c r="B805" s="1" t="s">
        <v>249</v>
      </c>
      <c r="C805" s="1" t="s">
        <v>38</v>
      </c>
      <c r="D805">
        <v>15.6</v>
      </c>
      <c r="E805">
        <v>8</v>
      </c>
      <c r="F805" s="1" t="s">
        <v>48</v>
      </c>
      <c r="G805">
        <v>2.06</v>
      </c>
      <c r="H805">
        <v>1749</v>
      </c>
      <c r="I805" s="1" t="s">
        <v>215</v>
      </c>
      <c r="J805">
        <v>3840</v>
      </c>
      <c r="K805">
        <v>2160</v>
      </c>
      <c r="L805" s="1" t="s">
        <v>28</v>
      </c>
      <c r="M805" s="1" t="s">
        <v>27</v>
      </c>
      <c r="N805" s="1" t="s">
        <v>27</v>
      </c>
      <c r="O805" s="1" t="s">
        <v>29</v>
      </c>
      <c r="P805">
        <v>2.5</v>
      </c>
      <c r="Q805" s="1" t="s">
        <v>84</v>
      </c>
      <c r="R805" s="1" t="str">
        <f>_xlfn.CONCAT(laptop[[#This Row],[CPU_company]]," ",laptop[[#This Row],[CPU_model]])</f>
        <v>Intel Core i5 7300HQ</v>
      </c>
      <c r="S805">
        <v>256</v>
      </c>
      <c r="T805">
        <v>0</v>
      </c>
      <c r="U805">
        <f>laptop[[#This Row],[PrimaryStorage]]+laptop[[#This Row],[SecondaryStorage]]</f>
        <v>256</v>
      </c>
      <c r="V805" s="1" t="s">
        <v>31</v>
      </c>
      <c r="W805" s="1" t="s">
        <v>27</v>
      </c>
      <c r="X805" s="1" t="str">
        <f>IF(laptop[[#This Row],[PrimaryStorageType]]=laptop[[#This Row],[SecondaryStorageType]],laptop[[#This Row],[PrimaryStorageType]],"SSD &amp; HDD")</f>
        <v>SSD &amp; HDD</v>
      </c>
      <c r="Y805" s="1" t="s">
        <v>85</v>
      </c>
    </row>
    <row r="806" spans="1:25" x14ac:dyDescent="0.25">
      <c r="A806" s="1" t="s">
        <v>65</v>
      </c>
      <c r="B806" s="1" t="s">
        <v>661</v>
      </c>
      <c r="C806" s="1" t="s">
        <v>79</v>
      </c>
      <c r="D806">
        <v>11.6</v>
      </c>
      <c r="E806">
        <v>4</v>
      </c>
      <c r="F806" s="1" t="s">
        <v>48</v>
      </c>
      <c r="G806">
        <v>1.63</v>
      </c>
      <c r="H806">
        <v>744</v>
      </c>
      <c r="I806" s="1" t="s">
        <v>26</v>
      </c>
      <c r="J806">
        <v>1366</v>
      </c>
      <c r="K806">
        <v>768</v>
      </c>
      <c r="L806" s="1" t="s">
        <v>27</v>
      </c>
      <c r="M806" s="1" t="s">
        <v>27</v>
      </c>
      <c r="N806" s="1" t="s">
        <v>27</v>
      </c>
      <c r="O806" s="1" t="s">
        <v>29</v>
      </c>
      <c r="P806">
        <v>1.1000000000000001</v>
      </c>
      <c r="Q806" s="1" t="s">
        <v>130</v>
      </c>
      <c r="R806" s="1" t="str">
        <f>_xlfn.CONCAT(laptop[[#This Row],[CPU_company]]," ",laptop[[#This Row],[CPU_model]])</f>
        <v>Intel Pentium Quad Core N4200</v>
      </c>
      <c r="S806">
        <v>128</v>
      </c>
      <c r="T806">
        <v>0</v>
      </c>
      <c r="U806">
        <f>laptop[[#This Row],[PrimaryStorage]]+laptop[[#This Row],[SecondaryStorage]]</f>
        <v>128</v>
      </c>
      <c r="V806" s="1" t="s">
        <v>31</v>
      </c>
      <c r="W806" s="1" t="s">
        <v>27</v>
      </c>
      <c r="X806" s="1" t="str">
        <f>IF(laptop[[#This Row],[PrimaryStorageType]]=laptop[[#This Row],[SecondaryStorageType]],laptop[[#This Row],[PrimaryStorageType]],"SSD &amp; HDD")</f>
        <v>SSD &amp; HDD</v>
      </c>
      <c r="Y806" s="1" t="s">
        <v>237</v>
      </c>
    </row>
    <row r="807" spans="1:25" x14ac:dyDescent="0.25">
      <c r="A807" s="1" t="s">
        <v>36</v>
      </c>
      <c r="B807" s="1" t="s">
        <v>639</v>
      </c>
      <c r="C807" s="1" t="s">
        <v>79</v>
      </c>
      <c r="D807">
        <v>12.5</v>
      </c>
      <c r="E807">
        <v>8</v>
      </c>
      <c r="F807" s="1" t="s">
        <v>48</v>
      </c>
      <c r="G807">
        <v>1.26</v>
      </c>
      <c r="H807">
        <v>1389</v>
      </c>
      <c r="I807" s="1" t="s">
        <v>26</v>
      </c>
      <c r="J807">
        <v>1366</v>
      </c>
      <c r="K807">
        <v>768</v>
      </c>
      <c r="L807" s="1" t="s">
        <v>27</v>
      </c>
      <c r="M807" s="1" t="s">
        <v>27</v>
      </c>
      <c r="N807" s="1" t="s">
        <v>27</v>
      </c>
      <c r="O807" s="1" t="s">
        <v>29</v>
      </c>
      <c r="P807">
        <v>2.6</v>
      </c>
      <c r="Q807" s="1" t="s">
        <v>358</v>
      </c>
      <c r="R807" s="1" t="str">
        <f>_xlfn.CONCAT(laptop[[#This Row],[CPU_company]]," ",laptop[[#This Row],[CPU_model]])</f>
        <v>Intel Core i5 7300U</v>
      </c>
      <c r="S807">
        <v>256</v>
      </c>
      <c r="T807">
        <v>0</v>
      </c>
      <c r="U807">
        <f>laptop[[#This Row],[PrimaryStorage]]+laptop[[#This Row],[SecondaryStorage]]</f>
        <v>256</v>
      </c>
      <c r="V807" s="1" t="s">
        <v>31</v>
      </c>
      <c r="W807" s="1" t="s">
        <v>27</v>
      </c>
      <c r="X807" s="1" t="str">
        <f>IF(laptop[[#This Row],[PrimaryStorageType]]=laptop[[#This Row],[SecondaryStorageType]],laptop[[#This Row],[PrimaryStorageType]],"SSD &amp; HDD")</f>
        <v>SSD &amp; HDD</v>
      </c>
      <c r="Y807" s="1" t="s">
        <v>42</v>
      </c>
    </row>
    <row r="808" spans="1:25" x14ac:dyDescent="0.25">
      <c r="A808" s="1" t="s">
        <v>210</v>
      </c>
      <c r="B808" s="1" t="s">
        <v>211</v>
      </c>
      <c r="C808" s="1" t="s">
        <v>38</v>
      </c>
      <c r="D808">
        <v>15.6</v>
      </c>
      <c r="E808">
        <v>4</v>
      </c>
      <c r="F808" s="1" t="s">
        <v>48</v>
      </c>
      <c r="G808">
        <v>2.1</v>
      </c>
      <c r="H808">
        <v>780</v>
      </c>
      <c r="I808" s="1" t="s">
        <v>26</v>
      </c>
      <c r="J808">
        <v>1366</v>
      </c>
      <c r="K808">
        <v>768</v>
      </c>
      <c r="L808" s="1" t="s">
        <v>27</v>
      </c>
      <c r="M808" s="1" t="s">
        <v>27</v>
      </c>
      <c r="N808" s="1" t="s">
        <v>27</v>
      </c>
      <c r="O808" s="1" t="s">
        <v>29</v>
      </c>
      <c r="P808">
        <v>2.2999999999999998</v>
      </c>
      <c r="Q808" s="1" t="s">
        <v>212</v>
      </c>
      <c r="R808" s="1" t="str">
        <f>_xlfn.CONCAT(laptop[[#This Row],[CPU_company]]," ",laptop[[#This Row],[CPU_model]])</f>
        <v>Intel Core i5 6200U</v>
      </c>
      <c r="S808">
        <v>500</v>
      </c>
      <c r="T808">
        <v>0</v>
      </c>
      <c r="U808">
        <f>laptop[[#This Row],[PrimaryStorage]]+laptop[[#This Row],[SecondaryStorage]]</f>
        <v>500</v>
      </c>
      <c r="V808" s="1" t="s">
        <v>51</v>
      </c>
      <c r="W808" s="1" t="s">
        <v>27</v>
      </c>
      <c r="X808" s="1" t="str">
        <f>IF(laptop[[#This Row],[PrimaryStorageType]]=laptop[[#This Row],[SecondaryStorageType]],laptop[[#This Row],[PrimaryStorageType]],"SSD &amp; HDD")</f>
        <v>SSD &amp; HDD</v>
      </c>
      <c r="Y808" s="1" t="s">
        <v>63</v>
      </c>
    </row>
    <row r="809" spans="1:25" x14ac:dyDescent="0.25">
      <c r="A809" s="1" t="s">
        <v>36</v>
      </c>
      <c r="B809" s="1" t="s">
        <v>662</v>
      </c>
      <c r="C809" s="1" t="s">
        <v>38</v>
      </c>
      <c r="D809">
        <v>15.6</v>
      </c>
      <c r="E809">
        <v>8</v>
      </c>
      <c r="F809" s="1" t="s">
        <v>48</v>
      </c>
      <c r="G809">
        <v>2.04</v>
      </c>
      <c r="H809">
        <v>629</v>
      </c>
      <c r="I809" s="1" t="s">
        <v>26</v>
      </c>
      <c r="J809">
        <v>1366</v>
      </c>
      <c r="K809">
        <v>768</v>
      </c>
      <c r="L809" s="1" t="s">
        <v>27</v>
      </c>
      <c r="M809" s="1" t="s">
        <v>27</v>
      </c>
      <c r="N809" s="1" t="s">
        <v>27</v>
      </c>
      <c r="O809" s="1" t="s">
        <v>49</v>
      </c>
      <c r="P809">
        <v>2.5</v>
      </c>
      <c r="Q809" s="1" t="s">
        <v>663</v>
      </c>
      <c r="R809" s="1" t="str">
        <f>_xlfn.CONCAT(laptop[[#This Row],[CPU_company]]," ",laptop[[#This Row],[CPU_model]])</f>
        <v>AMD A12-Series 9700P</v>
      </c>
      <c r="S809">
        <v>2048</v>
      </c>
      <c r="T809">
        <v>0</v>
      </c>
      <c r="U809">
        <f>laptop[[#This Row],[PrimaryStorage]]+laptop[[#This Row],[SecondaryStorage]]</f>
        <v>2048</v>
      </c>
      <c r="V809" s="1" t="s">
        <v>51</v>
      </c>
      <c r="W809" s="1" t="s">
        <v>27</v>
      </c>
      <c r="X809" s="1" t="str">
        <f>IF(laptop[[#This Row],[PrimaryStorageType]]=laptop[[#This Row],[SecondaryStorageType]],laptop[[#This Row],[PrimaryStorageType]],"SSD &amp; HDD")</f>
        <v>SSD &amp; HDD</v>
      </c>
      <c r="Y809" s="1" t="s">
        <v>664</v>
      </c>
    </row>
    <row r="810" spans="1:25" x14ac:dyDescent="0.25">
      <c r="A810" s="1" t="s">
        <v>65</v>
      </c>
      <c r="B810" s="1" t="s">
        <v>222</v>
      </c>
      <c r="C810" s="1" t="s">
        <v>83</v>
      </c>
      <c r="D810">
        <v>15.6</v>
      </c>
      <c r="E810">
        <v>16</v>
      </c>
      <c r="F810" s="1" t="s">
        <v>48</v>
      </c>
      <c r="G810">
        <v>2.62</v>
      </c>
      <c r="H810">
        <v>1679</v>
      </c>
      <c r="I810" s="1" t="s">
        <v>215</v>
      </c>
      <c r="J810">
        <v>3840</v>
      </c>
      <c r="K810">
        <v>2160</v>
      </c>
      <c r="L810" s="1" t="s">
        <v>27</v>
      </c>
      <c r="M810" s="1" t="s">
        <v>27</v>
      </c>
      <c r="N810" s="1" t="s">
        <v>27</v>
      </c>
      <c r="O810" s="1" t="s">
        <v>29</v>
      </c>
      <c r="P810">
        <v>2.8</v>
      </c>
      <c r="Q810" s="1" t="s">
        <v>118</v>
      </c>
      <c r="R810" s="1" t="str">
        <f>_xlfn.CONCAT(laptop[[#This Row],[CPU_company]]," ",laptop[[#This Row],[CPU_model]])</f>
        <v>Intel Core i7 7700HQ</v>
      </c>
      <c r="S810">
        <v>512</v>
      </c>
      <c r="T810">
        <v>0</v>
      </c>
      <c r="U810">
        <f>laptop[[#This Row],[PrimaryStorage]]+laptop[[#This Row],[SecondaryStorage]]</f>
        <v>512</v>
      </c>
      <c r="V810" s="1" t="s">
        <v>31</v>
      </c>
      <c r="W810" s="1" t="s">
        <v>27</v>
      </c>
      <c r="X810" s="1" t="str">
        <f>IF(laptop[[#This Row],[PrimaryStorageType]]=laptop[[#This Row],[SecondaryStorageType]],laptop[[#This Row],[PrimaryStorageType]],"SSD &amp; HDD")</f>
        <v>SSD &amp; HDD</v>
      </c>
      <c r="Y810" s="1" t="s">
        <v>149</v>
      </c>
    </row>
    <row r="811" spans="1:25" x14ac:dyDescent="0.25">
      <c r="A811" s="1" t="s">
        <v>73</v>
      </c>
      <c r="B811" s="1" t="s">
        <v>533</v>
      </c>
      <c r="C811" s="1" t="s">
        <v>38</v>
      </c>
      <c r="D811">
        <v>15.6</v>
      </c>
      <c r="E811">
        <v>4</v>
      </c>
      <c r="F811" s="1" t="s">
        <v>48</v>
      </c>
      <c r="G811">
        <v>2.4</v>
      </c>
      <c r="H811">
        <v>609</v>
      </c>
      <c r="I811" s="1" t="s">
        <v>40</v>
      </c>
      <c r="J811">
        <v>1920</v>
      </c>
      <c r="K811">
        <v>1080</v>
      </c>
      <c r="L811" s="1" t="s">
        <v>27</v>
      </c>
      <c r="M811" s="1" t="s">
        <v>27</v>
      </c>
      <c r="N811" s="1" t="s">
        <v>27</v>
      </c>
      <c r="O811" s="1" t="s">
        <v>29</v>
      </c>
      <c r="P811">
        <v>2.5</v>
      </c>
      <c r="Q811" s="1" t="s">
        <v>41</v>
      </c>
      <c r="R811" s="1" t="str">
        <f>_xlfn.CONCAT(laptop[[#This Row],[CPU_company]]," ",laptop[[#This Row],[CPU_model]])</f>
        <v>Intel Core i5 7200U</v>
      </c>
      <c r="S811">
        <v>1024</v>
      </c>
      <c r="T811">
        <v>0</v>
      </c>
      <c r="U811">
        <f>laptop[[#This Row],[PrimaryStorage]]+laptop[[#This Row],[SecondaryStorage]]</f>
        <v>1024</v>
      </c>
      <c r="V811" s="1" t="s">
        <v>51</v>
      </c>
      <c r="W811" s="1" t="s">
        <v>27</v>
      </c>
      <c r="X811" s="1" t="str">
        <f>IF(laptop[[#This Row],[PrimaryStorageType]]=laptop[[#This Row],[SecondaryStorageType]],laptop[[#This Row],[PrimaryStorageType]],"SSD &amp; HDD")</f>
        <v>SSD &amp; HDD</v>
      </c>
      <c r="Y811" s="1" t="s">
        <v>178</v>
      </c>
    </row>
    <row r="812" spans="1:25" x14ac:dyDescent="0.25">
      <c r="A812" s="1" t="s">
        <v>36</v>
      </c>
      <c r="B812" s="1" t="s">
        <v>665</v>
      </c>
      <c r="C812" s="1" t="s">
        <v>83</v>
      </c>
      <c r="D812">
        <v>17.3</v>
      </c>
      <c r="E812">
        <v>12</v>
      </c>
      <c r="F812" s="1" t="s">
        <v>48</v>
      </c>
      <c r="G812">
        <v>3.74</v>
      </c>
      <c r="H812">
        <v>1749</v>
      </c>
      <c r="I812" s="1" t="s">
        <v>40</v>
      </c>
      <c r="J812">
        <v>1920</v>
      </c>
      <c r="K812">
        <v>1080</v>
      </c>
      <c r="L812" s="1" t="s">
        <v>27</v>
      </c>
      <c r="M812" s="1" t="s">
        <v>28</v>
      </c>
      <c r="N812" s="1" t="s">
        <v>27</v>
      </c>
      <c r="O812" s="1" t="s">
        <v>29</v>
      </c>
      <c r="P812">
        <v>2.8</v>
      </c>
      <c r="Q812" s="1" t="s">
        <v>118</v>
      </c>
      <c r="R812" s="1" t="str">
        <f>_xlfn.CONCAT(laptop[[#This Row],[CPU_company]]," ",laptop[[#This Row],[CPU_model]])</f>
        <v>Intel Core i7 7700HQ</v>
      </c>
      <c r="S812">
        <v>1024</v>
      </c>
      <c r="T812">
        <v>0</v>
      </c>
      <c r="U812">
        <f>laptop[[#This Row],[PrimaryStorage]]+laptop[[#This Row],[SecondaryStorage]]</f>
        <v>1024</v>
      </c>
      <c r="V812" s="1" t="s">
        <v>51</v>
      </c>
      <c r="W812" s="1" t="s">
        <v>27</v>
      </c>
      <c r="X812" s="1" t="str">
        <f>IF(laptop[[#This Row],[PrimaryStorageType]]=laptop[[#This Row],[SecondaryStorageType]],laptop[[#This Row],[PrimaryStorageType]],"SSD &amp; HDD")</f>
        <v>SSD &amp; HDD</v>
      </c>
      <c r="Y812" s="1" t="s">
        <v>128</v>
      </c>
    </row>
    <row r="813" spans="1:25" x14ac:dyDescent="0.25">
      <c r="A813" s="1" t="s">
        <v>141</v>
      </c>
      <c r="B813" s="1" t="s">
        <v>219</v>
      </c>
      <c r="C813" s="1" t="s">
        <v>83</v>
      </c>
      <c r="D813">
        <v>17.3</v>
      </c>
      <c r="E813">
        <v>16</v>
      </c>
      <c r="F813" s="1" t="s">
        <v>48</v>
      </c>
      <c r="G813">
        <v>2.9</v>
      </c>
      <c r="H813">
        <v>2415</v>
      </c>
      <c r="I813" s="1" t="s">
        <v>40</v>
      </c>
      <c r="J813">
        <v>1920</v>
      </c>
      <c r="K813">
        <v>1080</v>
      </c>
      <c r="L813" s="1" t="s">
        <v>27</v>
      </c>
      <c r="M813" s="1" t="s">
        <v>27</v>
      </c>
      <c r="N813" s="1" t="s">
        <v>27</v>
      </c>
      <c r="O813" s="1" t="s">
        <v>29</v>
      </c>
      <c r="P813">
        <v>2.8</v>
      </c>
      <c r="Q813" s="1" t="s">
        <v>118</v>
      </c>
      <c r="R813" s="1" t="str">
        <f>_xlfn.CONCAT(laptop[[#This Row],[CPU_company]]," ",laptop[[#This Row],[CPU_model]])</f>
        <v>Intel Core i7 7700HQ</v>
      </c>
      <c r="S813">
        <v>512</v>
      </c>
      <c r="T813">
        <v>1024</v>
      </c>
      <c r="U813">
        <f>laptop[[#This Row],[PrimaryStorage]]+laptop[[#This Row],[SecondaryStorage]]</f>
        <v>1536</v>
      </c>
      <c r="V813" s="1" t="s">
        <v>31</v>
      </c>
      <c r="W813" s="1" t="s">
        <v>51</v>
      </c>
      <c r="X813" s="1" t="str">
        <f>IF(laptop[[#This Row],[PrimaryStorageType]]=laptop[[#This Row],[SecondaryStorageType]],laptop[[#This Row],[PrimaryStorageType]],"SSD &amp; HDD")</f>
        <v>SSD &amp; HDD</v>
      </c>
      <c r="Y813" s="1" t="s">
        <v>143</v>
      </c>
    </row>
    <row r="814" spans="1:25" x14ac:dyDescent="0.25">
      <c r="A814" s="1" t="s">
        <v>413</v>
      </c>
      <c r="B814" s="1" t="s">
        <v>620</v>
      </c>
      <c r="C814" s="1" t="s">
        <v>24</v>
      </c>
      <c r="D814">
        <v>13.3</v>
      </c>
      <c r="E814">
        <v>8</v>
      </c>
      <c r="F814" s="1" t="s">
        <v>48</v>
      </c>
      <c r="G814">
        <v>0.81</v>
      </c>
      <c r="H814">
        <v>1499</v>
      </c>
      <c r="I814" s="1" t="s">
        <v>40</v>
      </c>
      <c r="J814">
        <v>1920</v>
      </c>
      <c r="K814">
        <v>1080</v>
      </c>
      <c r="L814" s="1" t="s">
        <v>27</v>
      </c>
      <c r="M814" s="1" t="s">
        <v>27</v>
      </c>
      <c r="N814" s="1" t="s">
        <v>27</v>
      </c>
      <c r="O814" s="1" t="s">
        <v>29</v>
      </c>
      <c r="P814">
        <v>2.5</v>
      </c>
      <c r="Q814" s="1" t="s">
        <v>41</v>
      </c>
      <c r="R814" s="1" t="str">
        <f>_xlfn.CONCAT(laptop[[#This Row],[CPU_company]]," ",laptop[[#This Row],[CPU_model]])</f>
        <v>Intel Core i5 7200U</v>
      </c>
      <c r="S814">
        <v>256</v>
      </c>
      <c r="T814">
        <v>0</v>
      </c>
      <c r="U814">
        <f>laptop[[#This Row],[PrimaryStorage]]+laptop[[#This Row],[SecondaryStorage]]</f>
        <v>256</v>
      </c>
      <c r="V814" s="1" t="s">
        <v>31</v>
      </c>
      <c r="W814" s="1" t="s">
        <v>27</v>
      </c>
      <c r="X814" s="1" t="str">
        <f>IF(laptop[[#This Row],[PrimaryStorageType]]=laptop[[#This Row],[SecondaryStorageType]],laptop[[#This Row],[PrimaryStorageType]],"SSD &amp; HDD")</f>
        <v>SSD &amp; HDD</v>
      </c>
      <c r="Y814" s="1" t="s">
        <v>42</v>
      </c>
    </row>
    <row r="815" spans="1:25" x14ac:dyDescent="0.25">
      <c r="A815" s="1" t="s">
        <v>65</v>
      </c>
      <c r="B815" s="1" t="s">
        <v>471</v>
      </c>
      <c r="C815" s="1" t="s">
        <v>38</v>
      </c>
      <c r="D815">
        <v>15.6</v>
      </c>
      <c r="E815">
        <v>8</v>
      </c>
      <c r="F815" s="1" t="s">
        <v>48</v>
      </c>
      <c r="G815">
        <v>1.98</v>
      </c>
      <c r="H815">
        <v>961</v>
      </c>
      <c r="I815" s="1" t="s">
        <v>40</v>
      </c>
      <c r="J815">
        <v>1920</v>
      </c>
      <c r="K815">
        <v>1080</v>
      </c>
      <c r="L815" s="1" t="s">
        <v>27</v>
      </c>
      <c r="M815" s="1" t="s">
        <v>27</v>
      </c>
      <c r="N815" s="1" t="s">
        <v>27</v>
      </c>
      <c r="O815" s="1" t="s">
        <v>29</v>
      </c>
      <c r="P815">
        <v>2.7</v>
      </c>
      <c r="Q815" s="1" t="s">
        <v>71</v>
      </c>
      <c r="R815" s="1" t="str">
        <f>_xlfn.CONCAT(laptop[[#This Row],[CPU_company]]," ",laptop[[#This Row],[CPU_model]])</f>
        <v>Intel Core i7 7500U</v>
      </c>
      <c r="S815">
        <v>1024</v>
      </c>
      <c r="T815">
        <v>0</v>
      </c>
      <c r="U815">
        <f>laptop[[#This Row],[PrimaryStorage]]+laptop[[#This Row],[SecondaryStorage]]</f>
        <v>1024</v>
      </c>
      <c r="V815" s="1" t="s">
        <v>51</v>
      </c>
      <c r="W815" s="1" t="s">
        <v>27</v>
      </c>
      <c r="X815" s="1" t="str">
        <f>IF(laptop[[#This Row],[PrimaryStorageType]]=laptop[[#This Row],[SecondaryStorageType]],laptop[[#This Row],[PrimaryStorageType]],"SSD &amp; HDD")</f>
        <v>SSD &amp; HDD</v>
      </c>
      <c r="Y815" s="1" t="s">
        <v>371</v>
      </c>
    </row>
    <row r="816" spans="1:25" x14ac:dyDescent="0.25">
      <c r="A816" s="1" t="s">
        <v>65</v>
      </c>
      <c r="B816" s="1" t="s">
        <v>305</v>
      </c>
      <c r="C816" s="1" t="s">
        <v>38</v>
      </c>
      <c r="D816">
        <v>15.6</v>
      </c>
      <c r="E816">
        <v>8</v>
      </c>
      <c r="F816" s="1" t="s">
        <v>48</v>
      </c>
      <c r="G816">
        <v>2.1800000000000002</v>
      </c>
      <c r="H816">
        <v>789.81</v>
      </c>
      <c r="I816" s="1" t="s">
        <v>40</v>
      </c>
      <c r="J816">
        <v>1920</v>
      </c>
      <c r="K816">
        <v>1080</v>
      </c>
      <c r="L816" s="1" t="s">
        <v>27</v>
      </c>
      <c r="M816" s="1" t="s">
        <v>27</v>
      </c>
      <c r="N816" s="1" t="s">
        <v>27</v>
      </c>
      <c r="O816" s="1" t="s">
        <v>29</v>
      </c>
      <c r="P816">
        <v>2.5</v>
      </c>
      <c r="Q816" s="1" t="s">
        <v>41</v>
      </c>
      <c r="R816" s="1" t="str">
        <f>_xlfn.CONCAT(laptop[[#This Row],[CPU_company]]," ",laptop[[#This Row],[CPU_model]])</f>
        <v>Intel Core i5 7200U</v>
      </c>
      <c r="S816">
        <v>256</v>
      </c>
      <c r="T816">
        <v>0</v>
      </c>
      <c r="U816">
        <f>laptop[[#This Row],[PrimaryStorage]]+laptop[[#This Row],[SecondaryStorage]]</f>
        <v>256</v>
      </c>
      <c r="V816" s="1" t="s">
        <v>31</v>
      </c>
      <c r="W816" s="1" t="s">
        <v>27</v>
      </c>
      <c r="X816" s="1" t="str">
        <f>IF(laptop[[#This Row],[PrimaryStorageType]]=laptop[[#This Row],[SecondaryStorageType]],laptop[[#This Row],[PrimaryStorageType]],"SSD &amp; HDD")</f>
        <v>SSD &amp; HDD</v>
      </c>
      <c r="Y816" s="1" t="s">
        <v>233</v>
      </c>
    </row>
    <row r="817" spans="1:25" x14ac:dyDescent="0.25">
      <c r="A817" s="1" t="s">
        <v>73</v>
      </c>
      <c r="B817" s="1" t="s">
        <v>666</v>
      </c>
      <c r="C817" s="1" t="s">
        <v>24</v>
      </c>
      <c r="D817">
        <v>14</v>
      </c>
      <c r="E817">
        <v>8</v>
      </c>
      <c r="F817" s="1" t="s">
        <v>48</v>
      </c>
      <c r="G817">
        <v>1.32</v>
      </c>
      <c r="H817">
        <v>1859</v>
      </c>
      <c r="I817" s="1" t="s">
        <v>40</v>
      </c>
      <c r="J817">
        <v>1920</v>
      </c>
      <c r="K817">
        <v>1080</v>
      </c>
      <c r="L817" s="1" t="s">
        <v>27</v>
      </c>
      <c r="M817" s="1" t="s">
        <v>27</v>
      </c>
      <c r="N817" s="1" t="s">
        <v>27</v>
      </c>
      <c r="O817" s="1" t="s">
        <v>29</v>
      </c>
      <c r="P817">
        <v>2.7</v>
      </c>
      <c r="Q817" s="1" t="s">
        <v>71</v>
      </c>
      <c r="R817" s="1" t="str">
        <f>_xlfn.CONCAT(laptop[[#This Row],[CPU_company]]," ",laptop[[#This Row],[CPU_model]])</f>
        <v>Intel Core i7 7500U</v>
      </c>
      <c r="S817">
        <v>256</v>
      </c>
      <c r="T817">
        <v>0</v>
      </c>
      <c r="U817">
        <f>laptop[[#This Row],[PrimaryStorage]]+laptop[[#This Row],[SecondaryStorage]]</f>
        <v>256</v>
      </c>
      <c r="V817" s="1" t="s">
        <v>31</v>
      </c>
      <c r="W817" s="1" t="s">
        <v>27</v>
      </c>
      <c r="X817" s="1" t="str">
        <f>IF(laptop[[#This Row],[PrimaryStorageType]]=laptop[[#This Row],[SecondaryStorageType]],laptop[[#This Row],[PrimaryStorageType]],"SSD &amp; HDD")</f>
        <v>SSD &amp; HDD</v>
      </c>
      <c r="Y817" s="1" t="s">
        <v>42</v>
      </c>
    </row>
    <row r="818" spans="1:25" x14ac:dyDescent="0.25">
      <c r="A818" s="1" t="s">
        <v>256</v>
      </c>
      <c r="B818" s="1" t="s">
        <v>667</v>
      </c>
      <c r="C818" s="1" t="s">
        <v>24</v>
      </c>
      <c r="D818">
        <v>12.5</v>
      </c>
      <c r="E818">
        <v>16</v>
      </c>
      <c r="F818" s="1" t="s">
        <v>48</v>
      </c>
      <c r="G818">
        <v>1.29</v>
      </c>
      <c r="H818">
        <v>1799</v>
      </c>
      <c r="I818" s="1" t="s">
        <v>215</v>
      </c>
      <c r="J818">
        <v>3840</v>
      </c>
      <c r="K818">
        <v>2160</v>
      </c>
      <c r="L818" s="1" t="s">
        <v>28</v>
      </c>
      <c r="M818" s="1" t="s">
        <v>28</v>
      </c>
      <c r="N818" s="1" t="s">
        <v>27</v>
      </c>
      <c r="O818" s="1" t="s">
        <v>29</v>
      </c>
      <c r="P818">
        <v>2.5</v>
      </c>
      <c r="Q818" s="1" t="s">
        <v>71</v>
      </c>
      <c r="R818" s="1" t="str">
        <f>_xlfn.CONCAT(laptop[[#This Row],[CPU_company]]," ",laptop[[#This Row],[CPU_model]])</f>
        <v>Intel Core i7 7500U</v>
      </c>
      <c r="S818">
        <v>512</v>
      </c>
      <c r="T818">
        <v>0</v>
      </c>
      <c r="U818">
        <f>laptop[[#This Row],[PrimaryStorage]]+laptop[[#This Row],[SecondaryStorage]]</f>
        <v>512</v>
      </c>
      <c r="V818" s="1" t="s">
        <v>31</v>
      </c>
      <c r="W818" s="1" t="s">
        <v>27</v>
      </c>
      <c r="X818" s="1" t="str">
        <f>IF(laptop[[#This Row],[PrimaryStorageType]]=laptop[[#This Row],[SecondaryStorageType]],laptop[[#This Row],[PrimaryStorageType]],"SSD &amp; HDD")</f>
        <v>SSD &amp; HDD</v>
      </c>
      <c r="Y818" s="1" t="s">
        <v>42</v>
      </c>
    </row>
    <row r="819" spans="1:25" x14ac:dyDescent="0.25">
      <c r="A819" s="1" t="s">
        <v>36</v>
      </c>
      <c r="B819" s="1" t="s">
        <v>516</v>
      </c>
      <c r="C819" s="1" t="s">
        <v>79</v>
      </c>
      <c r="D819">
        <v>11.6</v>
      </c>
      <c r="E819">
        <v>4</v>
      </c>
      <c r="F819" s="1" t="s">
        <v>317</v>
      </c>
      <c r="G819">
        <v>1.23</v>
      </c>
      <c r="H819">
        <v>385</v>
      </c>
      <c r="I819" s="1" t="s">
        <v>26</v>
      </c>
      <c r="J819">
        <v>1366</v>
      </c>
      <c r="K819">
        <v>768</v>
      </c>
      <c r="L819" s="1" t="s">
        <v>27</v>
      </c>
      <c r="M819" s="1" t="s">
        <v>27</v>
      </c>
      <c r="N819" s="1" t="s">
        <v>27</v>
      </c>
      <c r="O819" s="1" t="s">
        <v>29</v>
      </c>
      <c r="P819">
        <v>1.6</v>
      </c>
      <c r="Q819" s="1" t="s">
        <v>151</v>
      </c>
      <c r="R819" s="1" t="str">
        <f>_xlfn.CONCAT(laptop[[#This Row],[CPU_company]]," ",laptop[[#This Row],[CPU_model]])</f>
        <v>Intel Celeron Dual Core N3060</v>
      </c>
      <c r="S819">
        <v>16</v>
      </c>
      <c r="T819">
        <v>0</v>
      </c>
      <c r="U819">
        <f>laptop[[#This Row],[PrimaryStorage]]+laptop[[#This Row],[SecondaryStorage]]</f>
        <v>16</v>
      </c>
      <c r="V819" s="1" t="s">
        <v>34</v>
      </c>
      <c r="W819" s="1" t="s">
        <v>27</v>
      </c>
      <c r="X819" s="1" t="str">
        <f>IF(laptop[[#This Row],[PrimaryStorageType]]=laptop[[#This Row],[SecondaryStorageType]],laptop[[#This Row],[PrimaryStorageType]],"SSD &amp; HDD")</f>
        <v>SSD &amp; HDD</v>
      </c>
      <c r="Y819" s="1" t="s">
        <v>81</v>
      </c>
    </row>
    <row r="820" spans="1:25" x14ac:dyDescent="0.25">
      <c r="A820" s="1" t="s">
        <v>65</v>
      </c>
      <c r="B820" s="1" t="s">
        <v>275</v>
      </c>
      <c r="C820" s="1" t="s">
        <v>83</v>
      </c>
      <c r="D820">
        <v>17.3</v>
      </c>
      <c r="E820">
        <v>16</v>
      </c>
      <c r="F820" s="1" t="s">
        <v>48</v>
      </c>
      <c r="G820">
        <v>4.3600000000000003</v>
      </c>
      <c r="H820">
        <v>2505.02</v>
      </c>
      <c r="I820" s="1" t="s">
        <v>40</v>
      </c>
      <c r="J820">
        <v>1920</v>
      </c>
      <c r="K820">
        <v>1080</v>
      </c>
      <c r="L820" s="1" t="s">
        <v>27</v>
      </c>
      <c r="M820" s="1" t="s">
        <v>28</v>
      </c>
      <c r="N820" s="1" t="s">
        <v>27</v>
      </c>
      <c r="O820" s="1" t="s">
        <v>29</v>
      </c>
      <c r="P820">
        <v>2.8</v>
      </c>
      <c r="Q820" s="1" t="s">
        <v>118</v>
      </c>
      <c r="R820" s="1" t="str">
        <f>_xlfn.CONCAT(laptop[[#This Row],[CPU_company]]," ",laptop[[#This Row],[CPU_model]])</f>
        <v>Intel Core i7 7700HQ</v>
      </c>
      <c r="S820">
        <v>128</v>
      </c>
      <c r="T820">
        <v>1024</v>
      </c>
      <c r="U820">
        <f>laptop[[#This Row],[PrimaryStorage]]+laptop[[#This Row],[SecondaryStorage]]</f>
        <v>1152</v>
      </c>
      <c r="V820" s="1" t="s">
        <v>31</v>
      </c>
      <c r="W820" s="1" t="s">
        <v>51</v>
      </c>
      <c r="X820" s="1" t="str">
        <f>IF(laptop[[#This Row],[PrimaryStorageType]]=laptop[[#This Row],[SecondaryStorageType]],laptop[[#This Row],[PrimaryStorageType]],"SSD &amp; HDD")</f>
        <v>SSD &amp; HDD</v>
      </c>
      <c r="Y820" s="1" t="s">
        <v>119</v>
      </c>
    </row>
    <row r="821" spans="1:25" x14ac:dyDescent="0.25">
      <c r="A821" s="1" t="s">
        <v>65</v>
      </c>
      <c r="B821" s="1" t="s">
        <v>668</v>
      </c>
      <c r="C821" s="1" t="s">
        <v>38</v>
      </c>
      <c r="D821">
        <v>14</v>
      </c>
      <c r="E821">
        <v>4</v>
      </c>
      <c r="F821" s="1" t="s">
        <v>48</v>
      </c>
      <c r="G821">
        <v>1.76</v>
      </c>
      <c r="H821">
        <v>755</v>
      </c>
      <c r="I821" s="1" t="s">
        <v>26</v>
      </c>
      <c r="J821">
        <v>1366</v>
      </c>
      <c r="K821">
        <v>768</v>
      </c>
      <c r="L821" s="1" t="s">
        <v>27</v>
      </c>
      <c r="M821" s="1" t="s">
        <v>27</v>
      </c>
      <c r="N821" s="1" t="s">
        <v>27</v>
      </c>
      <c r="O821" s="1" t="s">
        <v>29</v>
      </c>
      <c r="P821">
        <v>2.2999999999999998</v>
      </c>
      <c r="Q821" s="1" t="s">
        <v>212</v>
      </c>
      <c r="R821" s="1" t="str">
        <f>_xlfn.CONCAT(laptop[[#This Row],[CPU_company]]," ",laptop[[#This Row],[CPU_model]])</f>
        <v>Intel Core i5 6200U</v>
      </c>
      <c r="S821">
        <v>500</v>
      </c>
      <c r="T821">
        <v>0</v>
      </c>
      <c r="U821">
        <f>laptop[[#This Row],[PrimaryStorage]]+laptop[[#This Row],[SecondaryStorage]]</f>
        <v>500</v>
      </c>
      <c r="V821" s="1" t="s">
        <v>51</v>
      </c>
      <c r="W821" s="1" t="s">
        <v>27</v>
      </c>
      <c r="X821" s="1" t="str">
        <f>IF(laptop[[#This Row],[PrimaryStorageType]]=laptop[[#This Row],[SecondaryStorageType]],laptop[[#This Row],[PrimaryStorageType]],"SSD &amp; HDD")</f>
        <v>SSD &amp; HDD</v>
      </c>
      <c r="Y821" s="1" t="s">
        <v>63</v>
      </c>
    </row>
    <row r="822" spans="1:25" x14ac:dyDescent="0.25">
      <c r="A822" s="1" t="s">
        <v>73</v>
      </c>
      <c r="B822" s="1" t="s">
        <v>669</v>
      </c>
      <c r="C822" s="1" t="s">
        <v>38</v>
      </c>
      <c r="D822">
        <v>15.6</v>
      </c>
      <c r="E822">
        <v>4</v>
      </c>
      <c r="F822" s="1" t="s">
        <v>48</v>
      </c>
      <c r="G822">
        <v>2.1</v>
      </c>
      <c r="H822">
        <v>489.9</v>
      </c>
      <c r="I822" s="1" t="s">
        <v>26</v>
      </c>
      <c r="J822">
        <v>1366</v>
      </c>
      <c r="K822">
        <v>768</v>
      </c>
      <c r="L822" s="1" t="s">
        <v>27</v>
      </c>
      <c r="M822" s="1" t="s">
        <v>27</v>
      </c>
      <c r="N822" s="1" t="s">
        <v>27</v>
      </c>
      <c r="O822" s="1" t="s">
        <v>29</v>
      </c>
      <c r="P822">
        <v>2</v>
      </c>
      <c r="Q822" s="1" t="s">
        <v>62</v>
      </c>
      <c r="R822" s="1" t="str">
        <f>_xlfn.CONCAT(laptop[[#This Row],[CPU_company]]," ",laptop[[#This Row],[CPU_model]])</f>
        <v>Intel Core i3 6006U</v>
      </c>
      <c r="S822">
        <v>500</v>
      </c>
      <c r="T822">
        <v>0</v>
      </c>
      <c r="U822">
        <f>laptop[[#This Row],[PrimaryStorage]]+laptop[[#This Row],[SecondaryStorage]]</f>
        <v>500</v>
      </c>
      <c r="V822" s="1" t="s">
        <v>51</v>
      </c>
      <c r="W822" s="1" t="s">
        <v>27</v>
      </c>
      <c r="X822" s="1" t="str">
        <f>IF(laptop[[#This Row],[PrimaryStorageType]]=laptop[[#This Row],[SecondaryStorageType]],laptop[[#This Row],[PrimaryStorageType]],"SSD &amp; HDD")</f>
        <v>SSD &amp; HDD</v>
      </c>
      <c r="Y822" s="1" t="s">
        <v>63</v>
      </c>
    </row>
    <row r="823" spans="1:25" x14ac:dyDescent="0.25">
      <c r="A823" s="1" t="s">
        <v>210</v>
      </c>
      <c r="B823" s="1" t="s">
        <v>670</v>
      </c>
      <c r="C823" s="1" t="s">
        <v>24</v>
      </c>
      <c r="D823">
        <v>14</v>
      </c>
      <c r="E823">
        <v>4</v>
      </c>
      <c r="F823" s="1" t="s">
        <v>48</v>
      </c>
      <c r="G823">
        <v>1.25</v>
      </c>
      <c r="H823">
        <v>1090</v>
      </c>
      <c r="I823" s="1" t="s">
        <v>26</v>
      </c>
      <c r="J823">
        <v>1366</v>
      </c>
      <c r="K823">
        <v>768</v>
      </c>
      <c r="L823" s="1" t="s">
        <v>27</v>
      </c>
      <c r="M823" s="1" t="s">
        <v>27</v>
      </c>
      <c r="N823" s="1" t="s">
        <v>27</v>
      </c>
      <c r="O823" s="1" t="s">
        <v>29</v>
      </c>
      <c r="P823">
        <v>2.5</v>
      </c>
      <c r="Q823" s="1" t="s">
        <v>41</v>
      </c>
      <c r="R823" s="1" t="str">
        <f>_xlfn.CONCAT(laptop[[#This Row],[CPU_company]]," ",laptop[[#This Row],[CPU_model]])</f>
        <v>Intel Core i5 7200U</v>
      </c>
      <c r="S823">
        <v>128</v>
      </c>
      <c r="T823">
        <v>0</v>
      </c>
      <c r="U823">
        <f>laptop[[#This Row],[PrimaryStorage]]+laptop[[#This Row],[SecondaryStorage]]</f>
        <v>128</v>
      </c>
      <c r="V823" s="1" t="s">
        <v>31</v>
      </c>
      <c r="W823" s="1" t="s">
        <v>27</v>
      </c>
      <c r="X823" s="1" t="str">
        <f>IF(laptop[[#This Row],[PrimaryStorageType]]=laptop[[#This Row],[SecondaryStorageType]],laptop[[#This Row],[PrimaryStorageType]],"SSD &amp; HDD")</f>
        <v>SSD &amp; HDD</v>
      </c>
      <c r="Y823" s="1" t="s">
        <v>42</v>
      </c>
    </row>
    <row r="824" spans="1:25" x14ac:dyDescent="0.25">
      <c r="A824" s="1" t="s">
        <v>73</v>
      </c>
      <c r="B824" s="1" t="s">
        <v>382</v>
      </c>
      <c r="C824" s="1" t="s">
        <v>24</v>
      </c>
      <c r="D824">
        <v>14</v>
      </c>
      <c r="E824">
        <v>8</v>
      </c>
      <c r="F824" s="1" t="s">
        <v>48</v>
      </c>
      <c r="G824">
        <v>1.1299999999999999</v>
      </c>
      <c r="H824">
        <v>2499</v>
      </c>
      <c r="I824" s="1" t="s">
        <v>40</v>
      </c>
      <c r="J824">
        <v>1920</v>
      </c>
      <c r="K824">
        <v>1080</v>
      </c>
      <c r="L824" s="1" t="s">
        <v>27</v>
      </c>
      <c r="M824" s="1" t="s">
        <v>28</v>
      </c>
      <c r="N824" s="1" t="s">
        <v>27</v>
      </c>
      <c r="O824" s="1" t="s">
        <v>29</v>
      </c>
      <c r="P824">
        <v>2.7</v>
      </c>
      <c r="Q824" s="1" t="s">
        <v>71</v>
      </c>
      <c r="R824" s="1" t="str">
        <f>_xlfn.CONCAT(laptop[[#This Row],[CPU_company]]," ",laptop[[#This Row],[CPU_model]])</f>
        <v>Intel Core i7 7500U</v>
      </c>
      <c r="S824">
        <v>512</v>
      </c>
      <c r="T824">
        <v>0</v>
      </c>
      <c r="U824">
        <f>laptop[[#This Row],[PrimaryStorage]]+laptop[[#This Row],[SecondaryStorage]]</f>
        <v>512</v>
      </c>
      <c r="V824" s="1" t="s">
        <v>31</v>
      </c>
      <c r="W824" s="1" t="s">
        <v>27</v>
      </c>
      <c r="X824" s="1" t="str">
        <f>IF(laptop[[#This Row],[PrimaryStorageType]]=laptop[[#This Row],[SecondaryStorageType]],laptop[[#This Row],[PrimaryStorageType]],"SSD &amp; HDD")</f>
        <v>SSD &amp; HDD</v>
      </c>
      <c r="Y824" s="1" t="s">
        <v>42</v>
      </c>
    </row>
    <row r="825" spans="1:25" x14ac:dyDescent="0.25">
      <c r="A825" s="1" t="s">
        <v>141</v>
      </c>
      <c r="B825" s="1" t="s">
        <v>671</v>
      </c>
      <c r="C825" s="1" t="s">
        <v>83</v>
      </c>
      <c r="D825">
        <v>15.6</v>
      </c>
      <c r="E825">
        <v>8</v>
      </c>
      <c r="F825" s="1" t="s">
        <v>48</v>
      </c>
      <c r="G825">
        <v>2.4</v>
      </c>
      <c r="H825">
        <v>1199</v>
      </c>
      <c r="I825" s="1" t="s">
        <v>40</v>
      </c>
      <c r="J825">
        <v>1920</v>
      </c>
      <c r="K825">
        <v>1080</v>
      </c>
      <c r="L825" s="1" t="s">
        <v>27</v>
      </c>
      <c r="M825" s="1" t="s">
        <v>27</v>
      </c>
      <c r="N825" s="1" t="s">
        <v>27</v>
      </c>
      <c r="O825" s="1" t="s">
        <v>29</v>
      </c>
      <c r="P825">
        <v>2.5</v>
      </c>
      <c r="Q825" s="1" t="s">
        <v>84</v>
      </c>
      <c r="R825" s="1" t="str">
        <f>_xlfn.CONCAT(laptop[[#This Row],[CPU_company]]," ",laptop[[#This Row],[CPU_model]])</f>
        <v>Intel Core i5 7300HQ</v>
      </c>
      <c r="S825">
        <v>256</v>
      </c>
      <c r="T825">
        <v>0</v>
      </c>
      <c r="U825">
        <f>laptop[[#This Row],[PrimaryStorage]]+laptop[[#This Row],[SecondaryStorage]]</f>
        <v>256</v>
      </c>
      <c r="V825" s="1" t="s">
        <v>31</v>
      </c>
      <c r="W825" s="1" t="s">
        <v>27</v>
      </c>
      <c r="X825" s="1" t="str">
        <f>IF(laptop[[#This Row],[PrimaryStorageType]]=laptop[[#This Row],[SecondaryStorageType]],laptop[[#This Row],[PrimaryStorageType]],"SSD &amp; HDD")</f>
        <v>SSD &amp; HDD</v>
      </c>
      <c r="Y825" s="1" t="s">
        <v>85</v>
      </c>
    </row>
    <row r="826" spans="1:25" x14ac:dyDescent="0.25">
      <c r="A826" s="1" t="s">
        <v>73</v>
      </c>
      <c r="B826" s="1" t="s">
        <v>308</v>
      </c>
      <c r="C826" s="1" t="s">
        <v>24</v>
      </c>
      <c r="D826">
        <v>14</v>
      </c>
      <c r="E826">
        <v>8</v>
      </c>
      <c r="F826" s="1" t="s">
        <v>48</v>
      </c>
      <c r="G826">
        <v>1.1299999999999999</v>
      </c>
      <c r="H826">
        <v>1875</v>
      </c>
      <c r="I826" s="1" t="s">
        <v>40</v>
      </c>
      <c r="J826">
        <v>1920</v>
      </c>
      <c r="K826">
        <v>1080</v>
      </c>
      <c r="L826" s="1" t="s">
        <v>27</v>
      </c>
      <c r="M826" s="1" t="s">
        <v>28</v>
      </c>
      <c r="N826" s="1" t="s">
        <v>27</v>
      </c>
      <c r="O826" s="1" t="s">
        <v>29</v>
      </c>
      <c r="P826">
        <v>2.5</v>
      </c>
      <c r="Q826" s="1" t="s">
        <v>41</v>
      </c>
      <c r="R826" s="1" t="str">
        <f>_xlfn.CONCAT(laptop[[#This Row],[CPU_company]]," ",laptop[[#This Row],[CPU_model]])</f>
        <v>Intel Core i5 7200U</v>
      </c>
      <c r="S826">
        <v>256</v>
      </c>
      <c r="T826">
        <v>0</v>
      </c>
      <c r="U826">
        <f>laptop[[#This Row],[PrimaryStorage]]+laptop[[#This Row],[SecondaryStorage]]</f>
        <v>256</v>
      </c>
      <c r="V826" s="1" t="s">
        <v>34</v>
      </c>
      <c r="W826" s="1" t="s">
        <v>27</v>
      </c>
      <c r="X826" s="1" t="str">
        <f>IF(laptop[[#This Row],[PrimaryStorageType]]=laptop[[#This Row],[SecondaryStorageType]],laptop[[#This Row],[PrimaryStorageType]],"SSD &amp; HDD")</f>
        <v>SSD &amp; HDD</v>
      </c>
      <c r="Y826" s="1" t="s">
        <v>42</v>
      </c>
    </row>
    <row r="827" spans="1:25" x14ac:dyDescent="0.25">
      <c r="A827" s="1" t="s">
        <v>210</v>
      </c>
      <c r="B827" s="1" t="s">
        <v>211</v>
      </c>
      <c r="C827" s="1" t="s">
        <v>38</v>
      </c>
      <c r="D827">
        <v>14</v>
      </c>
      <c r="E827">
        <v>4</v>
      </c>
      <c r="F827" s="1" t="s">
        <v>48</v>
      </c>
      <c r="G827">
        <v>1.75</v>
      </c>
      <c r="H827">
        <v>499</v>
      </c>
      <c r="I827" s="1" t="s">
        <v>26</v>
      </c>
      <c r="J827">
        <v>1366</v>
      </c>
      <c r="K827">
        <v>768</v>
      </c>
      <c r="L827" s="1" t="s">
        <v>27</v>
      </c>
      <c r="M827" s="1" t="s">
        <v>27</v>
      </c>
      <c r="N827" s="1" t="s">
        <v>27</v>
      </c>
      <c r="O827" s="1" t="s">
        <v>29</v>
      </c>
      <c r="P827">
        <v>2.1</v>
      </c>
      <c r="Q827" s="1" t="s">
        <v>672</v>
      </c>
      <c r="R827" s="1" t="str">
        <f>_xlfn.CONCAT(laptop[[#This Row],[CPU_company]]," ",laptop[[#This Row],[CPU_model]])</f>
        <v>Intel Pentium Dual Core 4405U</v>
      </c>
      <c r="S827">
        <v>128</v>
      </c>
      <c r="T827">
        <v>0</v>
      </c>
      <c r="U827">
        <f>laptop[[#This Row],[PrimaryStorage]]+laptop[[#This Row],[SecondaryStorage]]</f>
        <v>128</v>
      </c>
      <c r="V827" s="1" t="s">
        <v>31</v>
      </c>
      <c r="W827" s="1" t="s">
        <v>27</v>
      </c>
      <c r="X827" s="1" t="str">
        <f>IF(laptop[[#This Row],[PrimaryStorageType]]=laptop[[#This Row],[SecondaryStorageType]],laptop[[#This Row],[PrimaryStorageType]],"SSD &amp; HDD")</f>
        <v>SSD &amp; HDD</v>
      </c>
      <c r="Y827" s="1" t="s">
        <v>343</v>
      </c>
    </row>
    <row r="828" spans="1:25" x14ac:dyDescent="0.25">
      <c r="A828" s="1" t="s">
        <v>55</v>
      </c>
      <c r="B828" s="1" t="s">
        <v>230</v>
      </c>
      <c r="C828" s="1" t="s">
        <v>90</v>
      </c>
      <c r="D828">
        <v>13.3</v>
      </c>
      <c r="E828">
        <v>8</v>
      </c>
      <c r="F828" s="1" t="s">
        <v>48</v>
      </c>
      <c r="G828">
        <v>1.1000000000000001</v>
      </c>
      <c r="H828">
        <v>1358</v>
      </c>
      <c r="I828" s="1" t="s">
        <v>40</v>
      </c>
      <c r="J828">
        <v>1920</v>
      </c>
      <c r="K828">
        <v>1080</v>
      </c>
      <c r="L828" s="1" t="s">
        <v>28</v>
      </c>
      <c r="M828" s="1" t="s">
        <v>27</v>
      </c>
      <c r="N828" s="1" t="s">
        <v>27</v>
      </c>
      <c r="O828" s="1" t="s">
        <v>29</v>
      </c>
      <c r="P828">
        <v>2.5</v>
      </c>
      <c r="Q828" s="1" t="s">
        <v>41</v>
      </c>
      <c r="R828" s="1" t="str">
        <f>_xlfn.CONCAT(laptop[[#This Row],[CPU_company]]," ",laptop[[#This Row],[CPU_model]])</f>
        <v>Intel Core i5 7200U</v>
      </c>
      <c r="S828">
        <v>256</v>
      </c>
      <c r="T828">
        <v>0</v>
      </c>
      <c r="U828">
        <f>laptop[[#This Row],[PrimaryStorage]]+laptop[[#This Row],[SecondaryStorage]]</f>
        <v>256</v>
      </c>
      <c r="V828" s="1" t="s">
        <v>31</v>
      </c>
      <c r="W828" s="1" t="s">
        <v>27</v>
      </c>
      <c r="X828" s="1" t="str">
        <f>IF(laptop[[#This Row],[PrimaryStorageType]]=laptop[[#This Row],[SecondaryStorageType]],laptop[[#This Row],[PrimaryStorageType]],"SSD &amp; HDD")</f>
        <v>SSD &amp; HDD</v>
      </c>
      <c r="Y828" s="1" t="s">
        <v>42</v>
      </c>
    </row>
    <row r="829" spans="1:25" x14ac:dyDescent="0.25">
      <c r="A829" s="1" t="s">
        <v>65</v>
      </c>
      <c r="B829" s="1" t="s">
        <v>668</v>
      </c>
      <c r="C829" s="1" t="s">
        <v>38</v>
      </c>
      <c r="D829">
        <v>14</v>
      </c>
      <c r="E829">
        <v>4</v>
      </c>
      <c r="F829" s="1" t="s">
        <v>48</v>
      </c>
      <c r="G829">
        <v>1.76</v>
      </c>
      <c r="H829">
        <v>585</v>
      </c>
      <c r="I829" s="1" t="s">
        <v>26</v>
      </c>
      <c r="J829">
        <v>1366</v>
      </c>
      <c r="K829">
        <v>768</v>
      </c>
      <c r="L829" s="1" t="s">
        <v>27</v>
      </c>
      <c r="M829" s="1" t="s">
        <v>27</v>
      </c>
      <c r="N829" s="1" t="s">
        <v>27</v>
      </c>
      <c r="O829" s="1" t="s">
        <v>29</v>
      </c>
      <c r="P829">
        <v>2</v>
      </c>
      <c r="Q829" s="1" t="s">
        <v>62</v>
      </c>
      <c r="R829" s="1" t="str">
        <f>_xlfn.CONCAT(laptop[[#This Row],[CPU_company]]," ",laptop[[#This Row],[CPU_model]])</f>
        <v>Intel Core i3 6006U</v>
      </c>
      <c r="S829">
        <v>500</v>
      </c>
      <c r="T829">
        <v>0</v>
      </c>
      <c r="U829">
        <f>laptop[[#This Row],[PrimaryStorage]]+laptop[[#This Row],[SecondaryStorage]]</f>
        <v>500</v>
      </c>
      <c r="V829" s="1" t="s">
        <v>51</v>
      </c>
      <c r="W829" s="1" t="s">
        <v>27</v>
      </c>
      <c r="X829" s="1" t="str">
        <f>IF(laptop[[#This Row],[PrimaryStorageType]]=laptop[[#This Row],[SecondaryStorageType]],laptop[[#This Row],[PrimaryStorageType]],"SSD &amp; HDD")</f>
        <v>SSD &amp; HDD</v>
      </c>
      <c r="Y829" s="1" t="s">
        <v>63</v>
      </c>
    </row>
    <row r="830" spans="1:25" x14ac:dyDescent="0.25">
      <c r="A830" s="1" t="s">
        <v>46</v>
      </c>
      <c r="B830" s="1" t="s">
        <v>516</v>
      </c>
      <c r="C830" s="1" t="s">
        <v>79</v>
      </c>
      <c r="D830">
        <v>11.6</v>
      </c>
      <c r="E830">
        <v>4</v>
      </c>
      <c r="F830" s="1" t="s">
        <v>317</v>
      </c>
      <c r="G830">
        <v>1.35</v>
      </c>
      <c r="H830">
        <v>355</v>
      </c>
      <c r="I830" s="1" t="s">
        <v>26</v>
      </c>
      <c r="J830">
        <v>1366</v>
      </c>
      <c r="K830">
        <v>768</v>
      </c>
      <c r="L830" s="1" t="s">
        <v>27</v>
      </c>
      <c r="M830" s="1" t="s">
        <v>28</v>
      </c>
      <c r="N830" s="1" t="s">
        <v>27</v>
      </c>
      <c r="O830" s="1" t="s">
        <v>29</v>
      </c>
      <c r="P830">
        <v>1.6</v>
      </c>
      <c r="Q830" s="1" t="s">
        <v>151</v>
      </c>
      <c r="R830" s="1" t="str">
        <f>_xlfn.CONCAT(laptop[[#This Row],[CPU_company]]," ",laptop[[#This Row],[CPU_model]])</f>
        <v>Intel Celeron Dual Core N3060</v>
      </c>
      <c r="S830">
        <v>32</v>
      </c>
      <c r="T830">
        <v>0</v>
      </c>
      <c r="U830">
        <f>laptop[[#This Row],[PrimaryStorage]]+laptop[[#This Row],[SecondaryStorage]]</f>
        <v>32</v>
      </c>
      <c r="V830" s="1" t="s">
        <v>34</v>
      </c>
      <c r="W830" s="1" t="s">
        <v>27</v>
      </c>
      <c r="X830" s="1" t="str">
        <f>IF(laptop[[#This Row],[PrimaryStorageType]]=laptop[[#This Row],[SecondaryStorageType]],laptop[[#This Row],[PrimaryStorageType]],"SSD &amp; HDD")</f>
        <v>SSD &amp; HDD</v>
      </c>
      <c r="Y830" s="1" t="s">
        <v>81</v>
      </c>
    </row>
    <row r="831" spans="1:25" x14ac:dyDescent="0.25">
      <c r="A831" s="1" t="s">
        <v>46</v>
      </c>
      <c r="B831" s="1" t="s">
        <v>59</v>
      </c>
      <c r="C831" s="1" t="s">
        <v>38</v>
      </c>
      <c r="D831">
        <v>14</v>
      </c>
      <c r="E831">
        <v>8</v>
      </c>
      <c r="F831" s="1" t="s">
        <v>48</v>
      </c>
      <c r="G831">
        <v>1.5</v>
      </c>
      <c r="H831">
        <v>619</v>
      </c>
      <c r="I831" s="1" t="s">
        <v>40</v>
      </c>
      <c r="J831">
        <v>1920</v>
      </c>
      <c r="K831">
        <v>1080</v>
      </c>
      <c r="L831" s="1" t="s">
        <v>27</v>
      </c>
      <c r="M831" s="1" t="s">
        <v>28</v>
      </c>
      <c r="N831" s="1" t="s">
        <v>27</v>
      </c>
      <c r="O831" s="1" t="s">
        <v>29</v>
      </c>
      <c r="P831">
        <v>2.4</v>
      </c>
      <c r="Q831" s="1" t="s">
        <v>75</v>
      </c>
      <c r="R831" s="1" t="str">
        <f>_xlfn.CONCAT(laptop[[#This Row],[CPU_company]]," ",laptop[[#This Row],[CPU_model]])</f>
        <v>Intel Core i3 7100U</v>
      </c>
      <c r="S831">
        <v>128</v>
      </c>
      <c r="T831">
        <v>0</v>
      </c>
      <c r="U831">
        <f>laptop[[#This Row],[PrimaryStorage]]+laptop[[#This Row],[SecondaryStorage]]</f>
        <v>128</v>
      </c>
      <c r="V831" s="1" t="s">
        <v>31</v>
      </c>
      <c r="W831" s="1" t="s">
        <v>27</v>
      </c>
      <c r="X831" s="1" t="str">
        <f>IF(laptop[[#This Row],[PrimaryStorageType]]=laptop[[#This Row],[SecondaryStorageType]],laptop[[#This Row],[PrimaryStorageType]],"SSD &amp; HDD")</f>
        <v>SSD &amp; HDD</v>
      </c>
      <c r="Y831" s="1" t="s">
        <v>42</v>
      </c>
    </row>
    <row r="832" spans="1:25" x14ac:dyDescent="0.25">
      <c r="A832" s="1" t="s">
        <v>256</v>
      </c>
      <c r="B832" s="1" t="s">
        <v>257</v>
      </c>
      <c r="C832" s="1" t="s">
        <v>83</v>
      </c>
      <c r="D832">
        <v>17.3</v>
      </c>
      <c r="E832">
        <v>32</v>
      </c>
      <c r="F832" s="1" t="s">
        <v>48</v>
      </c>
      <c r="G832">
        <v>3.49</v>
      </c>
      <c r="H832">
        <v>5499</v>
      </c>
      <c r="I832" s="1" t="s">
        <v>215</v>
      </c>
      <c r="J832">
        <v>3840</v>
      </c>
      <c r="K832">
        <v>2160</v>
      </c>
      <c r="L832" s="1" t="s">
        <v>28</v>
      </c>
      <c r="M832" s="1" t="s">
        <v>27</v>
      </c>
      <c r="N832" s="1" t="s">
        <v>27</v>
      </c>
      <c r="O832" s="1" t="s">
        <v>29</v>
      </c>
      <c r="P832">
        <v>2.9</v>
      </c>
      <c r="Q832" s="1" t="s">
        <v>258</v>
      </c>
      <c r="R832" s="1" t="str">
        <f>_xlfn.CONCAT(laptop[[#This Row],[CPU_company]]," ",laptop[[#This Row],[CPU_model]])</f>
        <v>Intel Core i7 7820HK</v>
      </c>
      <c r="S832">
        <v>512</v>
      </c>
      <c r="T832">
        <v>0</v>
      </c>
      <c r="U832">
        <f>laptop[[#This Row],[PrimaryStorage]]+laptop[[#This Row],[SecondaryStorage]]</f>
        <v>512</v>
      </c>
      <c r="V832" s="1" t="s">
        <v>31</v>
      </c>
      <c r="W832" s="1" t="s">
        <v>27</v>
      </c>
      <c r="X832" s="1" t="str">
        <f>IF(laptop[[#This Row],[PrimaryStorageType]]=laptop[[#This Row],[SecondaryStorageType]],laptop[[#This Row],[PrimaryStorageType]],"SSD &amp; HDD")</f>
        <v>SSD &amp; HDD</v>
      </c>
      <c r="Y832" s="1" t="s">
        <v>259</v>
      </c>
    </row>
    <row r="833" spans="1:25" x14ac:dyDescent="0.25">
      <c r="A833" s="1" t="s">
        <v>73</v>
      </c>
      <c r="B833" s="1" t="s">
        <v>382</v>
      </c>
      <c r="C833" s="1" t="s">
        <v>24</v>
      </c>
      <c r="D833">
        <v>14</v>
      </c>
      <c r="E833">
        <v>16</v>
      </c>
      <c r="F833" s="1" t="s">
        <v>48</v>
      </c>
      <c r="G833">
        <v>1.1000000000000001</v>
      </c>
      <c r="H833">
        <v>2099</v>
      </c>
      <c r="I833" s="1" t="s">
        <v>107</v>
      </c>
      <c r="J833">
        <v>2560</v>
      </c>
      <c r="K833">
        <v>1440</v>
      </c>
      <c r="L833" s="1" t="s">
        <v>27</v>
      </c>
      <c r="M833" s="1" t="s">
        <v>28</v>
      </c>
      <c r="N833" s="1" t="s">
        <v>27</v>
      </c>
      <c r="O833" s="1" t="s">
        <v>29</v>
      </c>
      <c r="P833">
        <v>2.6</v>
      </c>
      <c r="Q833" s="1" t="s">
        <v>309</v>
      </c>
      <c r="R833" s="1" t="str">
        <f>_xlfn.CONCAT(laptop[[#This Row],[CPU_company]]," ",laptop[[#This Row],[CPU_model]])</f>
        <v>Intel Core i7 6600U</v>
      </c>
      <c r="S833">
        <v>512</v>
      </c>
      <c r="T833">
        <v>0</v>
      </c>
      <c r="U833">
        <f>laptop[[#This Row],[PrimaryStorage]]+laptop[[#This Row],[SecondaryStorage]]</f>
        <v>512</v>
      </c>
      <c r="V833" s="1" t="s">
        <v>31</v>
      </c>
      <c r="W833" s="1" t="s">
        <v>27</v>
      </c>
      <c r="X833" s="1" t="str">
        <f>IF(laptop[[#This Row],[PrimaryStorageType]]=laptop[[#This Row],[SecondaryStorageType]],laptop[[#This Row],[PrimaryStorageType]],"SSD &amp; HDD")</f>
        <v>SSD &amp; HDD</v>
      </c>
      <c r="Y833" s="1" t="s">
        <v>63</v>
      </c>
    </row>
    <row r="834" spans="1:25" x14ac:dyDescent="0.25">
      <c r="A834" s="1" t="s">
        <v>55</v>
      </c>
      <c r="B834" s="1" t="s">
        <v>140</v>
      </c>
      <c r="C834" s="1" t="s">
        <v>38</v>
      </c>
      <c r="D834">
        <v>15.6</v>
      </c>
      <c r="E834">
        <v>4</v>
      </c>
      <c r="F834" s="1" t="s">
        <v>111</v>
      </c>
      <c r="G834">
        <v>2.1</v>
      </c>
      <c r="H834">
        <v>519</v>
      </c>
      <c r="I834" s="1" t="s">
        <v>40</v>
      </c>
      <c r="J834">
        <v>1920</v>
      </c>
      <c r="K834">
        <v>1080</v>
      </c>
      <c r="L834" s="1" t="s">
        <v>27</v>
      </c>
      <c r="M834" s="1" t="s">
        <v>27</v>
      </c>
      <c r="N834" s="1" t="s">
        <v>27</v>
      </c>
      <c r="O834" s="1" t="s">
        <v>29</v>
      </c>
      <c r="P834">
        <v>2.5</v>
      </c>
      <c r="Q834" s="1" t="s">
        <v>41</v>
      </c>
      <c r="R834" s="1" t="str">
        <f>_xlfn.CONCAT(laptop[[#This Row],[CPU_company]]," ",laptop[[#This Row],[CPU_model]])</f>
        <v>Intel Core i5 7200U</v>
      </c>
      <c r="S834">
        <v>1024</v>
      </c>
      <c r="T834">
        <v>0</v>
      </c>
      <c r="U834">
        <f>laptop[[#This Row],[PrimaryStorage]]+laptop[[#This Row],[SecondaryStorage]]</f>
        <v>1024</v>
      </c>
      <c r="V834" s="1" t="s">
        <v>51</v>
      </c>
      <c r="W834" s="1" t="s">
        <v>27</v>
      </c>
      <c r="X834" s="1" t="str">
        <f>IF(laptop[[#This Row],[PrimaryStorageType]]=laptop[[#This Row],[SecondaryStorageType]],laptop[[#This Row],[PrimaryStorageType]],"SSD &amp; HDD")</f>
        <v>SSD &amp; HDD</v>
      </c>
      <c r="Y834" s="1" t="s">
        <v>673</v>
      </c>
    </row>
    <row r="835" spans="1:25" x14ac:dyDescent="0.25">
      <c r="A835" s="1" t="s">
        <v>73</v>
      </c>
      <c r="B835" s="1" t="s">
        <v>626</v>
      </c>
      <c r="C835" s="1" t="s">
        <v>38</v>
      </c>
      <c r="D835">
        <v>14</v>
      </c>
      <c r="E835">
        <v>8</v>
      </c>
      <c r="F835" s="1" t="s">
        <v>48</v>
      </c>
      <c r="G835">
        <v>1.7</v>
      </c>
      <c r="H835">
        <v>1186</v>
      </c>
      <c r="I835" s="1" t="s">
        <v>40</v>
      </c>
      <c r="J835">
        <v>1920</v>
      </c>
      <c r="K835">
        <v>1080</v>
      </c>
      <c r="L835" s="1" t="s">
        <v>27</v>
      </c>
      <c r="M835" s="1" t="s">
        <v>27</v>
      </c>
      <c r="N835" s="1" t="s">
        <v>27</v>
      </c>
      <c r="O835" s="1" t="s">
        <v>29</v>
      </c>
      <c r="P835">
        <v>2.2999999999999998</v>
      </c>
      <c r="Q835" s="1" t="s">
        <v>212</v>
      </c>
      <c r="R835" s="1" t="str">
        <f>_xlfn.CONCAT(laptop[[#This Row],[CPU_company]]," ",laptop[[#This Row],[CPU_model]])</f>
        <v>Intel Core i5 6200U</v>
      </c>
      <c r="S835">
        <v>256</v>
      </c>
      <c r="T835">
        <v>0</v>
      </c>
      <c r="U835">
        <f>laptop[[#This Row],[PrimaryStorage]]+laptop[[#This Row],[SecondaryStorage]]</f>
        <v>256</v>
      </c>
      <c r="V835" s="1" t="s">
        <v>31</v>
      </c>
      <c r="W835" s="1" t="s">
        <v>27</v>
      </c>
      <c r="X835" s="1" t="str">
        <f>IF(laptop[[#This Row],[PrimaryStorageType]]=laptop[[#This Row],[SecondaryStorageType]],laptop[[#This Row],[PrimaryStorageType]],"SSD &amp; HDD")</f>
        <v>SSD &amp; HDD</v>
      </c>
      <c r="Y835" s="1" t="s">
        <v>63</v>
      </c>
    </row>
    <row r="836" spans="1:25" x14ac:dyDescent="0.25">
      <c r="A836" s="1" t="s">
        <v>73</v>
      </c>
      <c r="B836" s="1" t="s">
        <v>424</v>
      </c>
      <c r="C836" s="1" t="s">
        <v>38</v>
      </c>
      <c r="D836">
        <v>14</v>
      </c>
      <c r="E836">
        <v>8</v>
      </c>
      <c r="F836" s="1" t="s">
        <v>48</v>
      </c>
      <c r="G836">
        <v>1.32</v>
      </c>
      <c r="H836">
        <v>1650</v>
      </c>
      <c r="I836" s="1" t="s">
        <v>40</v>
      </c>
      <c r="J836">
        <v>1920</v>
      </c>
      <c r="K836">
        <v>1080</v>
      </c>
      <c r="L836" s="1" t="s">
        <v>27</v>
      </c>
      <c r="M836" s="1" t="s">
        <v>28</v>
      </c>
      <c r="N836" s="1" t="s">
        <v>27</v>
      </c>
      <c r="O836" s="1" t="s">
        <v>29</v>
      </c>
      <c r="P836">
        <v>2.6</v>
      </c>
      <c r="Q836" s="1" t="s">
        <v>358</v>
      </c>
      <c r="R836" s="1" t="str">
        <f>_xlfn.CONCAT(laptop[[#This Row],[CPU_company]]," ",laptop[[#This Row],[CPU_model]])</f>
        <v>Intel Core i5 7300U</v>
      </c>
      <c r="S836">
        <v>256</v>
      </c>
      <c r="T836">
        <v>0</v>
      </c>
      <c r="U836">
        <f>laptop[[#This Row],[PrimaryStorage]]+laptop[[#This Row],[SecondaryStorage]]</f>
        <v>256</v>
      </c>
      <c r="V836" s="1" t="s">
        <v>31</v>
      </c>
      <c r="W836" s="1" t="s">
        <v>27</v>
      </c>
      <c r="X836" s="1" t="str">
        <f>IF(laptop[[#This Row],[PrimaryStorageType]]=laptop[[#This Row],[SecondaryStorageType]],laptop[[#This Row],[PrimaryStorageType]],"SSD &amp; HDD")</f>
        <v>SSD &amp; HDD</v>
      </c>
      <c r="Y836" s="1" t="s">
        <v>42</v>
      </c>
    </row>
    <row r="837" spans="1:25" x14ac:dyDescent="0.25">
      <c r="A837" s="1" t="s">
        <v>65</v>
      </c>
      <c r="B837" s="1" t="s">
        <v>580</v>
      </c>
      <c r="C837" s="1" t="s">
        <v>83</v>
      </c>
      <c r="D837">
        <v>15.6</v>
      </c>
      <c r="E837">
        <v>16</v>
      </c>
      <c r="F837" s="1" t="s">
        <v>48</v>
      </c>
      <c r="G837">
        <v>3.21</v>
      </c>
      <c r="H837">
        <v>2774.63</v>
      </c>
      <c r="I837" s="1" t="s">
        <v>40</v>
      </c>
      <c r="J837">
        <v>1920</v>
      </c>
      <c r="K837">
        <v>1080</v>
      </c>
      <c r="L837" s="1" t="s">
        <v>27</v>
      </c>
      <c r="M837" s="1" t="s">
        <v>27</v>
      </c>
      <c r="N837" s="1" t="s">
        <v>27</v>
      </c>
      <c r="O837" s="1" t="s">
        <v>29</v>
      </c>
      <c r="P837">
        <v>2.8</v>
      </c>
      <c r="Q837" s="1" t="s">
        <v>118</v>
      </c>
      <c r="R837" s="1" t="str">
        <f>_xlfn.CONCAT(laptop[[#This Row],[CPU_company]]," ",laptop[[#This Row],[CPU_model]])</f>
        <v>Intel Core i7 7700HQ</v>
      </c>
      <c r="S837">
        <v>256</v>
      </c>
      <c r="T837">
        <v>1024</v>
      </c>
      <c r="U837">
        <f>laptop[[#This Row],[PrimaryStorage]]+laptop[[#This Row],[SecondaryStorage]]</f>
        <v>1280</v>
      </c>
      <c r="V837" s="1" t="s">
        <v>31</v>
      </c>
      <c r="W837" s="1" t="s">
        <v>51</v>
      </c>
      <c r="X837" s="1" t="str">
        <f>IF(laptop[[#This Row],[PrimaryStorageType]]=laptop[[#This Row],[SecondaryStorageType]],laptop[[#This Row],[PrimaryStorageType]],"SSD &amp; HDD")</f>
        <v>SSD &amp; HDD</v>
      </c>
      <c r="Y837" s="1" t="s">
        <v>143</v>
      </c>
    </row>
    <row r="838" spans="1:25" x14ac:dyDescent="0.25">
      <c r="A838" s="1" t="s">
        <v>55</v>
      </c>
      <c r="B838" s="1" t="s">
        <v>674</v>
      </c>
      <c r="C838" s="1" t="s">
        <v>83</v>
      </c>
      <c r="D838">
        <v>17.3</v>
      </c>
      <c r="E838">
        <v>16</v>
      </c>
      <c r="F838" s="1" t="s">
        <v>48</v>
      </c>
      <c r="G838">
        <v>2.9</v>
      </c>
      <c r="H838">
        <v>2419</v>
      </c>
      <c r="I838" s="1" t="s">
        <v>40</v>
      </c>
      <c r="J838">
        <v>1920</v>
      </c>
      <c r="K838">
        <v>1080</v>
      </c>
      <c r="L838" s="1" t="s">
        <v>27</v>
      </c>
      <c r="M838" s="1" t="s">
        <v>27</v>
      </c>
      <c r="N838" s="1" t="s">
        <v>27</v>
      </c>
      <c r="O838" s="1" t="s">
        <v>29</v>
      </c>
      <c r="P838">
        <v>2.8</v>
      </c>
      <c r="Q838" s="1" t="s">
        <v>118</v>
      </c>
      <c r="R838" s="1" t="str">
        <f>_xlfn.CONCAT(laptop[[#This Row],[CPU_company]]," ",laptop[[#This Row],[CPU_model]])</f>
        <v>Intel Core i7 7700HQ</v>
      </c>
      <c r="S838">
        <v>256</v>
      </c>
      <c r="T838">
        <v>1024</v>
      </c>
      <c r="U838">
        <f>laptop[[#This Row],[PrimaryStorage]]+laptop[[#This Row],[SecondaryStorage]]</f>
        <v>1280</v>
      </c>
      <c r="V838" s="1" t="s">
        <v>31</v>
      </c>
      <c r="W838" s="1" t="s">
        <v>51</v>
      </c>
      <c r="X838" s="1" t="str">
        <f>IF(laptop[[#This Row],[PrimaryStorageType]]=laptop[[#This Row],[SecondaryStorageType]],laptop[[#This Row],[PrimaryStorageType]],"SSD &amp; HDD")</f>
        <v>SSD &amp; HDD</v>
      </c>
      <c r="Y838" s="1" t="s">
        <v>143</v>
      </c>
    </row>
    <row r="839" spans="1:25" x14ac:dyDescent="0.25">
      <c r="A839" s="1" t="s">
        <v>210</v>
      </c>
      <c r="B839" s="1" t="s">
        <v>211</v>
      </c>
      <c r="C839" s="1" t="s">
        <v>38</v>
      </c>
      <c r="D839">
        <v>15.6</v>
      </c>
      <c r="E839">
        <v>4</v>
      </c>
      <c r="F839" s="1" t="s">
        <v>48</v>
      </c>
      <c r="G839">
        <v>2</v>
      </c>
      <c r="H839">
        <v>669</v>
      </c>
      <c r="I839" s="1" t="s">
        <v>26</v>
      </c>
      <c r="J839">
        <v>1366</v>
      </c>
      <c r="K839">
        <v>768</v>
      </c>
      <c r="L839" s="1" t="s">
        <v>27</v>
      </c>
      <c r="M839" s="1" t="s">
        <v>27</v>
      </c>
      <c r="N839" s="1" t="s">
        <v>27</v>
      </c>
      <c r="O839" s="1" t="s">
        <v>29</v>
      </c>
      <c r="P839">
        <v>2.4</v>
      </c>
      <c r="Q839" s="1" t="s">
        <v>75</v>
      </c>
      <c r="R839" s="1" t="str">
        <f>_xlfn.CONCAT(laptop[[#This Row],[CPU_company]]," ",laptop[[#This Row],[CPU_model]])</f>
        <v>Intel Core i3 7100U</v>
      </c>
      <c r="S839">
        <v>500</v>
      </c>
      <c r="T839">
        <v>0</v>
      </c>
      <c r="U839">
        <f>laptop[[#This Row],[PrimaryStorage]]+laptop[[#This Row],[SecondaryStorage]]</f>
        <v>500</v>
      </c>
      <c r="V839" s="1" t="s">
        <v>51</v>
      </c>
      <c r="W839" s="1" t="s">
        <v>27</v>
      </c>
      <c r="X839" s="1" t="str">
        <f>IF(laptop[[#This Row],[PrimaryStorageType]]=laptop[[#This Row],[SecondaryStorageType]],laptop[[#This Row],[PrimaryStorageType]],"SSD &amp; HDD")</f>
        <v>SSD &amp; HDD</v>
      </c>
      <c r="Y839" s="1" t="s">
        <v>42</v>
      </c>
    </row>
    <row r="840" spans="1:25" x14ac:dyDescent="0.25">
      <c r="A840" s="1" t="s">
        <v>73</v>
      </c>
      <c r="B840" s="1" t="s">
        <v>675</v>
      </c>
      <c r="C840" s="1" t="s">
        <v>38</v>
      </c>
      <c r="D840">
        <v>14</v>
      </c>
      <c r="E840">
        <v>4</v>
      </c>
      <c r="F840" s="1" t="s">
        <v>317</v>
      </c>
      <c r="G840">
        <v>1.5</v>
      </c>
      <c r="H840">
        <v>325</v>
      </c>
      <c r="I840" s="1" t="s">
        <v>26</v>
      </c>
      <c r="J840">
        <v>1366</v>
      </c>
      <c r="K840">
        <v>768</v>
      </c>
      <c r="L840" s="1" t="s">
        <v>27</v>
      </c>
      <c r="M840" s="1" t="s">
        <v>27</v>
      </c>
      <c r="N840" s="1" t="s">
        <v>27</v>
      </c>
      <c r="O840" s="1" t="s">
        <v>29</v>
      </c>
      <c r="P840">
        <v>1.6</v>
      </c>
      <c r="Q840" s="1" t="s">
        <v>541</v>
      </c>
      <c r="R840" s="1" t="str">
        <f>_xlfn.CONCAT(laptop[[#This Row],[CPU_company]]," ",laptop[[#This Row],[CPU_model]])</f>
        <v>Intel Celeron Quad Core N3160</v>
      </c>
      <c r="S840">
        <v>16</v>
      </c>
      <c r="T840">
        <v>0</v>
      </c>
      <c r="U840">
        <f>laptop[[#This Row],[PrimaryStorage]]+laptop[[#This Row],[SecondaryStorage]]</f>
        <v>16</v>
      </c>
      <c r="V840" s="1" t="s">
        <v>34</v>
      </c>
      <c r="W840" s="1" t="s">
        <v>27</v>
      </c>
      <c r="X840" s="1" t="str">
        <f>IF(laptop[[#This Row],[PrimaryStorageType]]=laptop[[#This Row],[SecondaryStorageType]],laptop[[#This Row],[PrimaryStorageType]],"SSD &amp; HDD")</f>
        <v>SSD &amp; HDD</v>
      </c>
      <c r="Y840" s="1" t="s">
        <v>81</v>
      </c>
    </row>
    <row r="841" spans="1:25" x14ac:dyDescent="0.25">
      <c r="A841" s="1" t="s">
        <v>55</v>
      </c>
      <c r="B841" s="1" t="s">
        <v>676</v>
      </c>
      <c r="C841" s="1" t="s">
        <v>38</v>
      </c>
      <c r="D841">
        <v>15.6</v>
      </c>
      <c r="E841">
        <v>8</v>
      </c>
      <c r="F841" s="1" t="s">
        <v>48</v>
      </c>
      <c r="G841">
        <v>2.2999999999999998</v>
      </c>
      <c r="H841">
        <v>590</v>
      </c>
      <c r="I841" s="1" t="s">
        <v>40</v>
      </c>
      <c r="J841">
        <v>1920</v>
      </c>
      <c r="K841">
        <v>1080</v>
      </c>
      <c r="L841" s="1" t="s">
        <v>27</v>
      </c>
      <c r="M841" s="1" t="s">
        <v>27</v>
      </c>
      <c r="N841" s="1" t="s">
        <v>27</v>
      </c>
      <c r="O841" s="1" t="s">
        <v>29</v>
      </c>
      <c r="P841">
        <v>2.5</v>
      </c>
      <c r="Q841" s="1" t="s">
        <v>41</v>
      </c>
      <c r="R841" s="1" t="str">
        <f>_xlfn.CONCAT(laptop[[#This Row],[CPU_company]]," ",laptop[[#This Row],[CPU_model]])</f>
        <v>Intel Core i5 7200U</v>
      </c>
      <c r="S841">
        <v>128</v>
      </c>
      <c r="T841">
        <v>0</v>
      </c>
      <c r="U841">
        <f>laptop[[#This Row],[PrimaryStorage]]+laptop[[#This Row],[SecondaryStorage]]</f>
        <v>128</v>
      </c>
      <c r="V841" s="1" t="s">
        <v>51</v>
      </c>
      <c r="W841" s="1" t="s">
        <v>27</v>
      </c>
      <c r="X841" s="1" t="str">
        <f>IF(laptop[[#This Row],[PrimaryStorageType]]=laptop[[#This Row],[SecondaryStorageType]],laptop[[#This Row],[PrimaryStorageType]],"SSD &amp; HDD")</f>
        <v>SSD &amp; HDD</v>
      </c>
      <c r="Y841" s="1" t="s">
        <v>42</v>
      </c>
    </row>
    <row r="842" spans="1:25" x14ac:dyDescent="0.25">
      <c r="A842" s="1" t="s">
        <v>55</v>
      </c>
      <c r="B842" s="1" t="s">
        <v>677</v>
      </c>
      <c r="C842" s="1" t="s">
        <v>83</v>
      </c>
      <c r="D842">
        <v>17.3</v>
      </c>
      <c r="E842">
        <v>16</v>
      </c>
      <c r="F842" s="1" t="s">
        <v>48</v>
      </c>
      <c r="G842">
        <v>2.73</v>
      </c>
      <c r="H842">
        <v>1799</v>
      </c>
      <c r="I842" s="1" t="s">
        <v>40</v>
      </c>
      <c r="J842">
        <v>1920</v>
      </c>
      <c r="K842">
        <v>1080</v>
      </c>
      <c r="L842" s="1" t="s">
        <v>27</v>
      </c>
      <c r="M842" s="1" t="s">
        <v>27</v>
      </c>
      <c r="N842" s="1" t="s">
        <v>27</v>
      </c>
      <c r="O842" s="1" t="s">
        <v>29</v>
      </c>
      <c r="P842">
        <v>2.6</v>
      </c>
      <c r="Q842" s="1" t="s">
        <v>447</v>
      </c>
      <c r="R842" s="1" t="str">
        <f>_xlfn.CONCAT(laptop[[#This Row],[CPU_company]]," ",laptop[[#This Row],[CPU_model]])</f>
        <v>Intel Core i7 6700HQ</v>
      </c>
      <c r="S842">
        <v>512</v>
      </c>
      <c r="T842">
        <v>1024</v>
      </c>
      <c r="U842">
        <f>laptop[[#This Row],[PrimaryStorage]]+laptop[[#This Row],[SecondaryStorage]]</f>
        <v>1536</v>
      </c>
      <c r="V842" s="1" t="s">
        <v>31</v>
      </c>
      <c r="W842" s="1" t="s">
        <v>51</v>
      </c>
      <c r="X842" s="1" t="str">
        <f>IF(laptop[[#This Row],[PrimaryStorageType]]=laptop[[#This Row],[SecondaryStorageType]],laptop[[#This Row],[PrimaryStorageType]],"SSD &amp; HDD")</f>
        <v>SSD &amp; HDD</v>
      </c>
      <c r="Y842" s="1" t="s">
        <v>119</v>
      </c>
    </row>
    <row r="843" spans="1:25" x14ac:dyDescent="0.25">
      <c r="A843" s="1" t="s">
        <v>65</v>
      </c>
      <c r="B843" s="1" t="s">
        <v>275</v>
      </c>
      <c r="C843" s="1" t="s">
        <v>83</v>
      </c>
      <c r="D843">
        <v>17.3</v>
      </c>
      <c r="E843">
        <v>32</v>
      </c>
      <c r="F843" s="1" t="s">
        <v>48</v>
      </c>
      <c r="G843">
        <v>4.42</v>
      </c>
      <c r="H843">
        <v>3072.89</v>
      </c>
      <c r="I843" s="1" t="s">
        <v>40</v>
      </c>
      <c r="J843">
        <v>1920</v>
      </c>
      <c r="K843">
        <v>1080</v>
      </c>
      <c r="L843" s="1" t="s">
        <v>27</v>
      </c>
      <c r="M843" s="1" t="s">
        <v>28</v>
      </c>
      <c r="N843" s="1" t="s">
        <v>27</v>
      </c>
      <c r="O843" s="1" t="s">
        <v>29</v>
      </c>
      <c r="P843">
        <v>2.8</v>
      </c>
      <c r="Q843" s="1" t="s">
        <v>118</v>
      </c>
      <c r="R843" s="1" t="str">
        <f>_xlfn.CONCAT(laptop[[#This Row],[CPU_company]]," ",laptop[[#This Row],[CPU_model]])</f>
        <v>Intel Core i7 7700HQ</v>
      </c>
      <c r="S843">
        <v>512</v>
      </c>
      <c r="T843">
        <v>1024</v>
      </c>
      <c r="U843">
        <f>laptop[[#This Row],[PrimaryStorage]]+laptop[[#This Row],[SecondaryStorage]]</f>
        <v>1536</v>
      </c>
      <c r="V843" s="1" t="s">
        <v>31</v>
      </c>
      <c r="W843" s="1" t="s">
        <v>51</v>
      </c>
      <c r="X843" s="1" t="str">
        <f>IF(laptop[[#This Row],[PrimaryStorageType]]=laptop[[#This Row],[SecondaryStorageType]],laptop[[#This Row],[PrimaryStorageType]],"SSD &amp; HDD")</f>
        <v>SSD &amp; HDD</v>
      </c>
      <c r="Y843" s="1" t="s">
        <v>143</v>
      </c>
    </row>
    <row r="844" spans="1:25" x14ac:dyDescent="0.25">
      <c r="A844" s="1" t="s">
        <v>36</v>
      </c>
      <c r="B844" s="1" t="s">
        <v>97</v>
      </c>
      <c r="C844" s="1" t="s">
        <v>38</v>
      </c>
      <c r="D844">
        <v>17.3</v>
      </c>
      <c r="E844">
        <v>8</v>
      </c>
      <c r="F844" s="1" t="s">
        <v>48</v>
      </c>
      <c r="G844">
        <v>2.63</v>
      </c>
      <c r="H844">
        <v>910</v>
      </c>
      <c r="I844" s="1" t="s">
        <v>26</v>
      </c>
      <c r="J844">
        <v>1600</v>
      </c>
      <c r="K844">
        <v>900</v>
      </c>
      <c r="L844" s="1" t="s">
        <v>27</v>
      </c>
      <c r="M844" s="1" t="s">
        <v>27</v>
      </c>
      <c r="N844" s="1" t="s">
        <v>27</v>
      </c>
      <c r="O844" s="1" t="s">
        <v>29</v>
      </c>
      <c r="P844">
        <v>2.5</v>
      </c>
      <c r="Q844" s="1" t="s">
        <v>41</v>
      </c>
      <c r="R844" s="1" t="str">
        <f>_xlfn.CONCAT(laptop[[#This Row],[CPU_company]]," ",laptop[[#This Row],[CPU_model]])</f>
        <v>Intel Core i5 7200U</v>
      </c>
      <c r="S844">
        <v>1024</v>
      </c>
      <c r="T844">
        <v>0</v>
      </c>
      <c r="U844">
        <f>laptop[[#This Row],[PrimaryStorage]]+laptop[[#This Row],[SecondaryStorage]]</f>
        <v>1024</v>
      </c>
      <c r="V844" s="1" t="s">
        <v>51</v>
      </c>
      <c r="W844" s="1" t="s">
        <v>27</v>
      </c>
      <c r="X844" s="1" t="str">
        <f>IF(laptop[[#This Row],[PrimaryStorageType]]=laptop[[#This Row],[SecondaryStorageType]],laptop[[#This Row],[PrimaryStorageType]],"SSD &amp; HDD")</f>
        <v>SSD &amp; HDD</v>
      </c>
      <c r="Y844" s="1" t="s">
        <v>98</v>
      </c>
    </row>
    <row r="845" spans="1:25" x14ac:dyDescent="0.25">
      <c r="A845" s="1" t="s">
        <v>65</v>
      </c>
      <c r="B845" s="1" t="s">
        <v>305</v>
      </c>
      <c r="C845" s="1" t="s">
        <v>38</v>
      </c>
      <c r="D845">
        <v>15.6</v>
      </c>
      <c r="E845">
        <v>8</v>
      </c>
      <c r="F845" s="1" t="s">
        <v>48</v>
      </c>
      <c r="G845">
        <v>2.1800000000000002</v>
      </c>
      <c r="H845">
        <v>713.99</v>
      </c>
      <c r="I845" s="1" t="s">
        <v>26</v>
      </c>
      <c r="J845">
        <v>1366</v>
      </c>
      <c r="K845">
        <v>768</v>
      </c>
      <c r="L845" s="1" t="s">
        <v>27</v>
      </c>
      <c r="M845" s="1" t="s">
        <v>27</v>
      </c>
      <c r="N845" s="1" t="s">
        <v>27</v>
      </c>
      <c r="O845" s="1" t="s">
        <v>29</v>
      </c>
      <c r="P845">
        <v>2.5</v>
      </c>
      <c r="Q845" s="1" t="s">
        <v>41</v>
      </c>
      <c r="R845" s="1" t="str">
        <f>_xlfn.CONCAT(laptop[[#This Row],[CPU_company]]," ",laptop[[#This Row],[CPU_model]])</f>
        <v>Intel Core i5 7200U</v>
      </c>
      <c r="S845">
        <v>128</v>
      </c>
      <c r="T845">
        <v>0</v>
      </c>
      <c r="U845">
        <f>laptop[[#This Row],[PrimaryStorage]]+laptop[[#This Row],[SecondaryStorage]]</f>
        <v>128</v>
      </c>
      <c r="V845" s="1" t="s">
        <v>31</v>
      </c>
      <c r="W845" s="1" t="s">
        <v>27</v>
      </c>
      <c r="X845" s="1" t="str">
        <f>IF(laptop[[#This Row],[PrimaryStorageType]]=laptop[[#This Row],[SecondaryStorageType]],laptop[[#This Row],[PrimaryStorageType]],"SSD &amp; HDD")</f>
        <v>SSD &amp; HDD</v>
      </c>
      <c r="Y845" s="1" t="s">
        <v>42</v>
      </c>
    </row>
    <row r="846" spans="1:25" x14ac:dyDescent="0.25">
      <c r="A846" s="1" t="s">
        <v>36</v>
      </c>
      <c r="B846" s="1" t="s">
        <v>226</v>
      </c>
      <c r="C846" s="1" t="s">
        <v>24</v>
      </c>
      <c r="D846">
        <v>14</v>
      </c>
      <c r="E846">
        <v>8</v>
      </c>
      <c r="F846" s="1" t="s">
        <v>480</v>
      </c>
      <c r="G846">
        <v>1.54</v>
      </c>
      <c r="H846">
        <v>1870</v>
      </c>
      <c r="I846" s="1" t="s">
        <v>40</v>
      </c>
      <c r="J846">
        <v>1920</v>
      </c>
      <c r="K846">
        <v>1080</v>
      </c>
      <c r="L846" s="1" t="s">
        <v>27</v>
      </c>
      <c r="M846" s="1" t="s">
        <v>27</v>
      </c>
      <c r="N846" s="1" t="s">
        <v>27</v>
      </c>
      <c r="O846" s="1" t="s">
        <v>29</v>
      </c>
      <c r="P846">
        <v>2.5</v>
      </c>
      <c r="Q846" s="1" t="s">
        <v>274</v>
      </c>
      <c r="R846" s="1" t="str">
        <f>_xlfn.CONCAT(laptop[[#This Row],[CPU_company]]," ",laptop[[#This Row],[CPU_model]])</f>
        <v>Intel Core i7 6500U</v>
      </c>
      <c r="S846">
        <v>512</v>
      </c>
      <c r="T846">
        <v>0</v>
      </c>
      <c r="U846">
        <f>laptop[[#This Row],[PrimaryStorage]]+laptop[[#This Row],[SecondaryStorage]]</f>
        <v>512</v>
      </c>
      <c r="V846" s="1" t="s">
        <v>31</v>
      </c>
      <c r="W846" s="1" t="s">
        <v>27</v>
      </c>
      <c r="X846" s="1" t="str">
        <f>IF(laptop[[#This Row],[PrimaryStorageType]]=laptop[[#This Row],[SecondaryStorageType]],laptop[[#This Row],[PrimaryStorageType]],"SSD &amp; HDD")</f>
        <v>SSD &amp; HDD</v>
      </c>
      <c r="Y846" s="1" t="s">
        <v>63</v>
      </c>
    </row>
    <row r="847" spans="1:25" x14ac:dyDescent="0.25">
      <c r="A847" s="1" t="s">
        <v>65</v>
      </c>
      <c r="B847" s="1" t="s">
        <v>305</v>
      </c>
      <c r="C847" s="1" t="s">
        <v>38</v>
      </c>
      <c r="D847">
        <v>15.6</v>
      </c>
      <c r="E847">
        <v>4</v>
      </c>
      <c r="F847" s="1" t="s">
        <v>48</v>
      </c>
      <c r="G847">
        <v>2.1800000000000002</v>
      </c>
      <c r="H847">
        <v>739</v>
      </c>
      <c r="I847" s="1" t="s">
        <v>40</v>
      </c>
      <c r="J847">
        <v>1920</v>
      </c>
      <c r="K847">
        <v>1080</v>
      </c>
      <c r="L847" s="1" t="s">
        <v>27</v>
      </c>
      <c r="M847" s="1" t="s">
        <v>27</v>
      </c>
      <c r="N847" s="1" t="s">
        <v>27</v>
      </c>
      <c r="O847" s="1" t="s">
        <v>29</v>
      </c>
      <c r="P847">
        <v>2.7</v>
      </c>
      <c r="Q847" s="1" t="s">
        <v>71</v>
      </c>
      <c r="R847" s="1" t="str">
        <f>_xlfn.CONCAT(laptop[[#This Row],[CPU_company]]," ",laptop[[#This Row],[CPU_model]])</f>
        <v>Intel Core i7 7500U</v>
      </c>
      <c r="S847">
        <v>256</v>
      </c>
      <c r="T847">
        <v>0</v>
      </c>
      <c r="U847">
        <f>laptop[[#This Row],[PrimaryStorage]]+laptop[[#This Row],[SecondaryStorage]]</f>
        <v>256</v>
      </c>
      <c r="V847" s="1" t="s">
        <v>31</v>
      </c>
      <c r="W847" s="1" t="s">
        <v>27</v>
      </c>
      <c r="X847" s="1" t="str">
        <f>IF(laptop[[#This Row],[PrimaryStorageType]]=laptop[[#This Row],[SecondaryStorageType]],laptop[[#This Row],[PrimaryStorageType]],"SSD &amp; HDD")</f>
        <v>SSD &amp; HDD</v>
      </c>
      <c r="Y847" s="1" t="s">
        <v>233</v>
      </c>
    </row>
    <row r="848" spans="1:25" x14ac:dyDescent="0.25">
      <c r="A848" s="1" t="s">
        <v>36</v>
      </c>
      <c r="B848" s="1" t="s">
        <v>574</v>
      </c>
      <c r="C848" s="1" t="s">
        <v>90</v>
      </c>
      <c r="D848">
        <v>11.6</v>
      </c>
      <c r="E848">
        <v>4</v>
      </c>
      <c r="F848" s="1" t="s">
        <v>317</v>
      </c>
      <c r="G848">
        <v>1.4</v>
      </c>
      <c r="H848">
        <v>615</v>
      </c>
      <c r="I848" s="1" t="s">
        <v>26</v>
      </c>
      <c r="J848">
        <v>1366</v>
      </c>
      <c r="K848">
        <v>768</v>
      </c>
      <c r="L848" s="1" t="s">
        <v>28</v>
      </c>
      <c r="M848" s="1" t="s">
        <v>27</v>
      </c>
      <c r="N848" s="1" t="s">
        <v>27</v>
      </c>
      <c r="O848" s="1" t="s">
        <v>29</v>
      </c>
      <c r="P848">
        <v>1.1000000000000001</v>
      </c>
      <c r="Q848" s="1" t="s">
        <v>109</v>
      </c>
      <c r="R848" s="1" t="str">
        <f>_xlfn.CONCAT(laptop[[#This Row],[CPU_company]]," ",laptop[[#This Row],[CPU_model]])</f>
        <v>Intel Celeron Dual Core N3350</v>
      </c>
      <c r="S848">
        <v>32</v>
      </c>
      <c r="T848">
        <v>0</v>
      </c>
      <c r="U848">
        <f>laptop[[#This Row],[PrimaryStorage]]+laptop[[#This Row],[SecondaryStorage]]</f>
        <v>32</v>
      </c>
      <c r="V848" s="1" t="s">
        <v>34</v>
      </c>
      <c r="W848" s="1" t="s">
        <v>27</v>
      </c>
      <c r="X848" s="1" t="str">
        <f>IF(laptop[[#This Row],[PrimaryStorageType]]=laptop[[#This Row],[SecondaryStorageType]],laptop[[#This Row],[PrimaryStorageType]],"SSD &amp; HDD")</f>
        <v>SSD &amp; HDD</v>
      </c>
      <c r="Y848" s="1" t="s">
        <v>110</v>
      </c>
    </row>
    <row r="849" spans="1:25" x14ac:dyDescent="0.25">
      <c r="A849" s="1" t="s">
        <v>55</v>
      </c>
      <c r="B849" s="1" t="s">
        <v>678</v>
      </c>
      <c r="C849" s="1" t="s">
        <v>24</v>
      </c>
      <c r="D849">
        <v>13.3</v>
      </c>
      <c r="E849">
        <v>8</v>
      </c>
      <c r="F849" s="1" t="s">
        <v>48</v>
      </c>
      <c r="G849">
        <v>1.45</v>
      </c>
      <c r="H849">
        <v>1026</v>
      </c>
      <c r="I849" s="1" t="s">
        <v>40</v>
      </c>
      <c r="J849">
        <v>1920</v>
      </c>
      <c r="K849">
        <v>1080</v>
      </c>
      <c r="L849" s="1" t="s">
        <v>27</v>
      </c>
      <c r="M849" s="1" t="s">
        <v>28</v>
      </c>
      <c r="N849" s="1" t="s">
        <v>27</v>
      </c>
      <c r="O849" s="1" t="s">
        <v>29</v>
      </c>
      <c r="P849">
        <v>2.2999999999999998</v>
      </c>
      <c r="Q849" s="1" t="s">
        <v>212</v>
      </c>
      <c r="R849" s="1" t="str">
        <f>_xlfn.CONCAT(laptop[[#This Row],[CPU_company]]," ",laptop[[#This Row],[CPU_model]])</f>
        <v>Intel Core i5 6200U</v>
      </c>
      <c r="S849">
        <v>512</v>
      </c>
      <c r="T849">
        <v>0</v>
      </c>
      <c r="U849">
        <f>laptop[[#This Row],[PrimaryStorage]]+laptop[[#This Row],[SecondaryStorage]]</f>
        <v>512</v>
      </c>
      <c r="V849" s="1" t="s">
        <v>31</v>
      </c>
      <c r="W849" s="1" t="s">
        <v>27</v>
      </c>
      <c r="X849" s="1" t="str">
        <f>IF(laptop[[#This Row],[PrimaryStorageType]]=laptop[[#This Row],[SecondaryStorageType]],laptop[[#This Row],[PrimaryStorageType]],"SSD &amp; HDD")</f>
        <v>SSD &amp; HDD</v>
      </c>
      <c r="Y849" s="1" t="s">
        <v>679</v>
      </c>
    </row>
    <row r="850" spans="1:25" x14ac:dyDescent="0.25">
      <c r="A850" s="1" t="s">
        <v>36</v>
      </c>
      <c r="B850" s="1" t="s">
        <v>334</v>
      </c>
      <c r="C850" s="1" t="s">
        <v>90</v>
      </c>
      <c r="D850">
        <v>13.3</v>
      </c>
      <c r="E850">
        <v>8</v>
      </c>
      <c r="F850" s="1" t="s">
        <v>48</v>
      </c>
      <c r="G850">
        <v>1.28</v>
      </c>
      <c r="H850">
        <v>2277</v>
      </c>
      <c r="I850" s="1" t="s">
        <v>40</v>
      </c>
      <c r="J850">
        <v>1920</v>
      </c>
      <c r="K850">
        <v>1080</v>
      </c>
      <c r="L850" s="1" t="s">
        <v>28</v>
      </c>
      <c r="M850" s="1" t="s">
        <v>27</v>
      </c>
      <c r="N850" s="1" t="s">
        <v>27</v>
      </c>
      <c r="O850" s="1" t="s">
        <v>29</v>
      </c>
      <c r="P850">
        <v>2.5</v>
      </c>
      <c r="Q850" s="1" t="s">
        <v>41</v>
      </c>
      <c r="R850" s="1" t="str">
        <f>_xlfn.CONCAT(laptop[[#This Row],[CPU_company]]," ",laptop[[#This Row],[CPU_model]])</f>
        <v>Intel Core i5 7200U</v>
      </c>
      <c r="S850">
        <v>256</v>
      </c>
      <c r="T850">
        <v>0</v>
      </c>
      <c r="U850">
        <f>laptop[[#This Row],[PrimaryStorage]]+laptop[[#This Row],[SecondaryStorage]]</f>
        <v>256</v>
      </c>
      <c r="V850" s="1" t="s">
        <v>31</v>
      </c>
      <c r="W850" s="1" t="s">
        <v>27</v>
      </c>
      <c r="X850" s="1" t="str">
        <f>IF(laptop[[#This Row],[PrimaryStorageType]]=laptop[[#This Row],[SecondaryStorageType]],laptop[[#This Row],[PrimaryStorageType]],"SSD &amp; HDD")</f>
        <v>SSD &amp; HDD</v>
      </c>
      <c r="Y850" s="1" t="s">
        <v>42</v>
      </c>
    </row>
    <row r="851" spans="1:25" x14ac:dyDescent="0.25">
      <c r="A851" s="1" t="s">
        <v>36</v>
      </c>
      <c r="B851" s="1" t="s">
        <v>226</v>
      </c>
      <c r="C851" s="1" t="s">
        <v>24</v>
      </c>
      <c r="D851">
        <v>14</v>
      </c>
      <c r="E851">
        <v>8</v>
      </c>
      <c r="F851" s="1" t="s">
        <v>48</v>
      </c>
      <c r="G851">
        <v>1.54</v>
      </c>
      <c r="H851">
        <v>1468</v>
      </c>
      <c r="I851" s="1" t="s">
        <v>40</v>
      </c>
      <c r="J851">
        <v>1920</v>
      </c>
      <c r="K851">
        <v>1080</v>
      </c>
      <c r="L851" s="1" t="s">
        <v>27</v>
      </c>
      <c r="M851" s="1" t="s">
        <v>27</v>
      </c>
      <c r="N851" s="1" t="s">
        <v>27</v>
      </c>
      <c r="O851" s="1" t="s">
        <v>29</v>
      </c>
      <c r="P851">
        <v>2.5</v>
      </c>
      <c r="Q851" s="1" t="s">
        <v>274</v>
      </c>
      <c r="R851" s="1" t="str">
        <f>_xlfn.CONCAT(laptop[[#This Row],[CPU_company]]," ",laptop[[#This Row],[CPU_model]])</f>
        <v>Intel Core i7 6500U</v>
      </c>
      <c r="S851">
        <v>512</v>
      </c>
      <c r="T851">
        <v>0</v>
      </c>
      <c r="U851">
        <f>laptop[[#This Row],[PrimaryStorage]]+laptop[[#This Row],[SecondaryStorage]]</f>
        <v>512</v>
      </c>
      <c r="V851" s="1" t="s">
        <v>31</v>
      </c>
      <c r="W851" s="1" t="s">
        <v>27</v>
      </c>
      <c r="X851" s="1" t="str">
        <f>IF(laptop[[#This Row],[PrimaryStorageType]]=laptop[[#This Row],[SecondaryStorageType]],laptop[[#This Row],[PrimaryStorageType]],"SSD &amp; HDD")</f>
        <v>SSD &amp; HDD</v>
      </c>
      <c r="Y851" s="1" t="s">
        <v>63</v>
      </c>
    </row>
    <row r="852" spans="1:25" x14ac:dyDescent="0.25">
      <c r="A852" s="1" t="s">
        <v>36</v>
      </c>
      <c r="B852" s="1" t="s">
        <v>37</v>
      </c>
      <c r="C852" s="1" t="s">
        <v>38</v>
      </c>
      <c r="D852">
        <v>15.6</v>
      </c>
      <c r="E852">
        <v>4</v>
      </c>
      <c r="F852" s="1" t="s">
        <v>39</v>
      </c>
      <c r="G852">
        <v>1.86</v>
      </c>
      <c r="H852">
        <v>299</v>
      </c>
      <c r="I852" s="1" t="s">
        <v>26</v>
      </c>
      <c r="J852">
        <v>1366</v>
      </c>
      <c r="K852">
        <v>768</v>
      </c>
      <c r="L852" s="1" t="s">
        <v>27</v>
      </c>
      <c r="M852" s="1" t="s">
        <v>27</v>
      </c>
      <c r="N852" s="1" t="s">
        <v>27</v>
      </c>
      <c r="O852" s="1" t="s">
        <v>29</v>
      </c>
      <c r="P852">
        <v>1.6</v>
      </c>
      <c r="Q852" s="1" t="s">
        <v>151</v>
      </c>
      <c r="R852" s="1" t="str">
        <f>_xlfn.CONCAT(laptop[[#This Row],[CPU_company]]," ",laptop[[#This Row],[CPU_model]])</f>
        <v>Intel Celeron Dual Core N3060</v>
      </c>
      <c r="S852">
        <v>128</v>
      </c>
      <c r="T852">
        <v>0</v>
      </c>
      <c r="U852">
        <f>laptop[[#This Row],[PrimaryStorage]]+laptop[[#This Row],[SecondaryStorage]]</f>
        <v>128</v>
      </c>
      <c r="V852" s="1" t="s">
        <v>31</v>
      </c>
      <c r="W852" s="1" t="s">
        <v>27</v>
      </c>
      <c r="X852" s="1" t="str">
        <f>IF(laptop[[#This Row],[PrimaryStorageType]]=laptop[[#This Row],[SecondaryStorageType]],laptop[[#This Row],[PrimaryStorageType]],"SSD &amp; HDD")</f>
        <v>SSD &amp; HDD</v>
      </c>
      <c r="Y852" s="1" t="s">
        <v>81</v>
      </c>
    </row>
    <row r="853" spans="1:25" x14ac:dyDescent="0.25">
      <c r="A853" s="1" t="s">
        <v>55</v>
      </c>
      <c r="B853" s="1" t="s">
        <v>680</v>
      </c>
      <c r="C853" s="1" t="s">
        <v>83</v>
      </c>
      <c r="D853">
        <v>15.6</v>
      </c>
      <c r="E853">
        <v>16</v>
      </c>
      <c r="F853" s="1" t="s">
        <v>48</v>
      </c>
      <c r="G853">
        <v>2.1</v>
      </c>
      <c r="H853">
        <v>1899</v>
      </c>
      <c r="I853" s="1" t="s">
        <v>40</v>
      </c>
      <c r="J853">
        <v>1920</v>
      </c>
      <c r="K853">
        <v>1080</v>
      </c>
      <c r="L853" s="1" t="s">
        <v>27</v>
      </c>
      <c r="M853" s="1" t="s">
        <v>27</v>
      </c>
      <c r="N853" s="1" t="s">
        <v>27</v>
      </c>
      <c r="O853" s="1" t="s">
        <v>29</v>
      </c>
      <c r="P853">
        <v>2.8</v>
      </c>
      <c r="Q853" s="1" t="s">
        <v>118</v>
      </c>
      <c r="R853" s="1" t="str">
        <f>_xlfn.CONCAT(laptop[[#This Row],[CPU_company]]," ",laptop[[#This Row],[CPU_model]])</f>
        <v>Intel Core i7 7700HQ</v>
      </c>
      <c r="S853">
        <v>128</v>
      </c>
      <c r="T853">
        <v>1024</v>
      </c>
      <c r="U853">
        <f>laptop[[#This Row],[PrimaryStorage]]+laptop[[#This Row],[SecondaryStorage]]</f>
        <v>1152</v>
      </c>
      <c r="V853" s="1" t="s">
        <v>31</v>
      </c>
      <c r="W853" s="1" t="s">
        <v>51</v>
      </c>
      <c r="X853" s="1" t="str">
        <f>IF(laptop[[#This Row],[PrimaryStorageType]]=laptop[[#This Row],[SecondaryStorageType]],laptop[[#This Row],[PrimaryStorageType]],"SSD &amp; HDD")</f>
        <v>SSD &amp; HDD</v>
      </c>
      <c r="Y853" s="1" t="s">
        <v>119</v>
      </c>
    </row>
    <row r="854" spans="1:25" x14ac:dyDescent="0.25">
      <c r="A854" s="1" t="s">
        <v>65</v>
      </c>
      <c r="B854" s="1" t="s">
        <v>681</v>
      </c>
      <c r="C854" s="1" t="s">
        <v>38</v>
      </c>
      <c r="D854">
        <v>17.3</v>
      </c>
      <c r="E854">
        <v>8</v>
      </c>
      <c r="F854" s="1" t="s">
        <v>111</v>
      </c>
      <c r="G854">
        <v>2.83</v>
      </c>
      <c r="H854">
        <v>865</v>
      </c>
      <c r="I854" s="1" t="s">
        <v>40</v>
      </c>
      <c r="J854">
        <v>1920</v>
      </c>
      <c r="K854">
        <v>1080</v>
      </c>
      <c r="L854" s="1" t="s">
        <v>27</v>
      </c>
      <c r="M854" s="1" t="s">
        <v>27</v>
      </c>
      <c r="N854" s="1" t="s">
        <v>27</v>
      </c>
      <c r="O854" s="1" t="s">
        <v>29</v>
      </c>
      <c r="P854">
        <v>2.7</v>
      </c>
      <c r="Q854" s="1" t="s">
        <v>71</v>
      </c>
      <c r="R854" s="1" t="str">
        <f>_xlfn.CONCAT(laptop[[#This Row],[CPU_company]]," ",laptop[[#This Row],[CPU_model]])</f>
        <v>Intel Core i7 7500U</v>
      </c>
      <c r="S854">
        <v>1024</v>
      </c>
      <c r="T854">
        <v>0</v>
      </c>
      <c r="U854">
        <f>laptop[[#This Row],[PrimaryStorage]]+laptop[[#This Row],[SecondaryStorage]]</f>
        <v>1024</v>
      </c>
      <c r="V854" s="1" t="s">
        <v>51</v>
      </c>
      <c r="W854" s="1" t="s">
        <v>27</v>
      </c>
      <c r="X854" s="1" t="str">
        <f>IF(laptop[[#This Row],[PrimaryStorageType]]=laptop[[#This Row],[SecondaryStorageType]],laptop[[#This Row],[PrimaryStorageType]],"SSD &amp; HDD")</f>
        <v>SSD &amp; HDD</v>
      </c>
      <c r="Y854" s="1" t="s">
        <v>201</v>
      </c>
    </row>
    <row r="855" spans="1:25" x14ac:dyDescent="0.25">
      <c r="A855" s="1" t="s">
        <v>73</v>
      </c>
      <c r="B855" s="1" t="s">
        <v>682</v>
      </c>
      <c r="C855" s="1" t="s">
        <v>24</v>
      </c>
      <c r="D855">
        <v>14</v>
      </c>
      <c r="E855">
        <v>8</v>
      </c>
      <c r="F855" s="1" t="s">
        <v>48</v>
      </c>
      <c r="G855">
        <v>1.96</v>
      </c>
      <c r="H855">
        <v>1903</v>
      </c>
      <c r="I855" s="1" t="s">
        <v>40</v>
      </c>
      <c r="J855">
        <v>1920</v>
      </c>
      <c r="K855">
        <v>1080</v>
      </c>
      <c r="L855" s="1" t="s">
        <v>27</v>
      </c>
      <c r="M855" s="1" t="s">
        <v>28</v>
      </c>
      <c r="N855" s="1" t="s">
        <v>27</v>
      </c>
      <c r="O855" s="1" t="s">
        <v>29</v>
      </c>
      <c r="P855">
        <v>2.8</v>
      </c>
      <c r="Q855" s="1" t="s">
        <v>118</v>
      </c>
      <c r="R855" s="1" t="str">
        <f>_xlfn.CONCAT(laptop[[#This Row],[CPU_company]]," ",laptop[[#This Row],[CPU_model]])</f>
        <v>Intel Core i7 7700HQ</v>
      </c>
      <c r="S855">
        <v>256</v>
      </c>
      <c r="T855">
        <v>0</v>
      </c>
      <c r="U855">
        <f>laptop[[#This Row],[PrimaryStorage]]+laptop[[#This Row],[SecondaryStorage]]</f>
        <v>256</v>
      </c>
      <c r="V855" s="1" t="s">
        <v>31</v>
      </c>
      <c r="W855" s="1" t="s">
        <v>27</v>
      </c>
      <c r="X855" s="1" t="str">
        <f>IF(laptop[[#This Row],[PrimaryStorageType]]=laptop[[#This Row],[SecondaryStorageType]],laptop[[#This Row],[PrimaryStorageType]],"SSD &amp; HDD")</f>
        <v>SSD &amp; HDD</v>
      </c>
      <c r="Y855" s="1" t="s">
        <v>371</v>
      </c>
    </row>
    <row r="856" spans="1:25" x14ac:dyDescent="0.25">
      <c r="A856" s="1" t="s">
        <v>55</v>
      </c>
      <c r="B856" s="1" t="s">
        <v>683</v>
      </c>
      <c r="C856" s="1" t="s">
        <v>38</v>
      </c>
      <c r="D856">
        <v>15.6</v>
      </c>
      <c r="E856">
        <v>8</v>
      </c>
      <c r="F856" s="1" t="s">
        <v>48</v>
      </c>
      <c r="G856">
        <v>2.2999999999999998</v>
      </c>
      <c r="H856">
        <v>787</v>
      </c>
      <c r="I856" s="1" t="s">
        <v>40</v>
      </c>
      <c r="J856">
        <v>1920</v>
      </c>
      <c r="K856">
        <v>1080</v>
      </c>
      <c r="L856" s="1" t="s">
        <v>27</v>
      </c>
      <c r="M856" s="1" t="s">
        <v>28</v>
      </c>
      <c r="N856" s="1" t="s">
        <v>27</v>
      </c>
      <c r="O856" s="1" t="s">
        <v>29</v>
      </c>
      <c r="P856">
        <v>2.7</v>
      </c>
      <c r="Q856" s="1" t="s">
        <v>71</v>
      </c>
      <c r="R856" s="1" t="str">
        <f>_xlfn.CONCAT(laptop[[#This Row],[CPU_company]]," ",laptop[[#This Row],[CPU_model]])</f>
        <v>Intel Core i7 7500U</v>
      </c>
      <c r="S856">
        <v>256</v>
      </c>
      <c r="T856">
        <v>0</v>
      </c>
      <c r="U856">
        <f>laptop[[#This Row],[PrimaryStorage]]+laptop[[#This Row],[SecondaryStorage]]</f>
        <v>256</v>
      </c>
      <c r="V856" s="1" t="s">
        <v>31</v>
      </c>
      <c r="W856" s="1" t="s">
        <v>27</v>
      </c>
      <c r="X856" s="1" t="str">
        <f>IF(laptop[[#This Row],[PrimaryStorageType]]=laptop[[#This Row],[SecondaryStorageType]],laptop[[#This Row],[PrimaryStorageType]],"SSD &amp; HDD")</f>
        <v>SSD &amp; HDD</v>
      </c>
      <c r="Y856" s="1" t="s">
        <v>684</v>
      </c>
    </row>
    <row r="857" spans="1:25" x14ac:dyDescent="0.25">
      <c r="A857" s="1" t="s">
        <v>65</v>
      </c>
      <c r="B857" s="1" t="s">
        <v>481</v>
      </c>
      <c r="C857" s="1" t="s">
        <v>38</v>
      </c>
      <c r="D857">
        <v>15.6</v>
      </c>
      <c r="E857">
        <v>8</v>
      </c>
      <c r="F857" s="1" t="s">
        <v>48</v>
      </c>
      <c r="G857">
        <v>1.9</v>
      </c>
      <c r="H857">
        <v>945</v>
      </c>
      <c r="I857" s="1" t="s">
        <v>40</v>
      </c>
      <c r="J857">
        <v>1920</v>
      </c>
      <c r="K857">
        <v>1080</v>
      </c>
      <c r="L857" s="1" t="s">
        <v>27</v>
      </c>
      <c r="M857" s="1" t="s">
        <v>27</v>
      </c>
      <c r="N857" s="1" t="s">
        <v>27</v>
      </c>
      <c r="O857" s="1" t="s">
        <v>29</v>
      </c>
      <c r="P857">
        <v>2.5</v>
      </c>
      <c r="Q857" s="1" t="s">
        <v>41</v>
      </c>
      <c r="R857" s="1" t="str">
        <f>_xlfn.CONCAT(laptop[[#This Row],[CPU_company]]," ",laptop[[#This Row],[CPU_model]])</f>
        <v>Intel Core i5 7200U</v>
      </c>
      <c r="S857">
        <v>128</v>
      </c>
      <c r="T857">
        <v>0</v>
      </c>
      <c r="U857">
        <f>laptop[[#This Row],[PrimaryStorage]]+laptop[[#This Row],[SecondaryStorage]]</f>
        <v>128</v>
      </c>
      <c r="V857" s="1" t="s">
        <v>31</v>
      </c>
      <c r="W857" s="1" t="s">
        <v>27</v>
      </c>
      <c r="X857" s="1" t="str">
        <f>IF(laptop[[#This Row],[PrimaryStorageType]]=laptop[[#This Row],[SecondaryStorageType]],laptop[[#This Row],[PrimaryStorageType]],"SSD &amp; HDD")</f>
        <v>SSD &amp; HDD</v>
      </c>
      <c r="Y857" s="1" t="s">
        <v>42</v>
      </c>
    </row>
    <row r="858" spans="1:25" x14ac:dyDescent="0.25">
      <c r="A858" s="1" t="s">
        <v>55</v>
      </c>
      <c r="B858" s="1" t="s">
        <v>685</v>
      </c>
      <c r="C858" s="1" t="s">
        <v>38</v>
      </c>
      <c r="D858">
        <v>15.6</v>
      </c>
      <c r="E858">
        <v>4</v>
      </c>
      <c r="F858" s="1" t="s">
        <v>48</v>
      </c>
      <c r="G858">
        <v>2</v>
      </c>
      <c r="H858">
        <v>449</v>
      </c>
      <c r="I858" s="1" t="s">
        <v>26</v>
      </c>
      <c r="J858">
        <v>1366</v>
      </c>
      <c r="K858">
        <v>768</v>
      </c>
      <c r="L858" s="1" t="s">
        <v>27</v>
      </c>
      <c r="M858" s="1" t="s">
        <v>27</v>
      </c>
      <c r="N858" s="1" t="s">
        <v>27</v>
      </c>
      <c r="O858" s="1" t="s">
        <v>29</v>
      </c>
      <c r="P858">
        <v>1.1000000000000001</v>
      </c>
      <c r="Q858" s="1" t="s">
        <v>130</v>
      </c>
      <c r="R858" s="1" t="str">
        <f>_xlfn.CONCAT(laptop[[#This Row],[CPU_company]]," ",laptop[[#This Row],[CPU_model]])</f>
        <v>Intel Pentium Quad Core N4200</v>
      </c>
      <c r="S858">
        <v>1024</v>
      </c>
      <c r="T858">
        <v>0</v>
      </c>
      <c r="U858">
        <f>laptop[[#This Row],[PrimaryStorage]]+laptop[[#This Row],[SecondaryStorage]]</f>
        <v>1024</v>
      </c>
      <c r="V858" s="1" t="s">
        <v>51</v>
      </c>
      <c r="W858" s="1" t="s">
        <v>27</v>
      </c>
      <c r="X858" s="1" t="str">
        <f>IF(laptop[[#This Row],[PrimaryStorageType]]=laptop[[#This Row],[SecondaryStorageType]],laptop[[#This Row],[PrimaryStorageType]],"SSD &amp; HDD")</f>
        <v>SSD &amp; HDD</v>
      </c>
      <c r="Y858" s="1" t="s">
        <v>237</v>
      </c>
    </row>
    <row r="859" spans="1:25" x14ac:dyDescent="0.25">
      <c r="A859" s="1" t="s">
        <v>36</v>
      </c>
      <c r="B859" s="1" t="s">
        <v>334</v>
      </c>
      <c r="C859" s="1" t="s">
        <v>90</v>
      </c>
      <c r="D859">
        <v>13.3</v>
      </c>
      <c r="E859">
        <v>8</v>
      </c>
      <c r="F859" s="1" t="s">
        <v>48</v>
      </c>
      <c r="G859">
        <v>1.28</v>
      </c>
      <c r="H859">
        <v>2559</v>
      </c>
      <c r="I859" s="1" t="s">
        <v>40</v>
      </c>
      <c r="J859">
        <v>1920</v>
      </c>
      <c r="K859">
        <v>1080</v>
      </c>
      <c r="L859" s="1" t="s">
        <v>28</v>
      </c>
      <c r="M859" s="1" t="s">
        <v>27</v>
      </c>
      <c r="N859" s="1" t="s">
        <v>27</v>
      </c>
      <c r="O859" s="1" t="s">
        <v>29</v>
      </c>
      <c r="P859">
        <v>2.8</v>
      </c>
      <c r="Q859" s="1" t="s">
        <v>335</v>
      </c>
      <c r="R859" s="1" t="str">
        <f>_xlfn.CONCAT(laptop[[#This Row],[CPU_company]]," ",laptop[[#This Row],[CPU_model]])</f>
        <v>Intel Core i7 7600U</v>
      </c>
      <c r="S859">
        <v>256</v>
      </c>
      <c r="T859">
        <v>0</v>
      </c>
      <c r="U859">
        <f>laptop[[#This Row],[PrimaryStorage]]+laptop[[#This Row],[SecondaryStorage]]</f>
        <v>256</v>
      </c>
      <c r="V859" s="1" t="s">
        <v>31</v>
      </c>
      <c r="W859" s="1" t="s">
        <v>27</v>
      </c>
      <c r="X859" s="1" t="str">
        <f>IF(laptop[[#This Row],[PrimaryStorageType]]=laptop[[#This Row],[SecondaryStorageType]],laptop[[#This Row],[PrimaryStorageType]],"SSD &amp; HDD")</f>
        <v>SSD &amp; HDD</v>
      </c>
      <c r="Y859" s="1" t="s">
        <v>42</v>
      </c>
    </row>
    <row r="860" spans="1:25" x14ac:dyDescent="0.25">
      <c r="A860" s="1" t="s">
        <v>65</v>
      </c>
      <c r="B860" s="1" t="s">
        <v>686</v>
      </c>
      <c r="C860" s="1" t="s">
        <v>38</v>
      </c>
      <c r="D860">
        <v>13.3</v>
      </c>
      <c r="E860">
        <v>8</v>
      </c>
      <c r="F860" s="1" t="s">
        <v>48</v>
      </c>
      <c r="G860">
        <v>1.62</v>
      </c>
      <c r="H860">
        <v>649</v>
      </c>
      <c r="I860" s="1" t="s">
        <v>40</v>
      </c>
      <c r="J860">
        <v>1920</v>
      </c>
      <c r="K860">
        <v>1080</v>
      </c>
      <c r="L860" s="1" t="s">
        <v>28</v>
      </c>
      <c r="M860" s="1" t="s">
        <v>27</v>
      </c>
      <c r="N860" s="1" t="s">
        <v>27</v>
      </c>
      <c r="O860" s="1" t="s">
        <v>29</v>
      </c>
      <c r="P860">
        <v>2.2999999999999998</v>
      </c>
      <c r="Q860" s="1" t="s">
        <v>212</v>
      </c>
      <c r="R860" s="1" t="str">
        <f>_xlfn.CONCAT(laptop[[#This Row],[CPU_company]]," ",laptop[[#This Row],[CPU_model]])</f>
        <v>Intel Core i5 6200U</v>
      </c>
      <c r="S860">
        <v>1024</v>
      </c>
      <c r="T860">
        <v>0</v>
      </c>
      <c r="U860">
        <f>laptop[[#This Row],[PrimaryStorage]]+laptop[[#This Row],[SecondaryStorage]]</f>
        <v>1024</v>
      </c>
      <c r="V860" s="1" t="s">
        <v>51</v>
      </c>
      <c r="W860" s="1" t="s">
        <v>27</v>
      </c>
      <c r="X860" s="1" t="str">
        <f>IF(laptop[[#This Row],[PrimaryStorageType]]=laptop[[#This Row],[SecondaryStorageType]],laptop[[#This Row],[PrimaryStorageType]],"SSD &amp; HDD")</f>
        <v>SSD &amp; HDD</v>
      </c>
      <c r="Y860" s="1" t="s">
        <v>63</v>
      </c>
    </row>
    <row r="861" spans="1:25" x14ac:dyDescent="0.25">
      <c r="A861" s="1" t="s">
        <v>73</v>
      </c>
      <c r="B861" s="1" t="s">
        <v>525</v>
      </c>
      <c r="C861" s="1" t="s">
        <v>38</v>
      </c>
      <c r="D861">
        <v>15.6</v>
      </c>
      <c r="E861">
        <v>4</v>
      </c>
      <c r="F861" s="1" t="s">
        <v>39</v>
      </c>
      <c r="G861">
        <v>2.2000000000000002</v>
      </c>
      <c r="H861">
        <v>469</v>
      </c>
      <c r="I861" s="1" t="s">
        <v>40</v>
      </c>
      <c r="J861">
        <v>1920</v>
      </c>
      <c r="K861">
        <v>1080</v>
      </c>
      <c r="L861" s="1" t="s">
        <v>27</v>
      </c>
      <c r="M861" s="1" t="s">
        <v>27</v>
      </c>
      <c r="N861" s="1" t="s">
        <v>27</v>
      </c>
      <c r="O861" s="1" t="s">
        <v>29</v>
      </c>
      <c r="P861">
        <v>2</v>
      </c>
      <c r="Q861" s="1" t="s">
        <v>62</v>
      </c>
      <c r="R861" s="1" t="str">
        <f>_xlfn.CONCAT(laptop[[#This Row],[CPU_company]]," ",laptop[[#This Row],[CPU_model]])</f>
        <v>Intel Core i3 6006U</v>
      </c>
      <c r="S861">
        <v>1024</v>
      </c>
      <c r="T861">
        <v>0</v>
      </c>
      <c r="U861">
        <f>laptop[[#This Row],[PrimaryStorage]]+laptop[[#This Row],[SecondaryStorage]]</f>
        <v>1024</v>
      </c>
      <c r="V861" s="1" t="s">
        <v>51</v>
      </c>
      <c r="W861" s="1" t="s">
        <v>27</v>
      </c>
      <c r="X861" s="1" t="str">
        <f>IF(laptop[[#This Row],[PrimaryStorageType]]=laptop[[#This Row],[SecondaryStorageType]],laptop[[#This Row],[PrimaryStorageType]],"SSD &amp; HDD")</f>
        <v>SSD &amp; HDD</v>
      </c>
      <c r="Y861" s="1" t="s">
        <v>63</v>
      </c>
    </row>
    <row r="862" spans="1:25" x14ac:dyDescent="0.25">
      <c r="A862" s="1" t="s">
        <v>73</v>
      </c>
      <c r="B862" s="1" t="s">
        <v>453</v>
      </c>
      <c r="C862" s="1" t="s">
        <v>38</v>
      </c>
      <c r="D862">
        <v>15.6</v>
      </c>
      <c r="E862">
        <v>8</v>
      </c>
      <c r="F862" s="1" t="s">
        <v>48</v>
      </c>
      <c r="G862">
        <v>2.2999999999999998</v>
      </c>
      <c r="H862">
        <v>850.66</v>
      </c>
      <c r="I862" s="1" t="s">
        <v>40</v>
      </c>
      <c r="J862">
        <v>1920</v>
      </c>
      <c r="K862">
        <v>1080</v>
      </c>
      <c r="L862" s="1" t="s">
        <v>27</v>
      </c>
      <c r="M862" s="1" t="s">
        <v>28</v>
      </c>
      <c r="N862" s="1" t="s">
        <v>27</v>
      </c>
      <c r="O862" s="1" t="s">
        <v>29</v>
      </c>
      <c r="P862">
        <v>2.5</v>
      </c>
      <c r="Q862" s="1" t="s">
        <v>41</v>
      </c>
      <c r="R862" s="1" t="str">
        <f>_xlfn.CONCAT(laptop[[#This Row],[CPU_company]]," ",laptop[[#This Row],[CPU_model]])</f>
        <v>Intel Core i5 7200U</v>
      </c>
      <c r="S862">
        <v>1024</v>
      </c>
      <c r="T862">
        <v>0</v>
      </c>
      <c r="U862">
        <f>laptop[[#This Row],[PrimaryStorage]]+laptop[[#This Row],[SecondaryStorage]]</f>
        <v>1024</v>
      </c>
      <c r="V862" s="1" t="s">
        <v>51</v>
      </c>
      <c r="W862" s="1" t="s">
        <v>27</v>
      </c>
      <c r="X862" s="1" t="str">
        <f>IF(laptop[[#This Row],[PrimaryStorageType]]=laptop[[#This Row],[SecondaryStorageType]],laptop[[#This Row],[PrimaryStorageType]],"SSD &amp; HDD")</f>
        <v>SSD &amp; HDD</v>
      </c>
      <c r="Y862" s="1" t="s">
        <v>42</v>
      </c>
    </row>
    <row r="863" spans="1:25" x14ac:dyDescent="0.25">
      <c r="A863" s="1" t="s">
        <v>36</v>
      </c>
      <c r="B863" s="1" t="s">
        <v>527</v>
      </c>
      <c r="C863" s="1" t="s">
        <v>38</v>
      </c>
      <c r="D863">
        <v>15.6</v>
      </c>
      <c r="E863">
        <v>8</v>
      </c>
      <c r="F863" s="1" t="s">
        <v>48</v>
      </c>
      <c r="G863">
        <v>1.84</v>
      </c>
      <c r="H863">
        <v>1349</v>
      </c>
      <c r="I863" s="1" t="s">
        <v>40</v>
      </c>
      <c r="J863">
        <v>1920</v>
      </c>
      <c r="K863">
        <v>1080</v>
      </c>
      <c r="L863" s="1" t="s">
        <v>27</v>
      </c>
      <c r="M863" s="1" t="s">
        <v>27</v>
      </c>
      <c r="N863" s="1" t="s">
        <v>27</v>
      </c>
      <c r="O863" s="1" t="s">
        <v>29</v>
      </c>
      <c r="P863">
        <v>2.6</v>
      </c>
      <c r="Q863" s="1" t="s">
        <v>358</v>
      </c>
      <c r="R863" s="1" t="str">
        <f>_xlfn.CONCAT(laptop[[#This Row],[CPU_company]]," ",laptop[[#This Row],[CPU_model]])</f>
        <v>Intel Core i5 7300U</v>
      </c>
      <c r="S863">
        <v>256</v>
      </c>
      <c r="T863">
        <v>0</v>
      </c>
      <c r="U863">
        <f>laptop[[#This Row],[PrimaryStorage]]+laptop[[#This Row],[SecondaryStorage]]</f>
        <v>256</v>
      </c>
      <c r="V863" s="1" t="s">
        <v>31</v>
      </c>
      <c r="W863" s="1" t="s">
        <v>27</v>
      </c>
      <c r="X863" s="1" t="str">
        <f>IF(laptop[[#This Row],[PrimaryStorageType]]=laptop[[#This Row],[SecondaryStorageType]],laptop[[#This Row],[PrimaryStorageType]],"SSD &amp; HDD")</f>
        <v>SSD &amp; HDD</v>
      </c>
      <c r="Y863" s="1" t="s">
        <v>687</v>
      </c>
    </row>
    <row r="864" spans="1:25" x14ac:dyDescent="0.25">
      <c r="A864" s="1" t="s">
        <v>210</v>
      </c>
      <c r="B864" s="1" t="s">
        <v>688</v>
      </c>
      <c r="C864" s="1" t="s">
        <v>38</v>
      </c>
      <c r="D864">
        <v>13.3</v>
      </c>
      <c r="E864">
        <v>4</v>
      </c>
      <c r="F864" s="1" t="s">
        <v>48</v>
      </c>
      <c r="G864">
        <v>1.05</v>
      </c>
      <c r="H864">
        <v>1285</v>
      </c>
      <c r="I864" s="1" t="s">
        <v>40</v>
      </c>
      <c r="J864">
        <v>1920</v>
      </c>
      <c r="K864">
        <v>1080</v>
      </c>
      <c r="L864" s="1" t="s">
        <v>27</v>
      </c>
      <c r="M864" s="1" t="s">
        <v>27</v>
      </c>
      <c r="N864" s="1" t="s">
        <v>27</v>
      </c>
      <c r="O864" s="1" t="s">
        <v>29</v>
      </c>
      <c r="P864">
        <v>2.5</v>
      </c>
      <c r="Q864" s="1" t="s">
        <v>41</v>
      </c>
      <c r="R864" s="1" t="str">
        <f>_xlfn.CONCAT(laptop[[#This Row],[CPU_company]]," ",laptop[[#This Row],[CPU_model]])</f>
        <v>Intel Core i5 7200U</v>
      </c>
      <c r="S864">
        <v>128</v>
      </c>
      <c r="T864">
        <v>0</v>
      </c>
      <c r="U864">
        <f>laptop[[#This Row],[PrimaryStorage]]+laptop[[#This Row],[SecondaryStorage]]</f>
        <v>128</v>
      </c>
      <c r="V864" s="1" t="s">
        <v>31</v>
      </c>
      <c r="W864" s="1" t="s">
        <v>27</v>
      </c>
      <c r="X864" s="1" t="str">
        <f>IF(laptop[[#This Row],[PrimaryStorageType]]=laptop[[#This Row],[SecondaryStorageType]],laptop[[#This Row],[PrimaryStorageType]],"SSD &amp; HDD")</f>
        <v>SSD &amp; HDD</v>
      </c>
      <c r="Y864" s="1" t="s">
        <v>42</v>
      </c>
    </row>
    <row r="865" spans="1:25" x14ac:dyDescent="0.25">
      <c r="A865" s="1" t="s">
        <v>73</v>
      </c>
      <c r="B865" s="1" t="s">
        <v>82</v>
      </c>
      <c r="C865" s="1" t="s">
        <v>83</v>
      </c>
      <c r="D865">
        <v>15.6</v>
      </c>
      <c r="E865">
        <v>8</v>
      </c>
      <c r="F865" s="1" t="s">
        <v>39</v>
      </c>
      <c r="G865">
        <v>2.5</v>
      </c>
      <c r="H865">
        <v>1017</v>
      </c>
      <c r="I865" s="1" t="s">
        <v>40</v>
      </c>
      <c r="J865">
        <v>1920</v>
      </c>
      <c r="K865">
        <v>1080</v>
      </c>
      <c r="L865" s="1" t="s">
        <v>27</v>
      </c>
      <c r="M865" s="1" t="s">
        <v>28</v>
      </c>
      <c r="N865" s="1" t="s">
        <v>27</v>
      </c>
      <c r="O865" s="1" t="s">
        <v>29</v>
      </c>
      <c r="P865">
        <v>2.5</v>
      </c>
      <c r="Q865" s="1" t="s">
        <v>84</v>
      </c>
      <c r="R865" s="1" t="str">
        <f>_xlfn.CONCAT(laptop[[#This Row],[CPU_company]]," ",laptop[[#This Row],[CPU_model]])</f>
        <v>Intel Core i5 7300HQ</v>
      </c>
      <c r="S865">
        <v>1024</v>
      </c>
      <c r="T865">
        <v>0</v>
      </c>
      <c r="U865">
        <f>laptop[[#This Row],[PrimaryStorage]]+laptop[[#This Row],[SecondaryStorage]]</f>
        <v>1024</v>
      </c>
      <c r="V865" s="1" t="s">
        <v>51</v>
      </c>
      <c r="W865" s="1" t="s">
        <v>27</v>
      </c>
      <c r="X865" s="1" t="str">
        <f>IF(laptop[[#This Row],[PrimaryStorageType]]=laptop[[#This Row],[SecondaryStorageType]],laptop[[#This Row],[PrimaryStorageType]],"SSD &amp; HDD")</f>
        <v>SSD &amp; HDD</v>
      </c>
      <c r="Y865" s="1" t="s">
        <v>85</v>
      </c>
    </row>
    <row r="866" spans="1:25" x14ac:dyDescent="0.25">
      <c r="A866" s="1" t="s">
        <v>65</v>
      </c>
      <c r="B866" s="1" t="s">
        <v>77</v>
      </c>
      <c r="C866" s="1" t="s">
        <v>24</v>
      </c>
      <c r="D866">
        <v>13.3</v>
      </c>
      <c r="E866">
        <v>16</v>
      </c>
      <c r="F866" s="1" t="s">
        <v>48</v>
      </c>
      <c r="G866">
        <v>1.29</v>
      </c>
      <c r="H866">
        <v>2240</v>
      </c>
      <c r="I866" s="1" t="s">
        <v>107</v>
      </c>
      <c r="J866">
        <v>3200</v>
      </c>
      <c r="K866">
        <v>1800</v>
      </c>
      <c r="L866" s="1" t="s">
        <v>28</v>
      </c>
      <c r="M866" s="1" t="s">
        <v>27</v>
      </c>
      <c r="N866" s="1" t="s">
        <v>27</v>
      </c>
      <c r="O866" s="1" t="s">
        <v>29</v>
      </c>
      <c r="P866">
        <v>2.5</v>
      </c>
      <c r="Q866" s="1" t="s">
        <v>433</v>
      </c>
      <c r="R866" s="1" t="str">
        <f>_xlfn.CONCAT(laptop[[#This Row],[CPU_company]]," ",laptop[[#This Row],[CPU_model]])</f>
        <v>Intel Core i7 7660U</v>
      </c>
      <c r="S866">
        <v>512</v>
      </c>
      <c r="T866">
        <v>0</v>
      </c>
      <c r="U866">
        <f>laptop[[#This Row],[PrimaryStorage]]+laptop[[#This Row],[SecondaryStorage]]</f>
        <v>512</v>
      </c>
      <c r="V866" s="1" t="s">
        <v>31</v>
      </c>
      <c r="W866" s="1" t="s">
        <v>27</v>
      </c>
      <c r="X866" s="1" t="str">
        <f>IF(laptop[[#This Row],[PrimaryStorageType]]=laptop[[#This Row],[SecondaryStorageType]],laptop[[#This Row],[PrimaryStorageType]],"SSD &amp; HDD")</f>
        <v>SSD &amp; HDD</v>
      </c>
      <c r="Y866" s="1" t="s">
        <v>32</v>
      </c>
    </row>
    <row r="867" spans="1:25" x14ac:dyDescent="0.25">
      <c r="A867" s="1" t="s">
        <v>36</v>
      </c>
      <c r="B867" s="1" t="s">
        <v>476</v>
      </c>
      <c r="C867" s="1" t="s">
        <v>38</v>
      </c>
      <c r="D867">
        <v>15.6</v>
      </c>
      <c r="E867">
        <v>4</v>
      </c>
      <c r="F867" s="1" t="s">
        <v>48</v>
      </c>
      <c r="G867">
        <v>2.0699999999999998</v>
      </c>
      <c r="H867">
        <v>910</v>
      </c>
      <c r="I867" s="1" t="s">
        <v>40</v>
      </c>
      <c r="J867">
        <v>1920</v>
      </c>
      <c r="K867">
        <v>1080</v>
      </c>
      <c r="L867" s="1" t="s">
        <v>27</v>
      </c>
      <c r="M867" s="1" t="s">
        <v>27</v>
      </c>
      <c r="N867" s="1" t="s">
        <v>27</v>
      </c>
      <c r="O867" s="1" t="s">
        <v>29</v>
      </c>
      <c r="P867">
        <v>2.2999999999999998</v>
      </c>
      <c r="Q867" s="1" t="s">
        <v>212</v>
      </c>
      <c r="R867" s="1" t="str">
        <f>_xlfn.CONCAT(laptop[[#This Row],[CPU_company]]," ",laptop[[#This Row],[CPU_model]])</f>
        <v>Intel Core i5 6200U</v>
      </c>
      <c r="S867">
        <v>500</v>
      </c>
      <c r="T867">
        <v>0</v>
      </c>
      <c r="U867">
        <f>laptop[[#This Row],[PrimaryStorage]]+laptop[[#This Row],[SecondaryStorage]]</f>
        <v>500</v>
      </c>
      <c r="V867" s="1" t="s">
        <v>51</v>
      </c>
      <c r="W867" s="1" t="s">
        <v>27</v>
      </c>
      <c r="X867" s="1" t="str">
        <f>IF(laptop[[#This Row],[PrimaryStorageType]]=laptop[[#This Row],[SecondaryStorageType]],laptop[[#This Row],[PrimaryStorageType]],"SSD &amp; HDD")</f>
        <v>SSD &amp; HDD</v>
      </c>
      <c r="Y867" s="1" t="s">
        <v>63</v>
      </c>
    </row>
    <row r="868" spans="1:25" x14ac:dyDescent="0.25">
      <c r="A868" s="1" t="s">
        <v>210</v>
      </c>
      <c r="B868" s="1" t="s">
        <v>689</v>
      </c>
      <c r="C868" s="1" t="s">
        <v>24</v>
      </c>
      <c r="D868">
        <v>13.3</v>
      </c>
      <c r="E868">
        <v>8</v>
      </c>
      <c r="F868" s="1" t="s">
        <v>48</v>
      </c>
      <c r="G868">
        <v>1.2</v>
      </c>
      <c r="H868">
        <v>1095</v>
      </c>
      <c r="I868" s="1" t="s">
        <v>26</v>
      </c>
      <c r="J868">
        <v>1366</v>
      </c>
      <c r="K868">
        <v>768</v>
      </c>
      <c r="L868" s="1" t="s">
        <v>27</v>
      </c>
      <c r="M868" s="1" t="s">
        <v>27</v>
      </c>
      <c r="N868" s="1" t="s">
        <v>27</v>
      </c>
      <c r="O868" s="1" t="s">
        <v>29</v>
      </c>
      <c r="P868">
        <v>2.2999999999999998</v>
      </c>
      <c r="Q868" s="1" t="s">
        <v>212</v>
      </c>
      <c r="R868" s="1" t="str">
        <f>_xlfn.CONCAT(laptop[[#This Row],[CPU_company]]," ",laptop[[#This Row],[CPU_model]])</f>
        <v>Intel Core i5 6200U</v>
      </c>
      <c r="S868">
        <v>256</v>
      </c>
      <c r="T868">
        <v>0</v>
      </c>
      <c r="U868">
        <f>laptop[[#This Row],[PrimaryStorage]]+laptop[[#This Row],[SecondaryStorage]]</f>
        <v>256</v>
      </c>
      <c r="V868" s="1" t="s">
        <v>31</v>
      </c>
      <c r="W868" s="1" t="s">
        <v>27</v>
      </c>
      <c r="X868" s="1" t="str">
        <f>IF(laptop[[#This Row],[PrimaryStorageType]]=laptop[[#This Row],[SecondaryStorageType]],laptop[[#This Row],[PrimaryStorageType]],"SSD &amp; HDD")</f>
        <v>SSD &amp; HDD</v>
      </c>
      <c r="Y868" s="1" t="s">
        <v>63</v>
      </c>
    </row>
    <row r="869" spans="1:25" x14ac:dyDescent="0.25">
      <c r="A869" s="1" t="s">
        <v>73</v>
      </c>
      <c r="B869" s="1" t="s">
        <v>190</v>
      </c>
      <c r="C869" s="1" t="s">
        <v>90</v>
      </c>
      <c r="D869">
        <v>13.3</v>
      </c>
      <c r="E869">
        <v>8</v>
      </c>
      <c r="F869" s="1" t="s">
        <v>48</v>
      </c>
      <c r="G869">
        <v>1.37</v>
      </c>
      <c r="H869">
        <v>1950</v>
      </c>
      <c r="I869" s="1" t="s">
        <v>40</v>
      </c>
      <c r="J869">
        <v>1920</v>
      </c>
      <c r="K869">
        <v>1080</v>
      </c>
      <c r="L869" s="1" t="s">
        <v>28</v>
      </c>
      <c r="M869" s="1" t="s">
        <v>28</v>
      </c>
      <c r="N869" s="1" t="s">
        <v>27</v>
      </c>
      <c r="O869" s="1" t="s">
        <v>29</v>
      </c>
      <c r="P869">
        <v>2.7</v>
      </c>
      <c r="Q869" s="1" t="s">
        <v>71</v>
      </c>
      <c r="R869" s="1" t="str">
        <f>_xlfn.CONCAT(laptop[[#This Row],[CPU_company]]," ",laptop[[#This Row],[CPU_model]])</f>
        <v>Intel Core i7 7500U</v>
      </c>
      <c r="S869">
        <v>256</v>
      </c>
      <c r="T869">
        <v>0</v>
      </c>
      <c r="U869">
        <f>laptop[[#This Row],[PrimaryStorage]]+laptop[[#This Row],[SecondaryStorage]]</f>
        <v>256</v>
      </c>
      <c r="V869" s="1" t="s">
        <v>31</v>
      </c>
      <c r="W869" s="1" t="s">
        <v>27</v>
      </c>
      <c r="X869" s="1" t="str">
        <f>IF(laptop[[#This Row],[PrimaryStorageType]]=laptop[[#This Row],[SecondaryStorageType]],laptop[[#This Row],[PrimaryStorageType]],"SSD &amp; HDD")</f>
        <v>SSD &amp; HDD</v>
      </c>
      <c r="Y869" s="1" t="s">
        <v>42</v>
      </c>
    </row>
    <row r="870" spans="1:25" x14ac:dyDescent="0.25">
      <c r="A870" s="1" t="s">
        <v>46</v>
      </c>
      <c r="B870" s="1" t="s">
        <v>690</v>
      </c>
      <c r="C870" s="1" t="s">
        <v>38</v>
      </c>
      <c r="D870">
        <v>14</v>
      </c>
      <c r="E870">
        <v>8</v>
      </c>
      <c r="F870" s="1" t="s">
        <v>48</v>
      </c>
      <c r="G870">
        <v>1.56</v>
      </c>
      <c r="H870">
        <v>902</v>
      </c>
      <c r="I870" s="1" t="s">
        <v>40</v>
      </c>
      <c r="J870">
        <v>1920</v>
      </c>
      <c r="K870">
        <v>1080</v>
      </c>
      <c r="L870" s="1" t="s">
        <v>27</v>
      </c>
      <c r="M870" s="1" t="s">
        <v>28</v>
      </c>
      <c r="N870" s="1" t="s">
        <v>27</v>
      </c>
      <c r="O870" s="1" t="s">
        <v>29</v>
      </c>
      <c r="P870">
        <v>2.5</v>
      </c>
      <c r="Q870" s="1" t="s">
        <v>41</v>
      </c>
      <c r="R870" s="1" t="str">
        <f>_xlfn.CONCAT(laptop[[#This Row],[CPU_company]]," ",laptop[[#This Row],[CPU_model]])</f>
        <v>Intel Core i5 7200U</v>
      </c>
      <c r="S870">
        <v>256</v>
      </c>
      <c r="T870">
        <v>0</v>
      </c>
      <c r="U870">
        <f>laptop[[#This Row],[PrimaryStorage]]+laptop[[#This Row],[SecondaryStorage]]</f>
        <v>256</v>
      </c>
      <c r="V870" s="1" t="s">
        <v>31</v>
      </c>
      <c r="W870" s="1" t="s">
        <v>27</v>
      </c>
      <c r="X870" s="1" t="str">
        <f>IF(laptop[[#This Row],[PrimaryStorageType]]=laptop[[#This Row],[SecondaryStorageType]],laptop[[#This Row],[PrimaryStorageType]],"SSD &amp; HDD")</f>
        <v>SSD &amp; HDD</v>
      </c>
      <c r="Y870" s="1" t="s">
        <v>42</v>
      </c>
    </row>
    <row r="871" spans="1:25" x14ac:dyDescent="0.25">
      <c r="A871" s="1" t="s">
        <v>65</v>
      </c>
      <c r="B871" s="1" t="s">
        <v>430</v>
      </c>
      <c r="C871" s="1" t="s">
        <v>265</v>
      </c>
      <c r="D871">
        <v>15.6</v>
      </c>
      <c r="E871">
        <v>8</v>
      </c>
      <c r="F871" s="1" t="s">
        <v>48</v>
      </c>
      <c r="G871">
        <v>2.23</v>
      </c>
      <c r="H871">
        <v>1778</v>
      </c>
      <c r="I871" s="1" t="s">
        <v>40</v>
      </c>
      <c r="J871">
        <v>1920</v>
      </c>
      <c r="K871">
        <v>1080</v>
      </c>
      <c r="L871" s="1" t="s">
        <v>27</v>
      </c>
      <c r="M871" s="1" t="s">
        <v>27</v>
      </c>
      <c r="N871" s="1" t="s">
        <v>27</v>
      </c>
      <c r="O871" s="1" t="s">
        <v>29</v>
      </c>
      <c r="P871">
        <v>2.8</v>
      </c>
      <c r="Q871" s="1" t="s">
        <v>118</v>
      </c>
      <c r="R871" s="1" t="str">
        <f>_xlfn.CONCAT(laptop[[#This Row],[CPU_company]]," ",laptop[[#This Row],[CPU_model]])</f>
        <v>Intel Core i7 7700HQ</v>
      </c>
      <c r="S871">
        <v>1024</v>
      </c>
      <c r="T871">
        <v>0</v>
      </c>
      <c r="U871">
        <f>laptop[[#This Row],[PrimaryStorage]]+laptop[[#This Row],[SecondaryStorage]]</f>
        <v>1024</v>
      </c>
      <c r="V871" s="1" t="s">
        <v>51</v>
      </c>
      <c r="W871" s="1" t="s">
        <v>27</v>
      </c>
      <c r="X871" s="1" t="str">
        <f>IF(laptop[[#This Row],[PrimaryStorageType]]=laptop[[#This Row],[SecondaryStorageType]],laptop[[#This Row],[PrimaryStorageType]],"SSD &amp; HDD")</f>
        <v>SSD &amp; HDD</v>
      </c>
      <c r="Y871" s="1" t="s">
        <v>431</v>
      </c>
    </row>
    <row r="872" spans="1:25" x14ac:dyDescent="0.25">
      <c r="A872" s="1" t="s">
        <v>73</v>
      </c>
      <c r="B872" s="1" t="s">
        <v>463</v>
      </c>
      <c r="C872" s="1" t="s">
        <v>38</v>
      </c>
      <c r="D872">
        <v>15.6</v>
      </c>
      <c r="E872">
        <v>4</v>
      </c>
      <c r="F872" s="1" t="s">
        <v>48</v>
      </c>
      <c r="G872">
        <v>2.38</v>
      </c>
      <c r="H872">
        <v>1055</v>
      </c>
      <c r="I872" s="1" t="s">
        <v>26</v>
      </c>
      <c r="J872">
        <v>1366</v>
      </c>
      <c r="K872">
        <v>768</v>
      </c>
      <c r="L872" s="1" t="s">
        <v>27</v>
      </c>
      <c r="M872" s="1" t="s">
        <v>27</v>
      </c>
      <c r="N872" s="1" t="s">
        <v>27</v>
      </c>
      <c r="O872" s="1" t="s">
        <v>29</v>
      </c>
      <c r="P872">
        <v>2.5</v>
      </c>
      <c r="Q872" s="1" t="s">
        <v>41</v>
      </c>
      <c r="R872" s="1" t="str">
        <f>_xlfn.CONCAT(laptop[[#This Row],[CPU_company]]," ",laptop[[#This Row],[CPU_model]])</f>
        <v>Intel Core i5 7200U</v>
      </c>
      <c r="S872">
        <v>500</v>
      </c>
      <c r="T872">
        <v>0</v>
      </c>
      <c r="U872">
        <f>laptop[[#This Row],[PrimaryStorage]]+laptop[[#This Row],[SecondaryStorage]]</f>
        <v>500</v>
      </c>
      <c r="V872" s="1" t="s">
        <v>51</v>
      </c>
      <c r="W872" s="1" t="s">
        <v>27</v>
      </c>
      <c r="X872" s="1" t="str">
        <f>IF(laptop[[#This Row],[PrimaryStorageType]]=laptop[[#This Row],[SecondaryStorageType]],laptop[[#This Row],[PrimaryStorageType]],"SSD &amp; HDD")</f>
        <v>SSD &amp; HDD</v>
      </c>
      <c r="Y872" s="1" t="s">
        <v>42</v>
      </c>
    </row>
    <row r="873" spans="1:25" x14ac:dyDescent="0.25">
      <c r="A873" s="1" t="s">
        <v>73</v>
      </c>
      <c r="B873" s="1" t="s">
        <v>525</v>
      </c>
      <c r="C873" s="1" t="s">
        <v>38</v>
      </c>
      <c r="D873">
        <v>15.6</v>
      </c>
      <c r="E873">
        <v>4</v>
      </c>
      <c r="F873" s="1" t="s">
        <v>39</v>
      </c>
      <c r="G873">
        <v>2.2000000000000002</v>
      </c>
      <c r="H873">
        <v>479</v>
      </c>
      <c r="I873" s="1" t="s">
        <v>40</v>
      </c>
      <c r="J873">
        <v>1920</v>
      </c>
      <c r="K873">
        <v>1080</v>
      </c>
      <c r="L873" s="1" t="s">
        <v>27</v>
      </c>
      <c r="M873" s="1" t="s">
        <v>27</v>
      </c>
      <c r="N873" s="1" t="s">
        <v>27</v>
      </c>
      <c r="O873" s="1" t="s">
        <v>29</v>
      </c>
      <c r="P873">
        <v>2</v>
      </c>
      <c r="Q873" s="1" t="s">
        <v>62</v>
      </c>
      <c r="R873" s="1" t="str">
        <f>_xlfn.CONCAT(laptop[[#This Row],[CPU_company]]," ",laptop[[#This Row],[CPU_model]])</f>
        <v>Intel Core i3 6006U</v>
      </c>
      <c r="S873">
        <v>1024</v>
      </c>
      <c r="T873">
        <v>0</v>
      </c>
      <c r="U873">
        <f>laptop[[#This Row],[PrimaryStorage]]+laptop[[#This Row],[SecondaryStorage]]</f>
        <v>1024</v>
      </c>
      <c r="V873" s="1" t="s">
        <v>51</v>
      </c>
      <c r="W873" s="1" t="s">
        <v>27</v>
      </c>
      <c r="X873" s="1" t="str">
        <f>IF(laptop[[#This Row],[PrimaryStorageType]]=laptop[[#This Row],[SecondaryStorageType]],laptop[[#This Row],[PrimaryStorageType]],"SSD &amp; HDD")</f>
        <v>SSD &amp; HDD</v>
      </c>
      <c r="Y873" s="1" t="s">
        <v>67</v>
      </c>
    </row>
    <row r="874" spans="1:25" x14ac:dyDescent="0.25">
      <c r="A874" s="1" t="s">
        <v>210</v>
      </c>
      <c r="B874" s="1" t="s">
        <v>691</v>
      </c>
      <c r="C874" s="1" t="s">
        <v>38</v>
      </c>
      <c r="D874">
        <v>15.6</v>
      </c>
      <c r="E874">
        <v>8</v>
      </c>
      <c r="F874" s="1" t="s">
        <v>48</v>
      </c>
      <c r="G874">
        <v>2</v>
      </c>
      <c r="H874">
        <v>1388</v>
      </c>
      <c r="I874" s="1" t="s">
        <v>40</v>
      </c>
      <c r="J874">
        <v>1920</v>
      </c>
      <c r="K874">
        <v>1080</v>
      </c>
      <c r="L874" s="1" t="s">
        <v>27</v>
      </c>
      <c r="M874" s="1" t="s">
        <v>28</v>
      </c>
      <c r="N874" s="1" t="s">
        <v>27</v>
      </c>
      <c r="O874" s="1" t="s">
        <v>29</v>
      </c>
      <c r="P874">
        <v>2.7</v>
      </c>
      <c r="Q874" s="1" t="s">
        <v>71</v>
      </c>
      <c r="R874" s="1" t="str">
        <f>_xlfn.CONCAT(laptop[[#This Row],[CPU_company]]," ",laptop[[#This Row],[CPU_model]])</f>
        <v>Intel Core i7 7500U</v>
      </c>
      <c r="S874">
        <v>256</v>
      </c>
      <c r="T874">
        <v>0</v>
      </c>
      <c r="U874">
        <f>laptop[[#This Row],[PrimaryStorage]]+laptop[[#This Row],[SecondaryStorage]]</f>
        <v>256</v>
      </c>
      <c r="V874" s="1" t="s">
        <v>31</v>
      </c>
      <c r="W874" s="1" t="s">
        <v>27</v>
      </c>
      <c r="X874" s="1" t="str">
        <f>IF(laptop[[#This Row],[PrimaryStorageType]]=laptop[[#This Row],[SecondaryStorageType]],laptop[[#This Row],[PrimaryStorageType]],"SSD &amp; HDD")</f>
        <v>SSD &amp; HDD</v>
      </c>
      <c r="Y874" s="1" t="s">
        <v>42</v>
      </c>
    </row>
    <row r="875" spans="1:25" x14ac:dyDescent="0.25">
      <c r="A875" s="1" t="s">
        <v>73</v>
      </c>
      <c r="B875" s="1" t="s">
        <v>415</v>
      </c>
      <c r="C875" s="1" t="s">
        <v>38</v>
      </c>
      <c r="D875">
        <v>13.3</v>
      </c>
      <c r="E875">
        <v>4</v>
      </c>
      <c r="F875" s="1" t="s">
        <v>48</v>
      </c>
      <c r="G875">
        <v>1.44</v>
      </c>
      <c r="H875">
        <v>735</v>
      </c>
      <c r="I875" s="1" t="s">
        <v>40</v>
      </c>
      <c r="J875">
        <v>1920</v>
      </c>
      <c r="K875">
        <v>1080</v>
      </c>
      <c r="L875" s="1" t="s">
        <v>27</v>
      </c>
      <c r="M875" s="1" t="s">
        <v>28</v>
      </c>
      <c r="N875" s="1" t="s">
        <v>27</v>
      </c>
      <c r="O875" s="1" t="s">
        <v>29</v>
      </c>
      <c r="P875">
        <v>2.4</v>
      </c>
      <c r="Q875" s="1" t="s">
        <v>75</v>
      </c>
      <c r="R875" s="1" t="str">
        <f>_xlfn.CONCAT(laptop[[#This Row],[CPU_company]]," ",laptop[[#This Row],[CPU_model]])</f>
        <v>Intel Core i3 7100U</v>
      </c>
      <c r="S875">
        <v>180</v>
      </c>
      <c r="T875">
        <v>0</v>
      </c>
      <c r="U875">
        <f>laptop[[#This Row],[PrimaryStorage]]+laptop[[#This Row],[SecondaryStorage]]</f>
        <v>180</v>
      </c>
      <c r="V875" s="1" t="s">
        <v>31</v>
      </c>
      <c r="W875" s="1" t="s">
        <v>27</v>
      </c>
      <c r="X875" s="1" t="str">
        <f>IF(laptop[[#This Row],[PrimaryStorageType]]=laptop[[#This Row],[SecondaryStorageType]],laptop[[#This Row],[PrimaryStorageType]],"SSD &amp; HDD")</f>
        <v>SSD &amp; HDD</v>
      </c>
      <c r="Y875" s="1" t="s">
        <v>42</v>
      </c>
    </row>
    <row r="876" spans="1:25" x14ac:dyDescent="0.25">
      <c r="A876" s="1" t="s">
        <v>413</v>
      </c>
      <c r="B876" s="1" t="s">
        <v>620</v>
      </c>
      <c r="C876" s="1" t="s">
        <v>24</v>
      </c>
      <c r="D876">
        <v>15</v>
      </c>
      <c r="E876">
        <v>16</v>
      </c>
      <c r="F876" s="1" t="s">
        <v>48</v>
      </c>
      <c r="G876">
        <v>1.23</v>
      </c>
      <c r="H876">
        <v>1849</v>
      </c>
      <c r="I876" s="1" t="s">
        <v>40</v>
      </c>
      <c r="J876">
        <v>1920</v>
      </c>
      <c r="K876">
        <v>1080</v>
      </c>
      <c r="L876" s="1" t="s">
        <v>27</v>
      </c>
      <c r="M876" s="1" t="s">
        <v>27</v>
      </c>
      <c r="N876" s="1" t="s">
        <v>27</v>
      </c>
      <c r="O876" s="1" t="s">
        <v>29</v>
      </c>
      <c r="P876">
        <v>2.7</v>
      </c>
      <c r="Q876" s="1" t="s">
        <v>71</v>
      </c>
      <c r="R876" s="1" t="str">
        <f>_xlfn.CONCAT(laptop[[#This Row],[CPU_company]]," ",laptop[[#This Row],[CPU_model]])</f>
        <v>Intel Core i7 7500U</v>
      </c>
      <c r="S876">
        <v>256</v>
      </c>
      <c r="T876">
        <v>0</v>
      </c>
      <c r="U876">
        <f>laptop[[#This Row],[PrimaryStorage]]+laptop[[#This Row],[SecondaryStorage]]</f>
        <v>256</v>
      </c>
      <c r="V876" s="1" t="s">
        <v>31</v>
      </c>
      <c r="W876" s="1" t="s">
        <v>27</v>
      </c>
      <c r="X876" s="1" t="str">
        <f>IF(laptop[[#This Row],[PrimaryStorageType]]=laptop[[#This Row],[SecondaryStorageType]],laptop[[#This Row],[PrimaryStorageType]],"SSD &amp; HDD")</f>
        <v>SSD &amp; HDD</v>
      </c>
      <c r="Y876" s="1" t="s">
        <v>76</v>
      </c>
    </row>
    <row r="877" spans="1:25" x14ac:dyDescent="0.25">
      <c r="A877" s="1" t="s">
        <v>65</v>
      </c>
      <c r="B877" s="1" t="s">
        <v>633</v>
      </c>
      <c r="C877" s="1" t="s">
        <v>24</v>
      </c>
      <c r="D877">
        <v>12.5</v>
      </c>
      <c r="E877">
        <v>8</v>
      </c>
      <c r="F877" s="1" t="s">
        <v>48</v>
      </c>
      <c r="G877">
        <v>1.6</v>
      </c>
      <c r="H877">
        <v>1690</v>
      </c>
      <c r="I877" s="1" t="s">
        <v>40</v>
      </c>
      <c r="J877">
        <v>1920</v>
      </c>
      <c r="K877">
        <v>1080</v>
      </c>
      <c r="L877" s="1" t="s">
        <v>27</v>
      </c>
      <c r="M877" s="1" t="s">
        <v>27</v>
      </c>
      <c r="N877" s="1" t="s">
        <v>27</v>
      </c>
      <c r="O877" s="1" t="s">
        <v>29</v>
      </c>
      <c r="P877">
        <v>2.8</v>
      </c>
      <c r="Q877" s="1" t="s">
        <v>335</v>
      </c>
      <c r="R877" s="1" t="str">
        <f>_xlfn.CONCAT(laptop[[#This Row],[CPU_company]]," ",laptop[[#This Row],[CPU_model]])</f>
        <v>Intel Core i7 7600U</v>
      </c>
      <c r="S877">
        <v>256</v>
      </c>
      <c r="T877">
        <v>0</v>
      </c>
      <c r="U877">
        <f>laptop[[#This Row],[PrimaryStorage]]+laptop[[#This Row],[SecondaryStorage]]</f>
        <v>256</v>
      </c>
      <c r="V877" s="1" t="s">
        <v>31</v>
      </c>
      <c r="W877" s="1" t="s">
        <v>27</v>
      </c>
      <c r="X877" s="1" t="str">
        <f>IF(laptop[[#This Row],[PrimaryStorageType]]=laptop[[#This Row],[SecondaryStorageType]],laptop[[#This Row],[PrimaryStorageType]],"SSD &amp; HDD")</f>
        <v>SSD &amp; HDD</v>
      </c>
      <c r="Y877" s="1" t="s">
        <v>42</v>
      </c>
    </row>
    <row r="878" spans="1:25" x14ac:dyDescent="0.25">
      <c r="A878" s="1" t="s">
        <v>55</v>
      </c>
      <c r="B878" s="1" t="s">
        <v>692</v>
      </c>
      <c r="C878" s="1" t="s">
        <v>38</v>
      </c>
      <c r="D878">
        <v>15.6</v>
      </c>
      <c r="E878">
        <v>4</v>
      </c>
      <c r="F878" s="1" t="s">
        <v>111</v>
      </c>
      <c r="G878">
        <v>2</v>
      </c>
      <c r="H878">
        <v>398.99</v>
      </c>
      <c r="I878" s="1" t="s">
        <v>26</v>
      </c>
      <c r="J878">
        <v>1366</v>
      </c>
      <c r="K878">
        <v>768</v>
      </c>
      <c r="L878" s="1" t="s">
        <v>27</v>
      </c>
      <c r="M878" s="1" t="s">
        <v>27</v>
      </c>
      <c r="N878" s="1" t="s">
        <v>27</v>
      </c>
      <c r="O878" s="1" t="s">
        <v>29</v>
      </c>
      <c r="P878">
        <v>1.1000000000000001</v>
      </c>
      <c r="Q878" s="1" t="s">
        <v>130</v>
      </c>
      <c r="R878" s="1" t="str">
        <f>_xlfn.CONCAT(laptop[[#This Row],[CPU_company]]," ",laptop[[#This Row],[CPU_model]])</f>
        <v>Intel Pentium Quad Core N4200</v>
      </c>
      <c r="S878">
        <v>1024</v>
      </c>
      <c r="T878">
        <v>0</v>
      </c>
      <c r="U878">
        <f>laptop[[#This Row],[PrimaryStorage]]+laptop[[#This Row],[SecondaryStorage]]</f>
        <v>1024</v>
      </c>
      <c r="V878" s="1" t="s">
        <v>51</v>
      </c>
      <c r="W878" s="1" t="s">
        <v>27</v>
      </c>
      <c r="X878" s="1" t="str">
        <f>IF(laptop[[#This Row],[PrimaryStorageType]]=laptop[[#This Row],[SecondaryStorageType]],laptop[[#This Row],[PrimaryStorageType]],"SSD &amp; HDD")</f>
        <v>SSD &amp; HDD</v>
      </c>
      <c r="Y878" s="1" t="s">
        <v>237</v>
      </c>
    </row>
    <row r="879" spans="1:25" x14ac:dyDescent="0.25">
      <c r="A879" s="1" t="s">
        <v>247</v>
      </c>
      <c r="B879" s="1" t="s">
        <v>248</v>
      </c>
      <c r="C879" s="1" t="s">
        <v>24</v>
      </c>
      <c r="D879">
        <v>13.3</v>
      </c>
      <c r="E879">
        <v>8</v>
      </c>
      <c r="F879" s="1" t="s">
        <v>48</v>
      </c>
      <c r="G879">
        <v>1.28</v>
      </c>
      <c r="H879">
        <v>935</v>
      </c>
      <c r="I879" s="1" t="s">
        <v>40</v>
      </c>
      <c r="J879">
        <v>1920</v>
      </c>
      <c r="K879">
        <v>1080</v>
      </c>
      <c r="L879" s="1" t="s">
        <v>27</v>
      </c>
      <c r="M879" s="1" t="s">
        <v>28</v>
      </c>
      <c r="N879" s="1" t="s">
        <v>27</v>
      </c>
      <c r="O879" s="1" t="s">
        <v>29</v>
      </c>
      <c r="P879">
        <v>2.2999999999999998</v>
      </c>
      <c r="Q879" s="1" t="s">
        <v>212</v>
      </c>
      <c r="R879" s="1" t="str">
        <f>_xlfn.CONCAT(laptop[[#This Row],[CPU_company]]," ",laptop[[#This Row],[CPU_model]])</f>
        <v>Intel Core i5 6200U</v>
      </c>
      <c r="S879">
        <v>256</v>
      </c>
      <c r="T879">
        <v>0</v>
      </c>
      <c r="U879">
        <f>laptop[[#This Row],[PrimaryStorage]]+laptop[[#This Row],[SecondaryStorage]]</f>
        <v>256</v>
      </c>
      <c r="V879" s="1" t="s">
        <v>31</v>
      </c>
      <c r="W879" s="1" t="s">
        <v>27</v>
      </c>
      <c r="X879" s="1" t="str">
        <f>IF(laptop[[#This Row],[PrimaryStorageType]]=laptop[[#This Row],[SecondaryStorageType]],laptop[[#This Row],[PrimaryStorageType]],"SSD &amp; HDD")</f>
        <v>SSD &amp; HDD</v>
      </c>
      <c r="Y879" s="1" t="s">
        <v>76</v>
      </c>
    </row>
    <row r="880" spans="1:25" x14ac:dyDescent="0.25">
      <c r="A880" s="1" t="s">
        <v>65</v>
      </c>
      <c r="B880" s="1" t="s">
        <v>471</v>
      </c>
      <c r="C880" s="1" t="s">
        <v>38</v>
      </c>
      <c r="D880">
        <v>15.6</v>
      </c>
      <c r="E880">
        <v>4</v>
      </c>
      <c r="F880" s="1" t="s">
        <v>48</v>
      </c>
      <c r="G880">
        <v>2.1800000000000002</v>
      </c>
      <c r="H880">
        <v>912.5</v>
      </c>
      <c r="I880" s="1" t="s">
        <v>40</v>
      </c>
      <c r="J880">
        <v>1920</v>
      </c>
      <c r="K880">
        <v>1080</v>
      </c>
      <c r="L880" s="1" t="s">
        <v>27</v>
      </c>
      <c r="M880" s="1" t="s">
        <v>27</v>
      </c>
      <c r="N880" s="1" t="s">
        <v>27</v>
      </c>
      <c r="O880" s="1" t="s">
        <v>29</v>
      </c>
      <c r="P880">
        <v>2.5</v>
      </c>
      <c r="Q880" s="1" t="s">
        <v>41</v>
      </c>
      <c r="R880" s="1" t="str">
        <f>_xlfn.CONCAT(laptop[[#This Row],[CPU_company]]," ",laptop[[#This Row],[CPU_model]])</f>
        <v>Intel Core i5 7200U</v>
      </c>
      <c r="S880">
        <v>128</v>
      </c>
      <c r="T880">
        <v>1024</v>
      </c>
      <c r="U880">
        <f>laptop[[#This Row],[PrimaryStorage]]+laptop[[#This Row],[SecondaryStorage]]</f>
        <v>1152</v>
      </c>
      <c r="V880" s="1" t="s">
        <v>31</v>
      </c>
      <c r="W880" s="1" t="s">
        <v>51</v>
      </c>
      <c r="X880" s="1" t="str">
        <f>IF(laptop[[#This Row],[PrimaryStorageType]]=laptop[[#This Row],[SecondaryStorageType]],laptop[[#This Row],[PrimaryStorageType]],"SSD &amp; HDD")</f>
        <v>SSD &amp; HDD</v>
      </c>
      <c r="Y880" s="1" t="s">
        <v>76</v>
      </c>
    </row>
    <row r="881" spans="1:25" x14ac:dyDescent="0.25">
      <c r="A881" s="1" t="s">
        <v>36</v>
      </c>
      <c r="B881" s="1" t="s">
        <v>114</v>
      </c>
      <c r="C881" s="1" t="s">
        <v>38</v>
      </c>
      <c r="D881">
        <v>15.6</v>
      </c>
      <c r="E881">
        <v>4</v>
      </c>
      <c r="F881" s="1" t="s">
        <v>48</v>
      </c>
      <c r="G881">
        <v>2.04</v>
      </c>
      <c r="H881">
        <v>839</v>
      </c>
      <c r="I881" s="1" t="s">
        <v>40</v>
      </c>
      <c r="J881">
        <v>1920</v>
      </c>
      <c r="K881">
        <v>1080</v>
      </c>
      <c r="L881" s="1" t="s">
        <v>27</v>
      </c>
      <c r="M881" s="1" t="s">
        <v>27</v>
      </c>
      <c r="N881" s="1" t="s">
        <v>27</v>
      </c>
      <c r="O881" s="1" t="s">
        <v>29</v>
      </c>
      <c r="P881">
        <v>2.5</v>
      </c>
      <c r="Q881" s="1" t="s">
        <v>41</v>
      </c>
      <c r="R881" s="1" t="str">
        <f>_xlfn.CONCAT(laptop[[#This Row],[CPU_company]]," ",laptop[[#This Row],[CPU_model]])</f>
        <v>Intel Core i5 7200U</v>
      </c>
      <c r="S881">
        <v>256</v>
      </c>
      <c r="T881">
        <v>0</v>
      </c>
      <c r="U881">
        <f>laptop[[#This Row],[PrimaryStorage]]+laptop[[#This Row],[SecondaryStorage]]</f>
        <v>256</v>
      </c>
      <c r="V881" s="1" t="s">
        <v>31</v>
      </c>
      <c r="W881" s="1" t="s">
        <v>27</v>
      </c>
      <c r="X881" s="1" t="str">
        <f>IF(laptop[[#This Row],[PrimaryStorageType]]=laptop[[#This Row],[SecondaryStorageType]],laptop[[#This Row],[PrimaryStorageType]],"SSD &amp; HDD")</f>
        <v>SSD &amp; HDD</v>
      </c>
      <c r="Y881" s="1" t="s">
        <v>42</v>
      </c>
    </row>
    <row r="882" spans="1:25" x14ac:dyDescent="0.25">
      <c r="A882" s="1" t="s">
        <v>36</v>
      </c>
      <c r="B882" s="1" t="s">
        <v>334</v>
      </c>
      <c r="C882" s="1" t="s">
        <v>90</v>
      </c>
      <c r="D882">
        <v>13.3</v>
      </c>
      <c r="E882">
        <v>4</v>
      </c>
      <c r="F882" s="1" t="s">
        <v>48</v>
      </c>
      <c r="G882">
        <v>1.28</v>
      </c>
      <c r="H882">
        <v>1700</v>
      </c>
      <c r="I882" s="1" t="s">
        <v>40</v>
      </c>
      <c r="J882">
        <v>1920</v>
      </c>
      <c r="K882">
        <v>1080</v>
      </c>
      <c r="L882" s="1" t="s">
        <v>28</v>
      </c>
      <c r="M882" s="1" t="s">
        <v>27</v>
      </c>
      <c r="N882" s="1" t="s">
        <v>27</v>
      </c>
      <c r="O882" s="1" t="s">
        <v>29</v>
      </c>
      <c r="P882">
        <v>2.5</v>
      </c>
      <c r="Q882" s="1" t="s">
        <v>41</v>
      </c>
      <c r="R882" s="1" t="str">
        <f>_xlfn.CONCAT(laptop[[#This Row],[CPU_company]]," ",laptop[[#This Row],[CPU_model]])</f>
        <v>Intel Core i5 7200U</v>
      </c>
      <c r="S882">
        <v>256</v>
      </c>
      <c r="T882">
        <v>0</v>
      </c>
      <c r="U882">
        <f>laptop[[#This Row],[PrimaryStorage]]+laptop[[#This Row],[SecondaryStorage]]</f>
        <v>256</v>
      </c>
      <c r="V882" s="1" t="s">
        <v>31</v>
      </c>
      <c r="W882" s="1" t="s">
        <v>27</v>
      </c>
      <c r="X882" s="1" t="str">
        <f>IF(laptop[[#This Row],[PrimaryStorageType]]=laptop[[#This Row],[SecondaryStorageType]],laptop[[#This Row],[PrimaryStorageType]],"SSD &amp; HDD")</f>
        <v>SSD &amp; HDD</v>
      </c>
      <c r="Y882" s="1" t="s">
        <v>42</v>
      </c>
    </row>
    <row r="883" spans="1:25" x14ac:dyDescent="0.25">
      <c r="A883" s="1" t="s">
        <v>36</v>
      </c>
      <c r="B883" s="1" t="s">
        <v>693</v>
      </c>
      <c r="C883" s="1" t="s">
        <v>90</v>
      </c>
      <c r="D883">
        <v>15.6</v>
      </c>
      <c r="E883">
        <v>4</v>
      </c>
      <c r="F883" s="1" t="s">
        <v>48</v>
      </c>
      <c r="G883">
        <v>2.2999999999999998</v>
      </c>
      <c r="H883">
        <v>684.8</v>
      </c>
      <c r="I883" s="1" t="s">
        <v>26</v>
      </c>
      <c r="J883">
        <v>1366</v>
      </c>
      <c r="K883">
        <v>768</v>
      </c>
      <c r="L883" s="1" t="s">
        <v>28</v>
      </c>
      <c r="M883" s="1" t="s">
        <v>27</v>
      </c>
      <c r="N883" s="1" t="s">
        <v>27</v>
      </c>
      <c r="O883" s="1" t="s">
        <v>29</v>
      </c>
      <c r="P883">
        <v>2.5</v>
      </c>
      <c r="Q883" s="1" t="s">
        <v>41</v>
      </c>
      <c r="R883" s="1" t="str">
        <f>_xlfn.CONCAT(laptop[[#This Row],[CPU_company]]," ",laptop[[#This Row],[CPU_model]])</f>
        <v>Intel Core i5 7200U</v>
      </c>
      <c r="S883">
        <v>500</v>
      </c>
      <c r="T883">
        <v>0</v>
      </c>
      <c r="U883">
        <f>laptop[[#This Row],[PrimaryStorage]]+laptop[[#This Row],[SecondaryStorage]]</f>
        <v>500</v>
      </c>
      <c r="V883" s="1" t="s">
        <v>51</v>
      </c>
      <c r="W883" s="1" t="s">
        <v>27</v>
      </c>
      <c r="X883" s="1" t="str">
        <f>IF(laptop[[#This Row],[PrimaryStorageType]]=laptop[[#This Row],[SecondaryStorageType]],laptop[[#This Row],[PrimaryStorageType]],"SSD &amp; HDD")</f>
        <v>SSD &amp; HDD</v>
      </c>
      <c r="Y883" s="1" t="s">
        <v>42</v>
      </c>
    </row>
    <row r="884" spans="1:25" x14ac:dyDescent="0.25">
      <c r="A884" s="1" t="s">
        <v>55</v>
      </c>
      <c r="B884" s="1" t="s">
        <v>694</v>
      </c>
      <c r="C884" s="1" t="s">
        <v>38</v>
      </c>
      <c r="D884">
        <v>14.1</v>
      </c>
      <c r="E884">
        <v>4</v>
      </c>
      <c r="F884" s="1" t="s">
        <v>48</v>
      </c>
      <c r="G884">
        <v>1.65</v>
      </c>
      <c r="H884">
        <v>348</v>
      </c>
      <c r="I884" s="1" t="s">
        <v>26</v>
      </c>
      <c r="J884">
        <v>1366</v>
      </c>
      <c r="K884">
        <v>768</v>
      </c>
      <c r="L884" s="1" t="s">
        <v>27</v>
      </c>
      <c r="M884" s="1" t="s">
        <v>27</v>
      </c>
      <c r="N884" s="1" t="s">
        <v>27</v>
      </c>
      <c r="O884" s="1" t="s">
        <v>29</v>
      </c>
      <c r="P884">
        <v>1.1000000000000001</v>
      </c>
      <c r="Q884" s="1" t="s">
        <v>109</v>
      </c>
      <c r="R884" s="1" t="str">
        <f>_xlfn.CONCAT(laptop[[#This Row],[CPU_company]]," ",laptop[[#This Row],[CPU_model]])</f>
        <v>Intel Celeron Dual Core N3350</v>
      </c>
      <c r="S884">
        <v>32</v>
      </c>
      <c r="T884">
        <v>0</v>
      </c>
      <c r="U884">
        <f>laptop[[#This Row],[PrimaryStorage]]+laptop[[#This Row],[SecondaryStorage]]</f>
        <v>32</v>
      </c>
      <c r="V884" s="1" t="s">
        <v>34</v>
      </c>
      <c r="W884" s="1" t="s">
        <v>27</v>
      </c>
      <c r="X884" s="1" t="str">
        <f>IF(laptop[[#This Row],[PrimaryStorageType]]=laptop[[#This Row],[SecondaryStorageType]],laptop[[#This Row],[PrimaryStorageType]],"SSD &amp; HDD")</f>
        <v>SSD &amp; HDD</v>
      </c>
      <c r="Y884" s="1" t="s">
        <v>110</v>
      </c>
    </row>
    <row r="885" spans="1:25" x14ac:dyDescent="0.25">
      <c r="A885" s="1" t="s">
        <v>73</v>
      </c>
      <c r="B885" s="1" t="s">
        <v>695</v>
      </c>
      <c r="C885" s="1" t="s">
        <v>38</v>
      </c>
      <c r="D885">
        <v>15.6</v>
      </c>
      <c r="E885">
        <v>8</v>
      </c>
      <c r="F885" s="1" t="s">
        <v>48</v>
      </c>
      <c r="G885">
        <v>2.2000000000000002</v>
      </c>
      <c r="H885">
        <v>669</v>
      </c>
      <c r="I885" s="1" t="s">
        <v>40</v>
      </c>
      <c r="J885">
        <v>1920</v>
      </c>
      <c r="K885">
        <v>1080</v>
      </c>
      <c r="L885" s="1" t="s">
        <v>27</v>
      </c>
      <c r="M885" s="1" t="s">
        <v>28</v>
      </c>
      <c r="N885" s="1" t="s">
        <v>27</v>
      </c>
      <c r="O885" s="1" t="s">
        <v>29</v>
      </c>
      <c r="P885">
        <v>2.5</v>
      </c>
      <c r="Q885" s="1" t="s">
        <v>274</v>
      </c>
      <c r="R885" s="1" t="str">
        <f>_xlfn.CONCAT(laptop[[#This Row],[CPU_company]]," ",laptop[[#This Row],[CPU_model]])</f>
        <v>Intel Core i7 6500U</v>
      </c>
      <c r="S885">
        <v>1024</v>
      </c>
      <c r="T885">
        <v>0</v>
      </c>
      <c r="U885">
        <f>laptop[[#This Row],[PrimaryStorage]]+laptop[[#This Row],[SecondaryStorage]]</f>
        <v>1024</v>
      </c>
      <c r="V885" s="1" t="s">
        <v>51</v>
      </c>
      <c r="W885" s="1" t="s">
        <v>27</v>
      </c>
      <c r="X885" s="1" t="str">
        <f>IF(laptop[[#This Row],[PrimaryStorageType]]=laptop[[#This Row],[SecondaryStorageType]],laptop[[#This Row],[PrimaryStorageType]],"SSD &amp; HDD")</f>
        <v>SSD &amp; HDD</v>
      </c>
      <c r="Y885" s="1" t="s">
        <v>76</v>
      </c>
    </row>
    <row r="886" spans="1:25" x14ac:dyDescent="0.25">
      <c r="A886" s="1" t="s">
        <v>65</v>
      </c>
      <c r="B886" s="1" t="s">
        <v>361</v>
      </c>
      <c r="C886" s="1" t="s">
        <v>38</v>
      </c>
      <c r="D886">
        <v>15.6</v>
      </c>
      <c r="E886">
        <v>4</v>
      </c>
      <c r="F886" s="1" t="s">
        <v>48</v>
      </c>
      <c r="G886">
        <v>2.2000000000000002</v>
      </c>
      <c r="H886">
        <v>369</v>
      </c>
      <c r="I886" s="1" t="s">
        <v>26</v>
      </c>
      <c r="J886">
        <v>1366</v>
      </c>
      <c r="K886">
        <v>768</v>
      </c>
      <c r="L886" s="1" t="s">
        <v>27</v>
      </c>
      <c r="M886" s="1" t="s">
        <v>27</v>
      </c>
      <c r="N886" s="1" t="s">
        <v>27</v>
      </c>
      <c r="O886" s="1" t="s">
        <v>29</v>
      </c>
      <c r="P886">
        <v>1.6</v>
      </c>
      <c r="Q886" s="1" t="s">
        <v>346</v>
      </c>
      <c r="R886" s="1" t="str">
        <f>_xlfn.CONCAT(laptop[[#This Row],[CPU_company]]," ",laptop[[#This Row],[CPU_model]])</f>
        <v>Intel Pentium Quad Core N3710</v>
      </c>
      <c r="S886">
        <v>500</v>
      </c>
      <c r="T886">
        <v>0</v>
      </c>
      <c r="U886">
        <f>laptop[[#This Row],[PrimaryStorage]]+laptop[[#This Row],[SecondaryStorage]]</f>
        <v>500</v>
      </c>
      <c r="V886" s="1" t="s">
        <v>51</v>
      </c>
      <c r="W886" s="1" t="s">
        <v>27</v>
      </c>
      <c r="X886" s="1" t="str">
        <f>IF(laptop[[#This Row],[PrimaryStorageType]]=laptop[[#This Row],[SecondaryStorageType]],laptop[[#This Row],[PrimaryStorageType]],"SSD &amp; HDD")</f>
        <v>SSD &amp; HDD</v>
      </c>
      <c r="Y886" s="1" t="s">
        <v>102</v>
      </c>
    </row>
    <row r="887" spans="1:25" x14ac:dyDescent="0.25">
      <c r="A887" s="1" t="s">
        <v>36</v>
      </c>
      <c r="B887" s="1" t="s">
        <v>334</v>
      </c>
      <c r="C887" s="1" t="s">
        <v>90</v>
      </c>
      <c r="D887">
        <v>13.3</v>
      </c>
      <c r="E887">
        <v>4</v>
      </c>
      <c r="F887" s="1" t="s">
        <v>48</v>
      </c>
      <c r="G887">
        <v>1.28</v>
      </c>
      <c r="H887">
        <v>1799</v>
      </c>
      <c r="I887" s="1" t="s">
        <v>40</v>
      </c>
      <c r="J887">
        <v>1920</v>
      </c>
      <c r="K887">
        <v>1080</v>
      </c>
      <c r="L887" s="1" t="s">
        <v>28</v>
      </c>
      <c r="M887" s="1" t="s">
        <v>27</v>
      </c>
      <c r="N887" s="1" t="s">
        <v>27</v>
      </c>
      <c r="O887" s="1" t="s">
        <v>29</v>
      </c>
      <c r="P887">
        <v>2.5</v>
      </c>
      <c r="Q887" s="1" t="s">
        <v>41</v>
      </c>
      <c r="R887" s="1" t="str">
        <f>_xlfn.CONCAT(laptop[[#This Row],[CPU_company]]," ",laptop[[#This Row],[CPU_model]])</f>
        <v>Intel Core i5 7200U</v>
      </c>
      <c r="S887">
        <v>256</v>
      </c>
      <c r="T887">
        <v>0</v>
      </c>
      <c r="U887">
        <f>laptop[[#This Row],[PrimaryStorage]]+laptop[[#This Row],[SecondaryStorage]]</f>
        <v>256</v>
      </c>
      <c r="V887" s="1" t="s">
        <v>31</v>
      </c>
      <c r="W887" s="1" t="s">
        <v>27</v>
      </c>
      <c r="X887" s="1" t="str">
        <f>IF(laptop[[#This Row],[PrimaryStorageType]]=laptop[[#This Row],[SecondaryStorageType]],laptop[[#This Row],[PrimaryStorageType]],"SSD &amp; HDD")</f>
        <v>SSD &amp; HDD</v>
      </c>
      <c r="Y887" s="1" t="s">
        <v>42</v>
      </c>
    </row>
    <row r="888" spans="1:25" x14ac:dyDescent="0.25">
      <c r="A888" s="1" t="s">
        <v>65</v>
      </c>
      <c r="B888" s="1" t="s">
        <v>305</v>
      </c>
      <c r="C888" s="1" t="s">
        <v>38</v>
      </c>
      <c r="D888">
        <v>15.6</v>
      </c>
      <c r="E888">
        <v>4</v>
      </c>
      <c r="F888" s="1" t="s">
        <v>111</v>
      </c>
      <c r="G888">
        <v>2.1800000000000002</v>
      </c>
      <c r="H888">
        <v>455.7</v>
      </c>
      <c r="I888" s="1" t="s">
        <v>26</v>
      </c>
      <c r="J888">
        <v>1366</v>
      </c>
      <c r="K888">
        <v>768</v>
      </c>
      <c r="L888" s="1" t="s">
        <v>27</v>
      </c>
      <c r="M888" s="1" t="s">
        <v>27</v>
      </c>
      <c r="N888" s="1" t="s">
        <v>27</v>
      </c>
      <c r="O888" s="1" t="s">
        <v>29</v>
      </c>
      <c r="P888">
        <v>2</v>
      </c>
      <c r="Q888" s="1" t="s">
        <v>62</v>
      </c>
      <c r="R888" s="1" t="str">
        <f>_xlfn.CONCAT(laptop[[#This Row],[CPU_company]]," ",laptop[[#This Row],[CPU_model]])</f>
        <v>Intel Core i3 6006U</v>
      </c>
      <c r="S888">
        <v>1024</v>
      </c>
      <c r="T888">
        <v>0</v>
      </c>
      <c r="U888">
        <f>laptop[[#This Row],[PrimaryStorage]]+laptop[[#This Row],[SecondaryStorage]]</f>
        <v>1024</v>
      </c>
      <c r="V888" s="1" t="s">
        <v>51</v>
      </c>
      <c r="W888" s="1" t="s">
        <v>27</v>
      </c>
      <c r="X888" s="1" t="str">
        <f>IF(laptop[[#This Row],[PrimaryStorageType]]=laptop[[#This Row],[SecondaryStorageType]],laptop[[#This Row],[PrimaryStorageType]],"SSD &amp; HDD")</f>
        <v>SSD &amp; HDD</v>
      </c>
      <c r="Y888" s="1" t="s">
        <v>659</v>
      </c>
    </row>
    <row r="889" spans="1:25" x14ac:dyDescent="0.25">
      <c r="A889" s="1" t="s">
        <v>55</v>
      </c>
      <c r="B889" s="1" t="s">
        <v>696</v>
      </c>
      <c r="C889" s="1" t="s">
        <v>83</v>
      </c>
      <c r="D889">
        <v>17.3</v>
      </c>
      <c r="E889">
        <v>12</v>
      </c>
      <c r="F889" s="1" t="s">
        <v>48</v>
      </c>
      <c r="G889">
        <v>2.2000000000000002</v>
      </c>
      <c r="H889">
        <v>1369.9</v>
      </c>
      <c r="I889" s="1" t="s">
        <v>40</v>
      </c>
      <c r="J889">
        <v>1920</v>
      </c>
      <c r="K889">
        <v>1080</v>
      </c>
      <c r="L889" s="1" t="s">
        <v>27</v>
      </c>
      <c r="M889" s="1" t="s">
        <v>27</v>
      </c>
      <c r="N889" s="1" t="s">
        <v>27</v>
      </c>
      <c r="O889" s="1" t="s">
        <v>29</v>
      </c>
      <c r="P889">
        <v>2.5</v>
      </c>
      <c r="Q889" s="1" t="s">
        <v>84</v>
      </c>
      <c r="R889" s="1" t="str">
        <f>_xlfn.CONCAT(laptop[[#This Row],[CPU_company]]," ",laptop[[#This Row],[CPU_model]])</f>
        <v>Intel Core i5 7300HQ</v>
      </c>
      <c r="S889">
        <v>128</v>
      </c>
      <c r="T889">
        <v>1024</v>
      </c>
      <c r="U889">
        <f>laptop[[#This Row],[PrimaryStorage]]+laptop[[#This Row],[SecondaryStorage]]</f>
        <v>1152</v>
      </c>
      <c r="V889" s="1" t="s">
        <v>31</v>
      </c>
      <c r="W889" s="1" t="s">
        <v>51</v>
      </c>
      <c r="X889" s="1" t="str">
        <f>IF(laptop[[#This Row],[PrimaryStorageType]]=laptop[[#This Row],[SecondaryStorageType]],laptop[[#This Row],[PrimaryStorageType]],"SSD &amp; HDD")</f>
        <v>SSD &amp; HDD</v>
      </c>
      <c r="Y889" s="1" t="s">
        <v>85</v>
      </c>
    </row>
    <row r="890" spans="1:25" x14ac:dyDescent="0.25">
      <c r="A890" s="1" t="s">
        <v>46</v>
      </c>
      <c r="B890" s="1" t="s">
        <v>697</v>
      </c>
      <c r="C890" s="1" t="s">
        <v>79</v>
      </c>
      <c r="D890">
        <v>11.6</v>
      </c>
      <c r="E890">
        <v>4</v>
      </c>
      <c r="F890" s="1" t="s">
        <v>317</v>
      </c>
      <c r="G890">
        <v>1.25</v>
      </c>
      <c r="H890">
        <v>297</v>
      </c>
      <c r="I890" s="1" t="s">
        <v>26</v>
      </c>
      <c r="J890">
        <v>1366</v>
      </c>
      <c r="K890">
        <v>768</v>
      </c>
      <c r="L890" s="1" t="s">
        <v>27</v>
      </c>
      <c r="M890" s="1" t="s">
        <v>28</v>
      </c>
      <c r="N890" s="1" t="s">
        <v>27</v>
      </c>
      <c r="O890" s="1" t="s">
        <v>29</v>
      </c>
      <c r="P890">
        <v>1.6</v>
      </c>
      <c r="Q890" s="1" t="s">
        <v>151</v>
      </c>
      <c r="R890" s="1" t="str">
        <f>_xlfn.CONCAT(laptop[[#This Row],[CPU_company]]," ",laptop[[#This Row],[CPU_model]])</f>
        <v>Intel Celeron Dual Core N3060</v>
      </c>
      <c r="S890">
        <v>32</v>
      </c>
      <c r="T890">
        <v>0</v>
      </c>
      <c r="U890">
        <f>laptop[[#This Row],[PrimaryStorage]]+laptop[[#This Row],[SecondaryStorage]]</f>
        <v>32</v>
      </c>
      <c r="V890" s="1" t="s">
        <v>34</v>
      </c>
      <c r="W890" s="1" t="s">
        <v>27</v>
      </c>
      <c r="X890" s="1" t="str">
        <f>IF(laptop[[#This Row],[PrimaryStorageType]]=laptop[[#This Row],[SecondaryStorageType]],laptop[[#This Row],[PrimaryStorageType]],"SSD &amp; HDD")</f>
        <v>SSD &amp; HDD</v>
      </c>
      <c r="Y890" s="1" t="s">
        <v>81</v>
      </c>
    </row>
    <row r="891" spans="1:25" x14ac:dyDescent="0.25">
      <c r="A891" s="1" t="s">
        <v>73</v>
      </c>
      <c r="B891" s="1" t="s">
        <v>372</v>
      </c>
      <c r="C891" s="1" t="s">
        <v>38</v>
      </c>
      <c r="D891">
        <v>17.3</v>
      </c>
      <c r="E891">
        <v>4</v>
      </c>
      <c r="F891" s="1" t="s">
        <v>48</v>
      </c>
      <c r="G891">
        <v>2.8</v>
      </c>
      <c r="H891">
        <v>379</v>
      </c>
      <c r="I891" s="1" t="s">
        <v>26</v>
      </c>
      <c r="J891">
        <v>1600</v>
      </c>
      <c r="K891">
        <v>900</v>
      </c>
      <c r="L891" s="1" t="s">
        <v>27</v>
      </c>
      <c r="M891" s="1" t="s">
        <v>27</v>
      </c>
      <c r="N891" s="1" t="s">
        <v>27</v>
      </c>
      <c r="O891" s="1" t="s">
        <v>49</v>
      </c>
      <c r="P891">
        <v>2.2000000000000002</v>
      </c>
      <c r="Q891" s="1" t="s">
        <v>698</v>
      </c>
      <c r="R891" s="1" t="str">
        <f>_xlfn.CONCAT(laptop[[#This Row],[CPU_company]]," ",laptop[[#This Row],[CPU_model]])</f>
        <v>AMD A4-Series 7210</v>
      </c>
      <c r="S891">
        <v>500</v>
      </c>
      <c r="T891">
        <v>0</v>
      </c>
      <c r="U891">
        <f>laptop[[#This Row],[PrimaryStorage]]+laptop[[#This Row],[SecondaryStorage]]</f>
        <v>500</v>
      </c>
      <c r="V891" s="1" t="s">
        <v>51</v>
      </c>
      <c r="W891" s="1" t="s">
        <v>27</v>
      </c>
      <c r="X891" s="1" t="str">
        <f>IF(laptop[[#This Row],[PrimaryStorageType]]=laptop[[#This Row],[SecondaryStorageType]],laptop[[#This Row],[PrimaryStorageType]],"SSD &amp; HDD")</f>
        <v>SSD &amp; HDD</v>
      </c>
      <c r="Y891" s="1" t="s">
        <v>699</v>
      </c>
    </row>
    <row r="892" spans="1:25" x14ac:dyDescent="0.25">
      <c r="A892" s="1" t="s">
        <v>36</v>
      </c>
      <c r="B892" s="1" t="s">
        <v>700</v>
      </c>
      <c r="C892" s="1" t="s">
        <v>38</v>
      </c>
      <c r="D892">
        <v>14</v>
      </c>
      <c r="E892">
        <v>4</v>
      </c>
      <c r="F892" s="1" t="s">
        <v>48</v>
      </c>
      <c r="G892">
        <v>1.95</v>
      </c>
      <c r="H892">
        <v>1265</v>
      </c>
      <c r="I892" s="1" t="s">
        <v>40</v>
      </c>
      <c r="J892">
        <v>1920</v>
      </c>
      <c r="K892">
        <v>1080</v>
      </c>
      <c r="L892" s="1" t="s">
        <v>27</v>
      </c>
      <c r="M892" s="1" t="s">
        <v>27</v>
      </c>
      <c r="N892" s="1" t="s">
        <v>27</v>
      </c>
      <c r="O892" s="1" t="s">
        <v>29</v>
      </c>
      <c r="P892">
        <v>2.5</v>
      </c>
      <c r="Q892" s="1" t="s">
        <v>41</v>
      </c>
      <c r="R892" s="1" t="str">
        <f>_xlfn.CONCAT(laptop[[#This Row],[CPU_company]]," ",laptop[[#This Row],[CPU_model]])</f>
        <v>Intel Core i5 7200U</v>
      </c>
      <c r="S892">
        <v>128</v>
      </c>
      <c r="T892">
        <v>0</v>
      </c>
      <c r="U892">
        <f>laptop[[#This Row],[PrimaryStorage]]+laptop[[#This Row],[SecondaryStorage]]</f>
        <v>128</v>
      </c>
      <c r="V892" s="1" t="s">
        <v>31</v>
      </c>
      <c r="W892" s="1" t="s">
        <v>27</v>
      </c>
      <c r="X892" s="1" t="str">
        <f>IF(laptop[[#This Row],[PrimaryStorageType]]=laptop[[#This Row],[SecondaryStorageType]],laptop[[#This Row],[PrimaryStorageType]],"SSD &amp; HDD")</f>
        <v>SSD &amp; HDD</v>
      </c>
      <c r="Y892" s="1" t="s">
        <v>42</v>
      </c>
    </row>
    <row r="893" spans="1:25" x14ac:dyDescent="0.25">
      <c r="A893" s="1" t="s">
        <v>36</v>
      </c>
      <c r="B893" s="1" t="s">
        <v>701</v>
      </c>
      <c r="C893" s="1" t="s">
        <v>90</v>
      </c>
      <c r="D893">
        <v>13.3</v>
      </c>
      <c r="E893">
        <v>16</v>
      </c>
      <c r="F893" s="1" t="s">
        <v>48</v>
      </c>
      <c r="G893">
        <v>1.42</v>
      </c>
      <c r="H893">
        <v>1399</v>
      </c>
      <c r="I893" s="1" t="s">
        <v>107</v>
      </c>
      <c r="J893">
        <v>3200</v>
      </c>
      <c r="K893">
        <v>1800</v>
      </c>
      <c r="L893" s="1" t="s">
        <v>28</v>
      </c>
      <c r="M893" s="1" t="s">
        <v>27</v>
      </c>
      <c r="N893" s="1" t="s">
        <v>27</v>
      </c>
      <c r="O893" s="1" t="s">
        <v>29</v>
      </c>
      <c r="P893">
        <v>2.7</v>
      </c>
      <c r="Q893" s="1" t="s">
        <v>71</v>
      </c>
      <c r="R893" s="1" t="str">
        <f>_xlfn.CONCAT(laptop[[#This Row],[CPU_company]]," ",laptop[[#This Row],[CPU_model]])</f>
        <v>Intel Core i7 7500U</v>
      </c>
      <c r="S893">
        <v>256</v>
      </c>
      <c r="T893">
        <v>0</v>
      </c>
      <c r="U893">
        <f>laptop[[#This Row],[PrimaryStorage]]+laptop[[#This Row],[SecondaryStorage]]</f>
        <v>256</v>
      </c>
      <c r="V893" s="1" t="s">
        <v>31</v>
      </c>
      <c r="W893" s="1" t="s">
        <v>27</v>
      </c>
      <c r="X893" s="1" t="str">
        <f>IF(laptop[[#This Row],[PrimaryStorageType]]=laptop[[#This Row],[SecondaryStorageType]],laptop[[#This Row],[PrimaryStorageType]],"SSD &amp; HDD")</f>
        <v>SSD &amp; HDD</v>
      </c>
      <c r="Y893" s="1" t="s">
        <v>42</v>
      </c>
    </row>
    <row r="894" spans="1:25" x14ac:dyDescent="0.25">
      <c r="A894" s="1" t="s">
        <v>413</v>
      </c>
      <c r="B894" s="1" t="s">
        <v>620</v>
      </c>
      <c r="C894" s="1" t="s">
        <v>24</v>
      </c>
      <c r="D894">
        <v>15</v>
      </c>
      <c r="E894">
        <v>8</v>
      </c>
      <c r="F894" s="1" t="s">
        <v>48</v>
      </c>
      <c r="G894">
        <v>1.17</v>
      </c>
      <c r="H894">
        <v>1699</v>
      </c>
      <c r="I894" s="1" t="s">
        <v>40</v>
      </c>
      <c r="J894">
        <v>1920</v>
      </c>
      <c r="K894">
        <v>1080</v>
      </c>
      <c r="L894" s="1" t="s">
        <v>27</v>
      </c>
      <c r="M894" s="1" t="s">
        <v>27</v>
      </c>
      <c r="N894" s="1" t="s">
        <v>27</v>
      </c>
      <c r="O894" s="1" t="s">
        <v>29</v>
      </c>
      <c r="P894">
        <v>2.7</v>
      </c>
      <c r="Q894" s="1" t="s">
        <v>71</v>
      </c>
      <c r="R894" s="1" t="str">
        <f>_xlfn.CONCAT(laptop[[#This Row],[CPU_company]]," ",laptop[[#This Row],[CPU_model]])</f>
        <v>Intel Core i7 7500U</v>
      </c>
      <c r="S894">
        <v>256</v>
      </c>
      <c r="T894">
        <v>0</v>
      </c>
      <c r="U894">
        <f>laptop[[#This Row],[PrimaryStorage]]+laptop[[#This Row],[SecondaryStorage]]</f>
        <v>256</v>
      </c>
      <c r="V894" s="1" t="s">
        <v>31</v>
      </c>
      <c r="W894" s="1" t="s">
        <v>27</v>
      </c>
      <c r="X894" s="1" t="str">
        <f>IF(laptop[[#This Row],[PrimaryStorageType]]=laptop[[#This Row],[SecondaryStorageType]],laptop[[#This Row],[PrimaryStorageType]],"SSD &amp; HDD")</f>
        <v>SSD &amp; HDD</v>
      </c>
      <c r="Y894" s="1" t="s">
        <v>42</v>
      </c>
    </row>
    <row r="895" spans="1:25" x14ac:dyDescent="0.25">
      <c r="A895" s="1" t="s">
        <v>73</v>
      </c>
      <c r="B895" s="1" t="s">
        <v>424</v>
      </c>
      <c r="C895" s="1" t="s">
        <v>24</v>
      </c>
      <c r="D895">
        <v>14</v>
      </c>
      <c r="E895">
        <v>8</v>
      </c>
      <c r="F895" s="1" t="s">
        <v>48</v>
      </c>
      <c r="G895">
        <v>1.32</v>
      </c>
      <c r="H895">
        <v>1799</v>
      </c>
      <c r="I895" s="1" t="s">
        <v>40</v>
      </c>
      <c r="J895">
        <v>1920</v>
      </c>
      <c r="K895">
        <v>1080</v>
      </c>
      <c r="L895" s="1" t="s">
        <v>27</v>
      </c>
      <c r="M895" s="1" t="s">
        <v>28</v>
      </c>
      <c r="N895" s="1" t="s">
        <v>27</v>
      </c>
      <c r="O895" s="1" t="s">
        <v>29</v>
      </c>
      <c r="P895">
        <v>2.5</v>
      </c>
      <c r="Q895" s="1" t="s">
        <v>41</v>
      </c>
      <c r="R895" s="1" t="str">
        <f>_xlfn.CONCAT(laptop[[#This Row],[CPU_company]]," ",laptop[[#This Row],[CPU_model]])</f>
        <v>Intel Core i5 7200U</v>
      </c>
      <c r="S895">
        <v>256</v>
      </c>
      <c r="T895">
        <v>0</v>
      </c>
      <c r="U895">
        <f>laptop[[#This Row],[PrimaryStorage]]+laptop[[#This Row],[SecondaryStorage]]</f>
        <v>256</v>
      </c>
      <c r="V895" s="1" t="s">
        <v>31</v>
      </c>
      <c r="W895" s="1" t="s">
        <v>27</v>
      </c>
      <c r="X895" s="1" t="str">
        <f>IF(laptop[[#This Row],[PrimaryStorageType]]=laptop[[#This Row],[SecondaryStorageType]],laptop[[#This Row],[PrimaryStorageType]],"SSD &amp; HDD")</f>
        <v>SSD &amp; HDD</v>
      </c>
      <c r="Y895" s="1" t="s">
        <v>42</v>
      </c>
    </row>
    <row r="896" spans="1:25" x14ac:dyDescent="0.25">
      <c r="A896" s="1" t="s">
        <v>141</v>
      </c>
      <c r="B896" s="1" t="s">
        <v>702</v>
      </c>
      <c r="C896" s="1" t="s">
        <v>83</v>
      </c>
      <c r="D896">
        <v>17.3</v>
      </c>
      <c r="E896">
        <v>16</v>
      </c>
      <c r="F896" s="1" t="s">
        <v>48</v>
      </c>
      <c r="G896">
        <v>2.4300000000000002</v>
      </c>
      <c r="H896">
        <v>2649</v>
      </c>
      <c r="I896" s="1" t="s">
        <v>215</v>
      </c>
      <c r="J896">
        <v>3840</v>
      </c>
      <c r="K896">
        <v>2160</v>
      </c>
      <c r="L896" s="1" t="s">
        <v>27</v>
      </c>
      <c r="M896" s="1" t="s">
        <v>28</v>
      </c>
      <c r="N896" s="1" t="s">
        <v>27</v>
      </c>
      <c r="O896" s="1" t="s">
        <v>29</v>
      </c>
      <c r="P896">
        <v>2.6</v>
      </c>
      <c r="Q896" s="1" t="s">
        <v>447</v>
      </c>
      <c r="R896" s="1" t="str">
        <f>_xlfn.CONCAT(laptop[[#This Row],[CPU_company]]," ",laptop[[#This Row],[CPU_model]])</f>
        <v>Intel Core i7 6700HQ</v>
      </c>
      <c r="S896">
        <v>512</v>
      </c>
      <c r="T896">
        <v>2048</v>
      </c>
      <c r="U896">
        <f>laptop[[#This Row],[PrimaryStorage]]+laptop[[#This Row],[SecondaryStorage]]</f>
        <v>2560</v>
      </c>
      <c r="V896" s="1" t="s">
        <v>31</v>
      </c>
      <c r="W896" s="1" t="s">
        <v>51</v>
      </c>
      <c r="X896" s="1" t="str">
        <f>IF(laptop[[#This Row],[PrimaryStorageType]]=laptop[[#This Row],[SecondaryStorageType]],laptop[[#This Row],[PrimaryStorageType]],"SSD &amp; HDD")</f>
        <v>SSD &amp; HDD</v>
      </c>
      <c r="Y896" s="1" t="s">
        <v>119</v>
      </c>
    </row>
    <row r="897" spans="1:25" x14ac:dyDescent="0.25">
      <c r="A897" s="1" t="s">
        <v>210</v>
      </c>
      <c r="B897" s="1" t="s">
        <v>703</v>
      </c>
      <c r="C897" s="1" t="s">
        <v>38</v>
      </c>
      <c r="D897">
        <v>13.3</v>
      </c>
      <c r="E897">
        <v>8</v>
      </c>
      <c r="F897" s="1" t="s">
        <v>48</v>
      </c>
      <c r="G897">
        <v>1.05</v>
      </c>
      <c r="H897">
        <v>1475</v>
      </c>
      <c r="I897" s="1" t="s">
        <v>40</v>
      </c>
      <c r="J897">
        <v>1920</v>
      </c>
      <c r="K897">
        <v>1080</v>
      </c>
      <c r="L897" s="1" t="s">
        <v>27</v>
      </c>
      <c r="M897" s="1" t="s">
        <v>27</v>
      </c>
      <c r="N897" s="1" t="s">
        <v>27</v>
      </c>
      <c r="O897" s="1" t="s">
        <v>29</v>
      </c>
      <c r="P897">
        <v>2.5</v>
      </c>
      <c r="Q897" s="1" t="s">
        <v>41</v>
      </c>
      <c r="R897" s="1" t="str">
        <f>_xlfn.CONCAT(laptop[[#This Row],[CPU_company]]," ",laptop[[#This Row],[CPU_model]])</f>
        <v>Intel Core i5 7200U</v>
      </c>
      <c r="S897">
        <v>256</v>
      </c>
      <c r="T897">
        <v>0</v>
      </c>
      <c r="U897">
        <f>laptop[[#This Row],[PrimaryStorage]]+laptop[[#This Row],[SecondaryStorage]]</f>
        <v>256</v>
      </c>
      <c r="V897" s="1" t="s">
        <v>31</v>
      </c>
      <c r="W897" s="1" t="s">
        <v>27</v>
      </c>
      <c r="X897" s="1" t="str">
        <f>IF(laptop[[#This Row],[PrimaryStorageType]]=laptop[[#This Row],[SecondaryStorageType]],laptop[[#This Row],[PrimaryStorageType]],"SSD &amp; HDD")</f>
        <v>SSD &amp; HDD</v>
      </c>
      <c r="Y897" s="1" t="s">
        <v>42</v>
      </c>
    </row>
    <row r="898" spans="1:25" x14ac:dyDescent="0.25">
      <c r="A898" s="1" t="s">
        <v>65</v>
      </c>
      <c r="B898" s="1" t="s">
        <v>222</v>
      </c>
      <c r="C898" s="1" t="s">
        <v>83</v>
      </c>
      <c r="D898">
        <v>15.6</v>
      </c>
      <c r="E898">
        <v>8</v>
      </c>
      <c r="F898" s="1" t="s">
        <v>111</v>
      </c>
      <c r="G898">
        <v>2.62</v>
      </c>
      <c r="H898">
        <v>929</v>
      </c>
      <c r="I898" s="1" t="s">
        <v>40</v>
      </c>
      <c r="J898">
        <v>1920</v>
      </c>
      <c r="K898">
        <v>1080</v>
      </c>
      <c r="L898" s="1" t="s">
        <v>27</v>
      </c>
      <c r="M898" s="1" t="s">
        <v>27</v>
      </c>
      <c r="N898" s="1" t="s">
        <v>27</v>
      </c>
      <c r="O898" s="1" t="s">
        <v>29</v>
      </c>
      <c r="P898">
        <v>2.8</v>
      </c>
      <c r="Q898" s="1" t="s">
        <v>118</v>
      </c>
      <c r="R898" s="1" t="str">
        <f>_xlfn.CONCAT(laptop[[#This Row],[CPU_company]]," ",laptop[[#This Row],[CPU_model]])</f>
        <v>Intel Core i7 7700HQ</v>
      </c>
      <c r="S898">
        <v>1024</v>
      </c>
      <c r="T898">
        <v>0</v>
      </c>
      <c r="U898">
        <f>laptop[[#This Row],[PrimaryStorage]]+laptop[[#This Row],[SecondaryStorage]]</f>
        <v>1024</v>
      </c>
      <c r="V898" s="1" t="s">
        <v>51</v>
      </c>
      <c r="W898" s="1" t="s">
        <v>27</v>
      </c>
      <c r="X898" s="1" t="str">
        <f>IF(laptop[[#This Row],[PrimaryStorageType]]=laptop[[#This Row],[SecondaryStorageType]],laptop[[#This Row],[PrimaryStorageType]],"SSD &amp; HDD")</f>
        <v>SSD &amp; HDD</v>
      </c>
      <c r="Y898" s="1" t="s">
        <v>704</v>
      </c>
    </row>
    <row r="899" spans="1:25" x14ac:dyDescent="0.25">
      <c r="A899" s="1" t="s">
        <v>36</v>
      </c>
      <c r="B899" s="1" t="s">
        <v>114</v>
      </c>
      <c r="C899" s="1" t="s">
        <v>38</v>
      </c>
      <c r="D899">
        <v>15.6</v>
      </c>
      <c r="E899">
        <v>8</v>
      </c>
      <c r="F899" s="1" t="s">
        <v>48</v>
      </c>
      <c r="G899">
        <v>2.04</v>
      </c>
      <c r="H899">
        <v>900</v>
      </c>
      <c r="I899" s="1" t="s">
        <v>40</v>
      </c>
      <c r="J899">
        <v>1920</v>
      </c>
      <c r="K899">
        <v>1080</v>
      </c>
      <c r="L899" s="1" t="s">
        <v>27</v>
      </c>
      <c r="M899" s="1" t="s">
        <v>27</v>
      </c>
      <c r="N899" s="1" t="s">
        <v>27</v>
      </c>
      <c r="O899" s="1" t="s">
        <v>29</v>
      </c>
      <c r="P899">
        <v>2.7</v>
      </c>
      <c r="Q899" s="1" t="s">
        <v>71</v>
      </c>
      <c r="R899" s="1" t="str">
        <f>_xlfn.CONCAT(laptop[[#This Row],[CPU_company]]," ",laptop[[#This Row],[CPU_model]])</f>
        <v>Intel Core i7 7500U</v>
      </c>
      <c r="S899">
        <v>1024</v>
      </c>
      <c r="T899">
        <v>0</v>
      </c>
      <c r="U899">
        <f>laptop[[#This Row],[PrimaryStorage]]+laptop[[#This Row],[SecondaryStorage]]</f>
        <v>1024</v>
      </c>
      <c r="V899" s="1" t="s">
        <v>51</v>
      </c>
      <c r="W899" s="1" t="s">
        <v>27</v>
      </c>
      <c r="X899" s="1" t="str">
        <f>IF(laptop[[#This Row],[PrimaryStorageType]]=laptop[[#This Row],[SecondaryStorageType]],laptop[[#This Row],[PrimaryStorageType]],"SSD &amp; HDD")</f>
        <v>SSD &amp; HDD</v>
      </c>
      <c r="Y899" s="1" t="s">
        <v>98</v>
      </c>
    </row>
    <row r="900" spans="1:25" x14ac:dyDescent="0.25">
      <c r="A900" s="1" t="s">
        <v>65</v>
      </c>
      <c r="B900" s="1" t="s">
        <v>305</v>
      </c>
      <c r="C900" s="1" t="s">
        <v>38</v>
      </c>
      <c r="D900">
        <v>15.6</v>
      </c>
      <c r="E900">
        <v>4</v>
      </c>
      <c r="F900" s="1" t="s">
        <v>48</v>
      </c>
      <c r="G900">
        <v>2.1800000000000002</v>
      </c>
      <c r="H900">
        <v>614</v>
      </c>
      <c r="I900" s="1" t="s">
        <v>26</v>
      </c>
      <c r="J900">
        <v>1366</v>
      </c>
      <c r="K900">
        <v>768</v>
      </c>
      <c r="L900" s="1" t="s">
        <v>27</v>
      </c>
      <c r="M900" s="1" t="s">
        <v>27</v>
      </c>
      <c r="N900" s="1" t="s">
        <v>27</v>
      </c>
      <c r="O900" s="1" t="s">
        <v>29</v>
      </c>
      <c r="P900">
        <v>2</v>
      </c>
      <c r="Q900" s="1" t="s">
        <v>62</v>
      </c>
      <c r="R900" s="1" t="str">
        <f>_xlfn.CONCAT(laptop[[#This Row],[CPU_company]]," ",laptop[[#This Row],[CPU_model]])</f>
        <v>Intel Core i3 6006U</v>
      </c>
      <c r="S900">
        <v>1024</v>
      </c>
      <c r="T900">
        <v>0</v>
      </c>
      <c r="U900">
        <f>laptop[[#This Row],[PrimaryStorage]]+laptop[[#This Row],[SecondaryStorage]]</f>
        <v>1024</v>
      </c>
      <c r="V900" s="1" t="s">
        <v>51</v>
      </c>
      <c r="W900" s="1" t="s">
        <v>27</v>
      </c>
      <c r="X900" s="1" t="str">
        <f>IF(laptop[[#This Row],[PrimaryStorageType]]=laptop[[#This Row],[SecondaryStorageType]],laptop[[#This Row],[PrimaryStorageType]],"SSD &amp; HDD")</f>
        <v>SSD &amp; HDD</v>
      </c>
      <c r="Y900" s="1" t="s">
        <v>659</v>
      </c>
    </row>
    <row r="901" spans="1:25" x14ac:dyDescent="0.25">
      <c r="A901" s="1" t="s">
        <v>65</v>
      </c>
      <c r="B901" s="1" t="s">
        <v>481</v>
      </c>
      <c r="C901" s="1" t="s">
        <v>38</v>
      </c>
      <c r="D901">
        <v>15.6</v>
      </c>
      <c r="E901">
        <v>8</v>
      </c>
      <c r="F901" s="1" t="s">
        <v>48</v>
      </c>
      <c r="G901">
        <v>1.9</v>
      </c>
      <c r="H901">
        <v>935</v>
      </c>
      <c r="I901" s="1" t="s">
        <v>40</v>
      </c>
      <c r="J901">
        <v>1920</v>
      </c>
      <c r="K901">
        <v>1080</v>
      </c>
      <c r="L901" s="1" t="s">
        <v>27</v>
      </c>
      <c r="M901" s="1" t="s">
        <v>27</v>
      </c>
      <c r="N901" s="1" t="s">
        <v>27</v>
      </c>
      <c r="O901" s="1" t="s">
        <v>29</v>
      </c>
      <c r="P901">
        <v>2.6</v>
      </c>
      <c r="Q901" s="1" t="s">
        <v>358</v>
      </c>
      <c r="R901" s="1" t="str">
        <f>_xlfn.CONCAT(laptop[[#This Row],[CPU_company]]," ",laptop[[#This Row],[CPU_model]])</f>
        <v>Intel Core i5 7300U</v>
      </c>
      <c r="S901">
        <v>500</v>
      </c>
      <c r="T901">
        <v>0</v>
      </c>
      <c r="U901">
        <f>laptop[[#This Row],[PrimaryStorage]]+laptop[[#This Row],[SecondaryStorage]]</f>
        <v>500</v>
      </c>
      <c r="V901" s="1" t="s">
        <v>51</v>
      </c>
      <c r="W901" s="1" t="s">
        <v>27</v>
      </c>
      <c r="X901" s="1" t="str">
        <f>IF(laptop[[#This Row],[PrimaryStorageType]]=laptop[[#This Row],[SecondaryStorageType]],laptop[[#This Row],[PrimaryStorageType]],"SSD &amp; HDD")</f>
        <v>SSD &amp; HDD</v>
      </c>
      <c r="Y901" s="1" t="s">
        <v>42</v>
      </c>
    </row>
    <row r="902" spans="1:25" x14ac:dyDescent="0.25">
      <c r="A902" s="1" t="s">
        <v>65</v>
      </c>
      <c r="B902" s="1" t="s">
        <v>77</v>
      </c>
      <c r="C902" s="1" t="s">
        <v>90</v>
      </c>
      <c r="D902">
        <v>13.3</v>
      </c>
      <c r="E902">
        <v>8</v>
      </c>
      <c r="F902" s="1" t="s">
        <v>48</v>
      </c>
      <c r="G902">
        <v>1.24</v>
      </c>
      <c r="H902">
        <v>2013.1</v>
      </c>
      <c r="I902" s="1" t="s">
        <v>107</v>
      </c>
      <c r="J902">
        <v>3200</v>
      </c>
      <c r="K902">
        <v>1800</v>
      </c>
      <c r="L902" s="1" t="s">
        <v>28</v>
      </c>
      <c r="M902" s="1" t="s">
        <v>27</v>
      </c>
      <c r="N902" s="1" t="s">
        <v>27</v>
      </c>
      <c r="O902" s="1" t="s">
        <v>29</v>
      </c>
      <c r="P902">
        <v>1.3</v>
      </c>
      <c r="Q902" s="1" t="s">
        <v>423</v>
      </c>
      <c r="R902" s="1" t="str">
        <f>_xlfn.CONCAT(laptop[[#This Row],[CPU_company]]," ",laptop[[#This Row],[CPU_model]])</f>
        <v>Intel Core i7 7Y75</v>
      </c>
      <c r="S902">
        <v>512</v>
      </c>
      <c r="T902">
        <v>0</v>
      </c>
      <c r="U902">
        <f>laptop[[#This Row],[PrimaryStorage]]+laptop[[#This Row],[SecondaryStorage]]</f>
        <v>512</v>
      </c>
      <c r="V902" s="1" t="s">
        <v>31</v>
      </c>
      <c r="W902" s="1" t="s">
        <v>27</v>
      </c>
      <c r="X902" s="1" t="str">
        <f>IF(laptop[[#This Row],[PrimaryStorageType]]=laptop[[#This Row],[SecondaryStorageType]],laptop[[#This Row],[PrimaryStorageType]],"SSD &amp; HDD")</f>
        <v>SSD &amp; HDD</v>
      </c>
      <c r="Y902" s="1" t="s">
        <v>70</v>
      </c>
    </row>
    <row r="903" spans="1:25" x14ac:dyDescent="0.25">
      <c r="A903" s="1" t="s">
        <v>55</v>
      </c>
      <c r="B903" s="1" t="s">
        <v>705</v>
      </c>
      <c r="C903" s="1" t="s">
        <v>83</v>
      </c>
      <c r="D903">
        <v>17.3</v>
      </c>
      <c r="E903">
        <v>32</v>
      </c>
      <c r="F903" s="1" t="s">
        <v>48</v>
      </c>
      <c r="G903">
        <v>3.58</v>
      </c>
      <c r="H903">
        <v>1279</v>
      </c>
      <c r="I903" s="1" t="s">
        <v>40</v>
      </c>
      <c r="J903">
        <v>1920</v>
      </c>
      <c r="K903">
        <v>1080</v>
      </c>
      <c r="L903" s="1" t="s">
        <v>27</v>
      </c>
      <c r="M903" s="1" t="s">
        <v>28</v>
      </c>
      <c r="N903" s="1" t="s">
        <v>27</v>
      </c>
      <c r="O903" s="1" t="s">
        <v>29</v>
      </c>
      <c r="P903">
        <v>2.7</v>
      </c>
      <c r="Q903" s="1" t="s">
        <v>514</v>
      </c>
      <c r="R903" s="1" t="str">
        <f>_xlfn.CONCAT(laptop[[#This Row],[CPU_company]]," ",laptop[[#This Row],[CPU_model]])</f>
        <v>Intel Core i7 6820HK</v>
      </c>
      <c r="S903">
        <v>256</v>
      </c>
      <c r="T903">
        <v>256</v>
      </c>
      <c r="U903">
        <f>laptop[[#This Row],[PrimaryStorage]]+laptop[[#This Row],[SecondaryStorage]]</f>
        <v>512</v>
      </c>
      <c r="V903" s="1" t="s">
        <v>31</v>
      </c>
      <c r="W903" s="1" t="s">
        <v>31</v>
      </c>
      <c r="X903" s="1" t="str">
        <f>IF(laptop[[#This Row],[PrimaryStorageType]]=laptop[[#This Row],[SecondaryStorageType]],laptop[[#This Row],[PrimaryStorageType]],"SSD &amp; HDD")</f>
        <v>SSD</v>
      </c>
      <c r="Y903" s="1" t="s">
        <v>297</v>
      </c>
    </row>
    <row r="904" spans="1:25" x14ac:dyDescent="0.25">
      <c r="A904" s="1" t="s">
        <v>65</v>
      </c>
      <c r="B904" s="1" t="s">
        <v>77</v>
      </c>
      <c r="C904" s="1" t="s">
        <v>90</v>
      </c>
      <c r="D904">
        <v>13.3</v>
      </c>
      <c r="E904">
        <v>16</v>
      </c>
      <c r="F904" s="1" t="s">
        <v>48</v>
      </c>
      <c r="G904">
        <v>1.22</v>
      </c>
      <c r="H904">
        <v>1649</v>
      </c>
      <c r="I904" s="1" t="s">
        <v>40</v>
      </c>
      <c r="J904">
        <v>1920</v>
      </c>
      <c r="K904">
        <v>1080</v>
      </c>
      <c r="L904" s="1" t="s">
        <v>28</v>
      </c>
      <c r="M904" s="1" t="s">
        <v>27</v>
      </c>
      <c r="N904" s="1" t="s">
        <v>27</v>
      </c>
      <c r="O904" s="1" t="s">
        <v>29</v>
      </c>
      <c r="P904">
        <v>1.3</v>
      </c>
      <c r="Q904" s="1" t="s">
        <v>423</v>
      </c>
      <c r="R904" s="1" t="str">
        <f>_xlfn.CONCAT(laptop[[#This Row],[CPU_company]]," ",laptop[[#This Row],[CPU_model]])</f>
        <v>Intel Core i7 7Y75</v>
      </c>
      <c r="S904">
        <v>256</v>
      </c>
      <c r="T904">
        <v>0</v>
      </c>
      <c r="U904">
        <f>laptop[[#This Row],[PrimaryStorage]]+laptop[[#This Row],[SecondaryStorage]]</f>
        <v>256</v>
      </c>
      <c r="V904" s="1" t="s">
        <v>31</v>
      </c>
      <c r="W904" s="1" t="s">
        <v>27</v>
      </c>
      <c r="X904" s="1" t="str">
        <f>IF(laptop[[#This Row],[PrimaryStorageType]]=laptop[[#This Row],[SecondaryStorageType]],laptop[[#This Row],[PrimaryStorageType]],"SSD &amp; HDD")</f>
        <v>SSD &amp; HDD</v>
      </c>
      <c r="Y904" s="1" t="s">
        <v>70</v>
      </c>
    </row>
    <row r="905" spans="1:25" x14ac:dyDescent="0.25">
      <c r="A905" s="1" t="s">
        <v>73</v>
      </c>
      <c r="B905" s="1" t="s">
        <v>308</v>
      </c>
      <c r="C905" s="1" t="s">
        <v>24</v>
      </c>
      <c r="D905">
        <v>14</v>
      </c>
      <c r="E905">
        <v>8</v>
      </c>
      <c r="F905" s="1" t="s">
        <v>48</v>
      </c>
      <c r="G905">
        <v>1.1299999999999999</v>
      </c>
      <c r="H905">
        <v>2049</v>
      </c>
      <c r="I905" s="1" t="s">
        <v>40</v>
      </c>
      <c r="J905">
        <v>1920</v>
      </c>
      <c r="K905">
        <v>1080</v>
      </c>
      <c r="L905" s="1" t="s">
        <v>27</v>
      </c>
      <c r="M905" s="1" t="s">
        <v>28</v>
      </c>
      <c r="N905" s="1" t="s">
        <v>27</v>
      </c>
      <c r="O905" s="1" t="s">
        <v>29</v>
      </c>
      <c r="P905">
        <v>2.7</v>
      </c>
      <c r="Q905" s="1" t="s">
        <v>71</v>
      </c>
      <c r="R905" s="1" t="str">
        <f>_xlfn.CONCAT(laptop[[#This Row],[CPU_company]]," ",laptop[[#This Row],[CPU_model]])</f>
        <v>Intel Core i7 7500U</v>
      </c>
      <c r="S905">
        <v>256</v>
      </c>
      <c r="T905">
        <v>0</v>
      </c>
      <c r="U905">
        <f>laptop[[#This Row],[PrimaryStorage]]+laptop[[#This Row],[SecondaryStorage]]</f>
        <v>256</v>
      </c>
      <c r="V905" s="1" t="s">
        <v>34</v>
      </c>
      <c r="W905" s="1" t="s">
        <v>27</v>
      </c>
      <c r="X905" s="1" t="str">
        <f>IF(laptop[[#This Row],[PrimaryStorageType]]=laptop[[#This Row],[SecondaryStorageType]],laptop[[#This Row],[PrimaryStorageType]],"SSD &amp; HDD")</f>
        <v>SSD &amp; HDD</v>
      </c>
      <c r="Y905" s="1" t="s">
        <v>42</v>
      </c>
    </row>
    <row r="906" spans="1:25" x14ac:dyDescent="0.25">
      <c r="A906" s="1" t="s">
        <v>73</v>
      </c>
      <c r="B906" s="1" t="s">
        <v>493</v>
      </c>
      <c r="C906" s="1" t="s">
        <v>38</v>
      </c>
      <c r="D906">
        <v>15.6</v>
      </c>
      <c r="E906">
        <v>8</v>
      </c>
      <c r="F906" s="1" t="s">
        <v>48</v>
      </c>
      <c r="G906">
        <v>1.95</v>
      </c>
      <c r="H906">
        <v>1962.99</v>
      </c>
      <c r="I906" s="1" t="s">
        <v>40</v>
      </c>
      <c r="J906">
        <v>1920</v>
      </c>
      <c r="K906">
        <v>1080</v>
      </c>
      <c r="L906" s="1" t="s">
        <v>27</v>
      </c>
      <c r="M906" s="1" t="s">
        <v>28</v>
      </c>
      <c r="N906" s="1" t="s">
        <v>27</v>
      </c>
      <c r="O906" s="1" t="s">
        <v>29</v>
      </c>
      <c r="P906">
        <v>2.5</v>
      </c>
      <c r="Q906" s="1" t="s">
        <v>41</v>
      </c>
      <c r="R906" s="1" t="str">
        <f>_xlfn.CONCAT(laptop[[#This Row],[CPU_company]]," ",laptop[[#This Row],[CPU_model]])</f>
        <v>Intel Core i5 7200U</v>
      </c>
      <c r="S906">
        <v>512</v>
      </c>
      <c r="T906">
        <v>0</v>
      </c>
      <c r="U906">
        <f>laptop[[#This Row],[PrimaryStorage]]+laptop[[#This Row],[SecondaryStorage]]</f>
        <v>512</v>
      </c>
      <c r="V906" s="1" t="s">
        <v>31</v>
      </c>
      <c r="W906" s="1" t="s">
        <v>27</v>
      </c>
      <c r="X906" s="1" t="str">
        <f>IF(laptop[[#This Row],[PrimaryStorageType]]=laptop[[#This Row],[SecondaryStorageType]],laptop[[#This Row],[PrimaryStorageType]],"SSD &amp; HDD")</f>
        <v>SSD &amp; HDD</v>
      </c>
      <c r="Y906" s="1" t="s">
        <v>42</v>
      </c>
    </row>
    <row r="907" spans="1:25" x14ac:dyDescent="0.25">
      <c r="A907" s="1" t="s">
        <v>575</v>
      </c>
      <c r="B907" s="1" t="s">
        <v>706</v>
      </c>
      <c r="C907" s="1" t="s">
        <v>24</v>
      </c>
      <c r="D907">
        <v>15.6</v>
      </c>
      <c r="E907">
        <v>16</v>
      </c>
      <c r="F907" s="1" t="s">
        <v>48</v>
      </c>
      <c r="G907">
        <v>1.08</v>
      </c>
      <c r="H907">
        <v>2099</v>
      </c>
      <c r="I907" s="1" t="s">
        <v>40</v>
      </c>
      <c r="J907">
        <v>1920</v>
      </c>
      <c r="K907">
        <v>1080</v>
      </c>
      <c r="L907" s="1" t="s">
        <v>28</v>
      </c>
      <c r="M907" s="1" t="s">
        <v>28</v>
      </c>
      <c r="N907" s="1" t="s">
        <v>27</v>
      </c>
      <c r="O907" s="1" t="s">
        <v>29</v>
      </c>
      <c r="P907">
        <v>2.7</v>
      </c>
      <c r="Q907" s="1" t="s">
        <v>71</v>
      </c>
      <c r="R907" s="1" t="str">
        <f>_xlfn.CONCAT(laptop[[#This Row],[CPU_company]]," ",laptop[[#This Row],[CPU_model]])</f>
        <v>Intel Core i7 7500U</v>
      </c>
      <c r="S907">
        <v>512</v>
      </c>
      <c r="T907">
        <v>0</v>
      </c>
      <c r="U907">
        <f>laptop[[#This Row],[PrimaryStorage]]+laptop[[#This Row],[SecondaryStorage]]</f>
        <v>512</v>
      </c>
      <c r="V907" s="1" t="s">
        <v>31</v>
      </c>
      <c r="W907" s="1" t="s">
        <v>27</v>
      </c>
      <c r="X907" s="1" t="str">
        <f>IF(laptop[[#This Row],[PrimaryStorageType]]=laptop[[#This Row],[SecondaryStorageType]],laptop[[#This Row],[PrimaryStorageType]],"SSD &amp; HDD")</f>
        <v>SSD &amp; HDD</v>
      </c>
      <c r="Y907" s="1" t="s">
        <v>42</v>
      </c>
    </row>
    <row r="908" spans="1:25" x14ac:dyDescent="0.25">
      <c r="A908" s="1" t="s">
        <v>36</v>
      </c>
      <c r="B908" s="1" t="s">
        <v>353</v>
      </c>
      <c r="C908" s="1" t="s">
        <v>79</v>
      </c>
      <c r="D908">
        <v>12.5</v>
      </c>
      <c r="E908">
        <v>8</v>
      </c>
      <c r="F908" s="1" t="s">
        <v>48</v>
      </c>
      <c r="G908">
        <v>1.26</v>
      </c>
      <c r="H908">
        <v>1483</v>
      </c>
      <c r="I908" s="1" t="s">
        <v>40</v>
      </c>
      <c r="J908">
        <v>1920</v>
      </c>
      <c r="K908">
        <v>1080</v>
      </c>
      <c r="L908" s="1" t="s">
        <v>27</v>
      </c>
      <c r="M908" s="1" t="s">
        <v>27</v>
      </c>
      <c r="N908" s="1" t="s">
        <v>27</v>
      </c>
      <c r="O908" s="1" t="s">
        <v>29</v>
      </c>
      <c r="P908">
        <v>2.7</v>
      </c>
      <c r="Q908" s="1" t="s">
        <v>71</v>
      </c>
      <c r="R908" s="1" t="str">
        <f>_xlfn.CONCAT(laptop[[#This Row],[CPU_company]]," ",laptop[[#This Row],[CPU_model]])</f>
        <v>Intel Core i7 7500U</v>
      </c>
      <c r="S908">
        <v>512</v>
      </c>
      <c r="T908">
        <v>0</v>
      </c>
      <c r="U908">
        <f>laptop[[#This Row],[PrimaryStorage]]+laptop[[#This Row],[SecondaryStorage]]</f>
        <v>512</v>
      </c>
      <c r="V908" s="1" t="s">
        <v>31</v>
      </c>
      <c r="W908" s="1" t="s">
        <v>27</v>
      </c>
      <c r="X908" s="1" t="str">
        <f>IF(laptop[[#This Row],[PrimaryStorageType]]=laptop[[#This Row],[SecondaryStorageType]],laptop[[#This Row],[PrimaryStorageType]],"SSD &amp; HDD")</f>
        <v>SSD &amp; HDD</v>
      </c>
      <c r="Y908" s="1" t="s">
        <v>42</v>
      </c>
    </row>
    <row r="909" spans="1:25" x14ac:dyDescent="0.25">
      <c r="A909" s="1" t="s">
        <v>46</v>
      </c>
      <c r="B909" s="1" t="s">
        <v>707</v>
      </c>
      <c r="C909" s="1" t="s">
        <v>38</v>
      </c>
      <c r="D909">
        <v>15.6</v>
      </c>
      <c r="E909">
        <v>4</v>
      </c>
      <c r="F909" s="1" t="s">
        <v>317</v>
      </c>
      <c r="G909">
        <v>2.2000000000000002</v>
      </c>
      <c r="H909">
        <v>359</v>
      </c>
      <c r="I909" s="1" t="s">
        <v>40</v>
      </c>
      <c r="J909">
        <v>1920</v>
      </c>
      <c r="K909">
        <v>1080</v>
      </c>
      <c r="L909" s="1" t="s">
        <v>27</v>
      </c>
      <c r="M909" s="1" t="s">
        <v>28</v>
      </c>
      <c r="N909" s="1" t="s">
        <v>27</v>
      </c>
      <c r="O909" s="1" t="s">
        <v>29</v>
      </c>
      <c r="P909">
        <v>1.5</v>
      </c>
      <c r="Q909" s="1" t="s">
        <v>318</v>
      </c>
      <c r="R909" s="1" t="str">
        <f>_xlfn.CONCAT(laptop[[#This Row],[CPU_company]]," ",laptop[[#This Row],[CPU_model]])</f>
        <v>Intel Celeron Dual Core 3205U</v>
      </c>
      <c r="S909">
        <v>16</v>
      </c>
      <c r="T909">
        <v>0</v>
      </c>
      <c r="U909">
        <f>laptop[[#This Row],[PrimaryStorage]]+laptop[[#This Row],[SecondaryStorage]]</f>
        <v>16</v>
      </c>
      <c r="V909" s="1" t="s">
        <v>34</v>
      </c>
      <c r="W909" s="1" t="s">
        <v>27</v>
      </c>
      <c r="X909" s="1" t="str">
        <f>IF(laptop[[#This Row],[PrimaryStorageType]]=laptop[[#This Row],[SecondaryStorageType]],laptop[[#This Row],[PrimaryStorageType]],"SSD &amp; HDD")</f>
        <v>SSD &amp; HDD</v>
      </c>
      <c r="Y909" s="1" t="s">
        <v>102</v>
      </c>
    </row>
    <row r="910" spans="1:25" x14ac:dyDescent="0.25">
      <c r="A910" s="1" t="s">
        <v>73</v>
      </c>
      <c r="B910" s="1" t="s">
        <v>559</v>
      </c>
      <c r="C910" s="1" t="s">
        <v>38</v>
      </c>
      <c r="D910">
        <v>15.6</v>
      </c>
      <c r="E910">
        <v>8</v>
      </c>
      <c r="F910" s="1" t="s">
        <v>48</v>
      </c>
      <c r="G910">
        <v>2.6</v>
      </c>
      <c r="H910">
        <v>789</v>
      </c>
      <c r="I910" s="1" t="s">
        <v>40</v>
      </c>
      <c r="J910">
        <v>1920</v>
      </c>
      <c r="K910">
        <v>1080</v>
      </c>
      <c r="L910" s="1" t="s">
        <v>27</v>
      </c>
      <c r="M910" s="1" t="s">
        <v>28</v>
      </c>
      <c r="N910" s="1" t="s">
        <v>27</v>
      </c>
      <c r="O910" s="1" t="s">
        <v>29</v>
      </c>
      <c r="P910">
        <v>2.2999999999999998</v>
      </c>
      <c r="Q910" s="1" t="s">
        <v>601</v>
      </c>
      <c r="R910" s="1" t="str">
        <f>_xlfn.CONCAT(laptop[[#This Row],[CPU_company]]," ",laptop[[#This Row],[CPU_model]])</f>
        <v>Intel Core i5 6300HQ</v>
      </c>
      <c r="S910">
        <v>128</v>
      </c>
      <c r="T910">
        <v>1024</v>
      </c>
      <c r="U910">
        <f>laptop[[#This Row],[PrimaryStorage]]+laptop[[#This Row],[SecondaryStorage]]</f>
        <v>1152</v>
      </c>
      <c r="V910" s="1" t="s">
        <v>31</v>
      </c>
      <c r="W910" s="1" t="s">
        <v>51</v>
      </c>
      <c r="X910" s="1" t="str">
        <f>IF(laptop[[#This Row],[PrimaryStorageType]]=laptop[[#This Row],[SecondaryStorageType]],laptop[[#This Row],[PrimaryStorageType]],"SSD &amp; HDD")</f>
        <v>SSD &amp; HDD</v>
      </c>
      <c r="Y910" s="1" t="s">
        <v>483</v>
      </c>
    </row>
    <row r="911" spans="1:25" x14ac:dyDescent="0.25">
      <c r="A911" s="1" t="s">
        <v>575</v>
      </c>
      <c r="B911" s="1" t="s">
        <v>708</v>
      </c>
      <c r="C911" s="1" t="s">
        <v>24</v>
      </c>
      <c r="D911">
        <v>14</v>
      </c>
      <c r="E911">
        <v>8</v>
      </c>
      <c r="F911" s="1" t="s">
        <v>48</v>
      </c>
      <c r="G911">
        <v>0.98</v>
      </c>
      <c r="H911">
        <v>1899</v>
      </c>
      <c r="I911" s="1" t="s">
        <v>40</v>
      </c>
      <c r="J911">
        <v>1920</v>
      </c>
      <c r="K911">
        <v>1080</v>
      </c>
      <c r="L911" s="1" t="s">
        <v>28</v>
      </c>
      <c r="M911" s="1" t="s">
        <v>28</v>
      </c>
      <c r="N911" s="1" t="s">
        <v>27</v>
      </c>
      <c r="O911" s="1" t="s">
        <v>29</v>
      </c>
      <c r="P911">
        <v>2.7</v>
      </c>
      <c r="Q911" s="1" t="s">
        <v>71</v>
      </c>
      <c r="R911" s="1" t="str">
        <f>_xlfn.CONCAT(laptop[[#This Row],[CPU_company]]," ",laptop[[#This Row],[CPU_model]])</f>
        <v>Intel Core i7 7500U</v>
      </c>
      <c r="S911">
        <v>512</v>
      </c>
      <c r="T911">
        <v>0</v>
      </c>
      <c r="U911">
        <f>laptop[[#This Row],[PrimaryStorage]]+laptop[[#This Row],[SecondaryStorage]]</f>
        <v>512</v>
      </c>
      <c r="V911" s="1" t="s">
        <v>31</v>
      </c>
      <c r="W911" s="1" t="s">
        <v>27</v>
      </c>
      <c r="X911" s="1" t="str">
        <f>IF(laptop[[#This Row],[PrimaryStorageType]]=laptop[[#This Row],[SecondaryStorageType]],laptop[[#This Row],[PrimaryStorageType]],"SSD &amp; HDD")</f>
        <v>SSD &amp; HDD</v>
      </c>
      <c r="Y911" s="1" t="s">
        <v>42</v>
      </c>
    </row>
    <row r="912" spans="1:25" x14ac:dyDescent="0.25">
      <c r="A912" s="1" t="s">
        <v>65</v>
      </c>
      <c r="B912" s="1" t="s">
        <v>409</v>
      </c>
      <c r="C912" s="1" t="s">
        <v>38</v>
      </c>
      <c r="D912">
        <v>14</v>
      </c>
      <c r="E912">
        <v>8</v>
      </c>
      <c r="F912" s="1" t="s">
        <v>48</v>
      </c>
      <c r="G912">
        <v>1.6</v>
      </c>
      <c r="H912">
        <v>1205</v>
      </c>
      <c r="I912" s="1" t="s">
        <v>40</v>
      </c>
      <c r="J912">
        <v>1920</v>
      </c>
      <c r="K912">
        <v>1080</v>
      </c>
      <c r="L912" s="1" t="s">
        <v>27</v>
      </c>
      <c r="M912" s="1" t="s">
        <v>27</v>
      </c>
      <c r="N912" s="1" t="s">
        <v>27</v>
      </c>
      <c r="O912" s="1" t="s">
        <v>29</v>
      </c>
      <c r="P912">
        <v>2.8</v>
      </c>
      <c r="Q912" s="1" t="s">
        <v>428</v>
      </c>
      <c r="R912" s="1" t="str">
        <f>_xlfn.CONCAT(laptop[[#This Row],[CPU_company]]," ",laptop[[#This Row],[CPU_model]])</f>
        <v>Intel Core i5 7440HQ</v>
      </c>
      <c r="S912">
        <v>256</v>
      </c>
      <c r="T912">
        <v>0</v>
      </c>
      <c r="U912">
        <f>laptop[[#This Row],[PrimaryStorage]]+laptop[[#This Row],[SecondaryStorage]]</f>
        <v>256</v>
      </c>
      <c r="V912" s="1" t="s">
        <v>31</v>
      </c>
      <c r="W912" s="1" t="s">
        <v>27</v>
      </c>
      <c r="X912" s="1" t="str">
        <f>IF(laptop[[#This Row],[PrimaryStorageType]]=laptop[[#This Row],[SecondaryStorageType]],laptop[[#This Row],[PrimaryStorageType]],"SSD &amp; HDD")</f>
        <v>SSD &amp; HDD</v>
      </c>
      <c r="Y912" s="1" t="s">
        <v>42</v>
      </c>
    </row>
    <row r="913" spans="1:25" x14ac:dyDescent="0.25">
      <c r="A913" s="1" t="s">
        <v>36</v>
      </c>
      <c r="B913" s="1" t="s">
        <v>709</v>
      </c>
      <c r="C913" s="1" t="s">
        <v>24</v>
      </c>
      <c r="D913">
        <v>12.5</v>
      </c>
      <c r="E913">
        <v>8</v>
      </c>
      <c r="F913" s="1" t="s">
        <v>48</v>
      </c>
      <c r="G913">
        <v>1.0900000000000001</v>
      </c>
      <c r="H913">
        <v>3100</v>
      </c>
      <c r="I913" s="1" t="s">
        <v>215</v>
      </c>
      <c r="J913">
        <v>3840</v>
      </c>
      <c r="K913">
        <v>2160</v>
      </c>
      <c r="L913" s="1" t="s">
        <v>28</v>
      </c>
      <c r="M913" s="1" t="s">
        <v>27</v>
      </c>
      <c r="N913" s="1" t="s">
        <v>27</v>
      </c>
      <c r="O913" s="1" t="s">
        <v>29</v>
      </c>
      <c r="P913">
        <v>1.2</v>
      </c>
      <c r="Q913" s="1" t="s">
        <v>216</v>
      </c>
      <c r="R913" s="1" t="str">
        <f>_xlfn.CONCAT(laptop[[#This Row],[CPU_company]]," ",laptop[[#This Row],[CPU_model]])</f>
        <v>Intel Core M 6Y75</v>
      </c>
      <c r="S913">
        <v>240</v>
      </c>
      <c r="T913">
        <v>0</v>
      </c>
      <c r="U913">
        <f>laptop[[#This Row],[PrimaryStorage]]+laptop[[#This Row],[SecondaryStorage]]</f>
        <v>240</v>
      </c>
      <c r="V913" s="1" t="s">
        <v>31</v>
      </c>
      <c r="W913" s="1" t="s">
        <v>27</v>
      </c>
      <c r="X913" s="1" t="str">
        <f>IF(laptop[[#This Row],[PrimaryStorageType]]=laptop[[#This Row],[SecondaryStorageType]],laptop[[#This Row],[PrimaryStorageType]],"SSD &amp; HDD")</f>
        <v>SSD &amp; HDD</v>
      </c>
      <c r="Y913" s="1" t="s">
        <v>217</v>
      </c>
    </row>
    <row r="914" spans="1:25" x14ac:dyDescent="0.25">
      <c r="A914" s="1" t="s">
        <v>73</v>
      </c>
      <c r="B914" s="1" t="s">
        <v>710</v>
      </c>
      <c r="C914" s="1" t="s">
        <v>38</v>
      </c>
      <c r="D914">
        <v>15.6</v>
      </c>
      <c r="E914">
        <v>6</v>
      </c>
      <c r="F914" s="1" t="s">
        <v>48</v>
      </c>
      <c r="G914">
        <v>2.2000000000000002</v>
      </c>
      <c r="H914">
        <v>789</v>
      </c>
      <c r="I914" s="1" t="s">
        <v>40</v>
      </c>
      <c r="J914">
        <v>1920</v>
      </c>
      <c r="K914">
        <v>1080</v>
      </c>
      <c r="L914" s="1" t="s">
        <v>27</v>
      </c>
      <c r="M914" s="1" t="s">
        <v>27</v>
      </c>
      <c r="N914" s="1" t="s">
        <v>27</v>
      </c>
      <c r="O914" s="1" t="s">
        <v>29</v>
      </c>
      <c r="P914">
        <v>2.7</v>
      </c>
      <c r="Q914" s="1" t="s">
        <v>71</v>
      </c>
      <c r="R914" s="1" t="str">
        <f>_xlfn.CONCAT(laptop[[#This Row],[CPU_company]]," ",laptop[[#This Row],[CPU_model]])</f>
        <v>Intel Core i7 7500U</v>
      </c>
      <c r="S914">
        <v>256</v>
      </c>
      <c r="T914">
        <v>0</v>
      </c>
      <c r="U914">
        <f>laptop[[#This Row],[PrimaryStorage]]+laptop[[#This Row],[SecondaryStorage]]</f>
        <v>256</v>
      </c>
      <c r="V914" s="1" t="s">
        <v>31</v>
      </c>
      <c r="W914" s="1" t="s">
        <v>27</v>
      </c>
      <c r="X914" s="1" t="str">
        <f>IF(laptop[[#This Row],[PrimaryStorageType]]=laptop[[#This Row],[SecondaryStorageType]],laptop[[#This Row],[PrimaryStorageType]],"SSD &amp; HDD")</f>
        <v>SSD &amp; HDD</v>
      </c>
      <c r="Y914" s="1" t="s">
        <v>76</v>
      </c>
    </row>
    <row r="915" spans="1:25" x14ac:dyDescent="0.25">
      <c r="A915" s="1" t="s">
        <v>36</v>
      </c>
      <c r="B915" s="1" t="s">
        <v>114</v>
      </c>
      <c r="C915" s="1" t="s">
        <v>38</v>
      </c>
      <c r="D915">
        <v>15.6</v>
      </c>
      <c r="E915">
        <v>8</v>
      </c>
      <c r="F915" s="1" t="s">
        <v>48</v>
      </c>
      <c r="G915">
        <v>2.04</v>
      </c>
      <c r="H915">
        <v>1018.99</v>
      </c>
      <c r="I915" s="1" t="s">
        <v>40</v>
      </c>
      <c r="J915">
        <v>1920</v>
      </c>
      <c r="K915">
        <v>1080</v>
      </c>
      <c r="L915" s="1" t="s">
        <v>27</v>
      </c>
      <c r="M915" s="1" t="s">
        <v>27</v>
      </c>
      <c r="N915" s="1" t="s">
        <v>27</v>
      </c>
      <c r="O915" s="1" t="s">
        <v>29</v>
      </c>
      <c r="P915">
        <v>2.7</v>
      </c>
      <c r="Q915" s="1" t="s">
        <v>71</v>
      </c>
      <c r="R915" s="1" t="str">
        <f>_xlfn.CONCAT(laptop[[#This Row],[CPU_company]]," ",laptop[[#This Row],[CPU_model]])</f>
        <v>Intel Core i7 7500U</v>
      </c>
      <c r="S915">
        <v>256</v>
      </c>
      <c r="T915">
        <v>0</v>
      </c>
      <c r="U915">
        <f>laptop[[#This Row],[PrimaryStorage]]+laptop[[#This Row],[SecondaryStorage]]</f>
        <v>256</v>
      </c>
      <c r="V915" s="1" t="s">
        <v>31</v>
      </c>
      <c r="W915" s="1" t="s">
        <v>27</v>
      </c>
      <c r="X915" s="1" t="str">
        <f>IF(laptop[[#This Row],[PrimaryStorageType]]=laptop[[#This Row],[SecondaryStorageType]],laptop[[#This Row],[PrimaryStorageType]],"SSD &amp; HDD")</f>
        <v>SSD &amp; HDD</v>
      </c>
      <c r="Y915" s="1" t="s">
        <v>98</v>
      </c>
    </row>
    <row r="916" spans="1:25" x14ac:dyDescent="0.25">
      <c r="A916" s="1" t="s">
        <v>46</v>
      </c>
      <c r="B916" s="1" t="s">
        <v>352</v>
      </c>
      <c r="C916" s="1" t="s">
        <v>38</v>
      </c>
      <c r="D916">
        <v>15.6</v>
      </c>
      <c r="E916">
        <v>4</v>
      </c>
      <c r="F916" s="1" t="s">
        <v>48</v>
      </c>
      <c r="G916">
        <v>2.4</v>
      </c>
      <c r="H916">
        <v>499</v>
      </c>
      <c r="I916" s="1" t="s">
        <v>40</v>
      </c>
      <c r="J916">
        <v>1920</v>
      </c>
      <c r="K916">
        <v>1080</v>
      </c>
      <c r="L916" s="1" t="s">
        <v>27</v>
      </c>
      <c r="M916" s="1" t="s">
        <v>27</v>
      </c>
      <c r="N916" s="1" t="s">
        <v>27</v>
      </c>
      <c r="O916" s="1" t="s">
        <v>29</v>
      </c>
      <c r="P916">
        <v>2.4</v>
      </c>
      <c r="Q916" s="1" t="s">
        <v>75</v>
      </c>
      <c r="R916" s="1" t="str">
        <f>_xlfn.CONCAT(laptop[[#This Row],[CPU_company]]," ",laptop[[#This Row],[CPU_model]])</f>
        <v>Intel Core i3 7100U</v>
      </c>
      <c r="S916">
        <v>1024</v>
      </c>
      <c r="T916">
        <v>0</v>
      </c>
      <c r="U916">
        <f>laptop[[#This Row],[PrimaryStorage]]+laptop[[#This Row],[SecondaryStorage]]</f>
        <v>1024</v>
      </c>
      <c r="V916" s="1" t="s">
        <v>51</v>
      </c>
      <c r="W916" s="1" t="s">
        <v>27</v>
      </c>
      <c r="X916" s="1" t="str">
        <f>IF(laptop[[#This Row],[PrimaryStorageType]]=laptop[[#This Row],[SecondaryStorageType]],laptop[[#This Row],[PrimaryStorageType]],"SSD &amp; HDD")</f>
        <v>SSD &amp; HDD</v>
      </c>
      <c r="Y916" s="1" t="s">
        <v>42</v>
      </c>
    </row>
    <row r="917" spans="1:25" x14ac:dyDescent="0.25">
      <c r="A917" s="1" t="s">
        <v>73</v>
      </c>
      <c r="B917" s="1" t="s">
        <v>341</v>
      </c>
      <c r="C917" s="1" t="s">
        <v>38</v>
      </c>
      <c r="D917">
        <v>13.3</v>
      </c>
      <c r="E917">
        <v>4</v>
      </c>
      <c r="F917" s="1" t="s">
        <v>48</v>
      </c>
      <c r="G917">
        <v>1.44</v>
      </c>
      <c r="H917">
        <v>881</v>
      </c>
      <c r="I917" s="1" t="s">
        <v>40</v>
      </c>
      <c r="J917">
        <v>1920</v>
      </c>
      <c r="K917">
        <v>1080</v>
      </c>
      <c r="L917" s="1" t="s">
        <v>27</v>
      </c>
      <c r="M917" s="1" t="s">
        <v>27</v>
      </c>
      <c r="N917" s="1" t="s">
        <v>27</v>
      </c>
      <c r="O917" s="1" t="s">
        <v>29</v>
      </c>
      <c r="P917">
        <v>2.5</v>
      </c>
      <c r="Q917" s="1" t="s">
        <v>41</v>
      </c>
      <c r="R917" s="1" t="str">
        <f>_xlfn.CONCAT(laptop[[#This Row],[CPU_company]]," ",laptop[[#This Row],[CPU_model]])</f>
        <v>Intel Core i5 7200U</v>
      </c>
      <c r="S917">
        <v>128</v>
      </c>
      <c r="T917">
        <v>0</v>
      </c>
      <c r="U917">
        <f>laptop[[#This Row],[PrimaryStorage]]+laptop[[#This Row],[SecondaryStorage]]</f>
        <v>128</v>
      </c>
      <c r="V917" s="1" t="s">
        <v>31</v>
      </c>
      <c r="W917" s="1" t="s">
        <v>27</v>
      </c>
      <c r="X917" s="1" t="str">
        <f>IF(laptop[[#This Row],[PrimaryStorageType]]=laptop[[#This Row],[SecondaryStorageType]],laptop[[#This Row],[PrimaryStorageType]],"SSD &amp; HDD")</f>
        <v>SSD &amp; HDD</v>
      </c>
      <c r="Y917" s="1" t="s">
        <v>42</v>
      </c>
    </row>
    <row r="918" spans="1:25" x14ac:dyDescent="0.25">
      <c r="A918" s="1" t="s">
        <v>36</v>
      </c>
      <c r="B918" s="1" t="s">
        <v>174</v>
      </c>
      <c r="C918" s="1" t="s">
        <v>38</v>
      </c>
      <c r="D918">
        <v>13.3</v>
      </c>
      <c r="E918">
        <v>8</v>
      </c>
      <c r="F918" s="1" t="s">
        <v>48</v>
      </c>
      <c r="G918">
        <v>1.49</v>
      </c>
      <c r="H918">
        <v>960</v>
      </c>
      <c r="I918" s="1" t="s">
        <v>40</v>
      </c>
      <c r="J918">
        <v>1920</v>
      </c>
      <c r="K918">
        <v>1080</v>
      </c>
      <c r="L918" s="1" t="s">
        <v>27</v>
      </c>
      <c r="M918" s="1" t="s">
        <v>27</v>
      </c>
      <c r="N918" s="1" t="s">
        <v>27</v>
      </c>
      <c r="O918" s="1" t="s">
        <v>29</v>
      </c>
      <c r="P918">
        <v>2.5</v>
      </c>
      <c r="Q918" s="1" t="s">
        <v>41</v>
      </c>
      <c r="R918" s="1" t="str">
        <f>_xlfn.CONCAT(laptop[[#This Row],[CPU_company]]," ",laptop[[#This Row],[CPU_model]])</f>
        <v>Intel Core i5 7200U</v>
      </c>
      <c r="S918">
        <v>256</v>
      </c>
      <c r="T918">
        <v>0</v>
      </c>
      <c r="U918">
        <f>laptop[[#This Row],[PrimaryStorage]]+laptop[[#This Row],[SecondaryStorage]]</f>
        <v>256</v>
      </c>
      <c r="V918" s="1" t="s">
        <v>31</v>
      </c>
      <c r="W918" s="1" t="s">
        <v>27</v>
      </c>
      <c r="X918" s="1" t="str">
        <f>IF(laptop[[#This Row],[PrimaryStorageType]]=laptop[[#This Row],[SecondaryStorageType]],laptop[[#This Row],[PrimaryStorageType]],"SSD &amp; HDD")</f>
        <v>SSD &amp; HDD</v>
      </c>
      <c r="Y918" s="1" t="s">
        <v>42</v>
      </c>
    </row>
    <row r="919" spans="1:25" x14ac:dyDescent="0.25">
      <c r="A919" s="1" t="s">
        <v>141</v>
      </c>
      <c r="B919" s="1" t="s">
        <v>711</v>
      </c>
      <c r="C919" s="1" t="s">
        <v>83</v>
      </c>
      <c r="D919">
        <v>17.3</v>
      </c>
      <c r="E919">
        <v>16</v>
      </c>
      <c r="F919" s="1" t="s">
        <v>48</v>
      </c>
      <c r="G919">
        <v>2.7</v>
      </c>
      <c r="H919">
        <v>1599</v>
      </c>
      <c r="I919" s="1" t="s">
        <v>40</v>
      </c>
      <c r="J919">
        <v>1920</v>
      </c>
      <c r="K919">
        <v>1080</v>
      </c>
      <c r="L919" s="1" t="s">
        <v>27</v>
      </c>
      <c r="M919" s="1" t="s">
        <v>27</v>
      </c>
      <c r="N919" s="1" t="s">
        <v>27</v>
      </c>
      <c r="O919" s="1" t="s">
        <v>29</v>
      </c>
      <c r="P919">
        <v>2.8</v>
      </c>
      <c r="Q919" s="1" t="s">
        <v>118</v>
      </c>
      <c r="R919" s="1" t="str">
        <f>_xlfn.CONCAT(laptop[[#This Row],[CPU_company]]," ",laptop[[#This Row],[CPU_model]])</f>
        <v>Intel Core i7 7700HQ</v>
      </c>
      <c r="S919">
        <v>256</v>
      </c>
      <c r="T919">
        <v>1024</v>
      </c>
      <c r="U919">
        <f>laptop[[#This Row],[PrimaryStorage]]+laptop[[#This Row],[SecondaryStorage]]</f>
        <v>1280</v>
      </c>
      <c r="V919" s="1" t="s">
        <v>31</v>
      </c>
      <c r="W919" s="1" t="s">
        <v>51</v>
      </c>
      <c r="X919" s="1" t="str">
        <f>IF(laptop[[#This Row],[PrimaryStorageType]]=laptop[[#This Row],[SecondaryStorageType]],laptop[[#This Row],[PrimaryStorageType]],"SSD &amp; HDD")</f>
        <v>SSD &amp; HDD</v>
      </c>
      <c r="Y919" s="1" t="s">
        <v>149</v>
      </c>
    </row>
    <row r="920" spans="1:25" x14ac:dyDescent="0.25">
      <c r="A920" s="1" t="s">
        <v>65</v>
      </c>
      <c r="B920" s="1" t="s">
        <v>222</v>
      </c>
      <c r="C920" s="1" t="s">
        <v>83</v>
      </c>
      <c r="D920">
        <v>15.6</v>
      </c>
      <c r="E920">
        <v>16</v>
      </c>
      <c r="F920" s="1" t="s">
        <v>48</v>
      </c>
      <c r="G920">
        <v>2.6</v>
      </c>
      <c r="H920">
        <v>1349</v>
      </c>
      <c r="I920" s="1" t="s">
        <v>40</v>
      </c>
      <c r="J920">
        <v>1920</v>
      </c>
      <c r="K920">
        <v>1080</v>
      </c>
      <c r="L920" s="1" t="s">
        <v>27</v>
      </c>
      <c r="M920" s="1" t="s">
        <v>27</v>
      </c>
      <c r="N920" s="1" t="s">
        <v>27</v>
      </c>
      <c r="O920" s="1" t="s">
        <v>29</v>
      </c>
      <c r="P920">
        <v>2.8</v>
      </c>
      <c r="Q920" s="1" t="s">
        <v>118</v>
      </c>
      <c r="R920" s="1" t="str">
        <f>_xlfn.CONCAT(laptop[[#This Row],[CPU_company]]," ",laptop[[#This Row],[CPU_model]])</f>
        <v>Intel Core i7 7700HQ</v>
      </c>
      <c r="S920">
        <v>128</v>
      </c>
      <c r="T920">
        <v>1024</v>
      </c>
      <c r="U920">
        <f>laptop[[#This Row],[PrimaryStorage]]+laptop[[#This Row],[SecondaryStorage]]</f>
        <v>1152</v>
      </c>
      <c r="V920" s="1" t="s">
        <v>31</v>
      </c>
      <c r="W920" s="1" t="s">
        <v>51</v>
      </c>
      <c r="X920" s="1" t="str">
        <f>IF(laptop[[#This Row],[PrimaryStorageType]]=laptop[[#This Row],[SecondaryStorageType]],laptop[[#This Row],[PrimaryStorageType]],"SSD &amp; HDD")</f>
        <v>SSD &amp; HDD</v>
      </c>
      <c r="Y920" s="1" t="s">
        <v>149</v>
      </c>
    </row>
    <row r="921" spans="1:25" x14ac:dyDescent="0.25">
      <c r="A921" s="1" t="s">
        <v>141</v>
      </c>
      <c r="B921" s="1" t="s">
        <v>671</v>
      </c>
      <c r="C921" s="1" t="s">
        <v>83</v>
      </c>
      <c r="D921">
        <v>15.6</v>
      </c>
      <c r="E921">
        <v>8</v>
      </c>
      <c r="F921" s="1" t="s">
        <v>48</v>
      </c>
      <c r="G921">
        <v>2.2000000000000002</v>
      </c>
      <c r="H921">
        <v>1119.9100000000001</v>
      </c>
      <c r="I921" s="1" t="s">
        <v>40</v>
      </c>
      <c r="J921">
        <v>1920</v>
      </c>
      <c r="K921">
        <v>1080</v>
      </c>
      <c r="L921" s="1" t="s">
        <v>27</v>
      </c>
      <c r="M921" s="1" t="s">
        <v>27</v>
      </c>
      <c r="N921" s="1" t="s">
        <v>27</v>
      </c>
      <c r="O921" s="1" t="s">
        <v>29</v>
      </c>
      <c r="P921">
        <v>2.5</v>
      </c>
      <c r="Q921" s="1" t="s">
        <v>84</v>
      </c>
      <c r="R921" s="1" t="str">
        <f>_xlfn.CONCAT(laptop[[#This Row],[CPU_company]]," ",laptop[[#This Row],[CPU_model]])</f>
        <v>Intel Core i5 7300HQ</v>
      </c>
      <c r="S921">
        <v>128</v>
      </c>
      <c r="T921">
        <v>1024</v>
      </c>
      <c r="U921">
        <f>laptop[[#This Row],[PrimaryStorage]]+laptop[[#This Row],[SecondaryStorage]]</f>
        <v>1152</v>
      </c>
      <c r="V921" s="1" t="s">
        <v>31</v>
      </c>
      <c r="W921" s="1" t="s">
        <v>51</v>
      </c>
      <c r="X921" s="1" t="str">
        <f>IF(laptop[[#This Row],[PrimaryStorageType]]=laptop[[#This Row],[SecondaryStorageType]],laptop[[#This Row],[PrimaryStorageType]],"SSD &amp; HDD")</f>
        <v>SSD &amp; HDD</v>
      </c>
      <c r="Y921" s="1" t="s">
        <v>85</v>
      </c>
    </row>
    <row r="922" spans="1:25" x14ac:dyDescent="0.25">
      <c r="A922" s="1" t="s">
        <v>65</v>
      </c>
      <c r="B922" s="1" t="s">
        <v>305</v>
      </c>
      <c r="C922" s="1" t="s">
        <v>38</v>
      </c>
      <c r="D922">
        <v>15.6</v>
      </c>
      <c r="E922">
        <v>4</v>
      </c>
      <c r="F922" s="1" t="s">
        <v>48</v>
      </c>
      <c r="G922">
        <v>2.1800000000000002</v>
      </c>
      <c r="H922">
        <v>684.99</v>
      </c>
      <c r="I922" s="1" t="s">
        <v>26</v>
      </c>
      <c r="J922">
        <v>1366</v>
      </c>
      <c r="K922">
        <v>768</v>
      </c>
      <c r="L922" s="1" t="s">
        <v>27</v>
      </c>
      <c r="M922" s="1" t="s">
        <v>27</v>
      </c>
      <c r="N922" s="1" t="s">
        <v>27</v>
      </c>
      <c r="O922" s="1" t="s">
        <v>29</v>
      </c>
      <c r="P922">
        <v>2.5</v>
      </c>
      <c r="Q922" s="1" t="s">
        <v>41</v>
      </c>
      <c r="R922" s="1" t="str">
        <f>_xlfn.CONCAT(laptop[[#This Row],[CPU_company]]," ",laptop[[#This Row],[CPU_model]])</f>
        <v>Intel Core i5 7200U</v>
      </c>
      <c r="S922">
        <v>1024</v>
      </c>
      <c r="T922">
        <v>0</v>
      </c>
      <c r="U922">
        <f>laptop[[#This Row],[PrimaryStorage]]+laptop[[#This Row],[SecondaryStorage]]</f>
        <v>1024</v>
      </c>
      <c r="V922" s="1" t="s">
        <v>51</v>
      </c>
      <c r="W922" s="1" t="s">
        <v>27</v>
      </c>
      <c r="X922" s="1" t="str">
        <f>IF(laptop[[#This Row],[PrimaryStorageType]]=laptop[[#This Row],[SecondaryStorageType]],laptop[[#This Row],[PrimaryStorageType]],"SSD &amp; HDD")</f>
        <v>SSD &amp; HDD</v>
      </c>
      <c r="Y922" s="1" t="s">
        <v>233</v>
      </c>
    </row>
    <row r="923" spans="1:25" x14ac:dyDescent="0.25">
      <c r="A923" s="1" t="s">
        <v>36</v>
      </c>
      <c r="B923" s="1" t="s">
        <v>527</v>
      </c>
      <c r="C923" s="1" t="s">
        <v>24</v>
      </c>
      <c r="D923">
        <v>15.6</v>
      </c>
      <c r="E923">
        <v>8</v>
      </c>
      <c r="F923" s="1" t="s">
        <v>48</v>
      </c>
      <c r="G923">
        <v>1.84</v>
      </c>
      <c r="H923">
        <v>1296.99</v>
      </c>
      <c r="I923" s="1" t="s">
        <v>40</v>
      </c>
      <c r="J923">
        <v>1920</v>
      </c>
      <c r="K923">
        <v>1080</v>
      </c>
      <c r="L923" s="1" t="s">
        <v>27</v>
      </c>
      <c r="M923" s="1" t="s">
        <v>27</v>
      </c>
      <c r="N923" s="1" t="s">
        <v>27</v>
      </c>
      <c r="O923" s="1" t="s">
        <v>29</v>
      </c>
      <c r="P923">
        <v>2.5</v>
      </c>
      <c r="Q923" s="1" t="s">
        <v>274</v>
      </c>
      <c r="R923" s="1" t="str">
        <f>_xlfn.CONCAT(laptop[[#This Row],[CPU_company]]," ",laptop[[#This Row],[CPU_model]])</f>
        <v>Intel Core i7 6500U</v>
      </c>
      <c r="S923">
        <v>256</v>
      </c>
      <c r="T923">
        <v>0</v>
      </c>
      <c r="U923">
        <f>laptop[[#This Row],[PrimaryStorage]]+laptop[[#This Row],[SecondaryStorage]]</f>
        <v>256</v>
      </c>
      <c r="V923" s="1" t="s">
        <v>31</v>
      </c>
      <c r="W923" s="1" t="s">
        <v>27</v>
      </c>
      <c r="X923" s="1" t="str">
        <f>IF(laptop[[#This Row],[PrimaryStorageType]]=laptop[[#This Row],[SecondaryStorageType]],laptop[[#This Row],[PrimaryStorageType]],"SSD &amp; HDD")</f>
        <v>SSD &amp; HDD</v>
      </c>
      <c r="Y923" s="1" t="s">
        <v>712</v>
      </c>
    </row>
    <row r="924" spans="1:25" x14ac:dyDescent="0.25">
      <c r="A924" s="1" t="s">
        <v>36</v>
      </c>
      <c r="B924" s="1" t="s">
        <v>713</v>
      </c>
      <c r="C924" s="1" t="s">
        <v>24</v>
      </c>
      <c r="D924">
        <v>13.3</v>
      </c>
      <c r="E924">
        <v>8</v>
      </c>
      <c r="F924" s="1" t="s">
        <v>48</v>
      </c>
      <c r="G924">
        <v>1.39</v>
      </c>
      <c r="H924">
        <v>1149</v>
      </c>
      <c r="I924" s="1" t="s">
        <v>107</v>
      </c>
      <c r="J924">
        <v>3200</v>
      </c>
      <c r="K924">
        <v>1800</v>
      </c>
      <c r="L924" s="1" t="s">
        <v>28</v>
      </c>
      <c r="M924" s="1" t="s">
        <v>27</v>
      </c>
      <c r="N924" s="1" t="s">
        <v>27</v>
      </c>
      <c r="O924" s="1" t="s">
        <v>29</v>
      </c>
      <c r="P924">
        <v>2.7</v>
      </c>
      <c r="Q924" s="1" t="s">
        <v>71</v>
      </c>
      <c r="R924" s="1" t="str">
        <f>_xlfn.CONCAT(laptop[[#This Row],[CPU_company]]," ",laptop[[#This Row],[CPU_model]])</f>
        <v>Intel Core i7 7500U</v>
      </c>
      <c r="S924">
        <v>256</v>
      </c>
      <c r="T924">
        <v>0</v>
      </c>
      <c r="U924">
        <f>laptop[[#This Row],[PrimaryStorage]]+laptop[[#This Row],[SecondaryStorage]]</f>
        <v>256</v>
      </c>
      <c r="V924" s="1" t="s">
        <v>31</v>
      </c>
      <c r="W924" s="1" t="s">
        <v>27</v>
      </c>
      <c r="X924" s="1" t="str">
        <f>IF(laptop[[#This Row],[PrimaryStorageType]]=laptop[[#This Row],[SecondaryStorageType]],laptop[[#This Row],[PrimaryStorageType]],"SSD &amp; HDD")</f>
        <v>SSD &amp; HDD</v>
      </c>
      <c r="Y924" s="1" t="s">
        <v>42</v>
      </c>
    </row>
    <row r="925" spans="1:25" x14ac:dyDescent="0.25">
      <c r="A925" s="1" t="s">
        <v>210</v>
      </c>
      <c r="B925" s="1" t="s">
        <v>714</v>
      </c>
      <c r="C925" s="1" t="s">
        <v>38</v>
      </c>
      <c r="D925">
        <v>15.6</v>
      </c>
      <c r="E925">
        <v>16</v>
      </c>
      <c r="F925" s="1" t="s">
        <v>48</v>
      </c>
      <c r="G925">
        <v>2.4</v>
      </c>
      <c r="H925">
        <v>1975</v>
      </c>
      <c r="I925" s="1" t="s">
        <v>40</v>
      </c>
      <c r="J925">
        <v>1920</v>
      </c>
      <c r="K925">
        <v>1080</v>
      </c>
      <c r="L925" s="1" t="s">
        <v>27</v>
      </c>
      <c r="M925" s="1" t="s">
        <v>28</v>
      </c>
      <c r="N925" s="1" t="s">
        <v>27</v>
      </c>
      <c r="O925" s="1" t="s">
        <v>29</v>
      </c>
      <c r="P925">
        <v>2.6</v>
      </c>
      <c r="Q925" s="1" t="s">
        <v>309</v>
      </c>
      <c r="R925" s="1" t="str">
        <f>_xlfn.CONCAT(laptop[[#This Row],[CPU_company]]," ",laptop[[#This Row],[CPU_model]])</f>
        <v>Intel Core i7 6600U</v>
      </c>
      <c r="S925">
        <v>256</v>
      </c>
      <c r="T925">
        <v>0</v>
      </c>
      <c r="U925">
        <f>laptop[[#This Row],[PrimaryStorage]]+laptop[[#This Row],[SecondaryStorage]]</f>
        <v>256</v>
      </c>
      <c r="V925" s="1" t="s">
        <v>31</v>
      </c>
      <c r="W925" s="1" t="s">
        <v>27</v>
      </c>
      <c r="X925" s="1" t="str">
        <f>IF(laptop[[#This Row],[PrimaryStorageType]]=laptop[[#This Row],[SecondaryStorageType]],laptop[[#This Row],[PrimaryStorageType]],"SSD &amp; HDD")</f>
        <v>SSD &amp; HDD</v>
      </c>
      <c r="Y925" s="1" t="s">
        <v>310</v>
      </c>
    </row>
    <row r="926" spans="1:25" x14ac:dyDescent="0.25">
      <c r="A926" s="1" t="s">
        <v>73</v>
      </c>
      <c r="B926" s="1" t="s">
        <v>190</v>
      </c>
      <c r="C926" s="1" t="s">
        <v>90</v>
      </c>
      <c r="D926">
        <v>13.3</v>
      </c>
      <c r="E926">
        <v>8</v>
      </c>
      <c r="F926" s="1" t="s">
        <v>48</v>
      </c>
      <c r="G926">
        <v>1.37</v>
      </c>
      <c r="H926">
        <v>1825</v>
      </c>
      <c r="I926" s="1" t="s">
        <v>40</v>
      </c>
      <c r="J926">
        <v>1920</v>
      </c>
      <c r="K926">
        <v>1080</v>
      </c>
      <c r="L926" s="1" t="s">
        <v>28</v>
      </c>
      <c r="M926" s="1" t="s">
        <v>28</v>
      </c>
      <c r="N926" s="1" t="s">
        <v>27</v>
      </c>
      <c r="O926" s="1" t="s">
        <v>29</v>
      </c>
      <c r="P926">
        <v>2.5</v>
      </c>
      <c r="Q926" s="1" t="s">
        <v>41</v>
      </c>
      <c r="R926" s="1" t="str">
        <f>_xlfn.CONCAT(laptop[[#This Row],[CPU_company]]," ",laptop[[#This Row],[CPU_model]])</f>
        <v>Intel Core i5 7200U</v>
      </c>
      <c r="S926">
        <v>512</v>
      </c>
      <c r="T926">
        <v>0</v>
      </c>
      <c r="U926">
        <f>laptop[[#This Row],[PrimaryStorage]]+laptop[[#This Row],[SecondaryStorage]]</f>
        <v>512</v>
      </c>
      <c r="V926" s="1" t="s">
        <v>31</v>
      </c>
      <c r="W926" s="1" t="s">
        <v>27</v>
      </c>
      <c r="X926" s="1" t="str">
        <f>IF(laptop[[#This Row],[PrimaryStorageType]]=laptop[[#This Row],[SecondaryStorageType]],laptop[[#This Row],[PrimaryStorageType]],"SSD &amp; HDD")</f>
        <v>SSD &amp; HDD</v>
      </c>
      <c r="Y926" s="1" t="s">
        <v>42</v>
      </c>
    </row>
    <row r="927" spans="1:25" x14ac:dyDescent="0.25">
      <c r="A927" s="1" t="s">
        <v>65</v>
      </c>
      <c r="B927" s="1" t="s">
        <v>566</v>
      </c>
      <c r="C927" s="1" t="s">
        <v>38</v>
      </c>
      <c r="D927">
        <v>15.6</v>
      </c>
      <c r="E927">
        <v>4</v>
      </c>
      <c r="F927" s="1" t="s">
        <v>48</v>
      </c>
      <c r="G927">
        <v>1.95</v>
      </c>
      <c r="H927">
        <v>729.9</v>
      </c>
      <c r="I927" s="1" t="s">
        <v>26</v>
      </c>
      <c r="J927">
        <v>1366</v>
      </c>
      <c r="K927">
        <v>768</v>
      </c>
      <c r="L927" s="1" t="s">
        <v>27</v>
      </c>
      <c r="M927" s="1" t="s">
        <v>27</v>
      </c>
      <c r="N927" s="1" t="s">
        <v>27</v>
      </c>
      <c r="O927" s="1" t="s">
        <v>29</v>
      </c>
      <c r="P927">
        <v>2.2999999999999998</v>
      </c>
      <c r="Q927" s="1" t="s">
        <v>212</v>
      </c>
      <c r="R927" s="1" t="str">
        <f>_xlfn.CONCAT(laptop[[#This Row],[CPU_company]]," ",laptop[[#This Row],[CPU_model]])</f>
        <v>Intel Core i5 6200U</v>
      </c>
      <c r="S927">
        <v>500</v>
      </c>
      <c r="T927">
        <v>0</v>
      </c>
      <c r="U927">
        <f>laptop[[#This Row],[PrimaryStorage]]+laptop[[#This Row],[SecondaryStorage]]</f>
        <v>500</v>
      </c>
      <c r="V927" s="1" t="s">
        <v>51</v>
      </c>
      <c r="W927" s="1" t="s">
        <v>27</v>
      </c>
      <c r="X927" s="1" t="str">
        <f>IF(laptop[[#This Row],[PrimaryStorageType]]=laptop[[#This Row],[SecondaryStorageType]],laptop[[#This Row],[PrimaryStorageType]],"SSD &amp; HDD")</f>
        <v>SSD &amp; HDD</v>
      </c>
      <c r="Y927" s="1" t="s">
        <v>63</v>
      </c>
    </row>
    <row r="928" spans="1:25" x14ac:dyDescent="0.25">
      <c r="A928" s="1" t="s">
        <v>73</v>
      </c>
      <c r="B928" s="1" t="s">
        <v>454</v>
      </c>
      <c r="C928" s="1" t="s">
        <v>24</v>
      </c>
      <c r="D928">
        <v>12.5</v>
      </c>
      <c r="E928">
        <v>8</v>
      </c>
      <c r="F928" s="1" t="s">
        <v>48</v>
      </c>
      <c r="G928">
        <v>1.36</v>
      </c>
      <c r="H928">
        <v>1650</v>
      </c>
      <c r="I928" s="1" t="s">
        <v>40</v>
      </c>
      <c r="J928">
        <v>1920</v>
      </c>
      <c r="K928">
        <v>1080</v>
      </c>
      <c r="L928" s="1" t="s">
        <v>27</v>
      </c>
      <c r="M928" s="1" t="s">
        <v>28</v>
      </c>
      <c r="N928" s="1" t="s">
        <v>27</v>
      </c>
      <c r="O928" s="1" t="s">
        <v>29</v>
      </c>
      <c r="P928">
        <v>2.7</v>
      </c>
      <c r="Q928" s="1" t="s">
        <v>71</v>
      </c>
      <c r="R928" s="1" t="str">
        <f>_xlfn.CONCAT(laptop[[#This Row],[CPU_company]]," ",laptop[[#This Row],[CPU_model]])</f>
        <v>Intel Core i7 7500U</v>
      </c>
      <c r="S928">
        <v>256</v>
      </c>
      <c r="T928">
        <v>0</v>
      </c>
      <c r="U928">
        <f>laptop[[#This Row],[PrimaryStorage]]+laptop[[#This Row],[SecondaryStorage]]</f>
        <v>256</v>
      </c>
      <c r="V928" s="1" t="s">
        <v>31</v>
      </c>
      <c r="W928" s="1" t="s">
        <v>27</v>
      </c>
      <c r="X928" s="1" t="str">
        <f>IF(laptop[[#This Row],[PrimaryStorageType]]=laptop[[#This Row],[SecondaryStorageType]],laptop[[#This Row],[PrimaryStorageType]],"SSD &amp; HDD")</f>
        <v>SSD &amp; HDD</v>
      </c>
      <c r="Y928" s="1" t="s">
        <v>42</v>
      </c>
    </row>
    <row r="929" spans="1:25" x14ac:dyDescent="0.25">
      <c r="A929" s="1" t="s">
        <v>36</v>
      </c>
      <c r="B929" s="1" t="s">
        <v>715</v>
      </c>
      <c r="C929" s="1" t="s">
        <v>38</v>
      </c>
      <c r="D929">
        <v>15.6</v>
      </c>
      <c r="E929">
        <v>8</v>
      </c>
      <c r="F929" s="1" t="s">
        <v>48</v>
      </c>
      <c r="G929">
        <v>2.31</v>
      </c>
      <c r="H929">
        <v>1165</v>
      </c>
      <c r="I929" s="1" t="s">
        <v>40</v>
      </c>
      <c r="J929">
        <v>1920</v>
      </c>
      <c r="K929">
        <v>1080</v>
      </c>
      <c r="L929" s="1" t="s">
        <v>27</v>
      </c>
      <c r="M929" s="1" t="s">
        <v>27</v>
      </c>
      <c r="N929" s="1" t="s">
        <v>27</v>
      </c>
      <c r="O929" s="1" t="s">
        <v>29</v>
      </c>
      <c r="P929">
        <v>2.2999999999999998</v>
      </c>
      <c r="Q929" s="1" t="s">
        <v>212</v>
      </c>
      <c r="R929" s="1" t="str">
        <f>_xlfn.CONCAT(laptop[[#This Row],[CPU_company]]," ",laptop[[#This Row],[CPU_model]])</f>
        <v>Intel Core i5 6200U</v>
      </c>
      <c r="S929">
        <v>256</v>
      </c>
      <c r="T929">
        <v>0</v>
      </c>
      <c r="U929">
        <f>laptop[[#This Row],[PrimaryStorage]]+laptop[[#This Row],[SecondaryStorage]]</f>
        <v>256</v>
      </c>
      <c r="V929" s="1" t="s">
        <v>31</v>
      </c>
      <c r="W929" s="1" t="s">
        <v>27</v>
      </c>
      <c r="X929" s="1" t="str">
        <f>IF(laptop[[#This Row],[PrimaryStorageType]]=laptop[[#This Row],[SecondaryStorageType]],laptop[[#This Row],[PrimaryStorageType]],"SSD &amp; HDD")</f>
        <v>SSD &amp; HDD</v>
      </c>
      <c r="Y929" s="1" t="s">
        <v>63</v>
      </c>
    </row>
    <row r="930" spans="1:25" x14ac:dyDescent="0.25">
      <c r="A930" s="1" t="s">
        <v>65</v>
      </c>
      <c r="B930" s="1" t="s">
        <v>305</v>
      </c>
      <c r="C930" s="1" t="s">
        <v>38</v>
      </c>
      <c r="D930">
        <v>15.6</v>
      </c>
      <c r="E930">
        <v>4</v>
      </c>
      <c r="F930" s="1" t="s">
        <v>48</v>
      </c>
      <c r="G930">
        <v>2.1800000000000002</v>
      </c>
      <c r="H930">
        <v>708.06</v>
      </c>
      <c r="I930" s="1" t="s">
        <v>26</v>
      </c>
      <c r="J930">
        <v>1366</v>
      </c>
      <c r="K930">
        <v>768</v>
      </c>
      <c r="L930" s="1" t="s">
        <v>27</v>
      </c>
      <c r="M930" s="1" t="s">
        <v>27</v>
      </c>
      <c r="N930" s="1" t="s">
        <v>27</v>
      </c>
      <c r="O930" s="1" t="s">
        <v>29</v>
      </c>
      <c r="P930">
        <v>2.5</v>
      </c>
      <c r="Q930" s="1" t="s">
        <v>41</v>
      </c>
      <c r="R930" s="1" t="str">
        <f>_xlfn.CONCAT(laptop[[#This Row],[CPU_company]]," ",laptop[[#This Row],[CPU_model]])</f>
        <v>Intel Core i5 7200U</v>
      </c>
      <c r="S930">
        <v>1024</v>
      </c>
      <c r="T930">
        <v>0</v>
      </c>
      <c r="U930">
        <f>laptop[[#This Row],[PrimaryStorage]]+laptop[[#This Row],[SecondaryStorage]]</f>
        <v>1024</v>
      </c>
      <c r="V930" s="1" t="s">
        <v>51</v>
      </c>
      <c r="W930" s="1" t="s">
        <v>27</v>
      </c>
      <c r="X930" s="1" t="str">
        <f>IF(laptop[[#This Row],[PrimaryStorageType]]=laptop[[#This Row],[SecondaryStorageType]],laptop[[#This Row],[PrimaryStorageType]],"SSD &amp; HDD")</f>
        <v>SSD &amp; HDD</v>
      </c>
      <c r="Y930" s="1" t="s">
        <v>42</v>
      </c>
    </row>
    <row r="931" spans="1:25" x14ac:dyDescent="0.25">
      <c r="A931" s="1" t="s">
        <v>36</v>
      </c>
      <c r="B931" s="1" t="s">
        <v>344</v>
      </c>
      <c r="C931" s="1" t="s">
        <v>38</v>
      </c>
      <c r="D931">
        <v>14</v>
      </c>
      <c r="E931">
        <v>4</v>
      </c>
      <c r="F931" s="1" t="s">
        <v>48</v>
      </c>
      <c r="G931">
        <v>1.95</v>
      </c>
      <c r="H931">
        <v>1149</v>
      </c>
      <c r="I931" s="1" t="s">
        <v>26</v>
      </c>
      <c r="J931">
        <v>1366</v>
      </c>
      <c r="K931">
        <v>768</v>
      </c>
      <c r="L931" s="1" t="s">
        <v>27</v>
      </c>
      <c r="M931" s="1" t="s">
        <v>27</v>
      </c>
      <c r="N931" s="1" t="s">
        <v>27</v>
      </c>
      <c r="O931" s="1" t="s">
        <v>29</v>
      </c>
      <c r="P931">
        <v>2.2999999999999998</v>
      </c>
      <c r="Q931" s="1" t="s">
        <v>212</v>
      </c>
      <c r="R931" s="1" t="str">
        <f>_xlfn.CONCAT(laptop[[#This Row],[CPU_company]]," ",laptop[[#This Row],[CPU_model]])</f>
        <v>Intel Core i5 6200U</v>
      </c>
      <c r="S931">
        <v>500</v>
      </c>
      <c r="T931">
        <v>0</v>
      </c>
      <c r="U931">
        <f>laptop[[#This Row],[PrimaryStorage]]+laptop[[#This Row],[SecondaryStorage]]</f>
        <v>500</v>
      </c>
      <c r="V931" s="1" t="s">
        <v>51</v>
      </c>
      <c r="W931" s="1" t="s">
        <v>27</v>
      </c>
      <c r="X931" s="1" t="str">
        <f>IF(laptop[[#This Row],[PrimaryStorageType]]=laptop[[#This Row],[SecondaryStorageType]],laptop[[#This Row],[PrimaryStorageType]],"SSD &amp; HDD")</f>
        <v>SSD &amp; HDD</v>
      </c>
      <c r="Y931" s="1" t="s">
        <v>63</v>
      </c>
    </row>
    <row r="932" spans="1:25" x14ac:dyDescent="0.25">
      <c r="A932" s="1" t="s">
        <v>73</v>
      </c>
      <c r="B932" s="1" t="s">
        <v>333</v>
      </c>
      <c r="C932" s="1" t="s">
        <v>38</v>
      </c>
      <c r="D932">
        <v>15.6</v>
      </c>
      <c r="E932">
        <v>4</v>
      </c>
      <c r="F932" s="1" t="s">
        <v>48</v>
      </c>
      <c r="G932">
        <v>2.2000000000000002</v>
      </c>
      <c r="H932">
        <v>309</v>
      </c>
      <c r="I932" s="1" t="s">
        <v>26</v>
      </c>
      <c r="J932">
        <v>1366</v>
      </c>
      <c r="K932">
        <v>768</v>
      </c>
      <c r="L932" s="1" t="s">
        <v>27</v>
      </c>
      <c r="M932" s="1" t="s">
        <v>27</v>
      </c>
      <c r="N932" s="1" t="s">
        <v>27</v>
      </c>
      <c r="O932" s="1" t="s">
        <v>29</v>
      </c>
      <c r="P932">
        <v>1.1000000000000001</v>
      </c>
      <c r="Q932" s="1" t="s">
        <v>130</v>
      </c>
      <c r="R932" s="1" t="str">
        <f>_xlfn.CONCAT(laptop[[#This Row],[CPU_company]]," ",laptop[[#This Row],[CPU_model]])</f>
        <v>Intel Pentium Quad Core N4200</v>
      </c>
      <c r="S932">
        <v>1024</v>
      </c>
      <c r="T932">
        <v>0</v>
      </c>
      <c r="U932">
        <f>laptop[[#This Row],[PrimaryStorage]]+laptop[[#This Row],[SecondaryStorage]]</f>
        <v>1024</v>
      </c>
      <c r="V932" s="1" t="s">
        <v>51</v>
      </c>
      <c r="W932" s="1" t="s">
        <v>27</v>
      </c>
      <c r="X932" s="1" t="str">
        <f>IF(laptop[[#This Row],[PrimaryStorageType]]=laptop[[#This Row],[SecondaryStorageType]],laptop[[#This Row],[PrimaryStorageType]],"SSD &amp; HDD")</f>
        <v>SSD &amp; HDD</v>
      </c>
      <c r="Y932" s="1" t="s">
        <v>237</v>
      </c>
    </row>
    <row r="933" spans="1:25" x14ac:dyDescent="0.25">
      <c r="A933" s="1" t="s">
        <v>36</v>
      </c>
      <c r="B933" s="1" t="s">
        <v>639</v>
      </c>
      <c r="C933" s="1" t="s">
        <v>24</v>
      </c>
      <c r="D933">
        <v>12.5</v>
      </c>
      <c r="E933">
        <v>4</v>
      </c>
      <c r="F933" s="1" t="s">
        <v>48</v>
      </c>
      <c r="G933">
        <v>1.26</v>
      </c>
      <c r="H933">
        <v>1579</v>
      </c>
      <c r="I933" s="1" t="s">
        <v>40</v>
      </c>
      <c r="J933">
        <v>1920</v>
      </c>
      <c r="K933">
        <v>1080</v>
      </c>
      <c r="L933" s="1" t="s">
        <v>27</v>
      </c>
      <c r="M933" s="1" t="s">
        <v>27</v>
      </c>
      <c r="N933" s="1" t="s">
        <v>27</v>
      </c>
      <c r="O933" s="1" t="s">
        <v>29</v>
      </c>
      <c r="P933">
        <v>2.2999999999999998</v>
      </c>
      <c r="Q933" s="1" t="s">
        <v>212</v>
      </c>
      <c r="R933" s="1" t="str">
        <f>_xlfn.CONCAT(laptop[[#This Row],[CPU_company]]," ",laptop[[#This Row],[CPU_model]])</f>
        <v>Intel Core i5 6200U</v>
      </c>
      <c r="S933">
        <v>500</v>
      </c>
      <c r="T933">
        <v>0</v>
      </c>
      <c r="U933">
        <f>laptop[[#This Row],[PrimaryStorage]]+laptop[[#This Row],[SecondaryStorage]]</f>
        <v>500</v>
      </c>
      <c r="V933" s="1" t="s">
        <v>51</v>
      </c>
      <c r="W933" s="1" t="s">
        <v>27</v>
      </c>
      <c r="X933" s="1" t="str">
        <f>IF(laptop[[#This Row],[PrimaryStorageType]]=laptop[[#This Row],[SecondaryStorageType]],laptop[[#This Row],[PrimaryStorageType]],"SSD &amp; HDD")</f>
        <v>SSD &amp; HDD</v>
      </c>
      <c r="Y933" s="1" t="s">
        <v>63</v>
      </c>
    </row>
    <row r="934" spans="1:25" x14ac:dyDescent="0.25">
      <c r="A934" s="1" t="s">
        <v>36</v>
      </c>
      <c r="B934" s="1" t="s">
        <v>37</v>
      </c>
      <c r="C934" s="1" t="s">
        <v>38</v>
      </c>
      <c r="D934">
        <v>15.6</v>
      </c>
      <c r="E934">
        <v>4</v>
      </c>
      <c r="F934" s="1" t="s">
        <v>39</v>
      </c>
      <c r="G934">
        <v>1.86</v>
      </c>
      <c r="H934">
        <v>288.89999999999998</v>
      </c>
      <c r="I934" s="1" t="s">
        <v>26</v>
      </c>
      <c r="J934">
        <v>1366</v>
      </c>
      <c r="K934">
        <v>768</v>
      </c>
      <c r="L934" s="1" t="s">
        <v>27</v>
      </c>
      <c r="M934" s="1" t="s">
        <v>27</v>
      </c>
      <c r="N934" s="1" t="s">
        <v>27</v>
      </c>
      <c r="O934" s="1" t="s">
        <v>29</v>
      </c>
      <c r="P934">
        <v>1.6</v>
      </c>
      <c r="Q934" s="1" t="s">
        <v>151</v>
      </c>
      <c r="R934" s="1" t="str">
        <f>_xlfn.CONCAT(laptop[[#This Row],[CPU_company]]," ",laptop[[#This Row],[CPU_model]])</f>
        <v>Intel Celeron Dual Core N3060</v>
      </c>
      <c r="S934">
        <v>1024</v>
      </c>
      <c r="T934">
        <v>0</v>
      </c>
      <c r="U934">
        <f>laptop[[#This Row],[PrimaryStorage]]+laptop[[#This Row],[SecondaryStorage]]</f>
        <v>1024</v>
      </c>
      <c r="V934" s="1" t="s">
        <v>51</v>
      </c>
      <c r="W934" s="1" t="s">
        <v>27</v>
      </c>
      <c r="X934" s="1" t="str">
        <f>IF(laptop[[#This Row],[PrimaryStorageType]]=laptop[[#This Row],[SecondaryStorageType]],laptop[[#This Row],[PrimaryStorageType]],"SSD &amp; HDD")</f>
        <v>SSD &amp; HDD</v>
      </c>
      <c r="Y934" s="1" t="s">
        <v>81</v>
      </c>
    </row>
    <row r="935" spans="1:25" x14ac:dyDescent="0.25">
      <c r="A935" s="1" t="s">
        <v>73</v>
      </c>
      <c r="B935" s="1" t="s">
        <v>628</v>
      </c>
      <c r="C935" s="1" t="s">
        <v>90</v>
      </c>
      <c r="D935">
        <v>13.3</v>
      </c>
      <c r="E935">
        <v>16</v>
      </c>
      <c r="F935" s="1" t="s">
        <v>48</v>
      </c>
      <c r="G935">
        <v>1.3</v>
      </c>
      <c r="H935">
        <v>1799</v>
      </c>
      <c r="I935" s="1" t="s">
        <v>107</v>
      </c>
      <c r="J935">
        <v>3200</v>
      </c>
      <c r="K935">
        <v>1800</v>
      </c>
      <c r="L935" s="1" t="s">
        <v>28</v>
      </c>
      <c r="M935" s="1" t="s">
        <v>28</v>
      </c>
      <c r="N935" s="1" t="s">
        <v>27</v>
      </c>
      <c r="O935" s="1" t="s">
        <v>29</v>
      </c>
      <c r="P935">
        <v>2.2000000000000002</v>
      </c>
      <c r="Q935" s="1" t="s">
        <v>716</v>
      </c>
      <c r="R935" s="1" t="str">
        <f>_xlfn.CONCAT(laptop[[#This Row],[CPU_company]]," ",laptop[[#This Row],[CPU_model]])</f>
        <v>Intel Core i7 6560U</v>
      </c>
      <c r="S935">
        <v>1024</v>
      </c>
      <c r="T935">
        <v>0</v>
      </c>
      <c r="U935">
        <f>laptop[[#This Row],[PrimaryStorage]]+laptop[[#This Row],[SecondaryStorage]]</f>
        <v>1024</v>
      </c>
      <c r="V935" s="1" t="s">
        <v>31</v>
      </c>
      <c r="W935" s="1" t="s">
        <v>27</v>
      </c>
      <c r="X935" s="1" t="str">
        <f>IF(laptop[[#This Row],[PrimaryStorageType]]=laptop[[#This Row],[SecondaryStorageType]],laptop[[#This Row],[PrimaryStorageType]],"SSD &amp; HDD")</f>
        <v>SSD &amp; HDD</v>
      </c>
      <c r="Y935" s="1" t="s">
        <v>124</v>
      </c>
    </row>
    <row r="936" spans="1:25" x14ac:dyDescent="0.25">
      <c r="A936" s="1" t="s">
        <v>210</v>
      </c>
      <c r="B936" s="1" t="s">
        <v>717</v>
      </c>
      <c r="C936" s="1" t="s">
        <v>38</v>
      </c>
      <c r="D936">
        <v>14</v>
      </c>
      <c r="E936">
        <v>4</v>
      </c>
      <c r="F936" s="1" t="s">
        <v>48</v>
      </c>
      <c r="G936">
        <v>1.47</v>
      </c>
      <c r="H936">
        <v>1105</v>
      </c>
      <c r="I936" s="1" t="s">
        <v>40</v>
      </c>
      <c r="J936">
        <v>1920</v>
      </c>
      <c r="K936">
        <v>1080</v>
      </c>
      <c r="L936" s="1" t="s">
        <v>27</v>
      </c>
      <c r="M936" s="1" t="s">
        <v>28</v>
      </c>
      <c r="N936" s="1" t="s">
        <v>27</v>
      </c>
      <c r="O936" s="1" t="s">
        <v>29</v>
      </c>
      <c r="P936">
        <v>2.2999999999999998</v>
      </c>
      <c r="Q936" s="1" t="s">
        <v>212</v>
      </c>
      <c r="R936" s="1" t="str">
        <f>_xlfn.CONCAT(laptop[[#This Row],[CPU_company]]," ",laptop[[#This Row],[CPU_model]])</f>
        <v>Intel Core i5 6200U</v>
      </c>
      <c r="S936">
        <v>128</v>
      </c>
      <c r="T936">
        <v>0</v>
      </c>
      <c r="U936">
        <f>laptop[[#This Row],[PrimaryStorage]]+laptop[[#This Row],[SecondaryStorage]]</f>
        <v>128</v>
      </c>
      <c r="V936" s="1" t="s">
        <v>31</v>
      </c>
      <c r="W936" s="1" t="s">
        <v>27</v>
      </c>
      <c r="X936" s="1" t="str">
        <f>IF(laptop[[#This Row],[PrimaryStorageType]]=laptop[[#This Row],[SecondaryStorageType]],laptop[[#This Row],[PrimaryStorageType]],"SSD &amp; HDD")</f>
        <v>SSD &amp; HDD</v>
      </c>
      <c r="Y936" s="1" t="s">
        <v>63</v>
      </c>
    </row>
    <row r="937" spans="1:25" x14ac:dyDescent="0.25">
      <c r="A937" s="1" t="s">
        <v>36</v>
      </c>
      <c r="B937" s="1" t="s">
        <v>639</v>
      </c>
      <c r="C937" s="1" t="s">
        <v>79</v>
      </c>
      <c r="D937">
        <v>12.5</v>
      </c>
      <c r="E937">
        <v>8</v>
      </c>
      <c r="F937" s="1" t="s">
        <v>48</v>
      </c>
      <c r="G937">
        <v>1.26</v>
      </c>
      <c r="H937">
        <v>1669</v>
      </c>
      <c r="I937" s="1" t="s">
        <v>40</v>
      </c>
      <c r="J937">
        <v>1920</v>
      </c>
      <c r="K937">
        <v>1080</v>
      </c>
      <c r="L937" s="1" t="s">
        <v>27</v>
      </c>
      <c r="M937" s="1" t="s">
        <v>27</v>
      </c>
      <c r="N937" s="1" t="s">
        <v>27</v>
      </c>
      <c r="O937" s="1" t="s">
        <v>29</v>
      </c>
      <c r="P937">
        <v>2.2999999999999998</v>
      </c>
      <c r="Q937" s="1" t="s">
        <v>212</v>
      </c>
      <c r="R937" s="1" t="str">
        <f>_xlfn.CONCAT(laptop[[#This Row],[CPU_company]]," ",laptop[[#This Row],[CPU_model]])</f>
        <v>Intel Core i5 6200U</v>
      </c>
      <c r="S937">
        <v>256</v>
      </c>
      <c r="T937">
        <v>0</v>
      </c>
      <c r="U937">
        <f>laptop[[#This Row],[PrimaryStorage]]+laptop[[#This Row],[SecondaryStorage]]</f>
        <v>256</v>
      </c>
      <c r="V937" s="1" t="s">
        <v>31</v>
      </c>
      <c r="W937" s="1" t="s">
        <v>27</v>
      </c>
      <c r="X937" s="1" t="str">
        <f>IF(laptop[[#This Row],[PrimaryStorageType]]=laptop[[#This Row],[SecondaryStorageType]],laptop[[#This Row],[PrimaryStorageType]],"SSD &amp; HDD")</f>
        <v>SSD &amp; HDD</v>
      </c>
      <c r="Y937" s="1" t="s">
        <v>63</v>
      </c>
    </row>
    <row r="938" spans="1:25" x14ac:dyDescent="0.25">
      <c r="A938" s="1" t="s">
        <v>65</v>
      </c>
      <c r="B938" s="1" t="s">
        <v>305</v>
      </c>
      <c r="C938" s="1" t="s">
        <v>38</v>
      </c>
      <c r="D938">
        <v>15.6</v>
      </c>
      <c r="E938">
        <v>4</v>
      </c>
      <c r="F938" s="1" t="s">
        <v>48</v>
      </c>
      <c r="G938">
        <v>2.1800000000000002</v>
      </c>
      <c r="H938">
        <v>558.6</v>
      </c>
      <c r="I938" s="1" t="s">
        <v>26</v>
      </c>
      <c r="J938">
        <v>1366</v>
      </c>
      <c r="K938">
        <v>768</v>
      </c>
      <c r="L938" s="1" t="s">
        <v>27</v>
      </c>
      <c r="M938" s="1" t="s">
        <v>27</v>
      </c>
      <c r="N938" s="1" t="s">
        <v>27</v>
      </c>
      <c r="O938" s="1" t="s">
        <v>29</v>
      </c>
      <c r="P938">
        <v>2</v>
      </c>
      <c r="Q938" s="1" t="s">
        <v>62</v>
      </c>
      <c r="R938" s="1" t="str">
        <f>_xlfn.CONCAT(laptop[[#This Row],[CPU_company]]," ",laptop[[#This Row],[CPU_model]])</f>
        <v>Intel Core i3 6006U</v>
      </c>
      <c r="S938">
        <v>1024</v>
      </c>
      <c r="T938">
        <v>0</v>
      </c>
      <c r="U938">
        <f>laptop[[#This Row],[PrimaryStorage]]+laptop[[#This Row],[SecondaryStorage]]</f>
        <v>1024</v>
      </c>
      <c r="V938" s="1" t="s">
        <v>51</v>
      </c>
      <c r="W938" s="1" t="s">
        <v>27</v>
      </c>
      <c r="X938" s="1" t="str">
        <f>IF(laptop[[#This Row],[PrimaryStorageType]]=laptop[[#This Row],[SecondaryStorageType]],laptop[[#This Row],[PrimaryStorageType]],"SSD &amp; HDD")</f>
        <v>SSD &amp; HDD</v>
      </c>
      <c r="Y938" s="1" t="s">
        <v>63</v>
      </c>
    </row>
    <row r="939" spans="1:25" x14ac:dyDescent="0.25">
      <c r="A939" s="1" t="s">
        <v>141</v>
      </c>
      <c r="B939" s="1" t="s">
        <v>718</v>
      </c>
      <c r="C939" s="1" t="s">
        <v>83</v>
      </c>
      <c r="D939">
        <v>15.6</v>
      </c>
      <c r="E939">
        <v>8</v>
      </c>
      <c r="F939" s="1" t="s">
        <v>48</v>
      </c>
      <c r="G939">
        <v>2.2000000000000002</v>
      </c>
      <c r="H939">
        <v>1199</v>
      </c>
      <c r="I939" s="1" t="s">
        <v>40</v>
      </c>
      <c r="J939">
        <v>1920</v>
      </c>
      <c r="K939">
        <v>1080</v>
      </c>
      <c r="L939" s="1" t="s">
        <v>27</v>
      </c>
      <c r="M939" s="1" t="s">
        <v>27</v>
      </c>
      <c r="N939" s="1" t="s">
        <v>27</v>
      </c>
      <c r="O939" s="1" t="s">
        <v>29</v>
      </c>
      <c r="P939">
        <v>2.8</v>
      </c>
      <c r="Q939" s="1" t="s">
        <v>118</v>
      </c>
      <c r="R939" s="1" t="str">
        <f>_xlfn.CONCAT(laptop[[#This Row],[CPU_company]]," ",laptop[[#This Row],[CPU_model]])</f>
        <v>Intel Core i7 7700HQ</v>
      </c>
      <c r="S939">
        <v>128</v>
      </c>
      <c r="T939">
        <v>1024</v>
      </c>
      <c r="U939">
        <f>laptop[[#This Row],[PrimaryStorage]]+laptop[[#This Row],[SecondaryStorage]]</f>
        <v>1152</v>
      </c>
      <c r="V939" s="1" t="s">
        <v>31</v>
      </c>
      <c r="W939" s="1" t="s">
        <v>51</v>
      </c>
      <c r="X939" s="1" t="str">
        <f>IF(laptop[[#This Row],[PrimaryStorageType]]=laptop[[#This Row],[SecondaryStorageType]],laptop[[#This Row],[PrimaryStorageType]],"SSD &amp; HDD")</f>
        <v>SSD &amp; HDD</v>
      </c>
      <c r="Y939" s="1" t="s">
        <v>85</v>
      </c>
    </row>
    <row r="940" spans="1:25" x14ac:dyDescent="0.25">
      <c r="A940" s="1" t="s">
        <v>65</v>
      </c>
      <c r="B940" s="1" t="s">
        <v>367</v>
      </c>
      <c r="C940" s="1" t="s">
        <v>24</v>
      </c>
      <c r="D940">
        <v>14</v>
      </c>
      <c r="E940">
        <v>8</v>
      </c>
      <c r="F940" s="1" t="s">
        <v>48</v>
      </c>
      <c r="G940">
        <v>1.36</v>
      </c>
      <c r="H940">
        <v>1639</v>
      </c>
      <c r="I940" s="1" t="s">
        <v>40</v>
      </c>
      <c r="J940">
        <v>1920</v>
      </c>
      <c r="K940">
        <v>1080</v>
      </c>
      <c r="L940" s="1" t="s">
        <v>27</v>
      </c>
      <c r="M940" s="1" t="s">
        <v>27</v>
      </c>
      <c r="N940" s="1" t="s">
        <v>27</v>
      </c>
      <c r="O940" s="1" t="s">
        <v>29</v>
      </c>
      <c r="P940">
        <v>2.5</v>
      </c>
      <c r="Q940" s="1" t="s">
        <v>41</v>
      </c>
      <c r="R940" s="1" t="str">
        <f>_xlfn.CONCAT(laptop[[#This Row],[CPU_company]]," ",laptop[[#This Row],[CPU_model]])</f>
        <v>Intel Core i5 7200U</v>
      </c>
      <c r="S940">
        <v>256</v>
      </c>
      <c r="T940">
        <v>0</v>
      </c>
      <c r="U940">
        <f>laptop[[#This Row],[PrimaryStorage]]+laptop[[#This Row],[SecondaryStorage]]</f>
        <v>256</v>
      </c>
      <c r="V940" s="1" t="s">
        <v>31</v>
      </c>
      <c r="W940" s="1" t="s">
        <v>27</v>
      </c>
      <c r="X940" s="1" t="str">
        <f>IF(laptop[[#This Row],[PrimaryStorageType]]=laptop[[#This Row],[SecondaryStorageType]],laptop[[#This Row],[PrimaryStorageType]],"SSD &amp; HDD")</f>
        <v>SSD &amp; HDD</v>
      </c>
      <c r="Y940" s="1" t="s">
        <v>42</v>
      </c>
    </row>
    <row r="941" spans="1:25" x14ac:dyDescent="0.25">
      <c r="A941" s="1" t="s">
        <v>65</v>
      </c>
      <c r="B941" s="1" t="s">
        <v>275</v>
      </c>
      <c r="C941" s="1" t="s">
        <v>83</v>
      </c>
      <c r="D941">
        <v>17.3</v>
      </c>
      <c r="E941">
        <v>16</v>
      </c>
      <c r="F941" s="1" t="s">
        <v>48</v>
      </c>
      <c r="G941">
        <v>4.3600000000000003</v>
      </c>
      <c r="H941">
        <v>2758</v>
      </c>
      <c r="I941" s="1" t="s">
        <v>26</v>
      </c>
      <c r="J941">
        <v>2560</v>
      </c>
      <c r="K941">
        <v>1440</v>
      </c>
      <c r="L941" s="1" t="s">
        <v>27</v>
      </c>
      <c r="M941" s="1" t="s">
        <v>27</v>
      </c>
      <c r="N941" s="1" t="s">
        <v>27</v>
      </c>
      <c r="O941" s="1" t="s">
        <v>29</v>
      </c>
      <c r="P941">
        <v>2.7</v>
      </c>
      <c r="Q941" s="1" t="s">
        <v>514</v>
      </c>
      <c r="R941" s="1" t="str">
        <f>_xlfn.CONCAT(laptop[[#This Row],[CPU_company]]," ",laptop[[#This Row],[CPU_model]])</f>
        <v>Intel Core i7 6820HK</v>
      </c>
      <c r="S941">
        <v>512</v>
      </c>
      <c r="T941">
        <v>1024</v>
      </c>
      <c r="U941">
        <f>laptop[[#This Row],[PrimaryStorage]]+laptop[[#This Row],[SecondaryStorage]]</f>
        <v>1536</v>
      </c>
      <c r="V941" s="1" t="s">
        <v>31</v>
      </c>
      <c r="W941" s="1" t="s">
        <v>51</v>
      </c>
      <c r="X941" s="1" t="str">
        <f>IF(laptop[[#This Row],[PrimaryStorageType]]=laptop[[#This Row],[SecondaryStorageType]],laptop[[#This Row],[PrimaryStorageType]],"SSD &amp; HDD")</f>
        <v>SSD &amp; HDD</v>
      </c>
      <c r="Y941" s="1" t="s">
        <v>259</v>
      </c>
    </row>
    <row r="942" spans="1:25" x14ac:dyDescent="0.25">
      <c r="A942" s="1" t="s">
        <v>36</v>
      </c>
      <c r="B942" s="1" t="s">
        <v>719</v>
      </c>
      <c r="C942" s="1" t="s">
        <v>83</v>
      </c>
      <c r="D942">
        <v>17.3</v>
      </c>
      <c r="E942">
        <v>8</v>
      </c>
      <c r="F942" s="1" t="s">
        <v>48</v>
      </c>
      <c r="G942">
        <v>2.75</v>
      </c>
      <c r="H942">
        <v>1399</v>
      </c>
      <c r="I942" s="1" t="s">
        <v>40</v>
      </c>
      <c r="J942">
        <v>1920</v>
      </c>
      <c r="K942">
        <v>1080</v>
      </c>
      <c r="L942" s="1" t="s">
        <v>27</v>
      </c>
      <c r="M942" s="1" t="s">
        <v>28</v>
      </c>
      <c r="N942" s="1" t="s">
        <v>27</v>
      </c>
      <c r="O942" s="1" t="s">
        <v>29</v>
      </c>
      <c r="P942">
        <v>2.2999999999999998</v>
      </c>
      <c r="Q942" s="1" t="s">
        <v>601</v>
      </c>
      <c r="R942" s="1" t="str">
        <f>_xlfn.CONCAT(laptop[[#This Row],[CPU_company]]," ",laptop[[#This Row],[CPU_model]])</f>
        <v>Intel Core i5 6300HQ</v>
      </c>
      <c r="S942">
        <v>128</v>
      </c>
      <c r="T942">
        <v>1024</v>
      </c>
      <c r="U942">
        <f>laptop[[#This Row],[PrimaryStorage]]+laptop[[#This Row],[SecondaryStorage]]</f>
        <v>1152</v>
      </c>
      <c r="V942" s="1" t="s">
        <v>31</v>
      </c>
      <c r="W942" s="1" t="s">
        <v>51</v>
      </c>
      <c r="X942" s="1" t="str">
        <f>IF(laptop[[#This Row],[PrimaryStorageType]]=laptop[[#This Row],[SecondaryStorageType]],laptop[[#This Row],[PrimaryStorageType]],"SSD &amp; HDD")</f>
        <v>SSD &amp; HDD</v>
      </c>
      <c r="Y942" s="1" t="s">
        <v>460</v>
      </c>
    </row>
    <row r="943" spans="1:25" x14ac:dyDescent="0.25">
      <c r="A943" s="1" t="s">
        <v>55</v>
      </c>
      <c r="B943" s="1" t="s">
        <v>720</v>
      </c>
      <c r="C943" s="1" t="s">
        <v>38</v>
      </c>
      <c r="D943">
        <v>17.3</v>
      </c>
      <c r="E943">
        <v>4</v>
      </c>
      <c r="F943" s="1" t="s">
        <v>48</v>
      </c>
      <c r="G943">
        <v>2.8</v>
      </c>
      <c r="H943">
        <v>530</v>
      </c>
      <c r="I943" s="1" t="s">
        <v>26</v>
      </c>
      <c r="J943">
        <v>1600</v>
      </c>
      <c r="K943">
        <v>900</v>
      </c>
      <c r="L943" s="1" t="s">
        <v>27</v>
      </c>
      <c r="M943" s="1" t="s">
        <v>27</v>
      </c>
      <c r="N943" s="1" t="s">
        <v>27</v>
      </c>
      <c r="O943" s="1" t="s">
        <v>29</v>
      </c>
      <c r="P943">
        <v>1.6</v>
      </c>
      <c r="Q943" s="1" t="s">
        <v>346</v>
      </c>
      <c r="R943" s="1" t="str">
        <f>_xlfn.CONCAT(laptop[[#This Row],[CPU_company]]," ",laptop[[#This Row],[CPU_model]])</f>
        <v>Intel Pentium Quad Core N3710</v>
      </c>
      <c r="S943">
        <v>1024</v>
      </c>
      <c r="T943">
        <v>0</v>
      </c>
      <c r="U943">
        <f>laptop[[#This Row],[PrimaryStorage]]+laptop[[#This Row],[SecondaryStorage]]</f>
        <v>1024</v>
      </c>
      <c r="V943" s="1" t="s">
        <v>51</v>
      </c>
      <c r="W943" s="1" t="s">
        <v>27</v>
      </c>
      <c r="X943" s="1" t="str">
        <f>IF(laptop[[#This Row],[PrimaryStorageType]]=laptop[[#This Row],[SecondaryStorageType]],laptop[[#This Row],[PrimaryStorageType]],"SSD &amp; HDD")</f>
        <v>SSD &amp; HDD</v>
      </c>
      <c r="Y943" s="1" t="s">
        <v>131</v>
      </c>
    </row>
    <row r="944" spans="1:25" x14ac:dyDescent="0.25">
      <c r="A944" s="1" t="s">
        <v>46</v>
      </c>
      <c r="B944" s="1" t="s">
        <v>721</v>
      </c>
      <c r="C944" s="1" t="s">
        <v>38</v>
      </c>
      <c r="D944">
        <v>15.6</v>
      </c>
      <c r="E944">
        <v>4</v>
      </c>
      <c r="F944" s="1" t="s">
        <v>48</v>
      </c>
      <c r="G944">
        <v>2.23</v>
      </c>
      <c r="H944">
        <v>619</v>
      </c>
      <c r="I944" s="1" t="s">
        <v>26</v>
      </c>
      <c r="J944">
        <v>1366</v>
      </c>
      <c r="K944">
        <v>768</v>
      </c>
      <c r="L944" s="1" t="s">
        <v>27</v>
      </c>
      <c r="M944" s="1" t="s">
        <v>27</v>
      </c>
      <c r="N944" s="1" t="s">
        <v>27</v>
      </c>
      <c r="O944" s="1" t="s">
        <v>29</v>
      </c>
      <c r="P944">
        <v>2.5</v>
      </c>
      <c r="Q944" s="1" t="s">
        <v>41</v>
      </c>
      <c r="R944" s="1" t="str">
        <f>_xlfn.CONCAT(laptop[[#This Row],[CPU_company]]," ",laptop[[#This Row],[CPU_model]])</f>
        <v>Intel Core i5 7200U</v>
      </c>
      <c r="S944">
        <v>500</v>
      </c>
      <c r="T944">
        <v>0</v>
      </c>
      <c r="U944">
        <f>laptop[[#This Row],[PrimaryStorage]]+laptop[[#This Row],[SecondaryStorage]]</f>
        <v>500</v>
      </c>
      <c r="V944" s="1" t="s">
        <v>51</v>
      </c>
      <c r="W944" s="1" t="s">
        <v>27</v>
      </c>
      <c r="X944" s="1" t="str">
        <f>IF(laptop[[#This Row],[PrimaryStorageType]]=laptop[[#This Row],[SecondaryStorageType]],laptop[[#This Row],[PrimaryStorageType]],"SSD &amp; HDD")</f>
        <v>SSD &amp; HDD</v>
      </c>
      <c r="Y944" s="1" t="s">
        <v>42</v>
      </c>
    </row>
    <row r="945" spans="1:25" x14ac:dyDescent="0.25">
      <c r="A945" s="1" t="s">
        <v>210</v>
      </c>
      <c r="B945" s="1" t="s">
        <v>722</v>
      </c>
      <c r="C945" s="1" t="s">
        <v>38</v>
      </c>
      <c r="D945">
        <v>15.6</v>
      </c>
      <c r="E945">
        <v>8</v>
      </c>
      <c r="F945" s="1" t="s">
        <v>48</v>
      </c>
      <c r="G945">
        <v>2.2000000000000002</v>
      </c>
      <c r="H945">
        <v>1119</v>
      </c>
      <c r="I945" s="1" t="s">
        <v>26</v>
      </c>
      <c r="J945">
        <v>1366</v>
      </c>
      <c r="K945">
        <v>768</v>
      </c>
      <c r="L945" s="1" t="s">
        <v>27</v>
      </c>
      <c r="M945" s="1" t="s">
        <v>27</v>
      </c>
      <c r="N945" s="1" t="s">
        <v>27</v>
      </c>
      <c r="O945" s="1" t="s">
        <v>29</v>
      </c>
      <c r="P945">
        <v>2.2999999999999998</v>
      </c>
      <c r="Q945" s="1" t="s">
        <v>212</v>
      </c>
      <c r="R945" s="1" t="str">
        <f>_xlfn.CONCAT(laptop[[#This Row],[CPU_company]]," ",laptop[[#This Row],[CPU_model]])</f>
        <v>Intel Core i5 6200U</v>
      </c>
      <c r="S945">
        <v>256</v>
      </c>
      <c r="T945">
        <v>0</v>
      </c>
      <c r="U945">
        <f>laptop[[#This Row],[PrimaryStorage]]+laptop[[#This Row],[SecondaryStorage]]</f>
        <v>256</v>
      </c>
      <c r="V945" s="1" t="s">
        <v>31</v>
      </c>
      <c r="W945" s="1" t="s">
        <v>27</v>
      </c>
      <c r="X945" s="1" t="str">
        <f>IF(laptop[[#This Row],[PrimaryStorageType]]=laptop[[#This Row],[SecondaryStorageType]],laptop[[#This Row],[PrimaryStorageType]],"SSD &amp; HDD")</f>
        <v>SSD &amp; HDD</v>
      </c>
      <c r="Y945" s="1" t="s">
        <v>63</v>
      </c>
    </row>
    <row r="946" spans="1:25" x14ac:dyDescent="0.25">
      <c r="A946" s="1" t="s">
        <v>73</v>
      </c>
      <c r="B946" s="1" t="s">
        <v>723</v>
      </c>
      <c r="C946" s="1" t="s">
        <v>90</v>
      </c>
      <c r="D946">
        <v>11.3</v>
      </c>
      <c r="E946">
        <v>8</v>
      </c>
      <c r="F946" s="1" t="s">
        <v>48</v>
      </c>
      <c r="G946">
        <v>1.1000000000000001</v>
      </c>
      <c r="H946">
        <v>1299</v>
      </c>
      <c r="I946" s="1" t="s">
        <v>40</v>
      </c>
      <c r="J946">
        <v>1920</v>
      </c>
      <c r="K946">
        <v>1080</v>
      </c>
      <c r="L946" s="1" t="s">
        <v>28</v>
      </c>
      <c r="M946" s="1" t="s">
        <v>28</v>
      </c>
      <c r="N946" s="1" t="s">
        <v>27</v>
      </c>
      <c r="O946" s="1" t="s">
        <v>29</v>
      </c>
      <c r="P946">
        <v>1.2</v>
      </c>
      <c r="Q946" s="1" t="s">
        <v>724</v>
      </c>
      <c r="R946" s="1" t="str">
        <f>_xlfn.CONCAT(laptop[[#This Row],[CPU_company]]," ",laptop[[#This Row],[CPU_model]])</f>
        <v>Intel Core M m7-6Y75</v>
      </c>
      <c r="S946">
        <v>256</v>
      </c>
      <c r="T946">
        <v>0</v>
      </c>
      <c r="U946">
        <f>laptop[[#This Row],[PrimaryStorage]]+laptop[[#This Row],[SecondaryStorage]]</f>
        <v>256</v>
      </c>
      <c r="V946" s="1" t="s">
        <v>31</v>
      </c>
      <c r="W946" s="1" t="s">
        <v>27</v>
      </c>
      <c r="X946" s="1" t="str">
        <f>IF(laptop[[#This Row],[PrimaryStorageType]]=laptop[[#This Row],[SecondaryStorageType]],laptop[[#This Row],[PrimaryStorageType]],"SSD &amp; HDD")</f>
        <v>SSD &amp; HDD</v>
      </c>
      <c r="Y946" s="1" t="s">
        <v>217</v>
      </c>
    </row>
    <row r="947" spans="1:25" x14ac:dyDescent="0.25">
      <c r="A947" s="1" t="s">
        <v>73</v>
      </c>
      <c r="B947" s="1" t="s">
        <v>725</v>
      </c>
      <c r="C947" s="1" t="s">
        <v>83</v>
      </c>
      <c r="D947">
        <v>15.6</v>
      </c>
      <c r="E947">
        <v>16</v>
      </c>
      <c r="F947" s="1" t="s">
        <v>48</v>
      </c>
      <c r="G947">
        <v>2.5</v>
      </c>
      <c r="H947">
        <v>999</v>
      </c>
      <c r="I947" s="1" t="s">
        <v>40</v>
      </c>
      <c r="J947">
        <v>1920</v>
      </c>
      <c r="K947">
        <v>1080</v>
      </c>
      <c r="L947" s="1" t="s">
        <v>27</v>
      </c>
      <c r="M947" s="1" t="s">
        <v>28</v>
      </c>
      <c r="N947" s="1" t="s">
        <v>27</v>
      </c>
      <c r="O947" s="1" t="s">
        <v>49</v>
      </c>
      <c r="P947">
        <v>2.1</v>
      </c>
      <c r="Q947" s="1" t="s">
        <v>726</v>
      </c>
      <c r="R947" s="1" t="str">
        <f>_xlfn.CONCAT(laptop[[#This Row],[CPU_company]]," ",laptop[[#This Row],[CPU_model]])</f>
        <v>AMD FX 8800P</v>
      </c>
      <c r="S947">
        <v>512</v>
      </c>
      <c r="T947">
        <v>1024</v>
      </c>
      <c r="U947">
        <f>laptop[[#This Row],[PrimaryStorage]]+laptop[[#This Row],[SecondaryStorage]]</f>
        <v>1536</v>
      </c>
      <c r="V947" s="1" t="s">
        <v>31</v>
      </c>
      <c r="W947" s="1" t="s">
        <v>51</v>
      </c>
      <c r="X947" s="1" t="str">
        <f>IF(laptop[[#This Row],[PrimaryStorageType]]=laptop[[#This Row],[SecondaryStorageType]],laptop[[#This Row],[PrimaryStorageType]],"SSD &amp; HDD")</f>
        <v>SSD &amp; HDD</v>
      </c>
      <c r="Y947" s="1" t="s">
        <v>727</v>
      </c>
    </row>
    <row r="948" spans="1:25" x14ac:dyDescent="0.25">
      <c r="A948" s="1" t="s">
        <v>65</v>
      </c>
      <c r="B948" s="1" t="s">
        <v>633</v>
      </c>
      <c r="C948" s="1" t="s">
        <v>24</v>
      </c>
      <c r="D948">
        <v>12.5</v>
      </c>
      <c r="E948">
        <v>8</v>
      </c>
      <c r="F948" s="1" t="s">
        <v>48</v>
      </c>
      <c r="G948">
        <v>1.36</v>
      </c>
      <c r="H948">
        <v>1472.2</v>
      </c>
      <c r="I948" s="1" t="s">
        <v>40</v>
      </c>
      <c r="J948">
        <v>1920</v>
      </c>
      <c r="K948">
        <v>1080</v>
      </c>
      <c r="L948" s="1" t="s">
        <v>28</v>
      </c>
      <c r="M948" s="1" t="s">
        <v>27</v>
      </c>
      <c r="N948" s="1" t="s">
        <v>27</v>
      </c>
      <c r="O948" s="1" t="s">
        <v>29</v>
      </c>
      <c r="P948">
        <v>2.5</v>
      </c>
      <c r="Q948" s="1" t="s">
        <v>41</v>
      </c>
      <c r="R948" s="1" t="str">
        <f>_xlfn.CONCAT(laptop[[#This Row],[CPU_company]]," ",laptop[[#This Row],[CPU_model]])</f>
        <v>Intel Core i5 7200U</v>
      </c>
      <c r="S948">
        <v>256</v>
      </c>
      <c r="T948">
        <v>0</v>
      </c>
      <c r="U948">
        <f>laptop[[#This Row],[PrimaryStorage]]+laptop[[#This Row],[SecondaryStorage]]</f>
        <v>256</v>
      </c>
      <c r="V948" s="1" t="s">
        <v>31</v>
      </c>
      <c r="W948" s="1" t="s">
        <v>27</v>
      </c>
      <c r="X948" s="1" t="str">
        <f>IF(laptop[[#This Row],[PrimaryStorageType]]=laptop[[#This Row],[SecondaryStorageType]],laptop[[#This Row],[PrimaryStorageType]],"SSD &amp; HDD")</f>
        <v>SSD &amp; HDD</v>
      </c>
      <c r="Y948" s="1" t="s">
        <v>102</v>
      </c>
    </row>
    <row r="949" spans="1:25" x14ac:dyDescent="0.25">
      <c r="A949" s="1" t="s">
        <v>73</v>
      </c>
      <c r="B949" s="1" t="s">
        <v>533</v>
      </c>
      <c r="C949" s="1" t="s">
        <v>38</v>
      </c>
      <c r="D949">
        <v>15.6</v>
      </c>
      <c r="E949">
        <v>8</v>
      </c>
      <c r="F949" s="1" t="s">
        <v>39</v>
      </c>
      <c r="G949">
        <v>2.2000000000000002</v>
      </c>
      <c r="H949">
        <v>685</v>
      </c>
      <c r="I949" s="1" t="s">
        <v>40</v>
      </c>
      <c r="J949">
        <v>1920</v>
      </c>
      <c r="K949">
        <v>1080</v>
      </c>
      <c r="L949" s="1" t="s">
        <v>27</v>
      </c>
      <c r="M949" s="1" t="s">
        <v>27</v>
      </c>
      <c r="N949" s="1" t="s">
        <v>27</v>
      </c>
      <c r="O949" s="1" t="s">
        <v>29</v>
      </c>
      <c r="P949">
        <v>2.7</v>
      </c>
      <c r="Q949" s="1" t="s">
        <v>71</v>
      </c>
      <c r="R949" s="1" t="str">
        <f>_xlfn.CONCAT(laptop[[#This Row],[CPU_company]]," ",laptop[[#This Row],[CPU_model]])</f>
        <v>Intel Core i7 7500U</v>
      </c>
      <c r="S949">
        <v>1024</v>
      </c>
      <c r="T949">
        <v>0</v>
      </c>
      <c r="U949">
        <f>laptop[[#This Row],[PrimaryStorage]]+laptop[[#This Row],[SecondaryStorage]]</f>
        <v>1024</v>
      </c>
      <c r="V949" s="1" t="s">
        <v>51</v>
      </c>
      <c r="W949" s="1" t="s">
        <v>27</v>
      </c>
      <c r="X949" s="1" t="str">
        <f>IF(laptop[[#This Row],[PrimaryStorageType]]=laptop[[#This Row],[SecondaryStorageType]],laptop[[#This Row],[PrimaryStorageType]],"SSD &amp; HDD")</f>
        <v>SSD &amp; HDD</v>
      </c>
      <c r="Y949" s="1" t="s">
        <v>131</v>
      </c>
    </row>
    <row r="950" spans="1:25" x14ac:dyDescent="0.25">
      <c r="A950" s="1" t="s">
        <v>65</v>
      </c>
      <c r="B950" s="1" t="s">
        <v>728</v>
      </c>
      <c r="C950" s="1" t="s">
        <v>38</v>
      </c>
      <c r="D950">
        <v>17.3</v>
      </c>
      <c r="E950">
        <v>4</v>
      </c>
      <c r="F950" s="1" t="s">
        <v>48</v>
      </c>
      <c r="G950">
        <v>2.36</v>
      </c>
      <c r="H950">
        <v>659</v>
      </c>
      <c r="I950" s="1" t="s">
        <v>26</v>
      </c>
      <c r="J950">
        <v>1600</v>
      </c>
      <c r="K950">
        <v>900</v>
      </c>
      <c r="L950" s="1" t="s">
        <v>27</v>
      </c>
      <c r="M950" s="1" t="s">
        <v>27</v>
      </c>
      <c r="N950" s="1" t="s">
        <v>27</v>
      </c>
      <c r="O950" s="1" t="s">
        <v>29</v>
      </c>
      <c r="P950">
        <v>2</v>
      </c>
      <c r="Q950" s="1" t="s">
        <v>62</v>
      </c>
      <c r="R950" s="1" t="str">
        <f>_xlfn.CONCAT(laptop[[#This Row],[CPU_company]]," ",laptop[[#This Row],[CPU_model]])</f>
        <v>Intel Core i3 6006U</v>
      </c>
      <c r="S950">
        <v>1024</v>
      </c>
      <c r="T950">
        <v>0</v>
      </c>
      <c r="U950">
        <f>laptop[[#This Row],[PrimaryStorage]]+laptop[[#This Row],[SecondaryStorage]]</f>
        <v>1024</v>
      </c>
      <c r="V950" s="1" t="s">
        <v>51</v>
      </c>
      <c r="W950" s="1" t="s">
        <v>27</v>
      </c>
      <c r="X950" s="1" t="str">
        <f>IF(laptop[[#This Row],[PrimaryStorageType]]=laptop[[#This Row],[SecondaryStorageType]],laptop[[#This Row],[PrimaryStorageType]],"SSD &amp; HDD")</f>
        <v>SSD &amp; HDD</v>
      </c>
      <c r="Y950" s="1" t="s">
        <v>201</v>
      </c>
    </row>
    <row r="951" spans="1:25" x14ac:dyDescent="0.25">
      <c r="A951" s="1" t="s">
        <v>46</v>
      </c>
      <c r="B951" s="1" t="s">
        <v>587</v>
      </c>
      <c r="C951" s="1" t="s">
        <v>38</v>
      </c>
      <c r="D951">
        <v>14</v>
      </c>
      <c r="E951">
        <v>4</v>
      </c>
      <c r="F951" s="1" t="s">
        <v>317</v>
      </c>
      <c r="G951">
        <v>1.68</v>
      </c>
      <c r="H951">
        <v>349</v>
      </c>
      <c r="I951" s="1" t="s">
        <v>26</v>
      </c>
      <c r="J951">
        <v>1366</v>
      </c>
      <c r="K951">
        <v>768</v>
      </c>
      <c r="L951" s="1" t="s">
        <v>27</v>
      </c>
      <c r="M951" s="1" t="s">
        <v>27</v>
      </c>
      <c r="N951" s="1" t="s">
        <v>27</v>
      </c>
      <c r="O951" s="1" t="s">
        <v>29</v>
      </c>
      <c r="P951">
        <v>1.6</v>
      </c>
      <c r="Q951" s="1" t="s">
        <v>151</v>
      </c>
      <c r="R951" s="1" t="str">
        <f>_xlfn.CONCAT(laptop[[#This Row],[CPU_company]]," ",laptop[[#This Row],[CPU_model]])</f>
        <v>Intel Celeron Dual Core N3060</v>
      </c>
      <c r="S951">
        <v>32</v>
      </c>
      <c r="T951">
        <v>0</v>
      </c>
      <c r="U951">
        <f>laptop[[#This Row],[PrimaryStorage]]+laptop[[#This Row],[SecondaryStorage]]</f>
        <v>32</v>
      </c>
      <c r="V951" s="1" t="s">
        <v>34</v>
      </c>
      <c r="W951" s="1" t="s">
        <v>27</v>
      </c>
      <c r="X951" s="1" t="str">
        <f>IF(laptop[[#This Row],[PrimaryStorageType]]=laptop[[#This Row],[SecondaryStorageType]],laptop[[#This Row],[PrimaryStorageType]],"SSD &amp; HDD")</f>
        <v>SSD &amp; HDD</v>
      </c>
      <c r="Y951" s="1" t="s">
        <v>81</v>
      </c>
    </row>
    <row r="952" spans="1:25" x14ac:dyDescent="0.25">
      <c r="A952" s="1" t="s">
        <v>36</v>
      </c>
      <c r="B952" s="1" t="s">
        <v>729</v>
      </c>
      <c r="C952" s="1" t="s">
        <v>265</v>
      </c>
      <c r="D952">
        <v>15.6</v>
      </c>
      <c r="E952">
        <v>8</v>
      </c>
      <c r="F952" s="1" t="s">
        <v>48</v>
      </c>
      <c r="G952">
        <v>2</v>
      </c>
      <c r="H952">
        <v>2249</v>
      </c>
      <c r="I952" s="1" t="s">
        <v>40</v>
      </c>
      <c r="J952">
        <v>1920</v>
      </c>
      <c r="K952">
        <v>1080</v>
      </c>
      <c r="L952" s="1" t="s">
        <v>27</v>
      </c>
      <c r="M952" s="1" t="s">
        <v>28</v>
      </c>
      <c r="N952" s="1" t="s">
        <v>27</v>
      </c>
      <c r="O952" s="1" t="s">
        <v>29</v>
      </c>
      <c r="P952">
        <v>2.7</v>
      </c>
      <c r="Q952" s="1" t="s">
        <v>388</v>
      </c>
      <c r="R952" s="1" t="str">
        <f>_xlfn.CONCAT(laptop[[#This Row],[CPU_company]]," ",laptop[[#This Row],[CPU_model]])</f>
        <v>Intel Core i7 6820HQ</v>
      </c>
      <c r="S952">
        <v>8</v>
      </c>
      <c r="T952">
        <v>0</v>
      </c>
      <c r="U952">
        <f>laptop[[#This Row],[PrimaryStorage]]+laptop[[#This Row],[SecondaryStorage]]</f>
        <v>8</v>
      </c>
      <c r="V952" s="1" t="s">
        <v>31</v>
      </c>
      <c r="W952" s="1" t="s">
        <v>27</v>
      </c>
      <c r="X952" s="1" t="str">
        <f>IF(laptop[[#This Row],[PrimaryStorageType]]=laptop[[#This Row],[SecondaryStorageType]],laptop[[#This Row],[PrimaryStorageType]],"SSD &amp; HDD")</f>
        <v>SSD &amp; HDD</v>
      </c>
      <c r="Y952" s="1" t="s">
        <v>632</v>
      </c>
    </row>
    <row r="953" spans="1:25" x14ac:dyDescent="0.25">
      <c r="A953" s="1" t="s">
        <v>65</v>
      </c>
      <c r="B953" s="1" t="s">
        <v>367</v>
      </c>
      <c r="C953" s="1" t="s">
        <v>24</v>
      </c>
      <c r="D953">
        <v>14</v>
      </c>
      <c r="E953">
        <v>8</v>
      </c>
      <c r="F953" s="1" t="s">
        <v>48</v>
      </c>
      <c r="G953">
        <v>1.36</v>
      </c>
      <c r="H953">
        <v>1775</v>
      </c>
      <c r="I953" s="1" t="s">
        <v>40</v>
      </c>
      <c r="J953">
        <v>1920</v>
      </c>
      <c r="K953">
        <v>1080</v>
      </c>
      <c r="L953" s="1" t="s">
        <v>27</v>
      </c>
      <c r="M953" s="1" t="s">
        <v>27</v>
      </c>
      <c r="N953" s="1" t="s">
        <v>27</v>
      </c>
      <c r="O953" s="1" t="s">
        <v>29</v>
      </c>
      <c r="P953">
        <v>2.8</v>
      </c>
      <c r="Q953" s="1" t="s">
        <v>335</v>
      </c>
      <c r="R953" s="1" t="str">
        <f>_xlfn.CONCAT(laptop[[#This Row],[CPU_company]]," ",laptop[[#This Row],[CPU_model]])</f>
        <v>Intel Core i7 7600U</v>
      </c>
      <c r="S953">
        <v>256</v>
      </c>
      <c r="T953">
        <v>0</v>
      </c>
      <c r="U953">
        <f>laptop[[#This Row],[PrimaryStorage]]+laptop[[#This Row],[SecondaryStorage]]</f>
        <v>256</v>
      </c>
      <c r="V953" s="1" t="s">
        <v>31</v>
      </c>
      <c r="W953" s="1" t="s">
        <v>27</v>
      </c>
      <c r="X953" s="1" t="str">
        <f>IF(laptop[[#This Row],[PrimaryStorageType]]=laptop[[#This Row],[SecondaryStorageType]],laptop[[#This Row],[PrimaryStorageType]],"SSD &amp; HDD")</f>
        <v>SSD &amp; HDD</v>
      </c>
      <c r="Y953" s="1" t="s">
        <v>42</v>
      </c>
    </row>
    <row r="954" spans="1:25" x14ac:dyDescent="0.25">
      <c r="A954" s="1" t="s">
        <v>210</v>
      </c>
      <c r="B954" s="1" t="s">
        <v>730</v>
      </c>
      <c r="C954" s="1" t="s">
        <v>38</v>
      </c>
      <c r="D954">
        <v>13.3</v>
      </c>
      <c r="E954">
        <v>8</v>
      </c>
      <c r="F954" s="1" t="s">
        <v>480</v>
      </c>
      <c r="G954">
        <v>1.2</v>
      </c>
      <c r="H954">
        <v>1460</v>
      </c>
      <c r="I954" s="1" t="s">
        <v>40</v>
      </c>
      <c r="J954">
        <v>1920</v>
      </c>
      <c r="K954">
        <v>1080</v>
      </c>
      <c r="L954" s="1" t="s">
        <v>27</v>
      </c>
      <c r="M954" s="1" t="s">
        <v>27</v>
      </c>
      <c r="N954" s="1" t="s">
        <v>27</v>
      </c>
      <c r="O954" s="1" t="s">
        <v>29</v>
      </c>
      <c r="P954">
        <v>2.2999999999999998</v>
      </c>
      <c r="Q954" s="1" t="s">
        <v>212</v>
      </c>
      <c r="R954" s="1" t="str">
        <f>_xlfn.CONCAT(laptop[[#This Row],[CPU_company]]," ",laptop[[#This Row],[CPU_model]])</f>
        <v>Intel Core i5 6200U</v>
      </c>
      <c r="S954">
        <v>256</v>
      </c>
      <c r="T954">
        <v>0</v>
      </c>
      <c r="U954">
        <f>laptop[[#This Row],[PrimaryStorage]]+laptop[[#This Row],[SecondaryStorage]]</f>
        <v>256</v>
      </c>
      <c r="V954" s="1" t="s">
        <v>31</v>
      </c>
      <c r="W954" s="1" t="s">
        <v>27</v>
      </c>
      <c r="X954" s="1" t="str">
        <f>IF(laptop[[#This Row],[PrimaryStorageType]]=laptop[[#This Row],[SecondaryStorageType]],laptop[[#This Row],[PrimaryStorageType]],"SSD &amp; HDD")</f>
        <v>SSD &amp; HDD</v>
      </c>
      <c r="Y954" s="1" t="s">
        <v>63</v>
      </c>
    </row>
    <row r="955" spans="1:25" x14ac:dyDescent="0.25">
      <c r="A955" s="1" t="s">
        <v>55</v>
      </c>
      <c r="B955" s="1" t="s">
        <v>591</v>
      </c>
      <c r="C955" s="1" t="s">
        <v>90</v>
      </c>
      <c r="D955">
        <v>12.5</v>
      </c>
      <c r="E955">
        <v>8</v>
      </c>
      <c r="F955" s="1" t="s">
        <v>317</v>
      </c>
      <c r="G955">
        <v>1.2</v>
      </c>
      <c r="H955">
        <v>1159</v>
      </c>
      <c r="I955" s="1" t="s">
        <v>40</v>
      </c>
      <c r="J955">
        <v>1920</v>
      </c>
      <c r="K955">
        <v>1080</v>
      </c>
      <c r="L955" s="1" t="s">
        <v>27</v>
      </c>
      <c r="M955" s="1" t="s">
        <v>27</v>
      </c>
      <c r="N955" s="1" t="s">
        <v>27</v>
      </c>
      <c r="O955" s="1" t="s">
        <v>29</v>
      </c>
      <c r="P955">
        <v>1.2</v>
      </c>
      <c r="Q955" s="1" t="s">
        <v>731</v>
      </c>
      <c r="R955" s="1" t="str">
        <f>_xlfn.CONCAT(laptop[[#This Row],[CPU_company]]," ",laptop[[#This Row],[CPU_model]])</f>
        <v>Intel Core M M7-6Y75</v>
      </c>
      <c r="S955">
        <v>64</v>
      </c>
      <c r="T955">
        <v>0</v>
      </c>
      <c r="U955">
        <f>laptop[[#This Row],[PrimaryStorage]]+laptop[[#This Row],[SecondaryStorage]]</f>
        <v>64</v>
      </c>
      <c r="V955" s="1" t="s">
        <v>34</v>
      </c>
      <c r="W955" s="1" t="s">
        <v>27</v>
      </c>
      <c r="X955" s="1" t="str">
        <f>IF(laptop[[#This Row],[PrimaryStorageType]]=laptop[[#This Row],[SecondaryStorageType]],laptop[[#This Row],[PrimaryStorageType]],"SSD &amp; HDD")</f>
        <v>SSD &amp; HDD</v>
      </c>
      <c r="Y955" s="1" t="s">
        <v>217</v>
      </c>
    </row>
    <row r="956" spans="1:25" x14ac:dyDescent="0.25">
      <c r="A956" s="1" t="s">
        <v>73</v>
      </c>
      <c r="B956" s="1" t="s">
        <v>626</v>
      </c>
      <c r="C956" s="1" t="s">
        <v>24</v>
      </c>
      <c r="D956">
        <v>14</v>
      </c>
      <c r="E956">
        <v>8</v>
      </c>
      <c r="F956" s="1" t="s">
        <v>48</v>
      </c>
      <c r="G956">
        <v>1.7</v>
      </c>
      <c r="H956">
        <v>1488.99</v>
      </c>
      <c r="I956" s="1" t="s">
        <v>40</v>
      </c>
      <c r="J956">
        <v>1920</v>
      </c>
      <c r="K956">
        <v>1080</v>
      </c>
      <c r="L956" s="1" t="s">
        <v>27</v>
      </c>
      <c r="M956" s="1" t="s">
        <v>28</v>
      </c>
      <c r="N956" s="1" t="s">
        <v>27</v>
      </c>
      <c r="O956" s="1" t="s">
        <v>29</v>
      </c>
      <c r="P956">
        <v>2.6</v>
      </c>
      <c r="Q956" s="1" t="s">
        <v>309</v>
      </c>
      <c r="R956" s="1" t="str">
        <f>_xlfn.CONCAT(laptop[[#This Row],[CPU_company]]," ",laptop[[#This Row],[CPU_model]])</f>
        <v>Intel Core i7 6600U</v>
      </c>
      <c r="S956">
        <v>256</v>
      </c>
      <c r="T956">
        <v>0</v>
      </c>
      <c r="U956">
        <f>laptop[[#This Row],[PrimaryStorage]]+laptop[[#This Row],[SecondaryStorage]]</f>
        <v>256</v>
      </c>
      <c r="V956" s="1" t="s">
        <v>31</v>
      </c>
      <c r="W956" s="1" t="s">
        <v>27</v>
      </c>
      <c r="X956" s="1" t="str">
        <f>IF(laptop[[#This Row],[PrimaryStorageType]]=laptop[[#This Row],[SecondaryStorageType]],laptop[[#This Row],[PrimaryStorageType]],"SSD &amp; HDD")</f>
        <v>SSD &amp; HDD</v>
      </c>
      <c r="Y956" s="1" t="s">
        <v>63</v>
      </c>
    </row>
    <row r="957" spans="1:25" x14ac:dyDescent="0.25">
      <c r="A957" s="1" t="s">
        <v>65</v>
      </c>
      <c r="B957" s="1" t="s">
        <v>275</v>
      </c>
      <c r="C957" s="1" t="s">
        <v>83</v>
      </c>
      <c r="D957">
        <v>17.3</v>
      </c>
      <c r="E957">
        <v>16</v>
      </c>
      <c r="F957" s="1" t="s">
        <v>48</v>
      </c>
      <c r="G957">
        <v>4.3600000000000003</v>
      </c>
      <c r="H957">
        <v>3154</v>
      </c>
      <c r="I957" s="1" t="s">
        <v>215</v>
      </c>
      <c r="J957">
        <v>3840</v>
      </c>
      <c r="K957">
        <v>2160</v>
      </c>
      <c r="L957" s="1" t="s">
        <v>27</v>
      </c>
      <c r="M957" s="1" t="s">
        <v>28</v>
      </c>
      <c r="N957" s="1" t="s">
        <v>27</v>
      </c>
      <c r="O957" s="1" t="s">
        <v>29</v>
      </c>
      <c r="P957">
        <v>2.8</v>
      </c>
      <c r="Q957" s="1" t="s">
        <v>118</v>
      </c>
      <c r="R957" s="1" t="str">
        <f>_xlfn.CONCAT(laptop[[#This Row],[CPU_company]]," ",laptop[[#This Row],[CPU_model]])</f>
        <v>Intel Core i7 7700HQ</v>
      </c>
      <c r="S957">
        <v>512</v>
      </c>
      <c r="T957">
        <v>1024</v>
      </c>
      <c r="U957">
        <f>laptop[[#This Row],[PrimaryStorage]]+laptop[[#This Row],[SecondaryStorage]]</f>
        <v>1536</v>
      </c>
      <c r="V957" s="1" t="s">
        <v>31</v>
      </c>
      <c r="W957" s="1" t="s">
        <v>51</v>
      </c>
      <c r="X957" s="1" t="str">
        <f>IF(laptop[[#This Row],[PrimaryStorageType]]=laptop[[#This Row],[SecondaryStorageType]],laptop[[#This Row],[PrimaryStorageType]],"SSD &amp; HDD")</f>
        <v>SSD &amp; HDD</v>
      </c>
      <c r="Y957" s="1" t="s">
        <v>143</v>
      </c>
    </row>
    <row r="958" spans="1:25" x14ac:dyDescent="0.25">
      <c r="A958" s="1" t="s">
        <v>65</v>
      </c>
      <c r="B958" s="1" t="s">
        <v>77</v>
      </c>
      <c r="C958" s="1" t="s">
        <v>90</v>
      </c>
      <c r="D958">
        <v>13.3</v>
      </c>
      <c r="E958">
        <v>8</v>
      </c>
      <c r="F958" s="1" t="s">
        <v>48</v>
      </c>
      <c r="G958">
        <v>1.24</v>
      </c>
      <c r="H958">
        <v>1899</v>
      </c>
      <c r="I958" s="1" t="s">
        <v>40</v>
      </c>
      <c r="J958">
        <v>1920</v>
      </c>
      <c r="K958">
        <v>1080</v>
      </c>
      <c r="L958" s="1" t="s">
        <v>28</v>
      </c>
      <c r="M958" s="1" t="s">
        <v>27</v>
      </c>
      <c r="N958" s="1" t="s">
        <v>27</v>
      </c>
      <c r="O958" s="1" t="s">
        <v>29</v>
      </c>
      <c r="P958">
        <v>1.2</v>
      </c>
      <c r="Q958" s="1" t="s">
        <v>251</v>
      </c>
      <c r="R958" s="1" t="str">
        <f>_xlfn.CONCAT(laptop[[#This Row],[CPU_company]]," ",laptop[[#This Row],[CPU_model]])</f>
        <v>Intel Core i5 7Y54</v>
      </c>
      <c r="S958">
        <v>256</v>
      </c>
      <c r="T958">
        <v>0</v>
      </c>
      <c r="U958">
        <f>laptop[[#This Row],[PrimaryStorage]]+laptop[[#This Row],[SecondaryStorage]]</f>
        <v>256</v>
      </c>
      <c r="V958" s="1" t="s">
        <v>31</v>
      </c>
      <c r="W958" s="1" t="s">
        <v>27</v>
      </c>
      <c r="X958" s="1" t="str">
        <f>IF(laptop[[#This Row],[PrimaryStorageType]]=laptop[[#This Row],[SecondaryStorageType]],laptop[[#This Row],[PrimaryStorageType]],"SSD &amp; HDD")</f>
        <v>SSD &amp; HDD</v>
      </c>
      <c r="Y958" s="1" t="s">
        <v>70</v>
      </c>
    </row>
    <row r="959" spans="1:25" x14ac:dyDescent="0.25">
      <c r="A959" s="1" t="s">
        <v>36</v>
      </c>
      <c r="B959" s="1" t="s">
        <v>732</v>
      </c>
      <c r="C959" s="1" t="s">
        <v>90</v>
      </c>
      <c r="D959">
        <v>11.6</v>
      </c>
      <c r="E959">
        <v>4</v>
      </c>
      <c r="F959" s="1" t="s">
        <v>48</v>
      </c>
      <c r="G959">
        <v>1.45</v>
      </c>
      <c r="H959">
        <v>775</v>
      </c>
      <c r="I959" s="1" t="s">
        <v>26</v>
      </c>
      <c r="J959">
        <v>1366</v>
      </c>
      <c r="K959">
        <v>768</v>
      </c>
      <c r="L959" s="1" t="s">
        <v>28</v>
      </c>
      <c r="M959" s="1" t="s">
        <v>27</v>
      </c>
      <c r="N959" s="1" t="s">
        <v>27</v>
      </c>
      <c r="O959" s="1" t="s">
        <v>29</v>
      </c>
      <c r="P959">
        <v>1.1000000000000001</v>
      </c>
      <c r="Q959" s="1" t="s">
        <v>130</v>
      </c>
      <c r="R959" s="1" t="str">
        <f>_xlfn.CONCAT(laptop[[#This Row],[CPU_company]]," ",laptop[[#This Row],[CPU_model]])</f>
        <v>Intel Pentium Quad Core N4200</v>
      </c>
      <c r="S959">
        <v>256</v>
      </c>
      <c r="T959">
        <v>0</v>
      </c>
      <c r="U959">
        <f>laptop[[#This Row],[PrimaryStorage]]+laptop[[#This Row],[SecondaryStorage]]</f>
        <v>256</v>
      </c>
      <c r="V959" s="1" t="s">
        <v>31</v>
      </c>
      <c r="W959" s="1" t="s">
        <v>27</v>
      </c>
      <c r="X959" s="1" t="str">
        <f>IF(laptop[[#This Row],[PrimaryStorageType]]=laptop[[#This Row],[SecondaryStorageType]],laptop[[#This Row],[PrimaryStorageType]],"SSD &amp; HDD")</f>
        <v>SSD &amp; HDD</v>
      </c>
      <c r="Y959" s="1" t="s">
        <v>237</v>
      </c>
    </row>
    <row r="960" spans="1:25" x14ac:dyDescent="0.25">
      <c r="A960" s="1" t="s">
        <v>65</v>
      </c>
      <c r="B960" s="1" t="s">
        <v>77</v>
      </c>
      <c r="C960" s="1" t="s">
        <v>24</v>
      </c>
      <c r="D960">
        <v>13.3</v>
      </c>
      <c r="E960">
        <v>8</v>
      </c>
      <c r="F960" s="1" t="s">
        <v>48</v>
      </c>
      <c r="G960">
        <v>1.3</v>
      </c>
      <c r="H960">
        <v>1268</v>
      </c>
      <c r="I960" s="1" t="s">
        <v>107</v>
      </c>
      <c r="J960">
        <v>3200</v>
      </c>
      <c r="K960">
        <v>1800</v>
      </c>
      <c r="L960" s="1" t="s">
        <v>27</v>
      </c>
      <c r="M960" s="1" t="s">
        <v>27</v>
      </c>
      <c r="N960" s="1" t="s">
        <v>27</v>
      </c>
      <c r="O960" s="1" t="s">
        <v>29</v>
      </c>
      <c r="P960">
        <v>2.5</v>
      </c>
      <c r="Q960" s="1" t="s">
        <v>274</v>
      </c>
      <c r="R960" s="1" t="str">
        <f>_xlfn.CONCAT(laptop[[#This Row],[CPU_company]]," ",laptop[[#This Row],[CPU_model]])</f>
        <v>Intel Core i7 6500U</v>
      </c>
      <c r="S960">
        <v>256</v>
      </c>
      <c r="T960">
        <v>0</v>
      </c>
      <c r="U960">
        <f>laptop[[#This Row],[PrimaryStorage]]+laptop[[#This Row],[SecondaryStorage]]</f>
        <v>256</v>
      </c>
      <c r="V960" s="1" t="s">
        <v>31</v>
      </c>
      <c r="W960" s="1" t="s">
        <v>27</v>
      </c>
      <c r="X960" s="1" t="str">
        <f>IF(laptop[[#This Row],[PrimaryStorageType]]=laptop[[#This Row],[SecondaryStorageType]],laptop[[#This Row],[PrimaryStorageType]],"SSD &amp; HDD")</f>
        <v>SSD &amp; HDD</v>
      </c>
      <c r="Y960" s="1" t="s">
        <v>63</v>
      </c>
    </row>
    <row r="961" spans="1:25" x14ac:dyDescent="0.25">
      <c r="A961" s="1" t="s">
        <v>46</v>
      </c>
      <c r="B961" s="1" t="s">
        <v>733</v>
      </c>
      <c r="C961" s="1" t="s">
        <v>90</v>
      </c>
      <c r="D961">
        <v>11.6</v>
      </c>
      <c r="E961">
        <v>4</v>
      </c>
      <c r="F961" s="1" t="s">
        <v>317</v>
      </c>
      <c r="G961">
        <v>1.25</v>
      </c>
      <c r="H961">
        <v>389</v>
      </c>
      <c r="I961" s="1" t="s">
        <v>26</v>
      </c>
      <c r="J961">
        <v>1366</v>
      </c>
      <c r="K961">
        <v>768</v>
      </c>
      <c r="L961" s="1" t="s">
        <v>28</v>
      </c>
      <c r="M961" s="1" t="s">
        <v>28</v>
      </c>
      <c r="N961" s="1" t="s">
        <v>27</v>
      </c>
      <c r="O961" s="1" t="s">
        <v>29</v>
      </c>
      <c r="P961">
        <v>1.6</v>
      </c>
      <c r="Q961" s="1" t="s">
        <v>151</v>
      </c>
      <c r="R961" s="1" t="str">
        <f>_xlfn.CONCAT(laptop[[#This Row],[CPU_company]]," ",laptop[[#This Row],[CPU_model]])</f>
        <v>Intel Celeron Dual Core N3060</v>
      </c>
      <c r="S961">
        <v>32</v>
      </c>
      <c r="T961">
        <v>0</v>
      </c>
      <c r="U961">
        <f>laptop[[#This Row],[PrimaryStorage]]+laptop[[#This Row],[SecondaryStorage]]</f>
        <v>32</v>
      </c>
      <c r="V961" s="1" t="s">
        <v>34</v>
      </c>
      <c r="W961" s="1" t="s">
        <v>27</v>
      </c>
      <c r="X961" s="1" t="str">
        <f>IF(laptop[[#This Row],[PrimaryStorageType]]=laptop[[#This Row],[SecondaryStorageType]],laptop[[#This Row],[PrimaryStorageType]],"SSD &amp; HDD")</f>
        <v>SSD &amp; HDD</v>
      </c>
      <c r="Y961" s="1" t="s">
        <v>81</v>
      </c>
    </row>
    <row r="962" spans="1:25" x14ac:dyDescent="0.25">
      <c r="A962" s="1" t="s">
        <v>210</v>
      </c>
      <c r="B962" s="1" t="s">
        <v>734</v>
      </c>
      <c r="C962" s="1" t="s">
        <v>38</v>
      </c>
      <c r="D962">
        <v>13.3</v>
      </c>
      <c r="E962">
        <v>8</v>
      </c>
      <c r="F962" s="1" t="s">
        <v>48</v>
      </c>
      <c r="G962">
        <v>1.2</v>
      </c>
      <c r="H962">
        <v>1535</v>
      </c>
      <c r="I962" s="1" t="s">
        <v>40</v>
      </c>
      <c r="J962">
        <v>1920</v>
      </c>
      <c r="K962">
        <v>1080</v>
      </c>
      <c r="L962" s="1" t="s">
        <v>27</v>
      </c>
      <c r="M962" s="1" t="s">
        <v>27</v>
      </c>
      <c r="N962" s="1" t="s">
        <v>27</v>
      </c>
      <c r="O962" s="1" t="s">
        <v>29</v>
      </c>
      <c r="P962">
        <v>2.4</v>
      </c>
      <c r="Q962" s="1" t="s">
        <v>562</v>
      </c>
      <c r="R962" s="1" t="str">
        <f>_xlfn.CONCAT(laptop[[#This Row],[CPU_company]]," ",laptop[[#This Row],[CPU_model]])</f>
        <v>Intel Core i5 6300U</v>
      </c>
      <c r="S962">
        <v>256</v>
      </c>
      <c r="T962">
        <v>0</v>
      </c>
      <c r="U962">
        <f>laptop[[#This Row],[PrimaryStorage]]+laptop[[#This Row],[SecondaryStorage]]</f>
        <v>256</v>
      </c>
      <c r="V962" s="1" t="s">
        <v>31</v>
      </c>
      <c r="W962" s="1" t="s">
        <v>27</v>
      </c>
      <c r="X962" s="1" t="str">
        <f>IF(laptop[[#This Row],[PrimaryStorageType]]=laptop[[#This Row],[SecondaryStorageType]],laptop[[#This Row],[PrimaryStorageType]],"SSD &amp; HDD")</f>
        <v>SSD &amp; HDD</v>
      </c>
      <c r="Y962" s="1" t="s">
        <v>63</v>
      </c>
    </row>
    <row r="963" spans="1:25" x14ac:dyDescent="0.25">
      <c r="A963" s="1" t="s">
        <v>73</v>
      </c>
      <c r="B963" s="1" t="s">
        <v>426</v>
      </c>
      <c r="C963" s="1" t="s">
        <v>24</v>
      </c>
      <c r="D963">
        <v>12.5</v>
      </c>
      <c r="E963">
        <v>8</v>
      </c>
      <c r="F963" s="1" t="s">
        <v>48</v>
      </c>
      <c r="G963">
        <v>1.36</v>
      </c>
      <c r="H963">
        <v>1760</v>
      </c>
      <c r="I963" s="1" t="s">
        <v>40</v>
      </c>
      <c r="J963">
        <v>1920</v>
      </c>
      <c r="K963">
        <v>1080</v>
      </c>
      <c r="L963" s="1" t="s">
        <v>27</v>
      </c>
      <c r="M963" s="1" t="s">
        <v>28</v>
      </c>
      <c r="N963" s="1" t="s">
        <v>27</v>
      </c>
      <c r="O963" s="1" t="s">
        <v>29</v>
      </c>
      <c r="P963">
        <v>2.6</v>
      </c>
      <c r="Q963" s="1" t="s">
        <v>358</v>
      </c>
      <c r="R963" s="1" t="str">
        <f>_xlfn.CONCAT(laptop[[#This Row],[CPU_company]]," ",laptop[[#This Row],[CPU_model]])</f>
        <v>Intel Core i5 7300U</v>
      </c>
      <c r="S963">
        <v>256</v>
      </c>
      <c r="T963">
        <v>0</v>
      </c>
      <c r="U963">
        <f>laptop[[#This Row],[PrimaryStorage]]+laptop[[#This Row],[SecondaryStorage]]</f>
        <v>256</v>
      </c>
      <c r="V963" s="1" t="s">
        <v>31</v>
      </c>
      <c r="W963" s="1" t="s">
        <v>27</v>
      </c>
      <c r="X963" s="1" t="str">
        <f>IF(laptop[[#This Row],[PrimaryStorageType]]=laptop[[#This Row],[SecondaryStorageType]],laptop[[#This Row],[PrimaryStorageType]],"SSD &amp; HDD")</f>
        <v>SSD &amp; HDD</v>
      </c>
      <c r="Y963" s="1" t="s">
        <v>42</v>
      </c>
    </row>
    <row r="964" spans="1:25" x14ac:dyDescent="0.25">
      <c r="A964" s="1" t="s">
        <v>46</v>
      </c>
      <c r="B964" s="1" t="s">
        <v>735</v>
      </c>
      <c r="C964" s="1" t="s">
        <v>38</v>
      </c>
      <c r="D964">
        <v>15.6</v>
      </c>
      <c r="E964">
        <v>12</v>
      </c>
      <c r="F964" s="1" t="s">
        <v>48</v>
      </c>
      <c r="G964">
        <v>2.4</v>
      </c>
      <c r="H964">
        <v>1009</v>
      </c>
      <c r="I964" s="1" t="s">
        <v>40</v>
      </c>
      <c r="J964">
        <v>1920</v>
      </c>
      <c r="K964">
        <v>1080</v>
      </c>
      <c r="L964" s="1" t="s">
        <v>27</v>
      </c>
      <c r="M964" s="1" t="s">
        <v>27</v>
      </c>
      <c r="N964" s="1" t="s">
        <v>27</v>
      </c>
      <c r="O964" s="1" t="s">
        <v>29</v>
      </c>
      <c r="P964">
        <v>2.5</v>
      </c>
      <c r="Q964" s="1" t="s">
        <v>41</v>
      </c>
      <c r="R964" s="1" t="str">
        <f>_xlfn.CONCAT(laptop[[#This Row],[CPU_company]]," ",laptop[[#This Row],[CPU_model]])</f>
        <v>Intel Core i5 7200U</v>
      </c>
      <c r="S964">
        <v>128</v>
      </c>
      <c r="T964">
        <v>1024</v>
      </c>
      <c r="U964">
        <f>laptop[[#This Row],[PrimaryStorage]]+laptop[[#This Row],[SecondaryStorage]]</f>
        <v>1152</v>
      </c>
      <c r="V964" s="1" t="s">
        <v>31</v>
      </c>
      <c r="W964" s="1" t="s">
        <v>51</v>
      </c>
      <c r="X964" s="1" t="str">
        <f>IF(laptop[[#This Row],[PrimaryStorageType]]=laptop[[#This Row],[SecondaryStorageType]],laptop[[#This Row],[PrimaryStorageType]],"SSD &amp; HDD")</f>
        <v>SSD &amp; HDD</v>
      </c>
      <c r="Y964" s="1" t="s">
        <v>279</v>
      </c>
    </row>
    <row r="965" spans="1:25" x14ac:dyDescent="0.25">
      <c r="A965" s="1" t="s">
        <v>210</v>
      </c>
      <c r="B965" s="1" t="s">
        <v>736</v>
      </c>
      <c r="C965" s="1" t="s">
        <v>24</v>
      </c>
      <c r="D965">
        <v>12.5</v>
      </c>
      <c r="E965">
        <v>8</v>
      </c>
      <c r="F965" s="1" t="s">
        <v>48</v>
      </c>
      <c r="G965">
        <v>1.1000000000000001</v>
      </c>
      <c r="H965">
        <v>1790</v>
      </c>
      <c r="I965" s="1" t="s">
        <v>40</v>
      </c>
      <c r="J965">
        <v>1920</v>
      </c>
      <c r="K965">
        <v>1080</v>
      </c>
      <c r="L965" s="1" t="s">
        <v>28</v>
      </c>
      <c r="M965" s="1" t="s">
        <v>27</v>
      </c>
      <c r="N965" s="1" t="s">
        <v>27</v>
      </c>
      <c r="O965" s="1" t="s">
        <v>29</v>
      </c>
      <c r="P965">
        <v>2.7</v>
      </c>
      <c r="Q965" s="1" t="s">
        <v>71</v>
      </c>
      <c r="R965" s="1" t="str">
        <f>_xlfn.CONCAT(laptop[[#This Row],[CPU_company]]," ",laptop[[#This Row],[CPU_model]])</f>
        <v>Intel Core i7 7500U</v>
      </c>
      <c r="S965">
        <v>512</v>
      </c>
      <c r="T965">
        <v>0</v>
      </c>
      <c r="U965">
        <f>laptop[[#This Row],[PrimaryStorage]]+laptop[[#This Row],[SecondaryStorage]]</f>
        <v>512</v>
      </c>
      <c r="V965" s="1" t="s">
        <v>31</v>
      </c>
      <c r="W965" s="1" t="s">
        <v>27</v>
      </c>
      <c r="X965" s="1" t="str">
        <f>IF(laptop[[#This Row],[PrimaryStorageType]]=laptop[[#This Row],[SecondaryStorageType]],laptop[[#This Row],[PrimaryStorageType]],"SSD &amp; HDD")</f>
        <v>SSD &amp; HDD</v>
      </c>
      <c r="Y965" s="1" t="s">
        <v>42</v>
      </c>
    </row>
    <row r="966" spans="1:25" x14ac:dyDescent="0.25">
      <c r="A966" s="1" t="s">
        <v>36</v>
      </c>
      <c r="B966" s="1" t="s">
        <v>114</v>
      </c>
      <c r="C966" s="1" t="s">
        <v>38</v>
      </c>
      <c r="D966">
        <v>15.6</v>
      </c>
      <c r="E966">
        <v>8</v>
      </c>
      <c r="F966" s="1" t="s">
        <v>48</v>
      </c>
      <c r="G966">
        <v>2.04</v>
      </c>
      <c r="H966">
        <v>846.5</v>
      </c>
      <c r="I966" s="1" t="s">
        <v>26</v>
      </c>
      <c r="J966">
        <v>1366</v>
      </c>
      <c r="K966">
        <v>768</v>
      </c>
      <c r="L966" s="1" t="s">
        <v>27</v>
      </c>
      <c r="M966" s="1" t="s">
        <v>27</v>
      </c>
      <c r="N966" s="1" t="s">
        <v>27</v>
      </c>
      <c r="O966" s="1" t="s">
        <v>29</v>
      </c>
      <c r="P966">
        <v>2.5</v>
      </c>
      <c r="Q966" s="1" t="s">
        <v>41</v>
      </c>
      <c r="R966" s="1" t="str">
        <f>_xlfn.CONCAT(laptop[[#This Row],[CPU_company]]," ",laptop[[#This Row],[CPU_model]])</f>
        <v>Intel Core i5 7200U</v>
      </c>
      <c r="S966">
        <v>1024</v>
      </c>
      <c r="T966">
        <v>0</v>
      </c>
      <c r="U966">
        <f>laptop[[#This Row],[PrimaryStorage]]+laptop[[#This Row],[SecondaryStorage]]</f>
        <v>1024</v>
      </c>
      <c r="V966" s="1" t="s">
        <v>51</v>
      </c>
      <c r="W966" s="1" t="s">
        <v>27</v>
      </c>
      <c r="X966" s="1" t="str">
        <f>IF(laptop[[#This Row],[PrimaryStorageType]]=laptop[[#This Row],[SecondaryStorageType]],laptop[[#This Row],[PrimaryStorageType]],"SSD &amp; HDD")</f>
        <v>SSD &amp; HDD</v>
      </c>
      <c r="Y966" s="1" t="s">
        <v>98</v>
      </c>
    </row>
    <row r="967" spans="1:25" x14ac:dyDescent="0.25">
      <c r="A967" s="1" t="s">
        <v>65</v>
      </c>
      <c r="B967" s="1" t="s">
        <v>66</v>
      </c>
      <c r="C967" s="1" t="s">
        <v>38</v>
      </c>
      <c r="D967">
        <v>15.6</v>
      </c>
      <c r="E967">
        <v>4</v>
      </c>
      <c r="F967" s="1" t="s">
        <v>111</v>
      </c>
      <c r="G967">
        <v>2.25</v>
      </c>
      <c r="H967">
        <v>465.62</v>
      </c>
      <c r="I967" s="1" t="s">
        <v>26</v>
      </c>
      <c r="J967">
        <v>1366</v>
      </c>
      <c r="K967">
        <v>768</v>
      </c>
      <c r="L967" s="1" t="s">
        <v>27</v>
      </c>
      <c r="M967" s="1" t="s">
        <v>27</v>
      </c>
      <c r="N967" s="1" t="s">
        <v>27</v>
      </c>
      <c r="O967" s="1" t="s">
        <v>29</v>
      </c>
      <c r="P967">
        <v>2</v>
      </c>
      <c r="Q967" s="1" t="s">
        <v>62</v>
      </c>
      <c r="R967" s="1" t="str">
        <f>_xlfn.CONCAT(laptop[[#This Row],[CPU_company]]," ",laptop[[#This Row],[CPU_model]])</f>
        <v>Intel Core i3 6006U</v>
      </c>
      <c r="S967">
        <v>1024</v>
      </c>
      <c r="T967">
        <v>0</v>
      </c>
      <c r="U967">
        <f>laptop[[#This Row],[PrimaryStorage]]+laptop[[#This Row],[SecondaryStorage]]</f>
        <v>1024</v>
      </c>
      <c r="V967" s="1" t="s">
        <v>51</v>
      </c>
      <c r="W967" s="1" t="s">
        <v>27</v>
      </c>
      <c r="X967" s="1" t="str">
        <f>IF(laptop[[#This Row],[PrimaryStorageType]]=laptop[[#This Row],[SecondaryStorageType]],laptop[[#This Row],[PrimaryStorageType]],"SSD &amp; HDD")</f>
        <v>SSD &amp; HDD</v>
      </c>
      <c r="Y967" s="1" t="s">
        <v>67</v>
      </c>
    </row>
    <row r="968" spans="1:25" x14ac:dyDescent="0.25">
      <c r="A968" s="1" t="s">
        <v>65</v>
      </c>
      <c r="B968" s="1" t="s">
        <v>481</v>
      </c>
      <c r="C968" s="1" t="s">
        <v>38</v>
      </c>
      <c r="D968">
        <v>15.6</v>
      </c>
      <c r="E968">
        <v>4</v>
      </c>
      <c r="F968" s="1" t="s">
        <v>48</v>
      </c>
      <c r="G968">
        <v>1.9</v>
      </c>
      <c r="H968">
        <v>825</v>
      </c>
      <c r="I968" s="1" t="s">
        <v>26</v>
      </c>
      <c r="J968">
        <v>1366</v>
      </c>
      <c r="K968">
        <v>768</v>
      </c>
      <c r="L968" s="1" t="s">
        <v>27</v>
      </c>
      <c r="M968" s="1" t="s">
        <v>27</v>
      </c>
      <c r="N968" s="1" t="s">
        <v>27</v>
      </c>
      <c r="O968" s="1" t="s">
        <v>29</v>
      </c>
      <c r="P968">
        <v>2.5</v>
      </c>
      <c r="Q968" s="1" t="s">
        <v>41</v>
      </c>
      <c r="R968" s="1" t="str">
        <f>_xlfn.CONCAT(laptop[[#This Row],[CPU_company]]," ",laptop[[#This Row],[CPU_model]])</f>
        <v>Intel Core i5 7200U</v>
      </c>
      <c r="S968">
        <v>500</v>
      </c>
      <c r="T968">
        <v>0</v>
      </c>
      <c r="U968">
        <f>laptop[[#This Row],[PrimaryStorage]]+laptop[[#This Row],[SecondaryStorage]]</f>
        <v>500</v>
      </c>
      <c r="V968" s="1" t="s">
        <v>51</v>
      </c>
      <c r="W968" s="1" t="s">
        <v>27</v>
      </c>
      <c r="X968" s="1" t="str">
        <f>IF(laptop[[#This Row],[PrimaryStorageType]]=laptop[[#This Row],[SecondaryStorageType]],laptop[[#This Row],[PrimaryStorageType]],"SSD &amp; HDD")</f>
        <v>SSD &amp; HDD</v>
      </c>
      <c r="Y968" s="1" t="s">
        <v>42</v>
      </c>
    </row>
    <row r="969" spans="1:25" x14ac:dyDescent="0.25">
      <c r="A969" s="1" t="s">
        <v>36</v>
      </c>
      <c r="B969" s="1" t="s">
        <v>114</v>
      </c>
      <c r="C969" s="1" t="s">
        <v>38</v>
      </c>
      <c r="D969">
        <v>15.6</v>
      </c>
      <c r="E969">
        <v>4</v>
      </c>
      <c r="F969" s="1" t="s">
        <v>48</v>
      </c>
      <c r="G969">
        <v>2.04</v>
      </c>
      <c r="H969">
        <v>685</v>
      </c>
      <c r="I969" s="1" t="s">
        <v>40</v>
      </c>
      <c r="J969">
        <v>1920</v>
      </c>
      <c r="K969">
        <v>1080</v>
      </c>
      <c r="L969" s="1" t="s">
        <v>27</v>
      </c>
      <c r="M969" s="1" t="s">
        <v>27</v>
      </c>
      <c r="N969" s="1" t="s">
        <v>27</v>
      </c>
      <c r="O969" s="1" t="s">
        <v>29</v>
      </c>
      <c r="P969">
        <v>2.4</v>
      </c>
      <c r="Q969" s="1" t="s">
        <v>75</v>
      </c>
      <c r="R969" s="1" t="str">
        <f>_xlfn.CONCAT(laptop[[#This Row],[CPU_company]]," ",laptop[[#This Row],[CPU_model]])</f>
        <v>Intel Core i3 7100U</v>
      </c>
      <c r="S969">
        <v>500</v>
      </c>
      <c r="T969">
        <v>0</v>
      </c>
      <c r="U969">
        <f>laptop[[#This Row],[PrimaryStorage]]+laptop[[#This Row],[SecondaryStorage]]</f>
        <v>500</v>
      </c>
      <c r="V969" s="1" t="s">
        <v>51</v>
      </c>
      <c r="W969" s="1" t="s">
        <v>27</v>
      </c>
      <c r="X969" s="1" t="str">
        <f>IF(laptop[[#This Row],[PrimaryStorageType]]=laptop[[#This Row],[SecondaryStorageType]],laptop[[#This Row],[PrimaryStorageType]],"SSD &amp; HDD")</f>
        <v>SSD &amp; HDD</v>
      </c>
      <c r="Y969" s="1" t="s">
        <v>42</v>
      </c>
    </row>
    <row r="970" spans="1:25" x14ac:dyDescent="0.25">
      <c r="A970" s="1" t="s">
        <v>65</v>
      </c>
      <c r="B970" s="1" t="s">
        <v>275</v>
      </c>
      <c r="C970" s="1" t="s">
        <v>83</v>
      </c>
      <c r="D970">
        <v>17.3</v>
      </c>
      <c r="E970">
        <v>32</v>
      </c>
      <c r="F970" s="1" t="s">
        <v>48</v>
      </c>
      <c r="G970">
        <v>4.42</v>
      </c>
      <c r="H970">
        <v>3149</v>
      </c>
      <c r="I970" s="1" t="s">
        <v>40</v>
      </c>
      <c r="J970">
        <v>1920</v>
      </c>
      <c r="K970">
        <v>1080</v>
      </c>
      <c r="L970" s="1" t="s">
        <v>27</v>
      </c>
      <c r="M970" s="1" t="s">
        <v>28</v>
      </c>
      <c r="N970" s="1" t="s">
        <v>27</v>
      </c>
      <c r="O970" s="1" t="s">
        <v>29</v>
      </c>
      <c r="P970">
        <v>2.8</v>
      </c>
      <c r="Q970" s="1" t="s">
        <v>118</v>
      </c>
      <c r="R970" s="1" t="str">
        <f>_xlfn.CONCAT(laptop[[#This Row],[CPU_company]]," ",laptop[[#This Row],[CPU_model]])</f>
        <v>Intel Core i7 7700HQ</v>
      </c>
      <c r="S970">
        <v>256</v>
      </c>
      <c r="T970">
        <v>1024</v>
      </c>
      <c r="U970">
        <f>laptop[[#This Row],[PrimaryStorage]]+laptop[[#This Row],[SecondaryStorage]]</f>
        <v>1280</v>
      </c>
      <c r="V970" s="1" t="s">
        <v>31</v>
      </c>
      <c r="W970" s="1" t="s">
        <v>51</v>
      </c>
      <c r="X970" s="1" t="str">
        <f>IF(laptop[[#This Row],[PrimaryStorageType]]=laptop[[#This Row],[SecondaryStorageType]],laptop[[#This Row],[PrimaryStorageType]],"SSD &amp; HDD")</f>
        <v>SSD &amp; HDD</v>
      </c>
      <c r="Y970" s="1" t="s">
        <v>143</v>
      </c>
    </row>
    <row r="971" spans="1:25" x14ac:dyDescent="0.25">
      <c r="A971" s="1" t="s">
        <v>73</v>
      </c>
      <c r="B971" s="1" t="s">
        <v>533</v>
      </c>
      <c r="C971" s="1" t="s">
        <v>38</v>
      </c>
      <c r="D971">
        <v>15.6</v>
      </c>
      <c r="E971">
        <v>6</v>
      </c>
      <c r="F971" s="1" t="s">
        <v>48</v>
      </c>
      <c r="G971">
        <v>2.4</v>
      </c>
      <c r="H971">
        <v>695</v>
      </c>
      <c r="I971" s="1" t="s">
        <v>40</v>
      </c>
      <c r="J971">
        <v>1920</v>
      </c>
      <c r="K971">
        <v>1080</v>
      </c>
      <c r="L971" s="1" t="s">
        <v>27</v>
      </c>
      <c r="M971" s="1" t="s">
        <v>27</v>
      </c>
      <c r="N971" s="1" t="s">
        <v>27</v>
      </c>
      <c r="O971" s="1" t="s">
        <v>29</v>
      </c>
      <c r="P971">
        <v>2.5</v>
      </c>
      <c r="Q971" s="1" t="s">
        <v>41</v>
      </c>
      <c r="R971" s="1" t="str">
        <f>_xlfn.CONCAT(laptop[[#This Row],[CPU_company]]," ",laptop[[#This Row],[CPU_model]])</f>
        <v>Intel Core i5 7200U</v>
      </c>
      <c r="S971">
        <v>256</v>
      </c>
      <c r="T971">
        <v>0</v>
      </c>
      <c r="U971">
        <f>laptop[[#This Row],[PrimaryStorage]]+laptop[[#This Row],[SecondaryStorage]]</f>
        <v>256</v>
      </c>
      <c r="V971" s="1" t="s">
        <v>31</v>
      </c>
      <c r="W971" s="1" t="s">
        <v>27</v>
      </c>
      <c r="X971" s="1" t="str">
        <f>IF(laptop[[#This Row],[PrimaryStorageType]]=laptop[[#This Row],[SecondaryStorageType]],laptop[[#This Row],[PrimaryStorageType]],"SSD &amp; HDD")</f>
        <v>SSD &amp; HDD</v>
      </c>
      <c r="Y971" s="1" t="s">
        <v>131</v>
      </c>
    </row>
    <row r="972" spans="1:25" x14ac:dyDescent="0.25">
      <c r="A972" s="1" t="s">
        <v>65</v>
      </c>
      <c r="B972" s="1" t="s">
        <v>77</v>
      </c>
      <c r="C972" s="1" t="s">
        <v>90</v>
      </c>
      <c r="D972">
        <v>13.3</v>
      </c>
      <c r="E972">
        <v>16</v>
      </c>
      <c r="F972" s="1" t="s">
        <v>48</v>
      </c>
      <c r="G972">
        <v>1.22</v>
      </c>
      <c r="H972">
        <v>1899</v>
      </c>
      <c r="I972" s="1" t="s">
        <v>107</v>
      </c>
      <c r="J972">
        <v>3200</v>
      </c>
      <c r="K972">
        <v>1800</v>
      </c>
      <c r="L972" s="1" t="s">
        <v>28</v>
      </c>
      <c r="M972" s="1" t="s">
        <v>27</v>
      </c>
      <c r="N972" s="1" t="s">
        <v>27</v>
      </c>
      <c r="O972" s="1" t="s">
        <v>29</v>
      </c>
      <c r="P972">
        <v>1.3</v>
      </c>
      <c r="Q972" s="1" t="s">
        <v>423</v>
      </c>
      <c r="R972" s="1" t="str">
        <f>_xlfn.CONCAT(laptop[[#This Row],[CPU_company]]," ",laptop[[#This Row],[CPU_model]])</f>
        <v>Intel Core i7 7Y75</v>
      </c>
      <c r="S972">
        <v>512</v>
      </c>
      <c r="T972">
        <v>0</v>
      </c>
      <c r="U972">
        <f>laptop[[#This Row],[PrimaryStorage]]+laptop[[#This Row],[SecondaryStorage]]</f>
        <v>512</v>
      </c>
      <c r="V972" s="1" t="s">
        <v>31</v>
      </c>
      <c r="W972" s="1" t="s">
        <v>27</v>
      </c>
      <c r="X972" s="1" t="str">
        <f>IF(laptop[[#This Row],[PrimaryStorageType]]=laptop[[#This Row],[SecondaryStorageType]],laptop[[#This Row],[PrimaryStorageType]],"SSD &amp; HDD")</f>
        <v>SSD &amp; HDD</v>
      </c>
      <c r="Y972" s="1" t="s">
        <v>70</v>
      </c>
    </row>
    <row r="973" spans="1:25" x14ac:dyDescent="0.25">
      <c r="A973" s="1" t="s">
        <v>65</v>
      </c>
      <c r="B973" s="1" t="s">
        <v>561</v>
      </c>
      <c r="C973" s="1" t="s">
        <v>24</v>
      </c>
      <c r="D973">
        <v>14</v>
      </c>
      <c r="E973">
        <v>8</v>
      </c>
      <c r="F973" s="1" t="s">
        <v>48</v>
      </c>
      <c r="G973">
        <v>1.5</v>
      </c>
      <c r="H973">
        <v>1962.98</v>
      </c>
      <c r="I973" s="1" t="s">
        <v>26</v>
      </c>
      <c r="J973">
        <v>2560</v>
      </c>
      <c r="K973">
        <v>1440</v>
      </c>
      <c r="L973" s="1" t="s">
        <v>28</v>
      </c>
      <c r="M973" s="1" t="s">
        <v>27</v>
      </c>
      <c r="N973" s="1" t="s">
        <v>27</v>
      </c>
      <c r="O973" s="1" t="s">
        <v>29</v>
      </c>
      <c r="P973">
        <v>2.6</v>
      </c>
      <c r="Q973" s="1" t="s">
        <v>309</v>
      </c>
      <c r="R973" s="1" t="str">
        <f>_xlfn.CONCAT(laptop[[#This Row],[CPU_company]]," ",laptop[[#This Row],[CPU_model]])</f>
        <v>Intel Core i7 6600U</v>
      </c>
      <c r="S973">
        <v>256</v>
      </c>
      <c r="T973">
        <v>0</v>
      </c>
      <c r="U973">
        <f>laptop[[#This Row],[PrimaryStorage]]+laptop[[#This Row],[SecondaryStorage]]</f>
        <v>256</v>
      </c>
      <c r="V973" s="1" t="s">
        <v>31</v>
      </c>
      <c r="W973" s="1" t="s">
        <v>27</v>
      </c>
      <c r="X973" s="1" t="str">
        <f>IF(laptop[[#This Row],[PrimaryStorageType]]=laptop[[#This Row],[SecondaryStorageType]],laptop[[#This Row],[PrimaryStorageType]],"SSD &amp; HDD")</f>
        <v>SSD &amp; HDD</v>
      </c>
      <c r="Y973" s="1" t="s">
        <v>63</v>
      </c>
    </row>
    <row r="974" spans="1:25" x14ac:dyDescent="0.25">
      <c r="A974" s="1" t="s">
        <v>65</v>
      </c>
      <c r="B974" s="1" t="s">
        <v>275</v>
      </c>
      <c r="C974" s="1" t="s">
        <v>83</v>
      </c>
      <c r="D974">
        <v>17.3</v>
      </c>
      <c r="E974">
        <v>32</v>
      </c>
      <c r="F974" s="1" t="s">
        <v>48</v>
      </c>
      <c r="G974">
        <v>4.42</v>
      </c>
      <c r="H974">
        <v>2800</v>
      </c>
      <c r="I974" s="1" t="s">
        <v>40</v>
      </c>
      <c r="J974">
        <v>1920</v>
      </c>
      <c r="K974">
        <v>1080</v>
      </c>
      <c r="L974" s="1" t="s">
        <v>27</v>
      </c>
      <c r="M974" s="1" t="s">
        <v>27</v>
      </c>
      <c r="N974" s="1" t="s">
        <v>27</v>
      </c>
      <c r="O974" s="1" t="s">
        <v>29</v>
      </c>
      <c r="P974">
        <v>2.6</v>
      </c>
      <c r="Q974" s="1" t="s">
        <v>447</v>
      </c>
      <c r="R974" s="1" t="str">
        <f>_xlfn.CONCAT(laptop[[#This Row],[CPU_company]]," ",laptop[[#This Row],[CPU_model]])</f>
        <v>Intel Core i7 6700HQ</v>
      </c>
      <c r="S974">
        <v>256</v>
      </c>
      <c r="T974">
        <v>1024</v>
      </c>
      <c r="U974">
        <f>laptop[[#This Row],[PrimaryStorage]]+laptop[[#This Row],[SecondaryStorage]]</f>
        <v>1280</v>
      </c>
      <c r="V974" s="1" t="s">
        <v>31</v>
      </c>
      <c r="W974" s="1" t="s">
        <v>51</v>
      </c>
      <c r="X974" s="1" t="str">
        <f>IF(laptop[[#This Row],[PrimaryStorageType]]=laptop[[#This Row],[SecondaryStorageType]],laptop[[#This Row],[PrimaryStorageType]],"SSD &amp; HDD")</f>
        <v>SSD &amp; HDD</v>
      </c>
      <c r="Y974" s="1" t="s">
        <v>143</v>
      </c>
    </row>
    <row r="975" spans="1:25" x14ac:dyDescent="0.25">
      <c r="A975" s="1" t="s">
        <v>210</v>
      </c>
      <c r="B975" s="1" t="s">
        <v>737</v>
      </c>
      <c r="C975" s="1" t="s">
        <v>38</v>
      </c>
      <c r="D975">
        <v>14</v>
      </c>
      <c r="E975">
        <v>8</v>
      </c>
      <c r="F975" s="1" t="s">
        <v>48</v>
      </c>
      <c r="G975">
        <v>1.95</v>
      </c>
      <c r="H975">
        <v>1180</v>
      </c>
      <c r="I975" s="1" t="s">
        <v>40</v>
      </c>
      <c r="J975">
        <v>1920</v>
      </c>
      <c r="K975">
        <v>1080</v>
      </c>
      <c r="L975" s="1" t="s">
        <v>27</v>
      </c>
      <c r="M975" s="1" t="s">
        <v>27</v>
      </c>
      <c r="N975" s="1" t="s">
        <v>27</v>
      </c>
      <c r="O975" s="1" t="s">
        <v>29</v>
      </c>
      <c r="P975">
        <v>2.2999999999999998</v>
      </c>
      <c r="Q975" s="1" t="s">
        <v>212</v>
      </c>
      <c r="R975" s="1" t="str">
        <f>_xlfn.CONCAT(laptop[[#This Row],[CPU_company]]," ",laptop[[#This Row],[CPU_model]])</f>
        <v>Intel Core i5 6200U</v>
      </c>
      <c r="S975">
        <v>256</v>
      </c>
      <c r="T975">
        <v>0</v>
      </c>
      <c r="U975">
        <f>laptop[[#This Row],[PrimaryStorage]]+laptop[[#This Row],[SecondaryStorage]]</f>
        <v>256</v>
      </c>
      <c r="V975" s="1" t="s">
        <v>31</v>
      </c>
      <c r="W975" s="1" t="s">
        <v>27</v>
      </c>
      <c r="X975" s="1" t="str">
        <f>IF(laptop[[#This Row],[PrimaryStorageType]]=laptop[[#This Row],[SecondaryStorageType]],laptop[[#This Row],[PrimaryStorageType]],"SSD &amp; HDD")</f>
        <v>SSD &amp; HDD</v>
      </c>
      <c r="Y975" s="1" t="s">
        <v>63</v>
      </c>
    </row>
    <row r="976" spans="1:25" x14ac:dyDescent="0.25">
      <c r="A976" s="1" t="s">
        <v>55</v>
      </c>
      <c r="B976" s="1" t="s">
        <v>126</v>
      </c>
      <c r="C976" s="1" t="s">
        <v>83</v>
      </c>
      <c r="D976">
        <v>17.3</v>
      </c>
      <c r="E976">
        <v>16</v>
      </c>
      <c r="F976" s="1" t="s">
        <v>48</v>
      </c>
      <c r="G976">
        <v>2.73</v>
      </c>
      <c r="H976">
        <v>2049.9</v>
      </c>
      <c r="I976" s="1" t="s">
        <v>40</v>
      </c>
      <c r="J976">
        <v>1920</v>
      </c>
      <c r="K976">
        <v>1080</v>
      </c>
      <c r="L976" s="1" t="s">
        <v>27</v>
      </c>
      <c r="M976" s="1" t="s">
        <v>27</v>
      </c>
      <c r="N976" s="1" t="s">
        <v>27</v>
      </c>
      <c r="O976" s="1" t="s">
        <v>29</v>
      </c>
      <c r="P976">
        <v>2.8</v>
      </c>
      <c r="Q976" s="1" t="s">
        <v>118</v>
      </c>
      <c r="R976" s="1" t="str">
        <f>_xlfn.CONCAT(laptop[[#This Row],[CPU_company]]," ",laptop[[#This Row],[CPU_model]])</f>
        <v>Intel Core i7 7700HQ</v>
      </c>
      <c r="S976">
        <v>256</v>
      </c>
      <c r="T976">
        <v>1024</v>
      </c>
      <c r="U976">
        <f>laptop[[#This Row],[PrimaryStorage]]+laptop[[#This Row],[SecondaryStorage]]</f>
        <v>1280</v>
      </c>
      <c r="V976" s="1" t="s">
        <v>31</v>
      </c>
      <c r="W976" s="1" t="s">
        <v>51</v>
      </c>
      <c r="X976" s="1" t="str">
        <f>IF(laptop[[#This Row],[PrimaryStorageType]]=laptop[[#This Row],[SecondaryStorageType]],laptop[[#This Row],[PrimaryStorageType]],"SSD &amp; HDD")</f>
        <v>SSD &amp; HDD</v>
      </c>
      <c r="Y976" s="1" t="s">
        <v>119</v>
      </c>
    </row>
    <row r="977" spans="1:25" x14ac:dyDescent="0.25">
      <c r="A977" s="1" t="s">
        <v>36</v>
      </c>
      <c r="B977" s="1" t="s">
        <v>476</v>
      </c>
      <c r="C977" s="1" t="s">
        <v>38</v>
      </c>
      <c r="D977">
        <v>15.6</v>
      </c>
      <c r="E977">
        <v>8</v>
      </c>
      <c r="F977" s="1" t="s">
        <v>48</v>
      </c>
      <c r="G977">
        <v>2.04</v>
      </c>
      <c r="H977">
        <v>979</v>
      </c>
      <c r="I977" s="1" t="s">
        <v>40</v>
      </c>
      <c r="J977">
        <v>1920</v>
      </c>
      <c r="K977">
        <v>1080</v>
      </c>
      <c r="L977" s="1" t="s">
        <v>27</v>
      </c>
      <c r="M977" s="1" t="s">
        <v>28</v>
      </c>
      <c r="N977" s="1" t="s">
        <v>27</v>
      </c>
      <c r="O977" s="1" t="s">
        <v>29</v>
      </c>
      <c r="P977">
        <v>2.7</v>
      </c>
      <c r="Q977" s="1" t="s">
        <v>41</v>
      </c>
      <c r="R977" s="1" t="str">
        <f>_xlfn.CONCAT(laptop[[#This Row],[CPU_company]]," ",laptop[[#This Row],[CPU_model]])</f>
        <v>Intel Core i5 7200U</v>
      </c>
      <c r="S977">
        <v>128</v>
      </c>
      <c r="T977">
        <v>1024</v>
      </c>
      <c r="U977">
        <f>laptop[[#This Row],[PrimaryStorage]]+laptop[[#This Row],[SecondaryStorage]]</f>
        <v>1152</v>
      </c>
      <c r="V977" s="1" t="s">
        <v>31</v>
      </c>
      <c r="W977" s="1" t="s">
        <v>51</v>
      </c>
      <c r="X977" s="1" t="str">
        <f>IF(laptop[[#This Row],[PrimaryStorageType]]=laptop[[#This Row],[SecondaryStorageType]],laptop[[#This Row],[PrimaryStorageType]],"SSD &amp; HDD")</f>
        <v>SSD &amp; HDD</v>
      </c>
      <c r="Y977" s="1" t="s">
        <v>98</v>
      </c>
    </row>
    <row r="978" spans="1:25" x14ac:dyDescent="0.25">
      <c r="A978" s="1" t="s">
        <v>73</v>
      </c>
      <c r="B978" s="1" t="s">
        <v>738</v>
      </c>
      <c r="C978" s="1" t="s">
        <v>38</v>
      </c>
      <c r="D978">
        <v>14</v>
      </c>
      <c r="E978">
        <v>4</v>
      </c>
      <c r="F978" s="1" t="s">
        <v>480</v>
      </c>
      <c r="G978">
        <v>1.7</v>
      </c>
      <c r="H978">
        <v>1002</v>
      </c>
      <c r="I978" s="1" t="s">
        <v>26</v>
      </c>
      <c r="J978">
        <v>1366</v>
      </c>
      <c r="K978">
        <v>768</v>
      </c>
      <c r="L978" s="1" t="s">
        <v>27</v>
      </c>
      <c r="M978" s="1" t="s">
        <v>27</v>
      </c>
      <c r="N978" s="1" t="s">
        <v>27</v>
      </c>
      <c r="O978" s="1" t="s">
        <v>29</v>
      </c>
      <c r="P978">
        <v>2.2999999999999998</v>
      </c>
      <c r="Q978" s="1" t="s">
        <v>212</v>
      </c>
      <c r="R978" s="1" t="str">
        <f>_xlfn.CONCAT(laptop[[#This Row],[CPU_company]]," ",laptop[[#This Row],[CPU_model]])</f>
        <v>Intel Core i5 6200U</v>
      </c>
      <c r="S978">
        <v>508</v>
      </c>
      <c r="T978">
        <v>0</v>
      </c>
      <c r="U978">
        <f>laptop[[#This Row],[PrimaryStorage]]+laptop[[#This Row],[SecondaryStorage]]</f>
        <v>508</v>
      </c>
      <c r="V978" s="1" t="s">
        <v>223</v>
      </c>
      <c r="W978" s="1" t="s">
        <v>27</v>
      </c>
      <c r="X978" s="1" t="str">
        <f>IF(laptop[[#This Row],[PrimaryStorageType]]=laptop[[#This Row],[SecondaryStorageType]],laptop[[#This Row],[PrimaryStorageType]],"SSD &amp; HDD")</f>
        <v>SSD &amp; HDD</v>
      </c>
      <c r="Y978" s="1" t="s">
        <v>63</v>
      </c>
    </row>
    <row r="979" spans="1:25" x14ac:dyDescent="0.25">
      <c r="A979" s="1" t="s">
        <v>55</v>
      </c>
      <c r="B979" s="1" t="s">
        <v>739</v>
      </c>
      <c r="C979" s="1" t="s">
        <v>90</v>
      </c>
      <c r="D979">
        <v>15.6</v>
      </c>
      <c r="E979">
        <v>16</v>
      </c>
      <c r="F979" s="1" t="s">
        <v>48</v>
      </c>
      <c r="G979">
        <v>2.2999999999999998</v>
      </c>
      <c r="H979">
        <v>1799</v>
      </c>
      <c r="I979" s="1" t="s">
        <v>215</v>
      </c>
      <c r="J979">
        <v>3840</v>
      </c>
      <c r="K979">
        <v>2160</v>
      </c>
      <c r="L979" s="1" t="s">
        <v>28</v>
      </c>
      <c r="M979" s="1" t="s">
        <v>27</v>
      </c>
      <c r="N979" s="1" t="s">
        <v>27</v>
      </c>
      <c r="O979" s="1" t="s">
        <v>29</v>
      </c>
      <c r="P979">
        <v>2.7</v>
      </c>
      <c r="Q979" s="1" t="s">
        <v>71</v>
      </c>
      <c r="R979" s="1" t="str">
        <f>_xlfn.CONCAT(laptop[[#This Row],[CPU_company]]," ",laptop[[#This Row],[CPU_model]])</f>
        <v>Intel Core i7 7500U</v>
      </c>
      <c r="S979">
        <v>512</v>
      </c>
      <c r="T979">
        <v>2048</v>
      </c>
      <c r="U979">
        <f>laptop[[#This Row],[PrimaryStorage]]+laptop[[#This Row],[SecondaryStorage]]</f>
        <v>2560</v>
      </c>
      <c r="V979" s="1" t="s">
        <v>31</v>
      </c>
      <c r="W979" s="1" t="s">
        <v>51</v>
      </c>
      <c r="X979" s="1" t="str">
        <f>IF(laptop[[#This Row],[PrimaryStorageType]]=laptop[[#This Row],[SecondaryStorageType]],laptop[[#This Row],[PrimaryStorageType]],"SSD &amp; HDD")</f>
        <v>SSD &amp; HDD</v>
      </c>
      <c r="Y979" s="1" t="s">
        <v>279</v>
      </c>
    </row>
    <row r="980" spans="1:25" x14ac:dyDescent="0.25">
      <c r="A980" s="1" t="s">
        <v>36</v>
      </c>
      <c r="B980" s="1" t="s">
        <v>740</v>
      </c>
      <c r="C980" s="1" t="s">
        <v>38</v>
      </c>
      <c r="D980">
        <v>15.6</v>
      </c>
      <c r="E980">
        <v>6</v>
      </c>
      <c r="F980" s="1" t="s">
        <v>48</v>
      </c>
      <c r="G980">
        <v>2.04</v>
      </c>
      <c r="H980">
        <v>579</v>
      </c>
      <c r="I980" s="1" t="s">
        <v>26</v>
      </c>
      <c r="J980">
        <v>1366</v>
      </c>
      <c r="K980">
        <v>768</v>
      </c>
      <c r="L980" s="1" t="s">
        <v>27</v>
      </c>
      <c r="M980" s="1" t="s">
        <v>27</v>
      </c>
      <c r="N980" s="1" t="s">
        <v>27</v>
      </c>
      <c r="O980" s="1" t="s">
        <v>29</v>
      </c>
      <c r="P980">
        <v>2.7</v>
      </c>
      <c r="Q980" s="1" t="s">
        <v>71</v>
      </c>
      <c r="R980" s="1" t="str">
        <f>_xlfn.CONCAT(laptop[[#This Row],[CPU_company]]," ",laptop[[#This Row],[CPU_model]])</f>
        <v>Intel Core i7 7500U</v>
      </c>
      <c r="S980">
        <v>1024</v>
      </c>
      <c r="T980">
        <v>0</v>
      </c>
      <c r="U980">
        <f>laptop[[#This Row],[PrimaryStorage]]+laptop[[#This Row],[SecondaryStorage]]</f>
        <v>1024</v>
      </c>
      <c r="V980" s="1" t="s">
        <v>51</v>
      </c>
      <c r="W980" s="1" t="s">
        <v>27</v>
      </c>
      <c r="X980" s="1" t="str">
        <f>IF(laptop[[#This Row],[PrimaryStorageType]]=laptop[[#This Row],[SecondaryStorageType]],laptop[[#This Row],[PrimaryStorageType]],"SSD &amp; HDD")</f>
        <v>SSD &amp; HDD</v>
      </c>
      <c r="Y980" s="1" t="s">
        <v>42</v>
      </c>
    </row>
    <row r="981" spans="1:25" x14ac:dyDescent="0.25">
      <c r="A981" s="1" t="s">
        <v>55</v>
      </c>
      <c r="B981" s="1" t="s">
        <v>741</v>
      </c>
      <c r="C981" s="1" t="s">
        <v>83</v>
      </c>
      <c r="D981">
        <v>17.3</v>
      </c>
      <c r="E981">
        <v>16</v>
      </c>
      <c r="F981" s="1" t="s">
        <v>48</v>
      </c>
      <c r="G981">
        <v>2.99</v>
      </c>
      <c r="H981">
        <v>1749</v>
      </c>
      <c r="I981" s="1" t="s">
        <v>40</v>
      </c>
      <c r="J981">
        <v>1920</v>
      </c>
      <c r="K981">
        <v>1080</v>
      </c>
      <c r="L981" s="1" t="s">
        <v>27</v>
      </c>
      <c r="M981" s="1" t="s">
        <v>27</v>
      </c>
      <c r="N981" s="1" t="s">
        <v>27</v>
      </c>
      <c r="O981" s="1" t="s">
        <v>29</v>
      </c>
      <c r="P981">
        <v>2.8</v>
      </c>
      <c r="Q981" s="1" t="s">
        <v>118</v>
      </c>
      <c r="R981" s="1" t="str">
        <f>_xlfn.CONCAT(laptop[[#This Row],[CPU_company]]," ",laptop[[#This Row],[CPU_model]])</f>
        <v>Intel Core i7 7700HQ</v>
      </c>
      <c r="S981">
        <v>256</v>
      </c>
      <c r="T981">
        <v>1024</v>
      </c>
      <c r="U981">
        <f>laptop[[#This Row],[PrimaryStorage]]+laptop[[#This Row],[SecondaryStorage]]</f>
        <v>1280</v>
      </c>
      <c r="V981" s="1" t="s">
        <v>31</v>
      </c>
      <c r="W981" s="1" t="s">
        <v>51</v>
      </c>
      <c r="X981" s="1" t="str">
        <f>IF(laptop[[#This Row],[PrimaryStorageType]]=laptop[[#This Row],[SecondaryStorageType]],laptop[[#This Row],[PrimaryStorageType]],"SSD &amp; HDD")</f>
        <v>SSD &amp; HDD</v>
      </c>
      <c r="Y981" s="1" t="s">
        <v>149</v>
      </c>
    </row>
    <row r="982" spans="1:25" x14ac:dyDescent="0.25">
      <c r="A982" s="1" t="s">
        <v>65</v>
      </c>
      <c r="B982" s="1" t="s">
        <v>742</v>
      </c>
      <c r="C982" s="1" t="s">
        <v>90</v>
      </c>
      <c r="D982">
        <v>15.6</v>
      </c>
      <c r="E982">
        <v>12</v>
      </c>
      <c r="F982" s="1" t="s">
        <v>48</v>
      </c>
      <c r="G982">
        <v>2.19</v>
      </c>
      <c r="H982">
        <v>1299</v>
      </c>
      <c r="I982" s="1" t="s">
        <v>40</v>
      </c>
      <c r="J982">
        <v>1920</v>
      </c>
      <c r="K982">
        <v>1080</v>
      </c>
      <c r="L982" s="1" t="s">
        <v>28</v>
      </c>
      <c r="M982" s="1" t="s">
        <v>28</v>
      </c>
      <c r="N982" s="1" t="s">
        <v>27</v>
      </c>
      <c r="O982" s="1" t="s">
        <v>29</v>
      </c>
      <c r="P982">
        <v>2.7</v>
      </c>
      <c r="Q982" s="1" t="s">
        <v>71</v>
      </c>
      <c r="R982" s="1" t="str">
        <f>_xlfn.CONCAT(laptop[[#This Row],[CPU_company]]," ",laptop[[#This Row],[CPU_model]])</f>
        <v>Intel Core i7 7500U</v>
      </c>
      <c r="S982">
        <v>512</v>
      </c>
      <c r="T982">
        <v>0</v>
      </c>
      <c r="U982">
        <f>laptop[[#This Row],[PrimaryStorage]]+laptop[[#This Row],[SecondaryStorage]]</f>
        <v>512</v>
      </c>
      <c r="V982" s="1" t="s">
        <v>31</v>
      </c>
      <c r="W982" s="1" t="s">
        <v>27</v>
      </c>
      <c r="X982" s="1" t="str">
        <f>IF(laptop[[#This Row],[PrimaryStorageType]]=laptop[[#This Row],[SecondaryStorageType]],laptop[[#This Row],[PrimaryStorageType]],"SSD &amp; HDD")</f>
        <v>SSD &amp; HDD</v>
      </c>
      <c r="Y982" s="1" t="s">
        <v>42</v>
      </c>
    </row>
    <row r="983" spans="1:25" x14ac:dyDescent="0.25">
      <c r="A983" s="1" t="s">
        <v>210</v>
      </c>
      <c r="B983" s="1" t="s">
        <v>743</v>
      </c>
      <c r="C983" s="1" t="s">
        <v>38</v>
      </c>
      <c r="D983">
        <v>13.3</v>
      </c>
      <c r="E983">
        <v>4</v>
      </c>
      <c r="F983" s="1" t="s">
        <v>480</v>
      </c>
      <c r="G983">
        <v>1.2</v>
      </c>
      <c r="H983">
        <v>1195</v>
      </c>
      <c r="I983" s="1" t="s">
        <v>40</v>
      </c>
      <c r="J983">
        <v>1920</v>
      </c>
      <c r="K983">
        <v>1080</v>
      </c>
      <c r="L983" s="1" t="s">
        <v>27</v>
      </c>
      <c r="M983" s="1" t="s">
        <v>27</v>
      </c>
      <c r="N983" s="1" t="s">
        <v>27</v>
      </c>
      <c r="O983" s="1" t="s">
        <v>29</v>
      </c>
      <c r="P983">
        <v>2.2999999999999998</v>
      </c>
      <c r="Q983" s="1" t="s">
        <v>212</v>
      </c>
      <c r="R983" s="1" t="str">
        <f>_xlfn.CONCAT(laptop[[#This Row],[CPU_company]]," ",laptop[[#This Row],[CPU_model]])</f>
        <v>Intel Core i5 6200U</v>
      </c>
      <c r="S983">
        <v>128</v>
      </c>
      <c r="T983">
        <v>0</v>
      </c>
      <c r="U983">
        <f>laptop[[#This Row],[PrimaryStorage]]+laptop[[#This Row],[SecondaryStorage]]</f>
        <v>128</v>
      </c>
      <c r="V983" s="1" t="s">
        <v>31</v>
      </c>
      <c r="W983" s="1" t="s">
        <v>27</v>
      </c>
      <c r="X983" s="1" t="str">
        <f>IF(laptop[[#This Row],[PrimaryStorageType]]=laptop[[#This Row],[SecondaryStorageType]],laptop[[#This Row],[PrimaryStorageType]],"SSD &amp; HDD")</f>
        <v>SSD &amp; HDD</v>
      </c>
      <c r="Y983" s="1" t="s">
        <v>63</v>
      </c>
    </row>
    <row r="984" spans="1:25" x14ac:dyDescent="0.25">
      <c r="A984" s="1" t="s">
        <v>73</v>
      </c>
      <c r="B984" s="1" t="s">
        <v>362</v>
      </c>
      <c r="C984" s="1" t="s">
        <v>38</v>
      </c>
      <c r="D984">
        <v>15.6</v>
      </c>
      <c r="E984">
        <v>6</v>
      </c>
      <c r="F984" s="1" t="s">
        <v>48</v>
      </c>
      <c r="G984">
        <v>2.2000000000000002</v>
      </c>
      <c r="H984">
        <v>549</v>
      </c>
      <c r="I984" s="1" t="s">
        <v>40</v>
      </c>
      <c r="J984">
        <v>1920</v>
      </c>
      <c r="K984">
        <v>1080</v>
      </c>
      <c r="L984" s="1" t="s">
        <v>27</v>
      </c>
      <c r="M984" s="1" t="s">
        <v>27</v>
      </c>
      <c r="N984" s="1" t="s">
        <v>27</v>
      </c>
      <c r="O984" s="1" t="s">
        <v>49</v>
      </c>
      <c r="P984">
        <v>3.6</v>
      </c>
      <c r="Q984" s="1" t="s">
        <v>350</v>
      </c>
      <c r="R984" s="1" t="str">
        <f>_xlfn.CONCAT(laptop[[#This Row],[CPU_company]]," ",laptop[[#This Row],[CPU_model]])</f>
        <v>AMD A12-Series 9720P</v>
      </c>
      <c r="S984">
        <v>256</v>
      </c>
      <c r="T984">
        <v>0</v>
      </c>
      <c r="U984">
        <f>laptop[[#This Row],[PrimaryStorage]]+laptop[[#This Row],[SecondaryStorage]]</f>
        <v>256</v>
      </c>
      <c r="V984" s="1" t="s">
        <v>31</v>
      </c>
      <c r="W984" s="1" t="s">
        <v>27</v>
      </c>
      <c r="X984" s="1" t="str">
        <f>IF(laptop[[#This Row],[PrimaryStorageType]]=laptop[[#This Row],[SecondaryStorageType]],laptop[[#This Row],[PrimaryStorageType]],"SSD &amp; HDD")</f>
        <v>SSD &amp; HDD</v>
      </c>
      <c r="Y984" s="1" t="s">
        <v>94</v>
      </c>
    </row>
    <row r="985" spans="1:25" x14ac:dyDescent="0.25">
      <c r="A985" s="1" t="s">
        <v>504</v>
      </c>
      <c r="B985" s="1" t="s">
        <v>744</v>
      </c>
      <c r="C985" s="1" t="s">
        <v>38</v>
      </c>
      <c r="D985">
        <v>15.6</v>
      </c>
      <c r="E985">
        <v>4</v>
      </c>
      <c r="F985" s="1" t="s">
        <v>48</v>
      </c>
      <c r="G985">
        <v>2.2999999999999998</v>
      </c>
      <c r="H985">
        <v>649</v>
      </c>
      <c r="I985" s="1" t="s">
        <v>26</v>
      </c>
      <c r="J985">
        <v>1366</v>
      </c>
      <c r="K985">
        <v>768</v>
      </c>
      <c r="L985" s="1" t="s">
        <v>27</v>
      </c>
      <c r="M985" s="1" t="s">
        <v>27</v>
      </c>
      <c r="N985" s="1" t="s">
        <v>27</v>
      </c>
      <c r="O985" s="1" t="s">
        <v>29</v>
      </c>
      <c r="P985">
        <v>2.2999999999999998</v>
      </c>
      <c r="Q985" s="1" t="s">
        <v>212</v>
      </c>
      <c r="R985" s="1" t="str">
        <f>_xlfn.CONCAT(laptop[[#This Row],[CPU_company]]," ",laptop[[#This Row],[CPU_model]])</f>
        <v>Intel Core i5 6200U</v>
      </c>
      <c r="S985">
        <v>256</v>
      </c>
      <c r="T985">
        <v>0</v>
      </c>
      <c r="U985">
        <f>laptop[[#This Row],[PrimaryStorage]]+laptop[[#This Row],[SecondaryStorage]]</f>
        <v>256</v>
      </c>
      <c r="V985" s="1" t="s">
        <v>31</v>
      </c>
      <c r="W985" s="1" t="s">
        <v>27</v>
      </c>
      <c r="X985" s="1" t="str">
        <f>IF(laptop[[#This Row],[PrimaryStorageType]]=laptop[[#This Row],[SecondaryStorageType]],laptop[[#This Row],[PrimaryStorageType]],"SSD &amp; HDD")</f>
        <v>SSD &amp; HDD</v>
      </c>
      <c r="Y985" s="1" t="s">
        <v>63</v>
      </c>
    </row>
    <row r="986" spans="1:25" x14ac:dyDescent="0.25">
      <c r="A986" s="1" t="s">
        <v>210</v>
      </c>
      <c r="B986" s="1" t="s">
        <v>745</v>
      </c>
      <c r="C986" s="1" t="s">
        <v>38</v>
      </c>
      <c r="D986">
        <v>14</v>
      </c>
      <c r="E986">
        <v>4</v>
      </c>
      <c r="F986" s="1" t="s">
        <v>48</v>
      </c>
      <c r="G986">
        <v>1.75</v>
      </c>
      <c r="H986">
        <v>915</v>
      </c>
      <c r="I986" s="1" t="s">
        <v>26</v>
      </c>
      <c r="J986">
        <v>1366</v>
      </c>
      <c r="K986">
        <v>768</v>
      </c>
      <c r="L986" s="1" t="s">
        <v>27</v>
      </c>
      <c r="M986" s="1" t="s">
        <v>27</v>
      </c>
      <c r="N986" s="1" t="s">
        <v>27</v>
      </c>
      <c r="O986" s="1" t="s">
        <v>29</v>
      </c>
      <c r="P986">
        <v>2.2999999999999998</v>
      </c>
      <c r="Q986" s="1" t="s">
        <v>212</v>
      </c>
      <c r="R986" s="1" t="str">
        <f>_xlfn.CONCAT(laptop[[#This Row],[CPU_company]]," ",laptop[[#This Row],[CPU_model]])</f>
        <v>Intel Core i5 6200U</v>
      </c>
      <c r="S986">
        <v>500</v>
      </c>
      <c r="T986">
        <v>0</v>
      </c>
      <c r="U986">
        <f>laptop[[#This Row],[PrimaryStorage]]+laptop[[#This Row],[SecondaryStorage]]</f>
        <v>500</v>
      </c>
      <c r="V986" s="1" t="s">
        <v>51</v>
      </c>
      <c r="W986" s="1" t="s">
        <v>27</v>
      </c>
      <c r="X986" s="1" t="str">
        <f>IF(laptop[[#This Row],[PrimaryStorageType]]=laptop[[#This Row],[SecondaryStorageType]],laptop[[#This Row],[PrimaryStorageType]],"SSD &amp; HDD")</f>
        <v>SSD &amp; HDD</v>
      </c>
      <c r="Y986" s="1" t="s">
        <v>63</v>
      </c>
    </row>
    <row r="987" spans="1:25" x14ac:dyDescent="0.25">
      <c r="A987" s="1" t="s">
        <v>65</v>
      </c>
      <c r="B987" s="1" t="s">
        <v>66</v>
      </c>
      <c r="C987" s="1" t="s">
        <v>38</v>
      </c>
      <c r="D987">
        <v>15.6</v>
      </c>
      <c r="E987">
        <v>4</v>
      </c>
      <c r="F987" s="1" t="s">
        <v>48</v>
      </c>
      <c r="G987">
        <v>2.25</v>
      </c>
      <c r="H987">
        <v>599</v>
      </c>
      <c r="I987" s="1" t="s">
        <v>26</v>
      </c>
      <c r="J987">
        <v>1366</v>
      </c>
      <c r="K987">
        <v>768</v>
      </c>
      <c r="L987" s="1" t="s">
        <v>27</v>
      </c>
      <c r="M987" s="1" t="s">
        <v>27</v>
      </c>
      <c r="N987" s="1" t="s">
        <v>27</v>
      </c>
      <c r="O987" s="1" t="s">
        <v>29</v>
      </c>
      <c r="P987">
        <v>2.5</v>
      </c>
      <c r="Q987" s="1" t="s">
        <v>41</v>
      </c>
      <c r="R987" s="1" t="str">
        <f>_xlfn.CONCAT(laptop[[#This Row],[CPU_company]]," ",laptop[[#This Row],[CPU_model]])</f>
        <v>Intel Core i5 7200U</v>
      </c>
      <c r="S987">
        <v>500</v>
      </c>
      <c r="T987">
        <v>0</v>
      </c>
      <c r="U987">
        <f>laptop[[#This Row],[PrimaryStorage]]+laptop[[#This Row],[SecondaryStorage]]</f>
        <v>500</v>
      </c>
      <c r="V987" s="1" t="s">
        <v>51</v>
      </c>
      <c r="W987" s="1" t="s">
        <v>27</v>
      </c>
      <c r="X987" s="1" t="str">
        <f>IF(laptop[[#This Row],[PrimaryStorageType]]=laptop[[#This Row],[SecondaryStorageType]],laptop[[#This Row],[PrimaryStorageType]],"SSD &amp; HDD")</f>
        <v>SSD &amp; HDD</v>
      </c>
      <c r="Y987" s="1" t="s">
        <v>67</v>
      </c>
    </row>
    <row r="988" spans="1:25" x14ac:dyDescent="0.25">
      <c r="A988" s="1" t="s">
        <v>36</v>
      </c>
      <c r="B988" s="1" t="s">
        <v>476</v>
      </c>
      <c r="C988" s="1" t="s">
        <v>38</v>
      </c>
      <c r="D988">
        <v>15.6</v>
      </c>
      <c r="E988">
        <v>8</v>
      </c>
      <c r="F988" s="1" t="s">
        <v>48</v>
      </c>
      <c r="G988">
        <v>2.04</v>
      </c>
      <c r="H988">
        <v>806</v>
      </c>
      <c r="I988" s="1" t="s">
        <v>40</v>
      </c>
      <c r="J988">
        <v>1920</v>
      </c>
      <c r="K988">
        <v>1080</v>
      </c>
      <c r="L988" s="1" t="s">
        <v>27</v>
      </c>
      <c r="M988" s="1" t="s">
        <v>27</v>
      </c>
      <c r="N988" s="1" t="s">
        <v>27</v>
      </c>
      <c r="O988" s="1" t="s">
        <v>29</v>
      </c>
      <c r="P988">
        <v>2.5</v>
      </c>
      <c r="Q988" s="1" t="s">
        <v>41</v>
      </c>
      <c r="R988" s="1" t="str">
        <f>_xlfn.CONCAT(laptop[[#This Row],[CPU_company]]," ",laptop[[#This Row],[CPU_model]])</f>
        <v>Intel Core i5 7200U</v>
      </c>
      <c r="S988">
        <v>1024</v>
      </c>
      <c r="T988">
        <v>0</v>
      </c>
      <c r="U988">
        <f>laptop[[#This Row],[PrimaryStorage]]+laptop[[#This Row],[SecondaryStorage]]</f>
        <v>1024</v>
      </c>
      <c r="V988" s="1" t="s">
        <v>51</v>
      </c>
      <c r="W988" s="1" t="s">
        <v>27</v>
      </c>
      <c r="X988" s="1" t="str">
        <f>IF(laptop[[#This Row],[PrimaryStorageType]]=laptop[[#This Row],[SecondaryStorageType]],laptop[[#This Row],[PrimaryStorageType]],"SSD &amp; HDD")</f>
        <v>SSD &amp; HDD</v>
      </c>
      <c r="Y988" s="1" t="s">
        <v>42</v>
      </c>
    </row>
    <row r="989" spans="1:25" x14ac:dyDescent="0.25">
      <c r="A989" s="1" t="s">
        <v>73</v>
      </c>
      <c r="B989" s="1" t="s">
        <v>82</v>
      </c>
      <c r="C989" s="1" t="s">
        <v>83</v>
      </c>
      <c r="D989">
        <v>15.6</v>
      </c>
      <c r="E989">
        <v>8</v>
      </c>
      <c r="F989" s="1" t="s">
        <v>48</v>
      </c>
      <c r="G989">
        <v>2.5</v>
      </c>
      <c r="H989">
        <v>1189</v>
      </c>
      <c r="I989" s="1" t="s">
        <v>40</v>
      </c>
      <c r="J989">
        <v>1920</v>
      </c>
      <c r="K989">
        <v>1080</v>
      </c>
      <c r="L989" s="1" t="s">
        <v>27</v>
      </c>
      <c r="M989" s="1" t="s">
        <v>28</v>
      </c>
      <c r="N989" s="1" t="s">
        <v>27</v>
      </c>
      <c r="O989" s="1" t="s">
        <v>29</v>
      </c>
      <c r="P989">
        <v>2.8</v>
      </c>
      <c r="Q989" s="1" t="s">
        <v>118</v>
      </c>
      <c r="R989" s="1" t="str">
        <f>_xlfn.CONCAT(laptop[[#This Row],[CPU_company]]," ",laptop[[#This Row],[CPU_model]])</f>
        <v>Intel Core i7 7700HQ</v>
      </c>
      <c r="S989">
        <v>128</v>
      </c>
      <c r="T989">
        <v>1024</v>
      </c>
      <c r="U989">
        <f>laptop[[#This Row],[PrimaryStorage]]+laptop[[#This Row],[SecondaryStorage]]</f>
        <v>1152</v>
      </c>
      <c r="V989" s="1" t="s">
        <v>31</v>
      </c>
      <c r="W989" s="1" t="s">
        <v>51</v>
      </c>
      <c r="X989" s="1" t="str">
        <f>IF(laptop[[#This Row],[PrimaryStorageType]]=laptop[[#This Row],[SecondaryStorageType]],laptop[[#This Row],[PrimaryStorageType]],"SSD &amp; HDD")</f>
        <v>SSD &amp; HDD</v>
      </c>
      <c r="Y989" s="1" t="s">
        <v>119</v>
      </c>
    </row>
    <row r="990" spans="1:25" x14ac:dyDescent="0.25">
      <c r="A990" s="1" t="s">
        <v>65</v>
      </c>
      <c r="B990" s="1" t="s">
        <v>200</v>
      </c>
      <c r="C990" s="1" t="s">
        <v>38</v>
      </c>
      <c r="D990">
        <v>15.6</v>
      </c>
      <c r="E990">
        <v>8</v>
      </c>
      <c r="F990" s="1" t="s">
        <v>48</v>
      </c>
      <c r="G990">
        <v>2.36</v>
      </c>
      <c r="H990">
        <v>749</v>
      </c>
      <c r="I990" s="1" t="s">
        <v>26</v>
      </c>
      <c r="J990">
        <v>1366</v>
      </c>
      <c r="K990">
        <v>768</v>
      </c>
      <c r="L990" s="1" t="s">
        <v>27</v>
      </c>
      <c r="M990" s="1" t="s">
        <v>27</v>
      </c>
      <c r="N990" s="1" t="s">
        <v>27</v>
      </c>
      <c r="O990" s="1" t="s">
        <v>29</v>
      </c>
      <c r="P990">
        <v>2.7</v>
      </c>
      <c r="Q990" s="1" t="s">
        <v>71</v>
      </c>
      <c r="R990" s="1" t="str">
        <f>_xlfn.CONCAT(laptop[[#This Row],[CPU_company]]," ",laptop[[#This Row],[CPU_model]])</f>
        <v>Intel Core i7 7500U</v>
      </c>
      <c r="S990">
        <v>1024</v>
      </c>
      <c r="T990">
        <v>0</v>
      </c>
      <c r="U990">
        <f>laptop[[#This Row],[PrimaryStorage]]+laptop[[#This Row],[SecondaryStorage]]</f>
        <v>1024</v>
      </c>
      <c r="V990" s="1" t="s">
        <v>51</v>
      </c>
      <c r="W990" s="1" t="s">
        <v>27</v>
      </c>
      <c r="X990" s="1" t="str">
        <f>IF(laptop[[#This Row],[PrimaryStorageType]]=laptop[[#This Row],[SecondaryStorageType]],laptop[[#This Row],[PrimaryStorageType]],"SSD &amp; HDD")</f>
        <v>SSD &amp; HDD</v>
      </c>
      <c r="Y990" s="1" t="s">
        <v>201</v>
      </c>
    </row>
    <row r="991" spans="1:25" x14ac:dyDescent="0.25">
      <c r="A991" s="1" t="s">
        <v>65</v>
      </c>
      <c r="B991" s="1" t="s">
        <v>409</v>
      </c>
      <c r="C991" s="1" t="s">
        <v>38</v>
      </c>
      <c r="D991">
        <v>14</v>
      </c>
      <c r="E991">
        <v>8</v>
      </c>
      <c r="F991" s="1" t="s">
        <v>48</v>
      </c>
      <c r="G991">
        <v>1.6</v>
      </c>
      <c r="H991">
        <v>1119</v>
      </c>
      <c r="I991" s="1" t="s">
        <v>40</v>
      </c>
      <c r="J991">
        <v>1920</v>
      </c>
      <c r="K991">
        <v>1080</v>
      </c>
      <c r="L991" s="1" t="s">
        <v>27</v>
      </c>
      <c r="M991" s="1" t="s">
        <v>27</v>
      </c>
      <c r="N991" s="1" t="s">
        <v>27</v>
      </c>
      <c r="O991" s="1" t="s">
        <v>29</v>
      </c>
      <c r="P991">
        <v>2.5</v>
      </c>
      <c r="Q991" s="1" t="s">
        <v>41</v>
      </c>
      <c r="R991" s="1" t="str">
        <f>_xlfn.CONCAT(laptop[[#This Row],[CPU_company]]," ",laptop[[#This Row],[CPU_model]])</f>
        <v>Intel Core i5 7200U</v>
      </c>
      <c r="S991">
        <v>128</v>
      </c>
      <c r="T991">
        <v>0</v>
      </c>
      <c r="U991">
        <f>laptop[[#This Row],[PrimaryStorage]]+laptop[[#This Row],[SecondaryStorage]]</f>
        <v>128</v>
      </c>
      <c r="V991" s="1" t="s">
        <v>31</v>
      </c>
      <c r="W991" s="1" t="s">
        <v>27</v>
      </c>
      <c r="X991" s="1" t="str">
        <f>IF(laptop[[#This Row],[PrimaryStorageType]]=laptop[[#This Row],[SecondaryStorageType]],laptop[[#This Row],[PrimaryStorageType]],"SSD &amp; HDD")</f>
        <v>SSD &amp; HDD</v>
      </c>
      <c r="Y991" s="1" t="s">
        <v>746</v>
      </c>
    </row>
    <row r="992" spans="1:25" x14ac:dyDescent="0.25">
      <c r="A992" s="1" t="s">
        <v>36</v>
      </c>
      <c r="B992" s="1" t="s">
        <v>214</v>
      </c>
      <c r="C992" s="1" t="s">
        <v>79</v>
      </c>
      <c r="D992">
        <v>12.5</v>
      </c>
      <c r="E992">
        <v>8</v>
      </c>
      <c r="F992" s="1" t="s">
        <v>48</v>
      </c>
      <c r="G992">
        <v>0.97</v>
      </c>
      <c r="H992">
        <v>1908</v>
      </c>
      <c r="I992" s="1" t="s">
        <v>40</v>
      </c>
      <c r="J992">
        <v>1920</v>
      </c>
      <c r="K992">
        <v>1080</v>
      </c>
      <c r="L992" s="1" t="s">
        <v>27</v>
      </c>
      <c r="M992" s="1" t="s">
        <v>27</v>
      </c>
      <c r="N992" s="1" t="s">
        <v>27</v>
      </c>
      <c r="O992" s="1" t="s">
        <v>29</v>
      </c>
      <c r="P992">
        <v>1.2</v>
      </c>
      <c r="Q992" s="1" t="s">
        <v>216</v>
      </c>
      <c r="R992" s="1" t="str">
        <f>_xlfn.CONCAT(laptop[[#This Row],[CPU_company]]," ",laptop[[#This Row],[CPU_model]])</f>
        <v>Intel Core M 6Y75</v>
      </c>
      <c r="S992">
        <v>512</v>
      </c>
      <c r="T992">
        <v>0</v>
      </c>
      <c r="U992">
        <f>laptop[[#This Row],[PrimaryStorage]]+laptop[[#This Row],[SecondaryStorage]]</f>
        <v>512</v>
      </c>
      <c r="V992" s="1" t="s">
        <v>31</v>
      </c>
      <c r="W992" s="1" t="s">
        <v>27</v>
      </c>
      <c r="X992" s="1" t="str">
        <f>IF(laptop[[#This Row],[PrimaryStorageType]]=laptop[[#This Row],[SecondaryStorageType]],laptop[[#This Row],[PrimaryStorageType]],"SSD &amp; HDD")</f>
        <v>SSD &amp; HDD</v>
      </c>
      <c r="Y992" s="1" t="s">
        <v>217</v>
      </c>
    </row>
    <row r="993" spans="1:25" x14ac:dyDescent="0.25">
      <c r="A993" s="1" t="s">
        <v>36</v>
      </c>
      <c r="B993" s="1" t="s">
        <v>747</v>
      </c>
      <c r="C993" s="1" t="s">
        <v>38</v>
      </c>
      <c r="D993">
        <v>15.6</v>
      </c>
      <c r="E993">
        <v>4</v>
      </c>
      <c r="F993" s="1" t="s">
        <v>48</v>
      </c>
      <c r="G993">
        <v>2.1</v>
      </c>
      <c r="H993">
        <v>499</v>
      </c>
      <c r="I993" s="1" t="s">
        <v>40</v>
      </c>
      <c r="J993">
        <v>1920</v>
      </c>
      <c r="K993">
        <v>1080</v>
      </c>
      <c r="L993" s="1" t="s">
        <v>27</v>
      </c>
      <c r="M993" s="1" t="s">
        <v>27</v>
      </c>
      <c r="N993" s="1" t="s">
        <v>27</v>
      </c>
      <c r="O993" s="1" t="s">
        <v>29</v>
      </c>
      <c r="P993">
        <v>2</v>
      </c>
      <c r="Q993" s="1" t="s">
        <v>62</v>
      </c>
      <c r="R993" s="1" t="str">
        <f>_xlfn.CONCAT(laptop[[#This Row],[CPU_company]]," ",laptop[[#This Row],[CPU_model]])</f>
        <v>Intel Core i3 6006U</v>
      </c>
      <c r="S993">
        <v>128</v>
      </c>
      <c r="T993">
        <v>1024</v>
      </c>
      <c r="U993">
        <f>laptop[[#This Row],[PrimaryStorage]]+laptop[[#This Row],[SecondaryStorage]]</f>
        <v>1152</v>
      </c>
      <c r="V993" s="1" t="s">
        <v>31</v>
      </c>
      <c r="W993" s="1" t="s">
        <v>51</v>
      </c>
      <c r="X993" s="1" t="str">
        <f>IF(laptop[[#This Row],[PrimaryStorageType]]=laptop[[#This Row],[SecondaryStorageType]],laptop[[#This Row],[PrimaryStorageType]],"SSD &amp; HDD")</f>
        <v>SSD &amp; HDD</v>
      </c>
      <c r="Y993" s="1" t="s">
        <v>138</v>
      </c>
    </row>
    <row r="994" spans="1:25" x14ac:dyDescent="0.25">
      <c r="A994" s="1" t="s">
        <v>73</v>
      </c>
      <c r="B994" s="1" t="s">
        <v>748</v>
      </c>
      <c r="C994" s="1" t="s">
        <v>38</v>
      </c>
      <c r="D994">
        <v>15.6</v>
      </c>
      <c r="E994">
        <v>4</v>
      </c>
      <c r="F994" s="1" t="s">
        <v>39</v>
      </c>
      <c r="G994">
        <v>1.9</v>
      </c>
      <c r="H994">
        <v>270.62</v>
      </c>
      <c r="I994" s="1" t="s">
        <v>26</v>
      </c>
      <c r="J994">
        <v>1366</v>
      </c>
      <c r="K994">
        <v>768</v>
      </c>
      <c r="L994" s="1" t="s">
        <v>27</v>
      </c>
      <c r="M994" s="1" t="s">
        <v>27</v>
      </c>
      <c r="N994" s="1" t="s">
        <v>27</v>
      </c>
      <c r="O994" s="1" t="s">
        <v>29</v>
      </c>
      <c r="P994">
        <v>1.1000000000000001</v>
      </c>
      <c r="Q994" s="1" t="s">
        <v>109</v>
      </c>
      <c r="R994" s="1" t="str">
        <f>_xlfn.CONCAT(laptop[[#This Row],[CPU_company]]," ",laptop[[#This Row],[CPU_model]])</f>
        <v>Intel Celeron Dual Core N3350</v>
      </c>
      <c r="S994">
        <v>128</v>
      </c>
      <c r="T994">
        <v>0</v>
      </c>
      <c r="U994">
        <f>laptop[[#This Row],[PrimaryStorage]]+laptop[[#This Row],[SecondaryStorage]]</f>
        <v>128</v>
      </c>
      <c r="V994" s="1" t="s">
        <v>31</v>
      </c>
      <c r="W994" s="1" t="s">
        <v>27</v>
      </c>
      <c r="X994" s="1" t="str">
        <f>IF(laptop[[#This Row],[PrimaryStorageType]]=laptop[[#This Row],[SecondaryStorageType]],laptop[[#This Row],[PrimaryStorageType]],"SSD &amp; HDD")</f>
        <v>SSD &amp; HDD</v>
      </c>
      <c r="Y994" s="1" t="s">
        <v>110</v>
      </c>
    </row>
    <row r="995" spans="1:25" x14ac:dyDescent="0.25">
      <c r="A995" s="1" t="s">
        <v>73</v>
      </c>
      <c r="B995" s="1" t="s">
        <v>749</v>
      </c>
      <c r="C995" s="1" t="s">
        <v>38</v>
      </c>
      <c r="D995">
        <v>15.6</v>
      </c>
      <c r="E995">
        <v>8</v>
      </c>
      <c r="F995" s="1" t="s">
        <v>48</v>
      </c>
      <c r="G995">
        <v>2.2999999999999998</v>
      </c>
      <c r="H995">
        <v>1349</v>
      </c>
      <c r="I995" s="1" t="s">
        <v>40</v>
      </c>
      <c r="J995">
        <v>1920</v>
      </c>
      <c r="K995">
        <v>1080</v>
      </c>
      <c r="L995" s="1" t="s">
        <v>27</v>
      </c>
      <c r="M995" s="1" t="s">
        <v>27</v>
      </c>
      <c r="N995" s="1" t="s">
        <v>27</v>
      </c>
      <c r="O995" s="1" t="s">
        <v>29</v>
      </c>
      <c r="P995">
        <v>2.2999999999999998</v>
      </c>
      <c r="Q995" s="1" t="s">
        <v>212</v>
      </c>
      <c r="R995" s="1" t="str">
        <f>_xlfn.CONCAT(laptop[[#This Row],[CPU_company]]," ",laptop[[#This Row],[CPU_model]])</f>
        <v>Intel Core i5 6200U</v>
      </c>
      <c r="S995">
        <v>256</v>
      </c>
      <c r="T995">
        <v>0</v>
      </c>
      <c r="U995">
        <f>laptop[[#This Row],[PrimaryStorage]]+laptop[[#This Row],[SecondaryStorage]]</f>
        <v>256</v>
      </c>
      <c r="V995" s="1" t="s">
        <v>31</v>
      </c>
      <c r="W995" s="1" t="s">
        <v>27</v>
      </c>
      <c r="X995" s="1" t="str">
        <f>IF(laptop[[#This Row],[PrimaryStorageType]]=laptop[[#This Row],[SecondaryStorageType]],laptop[[#This Row],[PrimaryStorageType]],"SSD &amp; HDD")</f>
        <v>SSD &amp; HDD</v>
      </c>
      <c r="Y995" s="1" t="s">
        <v>63</v>
      </c>
    </row>
    <row r="996" spans="1:25" x14ac:dyDescent="0.25">
      <c r="A996" s="1" t="s">
        <v>65</v>
      </c>
      <c r="B996" s="1" t="s">
        <v>608</v>
      </c>
      <c r="C996" s="1" t="s">
        <v>90</v>
      </c>
      <c r="D996">
        <v>13.3</v>
      </c>
      <c r="E996">
        <v>8</v>
      </c>
      <c r="F996" s="1" t="s">
        <v>48</v>
      </c>
      <c r="G996">
        <v>1.68</v>
      </c>
      <c r="H996">
        <v>889</v>
      </c>
      <c r="I996" s="1" t="s">
        <v>40</v>
      </c>
      <c r="J996">
        <v>1920</v>
      </c>
      <c r="K996">
        <v>1080</v>
      </c>
      <c r="L996" s="1" t="s">
        <v>28</v>
      </c>
      <c r="M996" s="1" t="s">
        <v>27</v>
      </c>
      <c r="N996" s="1" t="s">
        <v>27</v>
      </c>
      <c r="O996" s="1" t="s">
        <v>29</v>
      </c>
      <c r="P996">
        <v>2.5</v>
      </c>
      <c r="Q996" s="1" t="s">
        <v>41</v>
      </c>
      <c r="R996" s="1" t="str">
        <f>_xlfn.CONCAT(laptop[[#This Row],[CPU_company]]," ",laptop[[#This Row],[CPU_model]])</f>
        <v>Intel Core i5 7200U</v>
      </c>
      <c r="S996">
        <v>256</v>
      </c>
      <c r="T996">
        <v>0</v>
      </c>
      <c r="U996">
        <f>laptop[[#This Row],[PrimaryStorage]]+laptop[[#This Row],[SecondaryStorage]]</f>
        <v>256</v>
      </c>
      <c r="V996" s="1" t="s">
        <v>31</v>
      </c>
      <c r="W996" s="1" t="s">
        <v>27</v>
      </c>
      <c r="X996" s="1" t="str">
        <f>IF(laptop[[#This Row],[PrimaryStorageType]]=laptop[[#This Row],[SecondaryStorageType]],laptop[[#This Row],[PrimaryStorageType]],"SSD &amp; HDD")</f>
        <v>SSD &amp; HDD</v>
      </c>
      <c r="Y996" s="1" t="s">
        <v>42</v>
      </c>
    </row>
    <row r="997" spans="1:25" x14ac:dyDescent="0.25">
      <c r="A997" s="1" t="s">
        <v>55</v>
      </c>
      <c r="B997" s="1" t="s">
        <v>750</v>
      </c>
      <c r="C997" s="1" t="s">
        <v>38</v>
      </c>
      <c r="D997">
        <v>13.3</v>
      </c>
      <c r="E997">
        <v>8</v>
      </c>
      <c r="F997" s="1" t="s">
        <v>48</v>
      </c>
      <c r="G997">
        <v>1.4</v>
      </c>
      <c r="H997">
        <v>1150</v>
      </c>
      <c r="I997" s="1" t="s">
        <v>107</v>
      </c>
      <c r="J997">
        <v>3200</v>
      </c>
      <c r="K997">
        <v>1800</v>
      </c>
      <c r="L997" s="1" t="s">
        <v>27</v>
      </c>
      <c r="M997" s="1" t="s">
        <v>27</v>
      </c>
      <c r="N997" s="1" t="s">
        <v>27</v>
      </c>
      <c r="O997" s="1" t="s">
        <v>29</v>
      </c>
      <c r="P997">
        <v>2.5</v>
      </c>
      <c r="Q997" s="1" t="s">
        <v>41</v>
      </c>
      <c r="R997" s="1" t="str">
        <f>_xlfn.CONCAT(laptop[[#This Row],[CPU_company]]," ",laptop[[#This Row],[CPU_model]])</f>
        <v>Intel Core i5 7200U</v>
      </c>
      <c r="S997">
        <v>256</v>
      </c>
      <c r="T997">
        <v>0</v>
      </c>
      <c r="U997">
        <f>laptop[[#This Row],[PrimaryStorage]]+laptop[[#This Row],[SecondaryStorage]]</f>
        <v>256</v>
      </c>
      <c r="V997" s="1" t="s">
        <v>31</v>
      </c>
      <c r="W997" s="1" t="s">
        <v>27</v>
      </c>
      <c r="X997" s="1" t="str">
        <f>IF(laptop[[#This Row],[PrimaryStorageType]]=laptop[[#This Row],[SecondaryStorageType]],laptop[[#This Row],[PrimaryStorageType]],"SSD &amp; HDD")</f>
        <v>SSD &amp; HDD</v>
      </c>
      <c r="Y997" s="1" t="s">
        <v>42</v>
      </c>
    </row>
    <row r="998" spans="1:25" x14ac:dyDescent="0.25">
      <c r="A998" s="1" t="s">
        <v>36</v>
      </c>
      <c r="B998" s="1" t="s">
        <v>751</v>
      </c>
      <c r="C998" s="1" t="s">
        <v>24</v>
      </c>
      <c r="D998">
        <v>13.3</v>
      </c>
      <c r="E998">
        <v>8</v>
      </c>
      <c r="F998" s="1" t="s">
        <v>48</v>
      </c>
      <c r="G998">
        <v>1.1100000000000001</v>
      </c>
      <c r="H998">
        <v>1349</v>
      </c>
      <c r="I998" s="1" t="s">
        <v>40</v>
      </c>
      <c r="J998">
        <v>1920</v>
      </c>
      <c r="K998">
        <v>1080</v>
      </c>
      <c r="L998" s="1" t="s">
        <v>28</v>
      </c>
      <c r="M998" s="1" t="s">
        <v>28</v>
      </c>
      <c r="N998" s="1" t="s">
        <v>27</v>
      </c>
      <c r="O998" s="1" t="s">
        <v>29</v>
      </c>
      <c r="P998">
        <v>2.7</v>
      </c>
      <c r="Q998" s="1" t="s">
        <v>71</v>
      </c>
      <c r="R998" s="1" t="str">
        <f>_xlfn.CONCAT(laptop[[#This Row],[CPU_company]]," ",laptop[[#This Row],[CPU_model]])</f>
        <v>Intel Core i7 7500U</v>
      </c>
      <c r="S998">
        <v>256</v>
      </c>
      <c r="T998">
        <v>0</v>
      </c>
      <c r="U998">
        <f>laptop[[#This Row],[PrimaryStorage]]+laptop[[#This Row],[SecondaryStorage]]</f>
        <v>256</v>
      </c>
      <c r="V998" s="1" t="s">
        <v>31</v>
      </c>
      <c r="W998" s="1" t="s">
        <v>27</v>
      </c>
      <c r="X998" s="1" t="str">
        <f>IF(laptop[[#This Row],[PrimaryStorageType]]=laptop[[#This Row],[SecondaryStorageType]],laptop[[#This Row],[PrimaryStorageType]],"SSD &amp; HDD")</f>
        <v>SSD &amp; HDD</v>
      </c>
      <c r="Y998" s="1" t="s">
        <v>42</v>
      </c>
    </row>
    <row r="999" spans="1:25" x14ac:dyDescent="0.25">
      <c r="A999" s="1" t="s">
        <v>46</v>
      </c>
      <c r="B999" s="1" t="s">
        <v>752</v>
      </c>
      <c r="C999" s="1" t="s">
        <v>38</v>
      </c>
      <c r="D999">
        <v>15.6</v>
      </c>
      <c r="E999">
        <v>4</v>
      </c>
      <c r="F999" s="1" t="s">
        <v>48</v>
      </c>
      <c r="G999">
        <v>2.4</v>
      </c>
      <c r="H999">
        <v>380</v>
      </c>
      <c r="I999" s="1" t="s">
        <v>26</v>
      </c>
      <c r="J999">
        <v>1366</v>
      </c>
      <c r="K999">
        <v>768</v>
      </c>
      <c r="L999" s="1" t="s">
        <v>27</v>
      </c>
      <c r="M999" s="1" t="s">
        <v>27</v>
      </c>
      <c r="N999" s="1" t="s">
        <v>27</v>
      </c>
      <c r="O999" s="1" t="s">
        <v>29</v>
      </c>
      <c r="P999">
        <v>1.1000000000000001</v>
      </c>
      <c r="Q999" s="1" t="s">
        <v>130</v>
      </c>
      <c r="R999" s="1" t="str">
        <f>_xlfn.CONCAT(laptop[[#This Row],[CPU_company]]," ",laptop[[#This Row],[CPU_model]])</f>
        <v>Intel Pentium Quad Core N4200</v>
      </c>
      <c r="S999">
        <v>500</v>
      </c>
      <c r="T999">
        <v>0</v>
      </c>
      <c r="U999">
        <f>laptop[[#This Row],[PrimaryStorage]]+laptop[[#This Row],[SecondaryStorage]]</f>
        <v>500</v>
      </c>
      <c r="V999" s="1" t="s">
        <v>51</v>
      </c>
      <c r="W999" s="1" t="s">
        <v>27</v>
      </c>
      <c r="X999" s="1" t="str">
        <f>IF(laptop[[#This Row],[PrimaryStorageType]]=laptop[[#This Row],[SecondaryStorageType]],laptop[[#This Row],[PrimaryStorageType]],"SSD &amp; HDD")</f>
        <v>SSD &amp; HDD</v>
      </c>
      <c r="Y999" s="1" t="s">
        <v>237</v>
      </c>
    </row>
    <row r="1000" spans="1:25" x14ac:dyDescent="0.25">
      <c r="A1000" s="1" t="s">
        <v>55</v>
      </c>
      <c r="B1000" s="1" t="s">
        <v>753</v>
      </c>
      <c r="C1000" s="1" t="s">
        <v>83</v>
      </c>
      <c r="D1000">
        <v>15.6</v>
      </c>
      <c r="E1000">
        <v>16</v>
      </c>
      <c r="F1000" s="1" t="s">
        <v>48</v>
      </c>
      <c r="G1000">
        <v>2.5</v>
      </c>
      <c r="H1000">
        <v>1799</v>
      </c>
      <c r="I1000" s="1" t="s">
        <v>40</v>
      </c>
      <c r="J1000">
        <v>1920</v>
      </c>
      <c r="K1000">
        <v>1080</v>
      </c>
      <c r="L1000" s="1" t="s">
        <v>27</v>
      </c>
      <c r="M1000" s="1" t="s">
        <v>27</v>
      </c>
      <c r="N1000" s="1" t="s">
        <v>27</v>
      </c>
      <c r="O1000" s="1" t="s">
        <v>29</v>
      </c>
      <c r="P1000">
        <v>2.8</v>
      </c>
      <c r="Q1000" s="1" t="s">
        <v>118</v>
      </c>
      <c r="R1000" s="1" t="str">
        <f>_xlfn.CONCAT(laptop[[#This Row],[CPU_company]]," ",laptop[[#This Row],[CPU_model]])</f>
        <v>Intel Core i7 7700HQ</v>
      </c>
      <c r="S1000">
        <v>256</v>
      </c>
      <c r="T1000">
        <v>1024</v>
      </c>
      <c r="U1000">
        <f>laptop[[#This Row],[PrimaryStorage]]+laptop[[#This Row],[SecondaryStorage]]</f>
        <v>1280</v>
      </c>
      <c r="V1000" s="1" t="s">
        <v>31</v>
      </c>
      <c r="W1000" s="1" t="s">
        <v>51</v>
      </c>
      <c r="X1000" s="1" t="str">
        <f>IF(laptop[[#This Row],[PrimaryStorageType]]=laptop[[#This Row],[SecondaryStorageType]],laptop[[#This Row],[PrimaryStorageType]],"SSD &amp; HDD")</f>
        <v>SSD &amp; HDD</v>
      </c>
      <c r="Y1000" s="1" t="s">
        <v>149</v>
      </c>
    </row>
    <row r="1001" spans="1:25" x14ac:dyDescent="0.25">
      <c r="A1001" s="1" t="s">
        <v>36</v>
      </c>
      <c r="B1001" s="1" t="s">
        <v>226</v>
      </c>
      <c r="C1001" s="1" t="s">
        <v>24</v>
      </c>
      <c r="D1001">
        <v>14</v>
      </c>
      <c r="E1001">
        <v>8</v>
      </c>
      <c r="F1001" s="1" t="s">
        <v>48</v>
      </c>
      <c r="G1001">
        <v>1.48</v>
      </c>
      <c r="H1001">
        <v>2089</v>
      </c>
      <c r="I1001" s="1" t="s">
        <v>40</v>
      </c>
      <c r="J1001">
        <v>1920</v>
      </c>
      <c r="K1001">
        <v>1080</v>
      </c>
      <c r="L1001" s="1" t="s">
        <v>27</v>
      </c>
      <c r="M1001" s="1" t="s">
        <v>27</v>
      </c>
      <c r="N1001" s="1" t="s">
        <v>27</v>
      </c>
      <c r="O1001" s="1" t="s">
        <v>29</v>
      </c>
      <c r="P1001">
        <v>2.7</v>
      </c>
      <c r="Q1001" s="1" t="s">
        <v>71</v>
      </c>
      <c r="R1001" s="1" t="str">
        <f>_xlfn.CONCAT(laptop[[#This Row],[CPU_company]]," ",laptop[[#This Row],[CPU_model]])</f>
        <v>Intel Core i7 7500U</v>
      </c>
      <c r="S1001">
        <v>512</v>
      </c>
      <c r="T1001">
        <v>0</v>
      </c>
      <c r="U1001">
        <f>laptop[[#This Row],[PrimaryStorage]]+laptop[[#This Row],[SecondaryStorage]]</f>
        <v>512</v>
      </c>
      <c r="V1001" s="1" t="s">
        <v>31</v>
      </c>
      <c r="W1001" s="1" t="s">
        <v>27</v>
      </c>
      <c r="X1001" s="1" t="str">
        <f>IF(laptop[[#This Row],[PrimaryStorageType]]=laptop[[#This Row],[SecondaryStorageType]],laptop[[#This Row],[PrimaryStorageType]],"SSD &amp; HDD")</f>
        <v>SSD &amp; HDD</v>
      </c>
      <c r="Y1001" s="1" t="s">
        <v>42</v>
      </c>
    </row>
    <row r="1002" spans="1:25" x14ac:dyDescent="0.25">
      <c r="A1002" s="1" t="s">
        <v>46</v>
      </c>
      <c r="B1002" s="1" t="s">
        <v>754</v>
      </c>
      <c r="C1002" s="1" t="s">
        <v>83</v>
      </c>
      <c r="D1002">
        <v>15.6</v>
      </c>
      <c r="E1002">
        <v>8</v>
      </c>
      <c r="F1002" s="1" t="s">
        <v>48</v>
      </c>
      <c r="G1002">
        <v>2.7</v>
      </c>
      <c r="H1002">
        <v>1260</v>
      </c>
      <c r="I1002" s="1" t="s">
        <v>40</v>
      </c>
      <c r="J1002">
        <v>1920</v>
      </c>
      <c r="K1002">
        <v>1080</v>
      </c>
      <c r="L1002" s="1" t="s">
        <v>27</v>
      </c>
      <c r="M1002" s="1" t="s">
        <v>28</v>
      </c>
      <c r="N1002" s="1" t="s">
        <v>27</v>
      </c>
      <c r="O1002" s="1" t="s">
        <v>29</v>
      </c>
      <c r="P1002">
        <v>2.8</v>
      </c>
      <c r="Q1002" s="1" t="s">
        <v>118</v>
      </c>
      <c r="R1002" s="1" t="str">
        <f>_xlfn.CONCAT(laptop[[#This Row],[CPU_company]]," ",laptop[[#This Row],[CPU_model]])</f>
        <v>Intel Core i7 7700HQ</v>
      </c>
      <c r="S1002">
        <v>128</v>
      </c>
      <c r="T1002">
        <v>1024</v>
      </c>
      <c r="U1002">
        <f>laptop[[#This Row],[PrimaryStorage]]+laptop[[#This Row],[SecondaryStorage]]</f>
        <v>1152</v>
      </c>
      <c r="V1002" s="1" t="s">
        <v>31</v>
      </c>
      <c r="W1002" s="1" t="s">
        <v>51</v>
      </c>
      <c r="X1002" s="1" t="str">
        <f>IF(laptop[[#This Row],[PrimaryStorageType]]=laptop[[#This Row],[SecondaryStorageType]],laptop[[#This Row],[PrimaryStorageType]],"SSD &amp; HDD")</f>
        <v>SSD &amp; HDD</v>
      </c>
      <c r="Y1002" s="1" t="s">
        <v>85</v>
      </c>
    </row>
    <row r="1003" spans="1:25" x14ac:dyDescent="0.25">
      <c r="A1003" s="1" t="s">
        <v>36</v>
      </c>
      <c r="B1003" s="1" t="s">
        <v>755</v>
      </c>
      <c r="C1003" s="1" t="s">
        <v>38</v>
      </c>
      <c r="D1003">
        <v>13.3</v>
      </c>
      <c r="E1003">
        <v>8</v>
      </c>
      <c r="F1003" s="1" t="s">
        <v>48</v>
      </c>
      <c r="G1003">
        <v>1.34</v>
      </c>
      <c r="H1003">
        <v>1189</v>
      </c>
      <c r="I1003" s="1" t="s">
        <v>40</v>
      </c>
      <c r="J1003">
        <v>1920</v>
      </c>
      <c r="K1003">
        <v>1080</v>
      </c>
      <c r="L1003" s="1" t="s">
        <v>27</v>
      </c>
      <c r="M1003" s="1" t="s">
        <v>28</v>
      </c>
      <c r="N1003" s="1" t="s">
        <v>27</v>
      </c>
      <c r="O1003" s="1" t="s">
        <v>29</v>
      </c>
      <c r="P1003">
        <v>2.5</v>
      </c>
      <c r="Q1003" s="1" t="s">
        <v>41</v>
      </c>
      <c r="R1003" s="1" t="str">
        <f>_xlfn.CONCAT(laptop[[#This Row],[CPU_company]]," ",laptop[[#This Row],[CPU_model]])</f>
        <v>Intel Core i5 7200U</v>
      </c>
      <c r="S1003">
        <v>256</v>
      </c>
      <c r="T1003">
        <v>0</v>
      </c>
      <c r="U1003">
        <f>laptop[[#This Row],[PrimaryStorage]]+laptop[[#This Row],[SecondaryStorage]]</f>
        <v>256</v>
      </c>
      <c r="V1003" s="1" t="s">
        <v>31</v>
      </c>
      <c r="W1003" s="1" t="s">
        <v>27</v>
      </c>
      <c r="X1003" s="1" t="str">
        <f>IF(laptop[[#This Row],[PrimaryStorageType]]=laptop[[#This Row],[SecondaryStorageType]],laptop[[#This Row],[PrimaryStorageType]],"SSD &amp; HDD")</f>
        <v>SSD &amp; HDD</v>
      </c>
      <c r="Y1003" s="1" t="s">
        <v>42</v>
      </c>
    </row>
    <row r="1004" spans="1:25" x14ac:dyDescent="0.25">
      <c r="A1004" s="1" t="s">
        <v>65</v>
      </c>
      <c r="B1004" s="1" t="s">
        <v>305</v>
      </c>
      <c r="C1004" s="1" t="s">
        <v>38</v>
      </c>
      <c r="D1004">
        <v>15.6</v>
      </c>
      <c r="E1004">
        <v>4</v>
      </c>
      <c r="F1004" s="1" t="s">
        <v>48</v>
      </c>
      <c r="G1004">
        <v>2.1800000000000002</v>
      </c>
      <c r="H1004">
        <v>547</v>
      </c>
      <c r="I1004" s="1" t="s">
        <v>26</v>
      </c>
      <c r="J1004">
        <v>1366</v>
      </c>
      <c r="K1004">
        <v>768</v>
      </c>
      <c r="L1004" s="1" t="s">
        <v>27</v>
      </c>
      <c r="M1004" s="1" t="s">
        <v>27</v>
      </c>
      <c r="N1004" s="1" t="s">
        <v>27</v>
      </c>
      <c r="O1004" s="1" t="s">
        <v>29</v>
      </c>
      <c r="P1004">
        <v>2.4</v>
      </c>
      <c r="Q1004" s="1" t="s">
        <v>75</v>
      </c>
      <c r="R1004" s="1" t="str">
        <f>_xlfn.CONCAT(laptop[[#This Row],[CPU_company]]," ",laptop[[#This Row],[CPU_model]])</f>
        <v>Intel Core i3 7100U</v>
      </c>
      <c r="S1004">
        <v>128</v>
      </c>
      <c r="T1004">
        <v>0</v>
      </c>
      <c r="U1004">
        <f>laptop[[#This Row],[PrimaryStorage]]+laptop[[#This Row],[SecondaryStorage]]</f>
        <v>128</v>
      </c>
      <c r="V1004" s="1" t="s">
        <v>31</v>
      </c>
      <c r="W1004" s="1" t="s">
        <v>27</v>
      </c>
      <c r="X1004" s="1" t="str">
        <f>IF(laptop[[#This Row],[PrimaryStorageType]]=laptop[[#This Row],[SecondaryStorageType]],laptop[[#This Row],[PrimaryStorageType]],"SSD &amp; HDD")</f>
        <v>SSD &amp; HDD</v>
      </c>
      <c r="Y1004" s="1" t="s">
        <v>42</v>
      </c>
    </row>
    <row r="1005" spans="1:25" x14ac:dyDescent="0.25">
      <c r="A1005" s="1" t="s">
        <v>36</v>
      </c>
      <c r="B1005" s="1" t="s">
        <v>191</v>
      </c>
      <c r="C1005" s="1" t="s">
        <v>38</v>
      </c>
      <c r="D1005">
        <v>14</v>
      </c>
      <c r="E1005">
        <v>4</v>
      </c>
      <c r="F1005" s="1" t="s">
        <v>48</v>
      </c>
      <c r="G1005">
        <v>1.64</v>
      </c>
      <c r="H1005">
        <v>779</v>
      </c>
      <c r="I1005" s="1" t="s">
        <v>26</v>
      </c>
      <c r="J1005">
        <v>1366</v>
      </c>
      <c r="K1005">
        <v>768</v>
      </c>
      <c r="L1005" s="1" t="s">
        <v>27</v>
      </c>
      <c r="M1005" s="1" t="s">
        <v>27</v>
      </c>
      <c r="N1005" s="1" t="s">
        <v>27</v>
      </c>
      <c r="O1005" s="1" t="s">
        <v>29</v>
      </c>
      <c r="P1005">
        <v>2.5</v>
      </c>
      <c r="Q1005" s="1" t="s">
        <v>41</v>
      </c>
      <c r="R1005" s="1" t="str">
        <f>_xlfn.CONCAT(laptop[[#This Row],[CPU_company]]," ",laptop[[#This Row],[CPU_model]])</f>
        <v>Intel Core i5 7200U</v>
      </c>
      <c r="S1005">
        <v>500</v>
      </c>
      <c r="T1005">
        <v>0</v>
      </c>
      <c r="U1005">
        <f>laptop[[#This Row],[PrimaryStorage]]+laptop[[#This Row],[SecondaryStorage]]</f>
        <v>500</v>
      </c>
      <c r="V1005" s="1" t="s">
        <v>51</v>
      </c>
      <c r="W1005" s="1" t="s">
        <v>27</v>
      </c>
      <c r="X1005" s="1" t="str">
        <f>IF(laptop[[#This Row],[PrimaryStorageType]]=laptop[[#This Row],[SecondaryStorageType]],laptop[[#This Row],[PrimaryStorageType]],"SSD &amp; HDD")</f>
        <v>SSD &amp; HDD</v>
      </c>
      <c r="Y1005" s="1" t="s">
        <v>42</v>
      </c>
    </row>
    <row r="1006" spans="1:25" x14ac:dyDescent="0.25">
      <c r="A1006" s="1" t="s">
        <v>210</v>
      </c>
      <c r="B1006" s="1" t="s">
        <v>756</v>
      </c>
      <c r="C1006" s="1" t="s">
        <v>38</v>
      </c>
      <c r="D1006">
        <v>13.3</v>
      </c>
      <c r="E1006">
        <v>4</v>
      </c>
      <c r="F1006" s="1" t="s">
        <v>48</v>
      </c>
      <c r="G1006">
        <v>1.2</v>
      </c>
      <c r="H1006">
        <v>1195</v>
      </c>
      <c r="I1006" s="1" t="s">
        <v>40</v>
      </c>
      <c r="J1006">
        <v>1920</v>
      </c>
      <c r="K1006">
        <v>1080</v>
      </c>
      <c r="L1006" s="1" t="s">
        <v>27</v>
      </c>
      <c r="M1006" s="1" t="s">
        <v>27</v>
      </c>
      <c r="N1006" s="1" t="s">
        <v>27</v>
      </c>
      <c r="O1006" s="1" t="s">
        <v>29</v>
      </c>
      <c r="P1006">
        <v>2.2999999999999998</v>
      </c>
      <c r="Q1006" s="1" t="s">
        <v>212</v>
      </c>
      <c r="R1006" s="1" t="str">
        <f>_xlfn.CONCAT(laptop[[#This Row],[CPU_company]]," ",laptop[[#This Row],[CPU_model]])</f>
        <v>Intel Core i5 6200U</v>
      </c>
      <c r="S1006">
        <v>128</v>
      </c>
      <c r="T1006">
        <v>0</v>
      </c>
      <c r="U1006">
        <f>laptop[[#This Row],[PrimaryStorage]]+laptop[[#This Row],[SecondaryStorage]]</f>
        <v>128</v>
      </c>
      <c r="V1006" s="1" t="s">
        <v>31</v>
      </c>
      <c r="W1006" s="1" t="s">
        <v>27</v>
      </c>
      <c r="X1006" s="1" t="str">
        <f>IF(laptop[[#This Row],[PrimaryStorageType]]=laptop[[#This Row],[SecondaryStorageType]],laptop[[#This Row],[PrimaryStorageType]],"SSD &amp; HDD")</f>
        <v>SSD &amp; HDD</v>
      </c>
      <c r="Y1006" s="1" t="s">
        <v>63</v>
      </c>
    </row>
    <row r="1007" spans="1:25" x14ac:dyDescent="0.25">
      <c r="A1007" s="1" t="s">
        <v>36</v>
      </c>
      <c r="B1007" s="1" t="s">
        <v>226</v>
      </c>
      <c r="C1007" s="1" t="s">
        <v>38</v>
      </c>
      <c r="D1007">
        <v>14</v>
      </c>
      <c r="E1007">
        <v>4</v>
      </c>
      <c r="F1007" s="1" t="s">
        <v>48</v>
      </c>
      <c r="G1007">
        <v>1.48</v>
      </c>
      <c r="H1007">
        <v>1099.99</v>
      </c>
      <c r="I1007" s="1" t="s">
        <v>26</v>
      </c>
      <c r="J1007">
        <v>1366</v>
      </c>
      <c r="K1007">
        <v>768</v>
      </c>
      <c r="L1007" s="1" t="s">
        <v>27</v>
      </c>
      <c r="M1007" s="1" t="s">
        <v>27</v>
      </c>
      <c r="N1007" s="1" t="s">
        <v>27</v>
      </c>
      <c r="O1007" s="1" t="s">
        <v>29</v>
      </c>
      <c r="P1007">
        <v>2.4</v>
      </c>
      <c r="Q1007" s="1" t="s">
        <v>562</v>
      </c>
      <c r="R1007" s="1" t="str">
        <f>_xlfn.CONCAT(laptop[[#This Row],[CPU_company]]," ",laptop[[#This Row],[CPU_model]])</f>
        <v>Intel Core i5 6300U</v>
      </c>
      <c r="S1007">
        <v>256</v>
      </c>
      <c r="T1007">
        <v>0</v>
      </c>
      <c r="U1007">
        <f>laptop[[#This Row],[PrimaryStorage]]+laptop[[#This Row],[SecondaryStorage]]</f>
        <v>256</v>
      </c>
      <c r="V1007" s="1" t="s">
        <v>31</v>
      </c>
      <c r="W1007" s="1" t="s">
        <v>27</v>
      </c>
      <c r="X1007" s="1" t="str">
        <f>IF(laptop[[#This Row],[PrimaryStorageType]]=laptop[[#This Row],[SecondaryStorageType]],laptop[[#This Row],[PrimaryStorageType]],"SSD &amp; HDD")</f>
        <v>SSD &amp; HDD</v>
      </c>
      <c r="Y1007" s="1" t="s">
        <v>63</v>
      </c>
    </row>
    <row r="1008" spans="1:25" x14ac:dyDescent="0.25">
      <c r="A1008" s="1" t="s">
        <v>36</v>
      </c>
      <c r="B1008" s="1" t="s">
        <v>344</v>
      </c>
      <c r="C1008" s="1" t="s">
        <v>38</v>
      </c>
      <c r="D1008">
        <v>14</v>
      </c>
      <c r="E1008">
        <v>4</v>
      </c>
      <c r="F1008" s="1" t="s">
        <v>48</v>
      </c>
      <c r="G1008">
        <v>1.95</v>
      </c>
      <c r="H1008">
        <v>1205</v>
      </c>
      <c r="I1008" s="1" t="s">
        <v>40</v>
      </c>
      <c r="J1008">
        <v>1920</v>
      </c>
      <c r="K1008">
        <v>1080</v>
      </c>
      <c r="L1008" s="1" t="s">
        <v>27</v>
      </c>
      <c r="M1008" s="1" t="s">
        <v>27</v>
      </c>
      <c r="N1008" s="1" t="s">
        <v>27</v>
      </c>
      <c r="O1008" s="1" t="s">
        <v>29</v>
      </c>
      <c r="P1008">
        <v>2.5</v>
      </c>
      <c r="Q1008" s="1" t="s">
        <v>41</v>
      </c>
      <c r="R1008" s="1" t="str">
        <f>_xlfn.CONCAT(laptop[[#This Row],[CPU_company]]," ",laptop[[#This Row],[CPU_model]])</f>
        <v>Intel Core i5 7200U</v>
      </c>
      <c r="S1008">
        <v>256</v>
      </c>
      <c r="T1008">
        <v>0</v>
      </c>
      <c r="U1008">
        <f>laptop[[#This Row],[PrimaryStorage]]+laptop[[#This Row],[SecondaryStorage]]</f>
        <v>256</v>
      </c>
      <c r="V1008" s="1" t="s">
        <v>31</v>
      </c>
      <c r="W1008" s="1" t="s">
        <v>27</v>
      </c>
      <c r="X1008" s="1" t="str">
        <f>IF(laptop[[#This Row],[PrimaryStorageType]]=laptop[[#This Row],[SecondaryStorageType]],laptop[[#This Row],[PrimaryStorageType]],"SSD &amp; HDD")</f>
        <v>SSD &amp; HDD</v>
      </c>
      <c r="Y1008" s="1" t="s">
        <v>42</v>
      </c>
    </row>
    <row r="1009" spans="1:25" x14ac:dyDescent="0.25">
      <c r="A1009" s="1" t="s">
        <v>36</v>
      </c>
      <c r="B1009" s="1" t="s">
        <v>405</v>
      </c>
      <c r="C1009" s="1" t="s">
        <v>24</v>
      </c>
      <c r="D1009">
        <v>14</v>
      </c>
      <c r="E1009">
        <v>8</v>
      </c>
      <c r="F1009" s="1" t="s">
        <v>480</v>
      </c>
      <c r="G1009">
        <v>1.43</v>
      </c>
      <c r="H1009">
        <v>1449</v>
      </c>
      <c r="I1009" s="1" t="s">
        <v>40</v>
      </c>
      <c r="J1009">
        <v>1920</v>
      </c>
      <c r="K1009">
        <v>1080</v>
      </c>
      <c r="L1009" s="1" t="s">
        <v>27</v>
      </c>
      <c r="M1009" s="1" t="s">
        <v>27</v>
      </c>
      <c r="N1009" s="1" t="s">
        <v>27</v>
      </c>
      <c r="O1009" s="1" t="s">
        <v>29</v>
      </c>
      <c r="P1009">
        <v>2.6</v>
      </c>
      <c r="Q1009" s="1" t="s">
        <v>309</v>
      </c>
      <c r="R1009" s="1" t="str">
        <f>_xlfn.CONCAT(laptop[[#This Row],[CPU_company]]," ",laptop[[#This Row],[CPU_model]])</f>
        <v>Intel Core i7 6600U</v>
      </c>
      <c r="S1009">
        <v>256</v>
      </c>
      <c r="T1009">
        <v>0</v>
      </c>
      <c r="U1009">
        <f>laptop[[#This Row],[PrimaryStorage]]+laptop[[#This Row],[SecondaryStorage]]</f>
        <v>256</v>
      </c>
      <c r="V1009" s="1" t="s">
        <v>31</v>
      </c>
      <c r="W1009" s="1" t="s">
        <v>27</v>
      </c>
      <c r="X1009" s="1" t="str">
        <f>IF(laptop[[#This Row],[PrimaryStorageType]]=laptop[[#This Row],[SecondaryStorageType]],laptop[[#This Row],[PrimaryStorageType]],"SSD &amp; HDD")</f>
        <v>SSD &amp; HDD</v>
      </c>
      <c r="Y1009" s="1" t="s">
        <v>63</v>
      </c>
    </row>
    <row r="1010" spans="1:25" x14ac:dyDescent="0.25">
      <c r="A1010" s="1" t="s">
        <v>36</v>
      </c>
      <c r="B1010" s="1" t="s">
        <v>164</v>
      </c>
      <c r="C1010" s="1" t="s">
        <v>38</v>
      </c>
      <c r="D1010">
        <v>14</v>
      </c>
      <c r="E1010">
        <v>8</v>
      </c>
      <c r="F1010" s="1" t="s">
        <v>48</v>
      </c>
      <c r="G1010">
        <v>1.64</v>
      </c>
      <c r="H1010">
        <v>1049.26</v>
      </c>
      <c r="I1010" s="1" t="s">
        <v>40</v>
      </c>
      <c r="J1010">
        <v>1920</v>
      </c>
      <c r="K1010">
        <v>1080</v>
      </c>
      <c r="L1010" s="1" t="s">
        <v>27</v>
      </c>
      <c r="M1010" s="1" t="s">
        <v>27</v>
      </c>
      <c r="N1010" s="1" t="s">
        <v>27</v>
      </c>
      <c r="O1010" s="1" t="s">
        <v>29</v>
      </c>
      <c r="P1010">
        <v>2.5</v>
      </c>
      <c r="Q1010" s="1" t="s">
        <v>41</v>
      </c>
      <c r="R1010" s="1" t="str">
        <f>_xlfn.CONCAT(laptop[[#This Row],[CPU_company]]," ",laptop[[#This Row],[CPU_model]])</f>
        <v>Intel Core i5 7200U</v>
      </c>
      <c r="S1010">
        <v>256</v>
      </c>
      <c r="T1010">
        <v>0</v>
      </c>
      <c r="U1010">
        <f>laptop[[#This Row],[PrimaryStorage]]+laptop[[#This Row],[SecondaryStorage]]</f>
        <v>256</v>
      </c>
      <c r="V1010" s="1" t="s">
        <v>31</v>
      </c>
      <c r="W1010" s="1" t="s">
        <v>27</v>
      </c>
      <c r="X1010" s="1" t="str">
        <f>IF(laptop[[#This Row],[PrimaryStorageType]]=laptop[[#This Row],[SecondaryStorageType]],laptop[[#This Row],[PrimaryStorageType]],"SSD &amp; HDD")</f>
        <v>SSD &amp; HDD</v>
      </c>
      <c r="Y1010" s="1" t="s">
        <v>98</v>
      </c>
    </row>
    <row r="1011" spans="1:25" x14ac:dyDescent="0.25">
      <c r="A1011" s="1" t="s">
        <v>36</v>
      </c>
      <c r="B1011" s="1" t="s">
        <v>191</v>
      </c>
      <c r="C1011" s="1" t="s">
        <v>38</v>
      </c>
      <c r="D1011">
        <v>14</v>
      </c>
      <c r="E1011">
        <v>4</v>
      </c>
      <c r="F1011" s="1" t="s">
        <v>48</v>
      </c>
      <c r="G1011">
        <v>1.64</v>
      </c>
      <c r="H1011">
        <v>684</v>
      </c>
      <c r="I1011" s="1" t="s">
        <v>26</v>
      </c>
      <c r="J1011">
        <v>1366</v>
      </c>
      <c r="K1011">
        <v>768</v>
      </c>
      <c r="L1011" s="1" t="s">
        <v>27</v>
      </c>
      <c r="M1011" s="1" t="s">
        <v>27</v>
      </c>
      <c r="N1011" s="1" t="s">
        <v>27</v>
      </c>
      <c r="O1011" s="1" t="s">
        <v>29</v>
      </c>
      <c r="P1011">
        <v>2.4</v>
      </c>
      <c r="Q1011" s="1" t="s">
        <v>75</v>
      </c>
      <c r="R1011" s="1" t="str">
        <f>_xlfn.CONCAT(laptop[[#This Row],[CPU_company]]," ",laptop[[#This Row],[CPU_model]])</f>
        <v>Intel Core i3 7100U</v>
      </c>
      <c r="S1011">
        <v>500</v>
      </c>
      <c r="T1011">
        <v>0</v>
      </c>
      <c r="U1011">
        <f>laptop[[#This Row],[PrimaryStorage]]+laptop[[#This Row],[SecondaryStorage]]</f>
        <v>500</v>
      </c>
      <c r="V1011" s="1" t="s">
        <v>51</v>
      </c>
      <c r="W1011" s="1" t="s">
        <v>27</v>
      </c>
      <c r="X1011" s="1" t="str">
        <f>IF(laptop[[#This Row],[PrimaryStorageType]]=laptop[[#This Row],[SecondaryStorageType]],laptop[[#This Row],[PrimaryStorageType]],"SSD &amp; HDD")</f>
        <v>SSD &amp; HDD</v>
      </c>
      <c r="Y1011" s="1" t="s">
        <v>42</v>
      </c>
    </row>
    <row r="1012" spans="1:25" x14ac:dyDescent="0.25">
      <c r="A1012" s="1" t="s">
        <v>65</v>
      </c>
      <c r="B1012" s="1" t="s">
        <v>222</v>
      </c>
      <c r="C1012" s="1" t="s">
        <v>83</v>
      </c>
      <c r="D1012">
        <v>15.6</v>
      </c>
      <c r="E1012">
        <v>8</v>
      </c>
      <c r="F1012" s="1" t="s">
        <v>48</v>
      </c>
      <c r="G1012">
        <v>2.65</v>
      </c>
      <c r="H1012">
        <v>949</v>
      </c>
      <c r="I1012" s="1" t="s">
        <v>40</v>
      </c>
      <c r="J1012">
        <v>1920</v>
      </c>
      <c r="K1012">
        <v>1080</v>
      </c>
      <c r="L1012" s="1" t="s">
        <v>27</v>
      </c>
      <c r="M1012" s="1" t="s">
        <v>27</v>
      </c>
      <c r="N1012" s="1" t="s">
        <v>27</v>
      </c>
      <c r="O1012" s="1" t="s">
        <v>29</v>
      </c>
      <c r="P1012">
        <v>2.5</v>
      </c>
      <c r="Q1012" s="1" t="s">
        <v>84</v>
      </c>
      <c r="R1012" s="1" t="str">
        <f>_xlfn.CONCAT(laptop[[#This Row],[CPU_company]]," ",laptop[[#This Row],[CPU_model]])</f>
        <v>Intel Core i5 7300HQ</v>
      </c>
      <c r="S1012">
        <v>1024</v>
      </c>
      <c r="T1012">
        <v>0</v>
      </c>
      <c r="U1012">
        <f>laptop[[#This Row],[PrimaryStorage]]+laptop[[#This Row],[SecondaryStorage]]</f>
        <v>1024</v>
      </c>
      <c r="V1012" s="1" t="s">
        <v>223</v>
      </c>
      <c r="W1012" s="1" t="s">
        <v>27</v>
      </c>
      <c r="X1012" s="1" t="str">
        <f>IF(laptop[[#This Row],[PrimaryStorageType]]=laptop[[#This Row],[SecondaryStorageType]],laptop[[#This Row],[PrimaryStorageType]],"SSD &amp; HDD")</f>
        <v>SSD &amp; HDD</v>
      </c>
      <c r="Y1012" s="1" t="s">
        <v>85</v>
      </c>
    </row>
    <row r="1013" spans="1:25" x14ac:dyDescent="0.25">
      <c r="A1013" s="1" t="s">
        <v>36</v>
      </c>
      <c r="B1013" s="1" t="s">
        <v>639</v>
      </c>
      <c r="C1013" s="1" t="s">
        <v>24</v>
      </c>
      <c r="D1013">
        <v>12.5</v>
      </c>
      <c r="E1013">
        <v>4</v>
      </c>
      <c r="F1013" s="1" t="s">
        <v>48</v>
      </c>
      <c r="G1013">
        <v>1.26</v>
      </c>
      <c r="H1013">
        <v>1539</v>
      </c>
      <c r="I1013" s="1" t="s">
        <v>40</v>
      </c>
      <c r="J1013">
        <v>1920</v>
      </c>
      <c r="K1013">
        <v>1080</v>
      </c>
      <c r="L1013" s="1" t="s">
        <v>27</v>
      </c>
      <c r="M1013" s="1" t="s">
        <v>27</v>
      </c>
      <c r="N1013" s="1" t="s">
        <v>27</v>
      </c>
      <c r="O1013" s="1" t="s">
        <v>29</v>
      </c>
      <c r="P1013">
        <v>2.5</v>
      </c>
      <c r="Q1013" s="1" t="s">
        <v>41</v>
      </c>
      <c r="R1013" s="1" t="str">
        <f>_xlfn.CONCAT(laptop[[#This Row],[CPU_company]]," ",laptop[[#This Row],[CPU_model]])</f>
        <v>Intel Core i5 7200U</v>
      </c>
      <c r="S1013">
        <v>500</v>
      </c>
      <c r="T1013">
        <v>0</v>
      </c>
      <c r="U1013">
        <f>laptop[[#This Row],[PrimaryStorage]]+laptop[[#This Row],[SecondaryStorage]]</f>
        <v>500</v>
      </c>
      <c r="V1013" s="1" t="s">
        <v>51</v>
      </c>
      <c r="W1013" s="1" t="s">
        <v>27</v>
      </c>
      <c r="X1013" s="1" t="str">
        <f>IF(laptop[[#This Row],[PrimaryStorageType]]=laptop[[#This Row],[SecondaryStorageType]],laptop[[#This Row],[PrimaryStorageType]],"SSD &amp; HDD")</f>
        <v>SSD &amp; HDD</v>
      </c>
      <c r="Y1013" s="1" t="s">
        <v>42</v>
      </c>
    </row>
    <row r="1014" spans="1:25" x14ac:dyDescent="0.25">
      <c r="A1014" s="1" t="s">
        <v>36</v>
      </c>
      <c r="B1014" s="1" t="s">
        <v>348</v>
      </c>
      <c r="C1014" s="1" t="s">
        <v>38</v>
      </c>
      <c r="D1014">
        <v>14</v>
      </c>
      <c r="E1014">
        <v>4</v>
      </c>
      <c r="F1014" s="1" t="s">
        <v>48</v>
      </c>
      <c r="G1014">
        <v>1.48</v>
      </c>
      <c r="H1014">
        <v>1590</v>
      </c>
      <c r="I1014" s="1" t="s">
        <v>40</v>
      </c>
      <c r="J1014">
        <v>1920</v>
      </c>
      <c r="K1014">
        <v>1080</v>
      </c>
      <c r="L1014" s="1" t="s">
        <v>27</v>
      </c>
      <c r="M1014" s="1" t="s">
        <v>27</v>
      </c>
      <c r="N1014" s="1" t="s">
        <v>27</v>
      </c>
      <c r="O1014" s="1" t="s">
        <v>29</v>
      </c>
      <c r="P1014">
        <v>2.5</v>
      </c>
      <c r="Q1014" s="1" t="s">
        <v>41</v>
      </c>
      <c r="R1014" s="1" t="str">
        <f>_xlfn.CONCAT(laptop[[#This Row],[CPU_company]]," ",laptop[[#This Row],[CPU_model]])</f>
        <v>Intel Core i5 7200U</v>
      </c>
      <c r="S1014">
        <v>256</v>
      </c>
      <c r="T1014">
        <v>0</v>
      </c>
      <c r="U1014">
        <f>laptop[[#This Row],[PrimaryStorage]]+laptop[[#This Row],[SecondaryStorage]]</f>
        <v>256</v>
      </c>
      <c r="V1014" s="1" t="s">
        <v>31</v>
      </c>
      <c r="W1014" s="1" t="s">
        <v>27</v>
      </c>
      <c r="X1014" s="1" t="str">
        <f>IF(laptop[[#This Row],[PrimaryStorageType]]=laptop[[#This Row],[SecondaryStorageType]],laptop[[#This Row],[PrimaryStorageType]],"SSD &amp; HDD")</f>
        <v>SSD &amp; HDD</v>
      </c>
      <c r="Y1014" s="1" t="s">
        <v>42</v>
      </c>
    </row>
    <row r="1015" spans="1:25" x14ac:dyDescent="0.25">
      <c r="A1015" s="1" t="s">
        <v>36</v>
      </c>
      <c r="B1015" s="1" t="s">
        <v>226</v>
      </c>
      <c r="C1015" s="1" t="s">
        <v>24</v>
      </c>
      <c r="D1015">
        <v>14</v>
      </c>
      <c r="E1015">
        <v>8</v>
      </c>
      <c r="F1015" s="1" t="s">
        <v>48</v>
      </c>
      <c r="G1015">
        <v>1.54</v>
      </c>
      <c r="H1015">
        <v>1887.21</v>
      </c>
      <c r="I1015" s="1" t="s">
        <v>40</v>
      </c>
      <c r="J1015">
        <v>1920</v>
      </c>
      <c r="K1015">
        <v>1080</v>
      </c>
      <c r="L1015" s="1" t="s">
        <v>27</v>
      </c>
      <c r="M1015" s="1" t="s">
        <v>27</v>
      </c>
      <c r="N1015" s="1" t="s">
        <v>27</v>
      </c>
      <c r="O1015" s="1" t="s">
        <v>29</v>
      </c>
      <c r="P1015">
        <v>2.5</v>
      </c>
      <c r="Q1015" s="1" t="s">
        <v>274</v>
      </c>
      <c r="R1015" s="1" t="str">
        <f>_xlfn.CONCAT(laptop[[#This Row],[CPU_company]]," ",laptop[[#This Row],[CPU_model]])</f>
        <v>Intel Core i7 6500U</v>
      </c>
      <c r="S1015">
        <v>256</v>
      </c>
      <c r="T1015">
        <v>0</v>
      </c>
      <c r="U1015">
        <f>laptop[[#This Row],[PrimaryStorage]]+laptop[[#This Row],[SecondaryStorage]]</f>
        <v>256</v>
      </c>
      <c r="V1015" s="1" t="s">
        <v>31</v>
      </c>
      <c r="W1015" s="1" t="s">
        <v>27</v>
      </c>
      <c r="X1015" s="1" t="str">
        <f>IF(laptop[[#This Row],[PrimaryStorageType]]=laptop[[#This Row],[SecondaryStorageType]],laptop[[#This Row],[PrimaryStorageType]],"SSD &amp; HDD")</f>
        <v>SSD &amp; HDD</v>
      </c>
      <c r="Y1015" s="1" t="s">
        <v>63</v>
      </c>
    </row>
    <row r="1016" spans="1:25" x14ac:dyDescent="0.25">
      <c r="A1016" s="1" t="s">
        <v>36</v>
      </c>
      <c r="B1016" s="1" t="s">
        <v>174</v>
      </c>
      <c r="C1016" s="1" t="s">
        <v>38</v>
      </c>
      <c r="D1016">
        <v>13.3</v>
      </c>
      <c r="E1016">
        <v>4</v>
      </c>
      <c r="F1016" s="1" t="s">
        <v>48</v>
      </c>
      <c r="G1016">
        <v>1.49</v>
      </c>
      <c r="H1016">
        <v>800</v>
      </c>
      <c r="I1016" s="1" t="s">
        <v>26</v>
      </c>
      <c r="J1016">
        <v>1366</v>
      </c>
      <c r="K1016">
        <v>768</v>
      </c>
      <c r="L1016" s="1" t="s">
        <v>27</v>
      </c>
      <c r="M1016" s="1" t="s">
        <v>27</v>
      </c>
      <c r="N1016" s="1" t="s">
        <v>27</v>
      </c>
      <c r="O1016" s="1" t="s">
        <v>29</v>
      </c>
      <c r="P1016">
        <v>2.4</v>
      </c>
      <c r="Q1016" s="1" t="s">
        <v>75</v>
      </c>
      <c r="R1016" s="1" t="str">
        <f>_xlfn.CONCAT(laptop[[#This Row],[CPU_company]]," ",laptop[[#This Row],[CPU_model]])</f>
        <v>Intel Core i3 7100U</v>
      </c>
      <c r="S1016">
        <v>500</v>
      </c>
      <c r="T1016">
        <v>0</v>
      </c>
      <c r="U1016">
        <f>laptop[[#This Row],[PrimaryStorage]]+laptop[[#This Row],[SecondaryStorage]]</f>
        <v>500</v>
      </c>
      <c r="V1016" s="1" t="s">
        <v>51</v>
      </c>
      <c r="W1016" s="1" t="s">
        <v>27</v>
      </c>
      <c r="X1016" s="1" t="str">
        <f>IF(laptop[[#This Row],[PrimaryStorageType]]=laptop[[#This Row],[SecondaryStorageType]],laptop[[#This Row],[PrimaryStorageType]],"SSD &amp; HDD")</f>
        <v>SSD &amp; HDD</v>
      </c>
      <c r="Y1016" s="1" t="s">
        <v>42</v>
      </c>
    </row>
    <row r="1017" spans="1:25" x14ac:dyDescent="0.25">
      <c r="A1017" s="1" t="s">
        <v>210</v>
      </c>
      <c r="B1017" s="1" t="s">
        <v>757</v>
      </c>
      <c r="C1017" s="1" t="s">
        <v>38</v>
      </c>
      <c r="D1017">
        <v>13.3</v>
      </c>
      <c r="E1017">
        <v>8</v>
      </c>
      <c r="F1017" s="1" t="s">
        <v>48</v>
      </c>
      <c r="G1017">
        <v>1.5</v>
      </c>
      <c r="H1017">
        <v>1210</v>
      </c>
      <c r="I1017" s="1" t="s">
        <v>26</v>
      </c>
      <c r="J1017">
        <v>1366</v>
      </c>
      <c r="K1017">
        <v>768</v>
      </c>
      <c r="L1017" s="1" t="s">
        <v>27</v>
      </c>
      <c r="M1017" s="1" t="s">
        <v>27</v>
      </c>
      <c r="N1017" s="1" t="s">
        <v>27</v>
      </c>
      <c r="O1017" s="1" t="s">
        <v>29</v>
      </c>
      <c r="P1017">
        <v>2.2999999999999998</v>
      </c>
      <c r="Q1017" s="1" t="s">
        <v>212</v>
      </c>
      <c r="R1017" s="1" t="str">
        <f>_xlfn.CONCAT(laptop[[#This Row],[CPU_company]]," ",laptop[[#This Row],[CPU_model]])</f>
        <v>Intel Core i5 6200U</v>
      </c>
      <c r="S1017">
        <v>256</v>
      </c>
      <c r="T1017">
        <v>0</v>
      </c>
      <c r="U1017">
        <f>laptop[[#This Row],[PrimaryStorage]]+laptop[[#This Row],[SecondaryStorage]]</f>
        <v>256</v>
      </c>
      <c r="V1017" s="1" t="s">
        <v>31</v>
      </c>
      <c r="W1017" s="1" t="s">
        <v>27</v>
      </c>
      <c r="X1017" s="1" t="str">
        <f>IF(laptop[[#This Row],[PrimaryStorageType]]=laptop[[#This Row],[SecondaryStorageType]],laptop[[#This Row],[PrimaryStorageType]],"SSD &amp; HDD")</f>
        <v>SSD &amp; HDD</v>
      </c>
      <c r="Y1017" s="1" t="s">
        <v>63</v>
      </c>
    </row>
    <row r="1018" spans="1:25" x14ac:dyDescent="0.25">
      <c r="A1018" s="1" t="s">
        <v>36</v>
      </c>
      <c r="B1018" s="1" t="s">
        <v>114</v>
      </c>
      <c r="C1018" s="1" t="s">
        <v>38</v>
      </c>
      <c r="D1018">
        <v>15.6</v>
      </c>
      <c r="E1018">
        <v>4</v>
      </c>
      <c r="F1018" s="1" t="s">
        <v>48</v>
      </c>
      <c r="G1018">
        <v>2.04</v>
      </c>
      <c r="H1018">
        <v>769.99</v>
      </c>
      <c r="I1018" s="1" t="s">
        <v>26</v>
      </c>
      <c r="J1018">
        <v>1366</v>
      </c>
      <c r="K1018">
        <v>768</v>
      </c>
      <c r="L1018" s="1" t="s">
        <v>27</v>
      </c>
      <c r="M1018" s="1" t="s">
        <v>27</v>
      </c>
      <c r="N1018" s="1" t="s">
        <v>27</v>
      </c>
      <c r="O1018" s="1" t="s">
        <v>29</v>
      </c>
      <c r="P1018">
        <v>2.4</v>
      </c>
      <c r="Q1018" s="1" t="s">
        <v>75</v>
      </c>
      <c r="R1018" s="1" t="str">
        <f>_xlfn.CONCAT(laptop[[#This Row],[CPU_company]]," ",laptop[[#This Row],[CPU_model]])</f>
        <v>Intel Core i3 7100U</v>
      </c>
      <c r="S1018">
        <v>256</v>
      </c>
      <c r="T1018">
        <v>0</v>
      </c>
      <c r="U1018">
        <f>laptop[[#This Row],[PrimaryStorage]]+laptop[[#This Row],[SecondaryStorage]]</f>
        <v>256</v>
      </c>
      <c r="V1018" s="1" t="s">
        <v>31</v>
      </c>
      <c r="W1018" s="1" t="s">
        <v>27</v>
      </c>
      <c r="X1018" s="1" t="str">
        <f>IF(laptop[[#This Row],[PrimaryStorageType]]=laptop[[#This Row],[SecondaryStorageType]],laptop[[#This Row],[PrimaryStorageType]],"SSD &amp; HDD")</f>
        <v>SSD &amp; HDD</v>
      </c>
      <c r="Y1018" s="1" t="s">
        <v>42</v>
      </c>
    </row>
    <row r="1019" spans="1:25" x14ac:dyDescent="0.25">
      <c r="A1019" s="1" t="s">
        <v>73</v>
      </c>
      <c r="B1019" s="1" t="s">
        <v>758</v>
      </c>
      <c r="C1019" s="1" t="s">
        <v>38</v>
      </c>
      <c r="D1019">
        <v>17.3</v>
      </c>
      <c r="E1019">
        <v>16</v>
      </c>
      <c r="F1019" s="1" t="s">
        <v>480</v>
      </c>
      <c r="G1019">
        <v>2.4</v>
      </c>
      <c r="H1019">
        <v>2968</v>
      </c>
      <c r="I1019" s="1" t="s">
        <v>215</v>
      </c>
      <c r="J1019">
        <v>3840</v>
      </c>
      <c r="K1019">
        <v>2160</v>
      </c>
      <c r="L1019" s="1" t="s">
        <v>27</v>
      </c>
      <c r="M1019" s="1" t="s">
        <v>28</v>
      </c>
      <c r="N1019" s="1" t="s">
        <v>27</v>
      </c>
      <c r="O1019" s="1" t="s">
        <v>29</v>
      </c>
      <c r="P1019">
        <v>2.7</v>
      </c>
      <c r="Q1019" s="1" t="s">
        <v>388</v>
      </c>
      <c r="R1019" s="1" t="str">
        <f>_xlfn.CONCAT(laptop[[#This Row],[CPU_company]]," ",laptop[[#This Row],[CPU_model]])</f>
        <v>Intel Core i7 6820HQ</v>
      </c>
      <c r="S1019">
        <v>512</v>
      </c>
      <c r="T1019">
        <v>0</v>
      </c>
      <c r="U1019">
        <f>laptop[[#This Row],[PrimaryStorage]]+laptop[[#This Row],[SecondaryStorage]]</f>
        <v>512</v>
      </c>
      <c r="V1019" s="1" t="s">
        <v>31</v>
      </c>
      <c r="W1019" s="1" t="s">
        <v>27</v>
      </c>
      <c r="X1019" s="1" t="str">
        <f>IF(laptop[[#This Row],[PrimaryStorageType]]=laptop[[#This Row],[SecondaryStorageType]],laptop[[#This Row],[PrimaryStorageType]],"SSD &amp; HDD")</f>
        <v>SSD &amp; HDD</v>
      </c>
      <c r="Y1019" s="1" t="s">
        <v>759</v>
      </c>
    </row>
    <row r="1020" spans="1:25" x14ac:dyDescent="0.25">
      <c r="A1020" s="1" t="s">
        <v>210</v>
      </c>
      <c r="B1020" s="1" t="s">
        <v>760</v>
      </c>
      <c r="C1020" s="1" t="s">
        <v>38</v>
      </c>
      <c r="D1020">
        <v>14</v>
      </c>
      <c r="E1020">
        <v>8</v>
      </c>
      <c r="F1020" s="1" t="s">
        <v>48</v>
      </c>
      <c r="G1020">
        <v>1.47</v>
      </c>
      <c r="H1020">
        <v>1490</v>
      </c>
      <c r="I1020" s="1" t="s">
        <v>40</v>
      </c>
      <c r="J1020">
        <v>1920</v>
      </c>
      <c r="K1020">
        <v>1080</v>
      </c>
      <c r="L1020" s="1" t="s">
        <v>27</v>
      </c>
      <c r="M1020" s="1" t="s">
        <v>28</v>
      </c>
      <c r="N1020" s="1" t="s">
        <v>27</v>
      </c>
      <c r="O1020" s="1" t="s">
        <v>29</v>
      </c>
      <c r="P1020">
        <v>2.2999999999999998</v>
      </c>
      <c r="Q1020" s="1" t="s">
        <v>212</v>
      </c>
      <c r="R1020" s="1" t="str">
        <f>_xlfn.CONCAT(laptop[[#This Row],[CPU_company]]," ",laptop[[#This Row],[CPU_model]])</f>
        <v>Intel Core i5 6200U</v>
      </c>
      <c r="S1020">
        <v>256</v>
      </c>
      <c r="T1020">
        <v>0</v>
      </c>
      <c r="U1020">
        <f>laptop[[#This Row],[PrimaryStorage]]+laptop[[#This Row],[SecondaryStorage]]</f>
        <v>256</v>
      </c>
      <c r="V1020" s="1" t="s">
        <v>31</v>
      </c>
      <c r="W1020" s="1" t="s">
        <v>27</v>
      </c>
      <c r="X1020" s="1" t="str">
        <f>IF(laptop[[#This Row],[PrimaryStorageType]]=laptop[[#This Row],[SecondaryStorageType]],laptop[[#This Row],[PrimaryStorageType]],"SSD &amp; HDD")</f>
        <v>SSD &amp; HDD</v>
      </c>
      <c r="Y1020" s="1" t="s">
        <v>63</v>
      </c>
    </row>
    <row r="1021" spans="1:25" x14ac:dyDescent="0.25">
      <c r="A1021" s="1" t="s">
        <v>36</v>
      </c>
      <c r="B1021" s="1" t="s">
        <v>405</v>
      </c>
      <c r="C1021" s="1" t="s">
        <v>38</v>
      </c>
      <c r="D1021">
        <v>14</v>
      </c>
      <c r="E1021">
        <v>8</v>
      </c>
      <c r="F1021" s="1" t="s">
        <v>48</v>
      </c>
      <c r="G1021">
        <v>1.43</v>
      </c>
      <c r="H1021">
        <v>2229</v>
      </c>
      <c r="I1021" s="1" t="s">
        <v>40</v>
      </c>
      <c r="J1021">
        <v>1920</v>
      </c>
      <c r="K1021">
        <v>1080</v>
      </c>
      <c r="L1021" s="1" t="s">
        <v>27</v>
      </c>
      <c r="M1021" s="1" t="s">
        <v>27</v>
      </c>
      <c r="N1021" s="1" t="s">
        <v>27</v>
      </c>
      <c r="O1021" s="1" t="s">
        <v>29</v>
      </c>
      <c r="P1021">
        <v>2.5</v>
      </c>
      <c r="Q1021" s="1" t="s">
        <v>274</v>
      </c>
      <c r="R1021" s="1" t="str">
        <f>_xlfn.CONCAT(laptop[[#This Row],[CPU_company]]," ",laptop[[#This Row],[CPU_model]])</f>
        <v>Intel Core i7 6500U</v>
      </c>
      <c r="S1021">
        <v>256</v>
      </c>
      <c r="T1021">
        <v>0</v>
      </c>
      <c r="U1021">
        <f>laptop[[#This Row],[PrimaryStorage]]+laptop[[#This Row],[SecondaryStorage]]</f>
        <v>256</v>
      </c>
      <c r="V1021" s="1" t="s">
        <v>31</v>
      </c>
      <c r="W1021" s="1" t="s">
        <v>27</v>
      </c>
      <c r="X1021" s="1" t="str">
        <f>IF(laptop[[#This Row],[PrimaryStorageType]]=laptop[[#This Row],[SecondaryStorageType]],laptop[[#This Row],[PrimaryStorageType]],"SSD &amp; HDD")</f>
        <v>SSD &amp; HDD</v>
      </c>
      <c r="Y1021" s="1" t="s">
        <v>63</v>
      </c>
    </row>
    <row r="1022" spans="1:25" x14ac:dyDescent="0.25">
      <c r="A1022" s="1" t="s">
        <v>65</v>
      </c>
      <c r="B1022" s="1" t="s">
        <v>761</v>
      </c>
      <c r="C1022" s="1" t="s">
        <v>90</v>
      </c>
      <c r="D1022">
        <v>15.6</v>
      </c>
      <c r="E1022">
        <v>4</v>
      </c>
      <c r="F1022" s="1" t="s">
        <v>48</v>
      </c>
      <c r="G1022">
        <v>2.08</v>
      </c>
      <c r="H1022">
        <v>795.99</v>
      </c>
      <c r="I1022" s="1" t="s">
        <v>40</v>
      </c>
      <c r="J1022">
        <v>1920</v>
      </c>
      <c r="K1022">
        <v>1080</v>
      </c>
      <c r="L1022" s="1" t="s">
        <v>28</v>
      </c>
      <c r="M1022" s="1" t="s">
        <v>28</v>
      </c>
      <c r="N1022" s="1" t="s">
        <v>27</v>
      </c>
      <c r="O1022" s="1" t="s">
        <v>29</v>
      </c>
      <c r="P1022">
        <v>2.2999999999999998</v>
      </c>
      <c r="Q1022" s="1" t="s">
        <v>450</v>
      </c>
      <c r="R1022" s="1" t="str">
        <f>_xlfn.CONCAT(laptop[[#This Row],[CPU_company]]," ",laptop[[#This Row],[CPU_model]])</f>
        <v>Intel Core i3 6100U</v>
      </c>
      <c r="S1022">
        <v>1024</v>
      </c>
      <c r="T1022">
        <v>0</v>
      </c>
      <c r="U1022">
        <f>laptop[[#This Row],[PrimaryStorage]]+laptop[[#This Row],[SecondaryStorage]]</f>
        <v>1024</v>
      </c>
      <c r="V1022" s="1" t="s">
        <v>51</v>
      </c>
      <c r="W1022" s="1" t="s">
        <v>27</v>
      </c>
      <c r="X1022" s="1" t="str">
        <f>IF(laptop[[#This Row],[PrimaryStorageType]]=laptop[[#This Row],[SecondaryStorageType]],laptop[[#This Row],[PrimaryStorageType]],"SSD &amp; HDD")</f>
        <v>SSD &amp; HDD</v>
      </c>
      <c r="Y1022" s="1" t="s">
        <v>63</v>
      </c>
    </row>
    <row r="1023" spans="1:25" x14ac:dyDescent="0.25">
      <c r="A1023" s="1" t="s">
        <v>210</v>
      </c>
      <c r="B1023" s="1" t="s">
        <v>762</v>
      </c>
      <c r="C1023" s="1" t="s">
        <v>24</v>
      </c>
      <c r="D1023">
        <v>13.3</v>
      </c>
      <c r="E1023">
        <v>8</v>
      </c>
      <c r="F1023" s="1" t="s">
        <v>48</v>
      </c>
      <c r="G1023">
        <v>1.2</v>
      </c>
      <c r="H1023">
        <v>1590</v>
      </c>
      <c r="I1023" s="1" t="s">
        <v>40</v>
      </c>
      <c r="J1023">
        <v>1920</v>
      </c>
      <c r="K1023">
        <v>1080</v>
      </c>
      <c r="L1023" s="1" t="s">
        <v>27</v>
      </c>
      <c r="M1023" s="1" t="s">
        <v>27</v>
      </c>
      <c r="N1023" s="1" t="s">
        <v>27</v>
      </c>
      <c r="O1023" s="1" t="s">
        <v>29</v>
      </c>
      <c r="P1023">
        <v>2.2999999999999998</v>
      </c>
      <c r="Q1023" s="1" t="s">
        <v>212</v>
      </c>
      <c r="R1023" s="1" t="str">
        <f>_xlfn.CONCAT(laptop[[#This Row],[CPU_company]]," ",laptop[[#This Row],[CPU_model]])</f>
        <v>Intel Core i5 6200U</v>
      </c>
      <c r="S1023">
        <v>256</v>
      </c>
      <c r="T1023">
        <v>0</v>
      </c>
      <c r="U1023">
        <f>laptop[[#This Row],[PrimaryStorage]]+laptop[[#This Row],[SecondaryStorage]]</f>
        <v>256</v>
      </c>
      <c r="V1023" s="1" t="s">
        <v>31</v>
      </c>
      <c r="W1023" s="1" t="s">
        <v>27</v>
      </c>
      <c r="X1023" s="1" t="str">
        <f>IF(laptop[[#This Row],[PrimaryStorageType]]=laptop[[#This Row],[SecondaryStorageType]],laptop[[#This Row],[PrimaryStorageType]],"SSD &amp; HDD")</f>
        <v>SSD &amp; HDD</v>
      </c>
      <c r="Y1023" s="1" t="s">
        <v>63</v>
      </c>
    </row>
    <row r="1024" spans="1:25" x14ac:dyDescent="0.25">
      <c r="A1024" s="1" t="s">
        <v>36</v>
      </c>
      <c r="B1024" s="1" t="s">
        <v>763</v>
      </c>
      <c r="C1024" s="1" t="s">
        <v>38</v>
      </c>
      <c r="D1024">
        <v>13.3</v>
      </c>
      <c r="E1024">
        <v>8</v>
      </c>
      <c r="F1024" s="1" t="s">
        <v>48</v>
      </c>
      <c r="G1024">
        <v>1.1100000000000001</v>
      </c>
      <c r="H1024">
        <v>1149</v>
      </c>
      <c r="I1024" s="1" t="s">
        <v>40</v>
      </c>
      <c r="J1024">
        <v>1920</v>
      </c>
      <c r="K1024">
        <v>1080</v>
      </c>
      <c r="L1024" s="1" t="s">
        <v>27</v>
      </c>
      <c r="M1024" s="1" t="s">
        <v>28</v>
      </c>
      <c r="N1024" s="1" t="s">
        <v>27</v>
      </c>
      <c r="O1024" s="1" t="s">
        <v>29</v>
      </c>
      <c r="P1024">
        <v>2.5</v>
      </c>
      <c r="Q1024" s="1" t="s">
        <v>41</v>
      </c>
      <c r="R1024" s="1" t="str">
        <f>_xlfn.CONCAT(laptop[[#This Row],[CPU_company]]," ",laptop[[#This Row],[CPU_model]])</f>
        <v>Intel Core i5 7200U</v>
      </c>
      <c r="S1024">
        <v>256</v>
      </c>
      <c r="T1024">
        <v>0</v>
      </c>
      <c r="U1024">
        <f>laptop[[#This Row],[PrimaryStorage]]+laptop[[#This Row],[SecondaryStorage]]</f>
        <v>256</v>
      </c>
      <c r="V1024" s="1" t="s">
        <v>31</v>
      </c>
      <c r="W1024" s="1" t="s">
        <v>27</v>
      </c>
      <c r="X1024" s="1" t="str">
        <f>IF(laptop[[#This Row],[PrimaryStorageType]]=laptop[[#This Row],[SecondaryStorageType]],laptop[[#This Row],[PrimaryStorageType]],"SSD &amp; HDD")</f>
        <v>SSD &amp; HDD</v>
      </c>
      <c r="Y1024" s="1" t="s">
        <v>42</v>
      </c>
    </row>
    <row r="1025" spans="1:25" x14ac:dyDescent="0.25">
      <c r="A1025" s="1" t="s">
        <v>36</v>
      </c>
      <c r="B1025" s="1" t="s">
        <v>164</v>
      </c>
      <c r="C1025" s="1" t="s">
        <v>38</v>
      </c>
      <c r="D1025">
        <v>14</v>
      </c>
      <c r="E1025">
        <v>8</v>
      </c>
      <c r="F1025" s="1" t="s">
        <v>48</v>
      </c>
      <c r="G1025">
        <v>1.64</v>
      </c>
      <c r="H1025">
        <v>1185.43</v>
      </c>
      <c r="I1025" s="1" t="s">
        <v>40</v>
      </c>
      <c r="J1025">
        <v>1920</v>
      </c>
      <c r="K1025">
        <v>1080</v>
      </c>
      <c r="L1025" s="1" t="s">
        <v>27</v>
      </c>
      <c r="M1025" s="1" t="s">
        <v>27</v>
      </c>
      <c r="N1025" s="1" t="s">
        <v>27</v>
      </c>
      <c r="O1025" s="1" t="s">
        <v>29</v>
      </c>
      <c r="P1025">
        <v>2.7</v>
      </c>
      <c r="Q1025" s="1" t="s">
        <v>71</v>
      </c>
      <c r="R1025" s="1" t="str">
        <f>_xlfn.CONCAT(laptop[[#This Row],[CPU_company]]," ",laptop[[#This Row],[CPU_model]])</f>
        <v>Intel Core i7 7500U</v>
      </c>
      <c r="S1025">
        <v>256</v>
      </c>
      <c r="T1025">
        <v>0</v>
      </c>
      <c r="U1025">
        <f>laptop[[#This Row],[PrimaryStorage]]+laptop[[#This Row],[SecondaryStorage]]</f>
        <v>256</v>
      </c>
      <c r="V1025" s="1" t="s">
        <v>31</v>
      </c>
      <c r="W1025" s="1" t="s">
        <v>27</v>
      </c>
      <c r="X1025" s="1" t="str">
        <f>IF(laptop[[#This Row],[PrimaryStorageType]]=laptop[[#This Row],[SecondaryStorageType]],laptop[[#This Row],[PrimaryStorageType]],"SSD &amp; HDD")</f>
        <v>SSD &amp; HDD</v>
      </c>
      <c r="Y1025" s="1" t="s">
        <v>98</v>
      </c>
    </row>
    <row r="1026" spans="1:25" x14ac:dyDescent="0.25">
      <c r="A1026" s="1" t="s">
        <v>65</v>
      </c>
      <c r="B1026" s="1" t="s">
        <v>764</v>
      </c>
      <c r="C1026" s="1" t="s">
        <v>38</v>
      </c>
      <c r="D1026">
        <v>15.6</v>
      </c>
      <c r="E1026">
        <v>8</v>
      </c>
      <c r="F1026" s="1" t="s">
        <v>48</v>
      </c>
      <c r="G1026">
        <v>2.09</v>
      </c>
      <c r="H1026">
        <v>1046.44</v>
      </c>
      <c r="I1026" s="1" t="s">
        <v>40</v>
      </c>
      <c r="J1026">
        <v>1920</v>
      </c>
      <c r="K1026">
        <v>1080</v>
      </c>
      <c r="L1026" s="1" t="s">
        <v>27</v>
      </c>
      <c r="M1026" s="1" t="s">
        <v>27</v>
      </c>
      <c r="N1026" s="1" t="s">
        <v>27</v>
      </c>
      <c r="O1026" s="1" t="s">
        <v>29</v>
      </c>
      <c r="P1026">
        <v>2.4</v>
      </c>
      <c r="Q1026" s="1" t="s">
        <v>562</v>
      </c>
      <c r="R1026" s="1" t="str">
        <f>_xlfn.CONCAT(laptop[[#This Row],[CPU_company]]," ",laptop[[#This Row],[CPU_model]])</f>
        <v>Intel Core i5 6300U</v>
      </c>
      <c r="S1026">
        <v>500</v>
      </c>
      <c r="T1026">
        <v>0</v>
      </c>
      <c r="U1026">
        <f>laptop[[#This Row],[PrimaryStorage]]+laptop[[#This Row],[SecondaryStorage]]</f>
        <v>500</v>
      </c>
      <c r="V1026" s="1" t="s">
        <v>51</v>
      </c>
      <c r="W1026" s="1" t="s">
        <v>27</v>
      </c>
      <c r="X1026" s="1" t="str">
        <f>IF(laptop[[#This Row],[PrimaryStorageType]]=laptop[[#This Row],[SecondaryStorageType]],laptop[[#This Row],[PrimaryStorageType]],"SSD &amp; HDD")</f>
        <v>SSD &amp; HDD</v>
      </c>
      <c r="Y1026" s="1" t="s">
        <v>63</v>
      </c>
    </row>
    <row r="1027" spans="1:25" x14ac:dyDescent="0.25">
      <c r="A1027" s="1" t="s">
        <v>36</v>
      </c>
      <c r="B1027" s="1" t="s">
        <v>353</v>
      </c>
      <c r="C1027" s="1" t="s">
        <v>24</v>
      </c>
      <c r="D1027">
        <v>12.5</v>
      </c>
      <c r="E1027">
        <v>4</v>
      </c>
      <c r="F1027" s="1" t="s">
        <v>48</v>
      </c>
      <c r="G1027">
        <v>1.26</v>
      </c>
      <c r="H1027">
        <v>1559</v>
      </c>
      <c r="I1027" s="1" t="s">
        <v>26</v>
      </c>
      <c r="J1027">
        <v>1366</v>
      </c>
      <c r="K1027">
        <v>768</v>
      </c>
      <c r="L1027" s="1" t="s">
        <v>27</v>
      </c>
      <c r="M1027" s="1" t="s">
        <v>27</v>
      </c>
      <c r="N1027" s="1" t="s">
        <v>27</v>
      </c>
      <c r="O1027" s="1" t="s">
        <v>29</v>
      </c>
      <c r="P1027">
        <v>2.5</v>
      </c>
      <c r="Q1027" s="1" t="s">
        <v>41</v>
      </c>
      <c r="R1027" s="1" t="str">
        <f>_xlfn.CONCAT(laptop[[#This Row],[CPU_company]]," ",laptop[[#This Row],[CPU_model]])</f>
        <v>Intel Core i5 7200U</v>
      </c>
      <c r="S1027">
        <v>256</v>
      </c>
      <c r="T1027">
        <v>0</v>
      </c>
      <c r="U1027">
        <f>laptop[[#This Row],[PrimaryStorage]]+laptop[[#This Row],[SecondaryStorage]]</f>
        <v>256</v>
      </c>
      <c r="V1027" s="1" t="s">
        <v>31</v>
      </c>
      <c r="W1027" s="1" t="s">
        <v>27</v>
      </c>
      <c r="X1027" s="1" t="str">
        <f>IF(laptop[[#This Row],[PrimaryStorageType]]=laptop[[#This Row],[SecondaryStorageType]],laptop[[#This Row],[PrimaryStorageType]],"SSD &amp; HDD")</f>
        <v>SSD &amp; HDD</v>
      </c>
      <c r="Y1027" s="1" t="s">
        <v>42</v>
      </c>
    </row>
    <row r="1028" spans="1:25" x14ac:dyDescent="0.25">
      <c r="A1028" s="1" t="s">
        <v>36</v>
      </c>
      <c r="B1028" s="1" t="s">
        <v>407</v>
      </c>
      <c r="C1028" s="1" t="s">
        <v>38</v>
      </c>
      <c r="D1028">
        <v>14</v>
      </c>
      <c r="E1028">
        <v>4</v>
      </c>
      <c r="F1028" s="1" t="s">
        <v>48</v>
      </c>
      <c r="G1028">
        <v>2.31</v>
      </c>
      <c r="H1028">
        <v>1189</v>
      </c>
      <c r="I1028" s="1" t="s">
        <v>26</v>
      </c>
      <c r="J1028">
        <v>1366</v>
      </c>
      <c r="K1028">
        <v>768</v>
      </c>
      <c r="L1028" s="1" t="s">
        <v>27</v>
      </c>
      <c r="M1028" s="1" t="s">
        <v>27</v>
      </c>
      <c r="N1028" s="1" t="s">
        <v>27</v>
      </c>
      <c r="O1028" s="1" t="s">
        <v>29</v>
      </c>
      <c r="P1028">
        <v>2.5</v>
      </c>
      <c r="Q1028" s="1" t="s">
        <v>41</v>
      </c>
      <c r="R1028" s="1" t="str">
        <f>_xlfn.CONCAT(laptop[[#This Row],[CPU_company]]," ",laptop[[#This Row],[CPU_model]])</f>
        <v>Intel Core i5 7200U</v>
      </c>
      <c r="S1028">
        <v>500</v>
      </c>
      <c r="T1028">
        <v>0</v>
      </c>
      <c r="U1028">
        <f>laptop[[#This Row],[PrimaryStorage]]+laptop[[#This Row],[SecondaryStorage]]</f>
        <v>500</v>
      </c>
      <c r="V1028" s="1" t="s">
        <v>51</v>
      </c>
      <c r="W1028" s="1" t="s">
        <v>27</v>
      </c>
      <c r="X1028" s="1" t="str">
        <f>IF(laptop[[#This Row],[PrimaryStorageType]]=laptop[[#This Row],[SecondaryStorageType]],laptop[[#This Row],[PrimaryStorageType]],"SSD &amp; HDD")</f>
        <v>SSD &amp; HDD</v>
      </c>
      <c r="Y1028" s="1" t="s">
        <v>42</v>
      </c>
    </row>
    <row r="1029" spans="1:25" x14ac:dyDescent="0.25">
      <c r="A1029" s="1" t="s">
        <v>36</v>
      </c>
      <c r="B1029" s="1" t="s">
        <v>344</v>
      </c>
      <c r="C1029" s="1" t="s">
        <v>38</v>
      </c>
      <c r="D1029">
        <v>14</v>
      </c>
      <c r="E1029">
        <v>4</v>
      </c>
      <c r="F1029" s="1" t="s">
        <v>48</v>
      </c>
      <c r="G1029">
        <v>1.95</v>
      </c>
      <c r="H1029">
        <v>1060</v>
      </c>
      <c r="I1029" s="1" t="s">
        <v>26</v>
      </c>
      <c r="J1029">
        <v>1366</v>
      </c>
      <c r="K1029">
        <v>768</v>
      </c>
      <c r="L1029" s="1" t="s">
        <v>27</v>
      </c>
      <c r="M1029" s="1" t="s">
        <v>27</v>
      </c>
      <c r="N1029" s="1" t="s">
        <v>27</v>
      </c>
      <c r="O1029" s="1" t="s">
        <v>29</v>
      </c>
      <c r="P1029">
        <v>2.5</v>
      </c>
      <c r="Q1029" s="1" t="s">
        <v>41</v>
      </c>
      <c r="R1029" s="1" t="str">
        <f>_xlfn.CONCAT(laptop[[#This Row],[CPU_company]]," ",laptop[[#This Row],[CPU_model]])</f>
        <v>Intel Core i5 7200U</v>
      </c>
      <c r="S1029">
        <v>500</v>
      </c>
      <c r="T1029">
        <v>0</v>
      </c>
      <c r="U1029">
        <f>laptop[[#This Row],[PrimaryStorage]]+laptop[[#This Row],[SecondaryStorage]]</f>
        <v>500</v>
      </c>
      <c r="V1029" s="1" t="s">
        <v>51</v>
      </c>
      <c r="W1029" s="1" t="s">
        <v>27</v>
      </c>
      <c r="X1029" s="1" t="str">
        <f>IF(laptop[[#This Row],[PrimaryStorageType]]=laptop[[#This Row],[SecondaryStorageType]],laptop[[#This Row],[PrimaryStorageType]],"SSD &amp; HDD")</f>
        <v>SSD &amp; HDD</v>
      </c>
      <c r="Y1029" s="1" t="s">
        <v>42</v>
      </c>
    </row>
    <row r="1030" spans="1:25" x14ac:dyDescent="0.25">
      <c r="A1030" s="1" t="s">
        <v>65</v>
      </c>
      <c r="B1030" s="1" t="s">
        <v>77</v>
      </c>
      <c r="C1030" s="1" t="s">
        <v>24</v>
      </c>
      <c r="D1030">
        <v>13.3</v>
      </c>
      <c r="E1030">
        <v>8</v>
      </c>
      <c r="F1030" s="1" t="s">
        <v>48</v>
      </c>
      <c r="G1030">
        <v>1.29</v>
      </c>
      <c r="H1030">
        <v>1624</v>
      </c>
      <c r="I1030" s="1" t="s">
        <v>107</v>
      </c>
      <c r="J1030">
        <v>3200</v>
      </c>
      <c r="K1030">
        <v>1800</v>
      </c>
      <c r="L1030" s="1" t="s">
        <v>28</v>
      </c>
      <c r="M1030" s="1" t="s">
        <v>27</v>
      </c>
      <c r="N1030" s="1" t="s">
        <v>27</v>
      </c>
      <c r="O1030" s="1" t="s">
        <v>29</v>
      </c>
      <c r="P1030">
        <v>2.5</v>
      </c>
      <c r="Q1030" s="1" t="s">
        <v>41</v>
      </c>
      <c r="R1030" s="1" t="str">
        <f>_xlfn.CONCAT(laptop[[#This Row],[CPU_company]]," ",laptop[[#This Row],[CPU_model]])</f>
        <v>Intel Core i5 7200U</v>
      </c>
      <c r="S1030">
        <v>256</v>
      </c>
      <c r="T1030">
        <v>0</v>
      </c>
      <c r="U1030">
        <f>laptop[[#This Row],[PrimaryStorage]]+laptop[[#This Row],[SecondaryStorage]]</f>
        <v>256</v>
      </c>
      <c r="V1030" s="1" t="s">
        <v>31</v>
      </c>
      <c r="W1030" s="1" t="s">
        <v>27</v>
      </c>
      <c r="X1030" s="1" t="str">
        <f>IF(laptop[[#This Row],[PrimaryStorageType]]=laptop[[#This Row],[SecondaryStorageType]],laptop[[#This Row],[PrimaryStorageType]],"SSD &amp; HDD")</f>
        <v>SSD &amp; HDD</v>
      </c>
      <c r="Y1030" s="1" t="s">
        <v>42</v>
      </c>
    </row>
    <row r="1031" spans="1:25" x14ac:dyDescent="0.25">
      <c r="A1031" s="1" t="s">
        <v>36</v>
      </c>
      <c r="B1031" s="1" t="s">
        <v>197</v>
      </c>
      <c r="C1031" s="1" t="s">
        <v>38</v>
      </c>
      <c r="D1031">
        <v>17.3</v>
      </c>
      <c r="E1031">
        <v>8</v>
      </c>
      <c r="F1031" s="1" t="s">
        <v>48</v>
      </c>
      <c r="G1031">
        <v>2.63</v>
      </c>
      <c r="H1031">
        <v>1080</v>
      </c>
      <c r="I1031" s="1" t="s">
        <v>40</v>
      </c>
      <c r="J1031">
        <v>1920</v>
      </c>
      <c r="K1031">
        <v>1080</v>
      </c>
      <c r="L1031" s="1" t="s">
        <v>27</v>
      </c>
      <c r="M1031" s="1" t="s">
        <v>27</v>
      </c>
      <c r="N1031" s="1" t="s">
        <v>27</v>
      </c>
      <c r="O1031" s="1" t="s">
        <v>29</v>
      </c>
      <c r="P1031">
        <v>2.5</v>
      </c>
      <c r="Q1031" s="1" t="s">
        <v>41</v>
      </c>
      <c r="R1031" s="1" t="str">
        <f>_xlfn.CONCAT(laptop[[#This Row],[CPU_company]]," ",laptop[[#This Row],[CPU_model]])</f>
        <v>Intel Core i5 7200U</v>
      </c>
      <c r="S1031">
        <v>256</v>
      </c>
      <c r="T1031">
        <v>0</v>
      </c>
      <c r="U1031">
        <f>laptop[[#This Row],[PrimaryStorage]]+laptop[[#This Row],[SecondaryStorage]]</f>
        <v>256</v>
      </c>
      <c r="V1031" s="1" t="s">
        <v>31</v>
      </c>
      <c r="W1031" s="1" t="s">
        <v>27</v>
      </c>
      <c r="X1031" s="1" t="str">
        <f>IF(laptop[[#This Row],[PrimaryStorageType]]=laptop[[#This Row],[SecondaryStorageType]],laptop[[#This Row],[PrimaryStorageType]],"SSD &amp; HDD")</f>
        <v>SSD &amp; HDD</v>
      </c>
      <c r="Y1031" s="1" t="s">
        <v>98</v>
      </c>
    </row>
    <row r="1032" spans="1:25" x14ac:dyDescent="0.25">
      <c r="A1032" s="1" t="s">
        <v>36</v>
      </c>
      <c r="B1032" s="1" t="s">
        <v>164</v>
      </c>
      <c r="C1032" s="1" t="s">
        <v>38</v>
      </c>
      <c r="D1032">
        <v>14</v>
      </c>
      <c r="E1032">
        <v>4</v>
      </c>
      <c r="F1032" s="1" t="s">
        <v>48</v>
      </c>
      <c r="G1032">
        <v>1.64</v>
      </c>
      <c r="H1032">
        <v>973</v>
      </c>
      <c r="I1032" s="1" t="s">
        <v>26</v>
      </c>
      <c r="J1032">
        <v>1366</v>
      </c>
      <c r="K1032">
        <v>768</v>
      </c>
      <c r="L1032" s="1" t="s">
        <v>27</v>
      </c>
      <c r="M1032" s="1" t="s">
        <v>27</v>
      </c>
      <c r="N1032" s="1" t="s">
        <v>27</v>
      </c>
      <c r="O1032" s="1" t="s">
        <v>29</v>
      </c>
      <c r="P1032">
        <v>2.5</v>
      </c>
      <c r="Q1032" s="1" t="s">
        <v>41</v>
      </c>
      <c r="R1032" s="1" t="str">
        <f>_xlfn.CONCAT(laptop[[#This Row],[CPU_company]]," ",laptop[[#This Row],[CPU_model]])</f>
        <v>Intel Core i5 7200U</v>
      </c>
      <c r="S1032">
        <v>256</v>
      </c>
      <c r="T1032">
        <v>0</v>
      </c>
      <c r="U1032">
        <f>laptop[[#This Row],[PrimaryStorage]]+laptop[[#This Row],[SecondaryStorage]]</f>
        <v>256</v>
      </c>
      <c r="V1032" s="1" t="s">
        <v>31</v>
      </c>
      <c r="W1032" s="1" t="s">
        <v>27</v>
      </c>
      <c r="X1032" s="1" t="str">
        <f>IF(laptop[[#This Row],[PrimaryStorageType]]=laptop[[#This Row],[SecondaryStorageType]],laptop[[#This Row],[PrimaryStorageType]],"SSD &amp; HDD")</f>
        <v>SSD &amp; HDD</v>
      </c>
      <c r="Y1032" s="1" t="s">
        <v>42</v>
      </c>
    </row>
    <row r="1033" spans="1:25" x14ac:dyDescent="0.25">
      <c r="A1033" s="1" t="s">
        <v>46</v>
      </c>
      <c r="B1033" s="1" t="s">
        <v>47</v>
      </c>
      <c r="C1033" s="1" t="s">
        <v>38</v>
      </c>
      <c r="D1033">
        <v>15.6</v>
      </c>
      <c r="E1033">
        <v>6</v>
      </c>
      <c r="F1033" s="1" t="s">
        <v>48</v>
      </c>
      <c r="G1033">
        <v>2.1</v>
      </c>
      <c r="H1033">
        <v>409</v>
      </c>
      <c r="I1033" s="1" t="s">
        <v>26</v>
      </c>
      <c r="J1033">
        <v>1366</v>
      </c>
      <c r="K1033">
        <v>768</v>
      </c>
      <c r="L1033" s="1" t="s">
        <v>27</v>
      </c>
      <c r="M1033" s="1" t="s">
        <v>27</v>
      </c>
      <c r="N1033" s="1" t="s">
        <v>27</v>
      </c>
      <c r="O1033" s="1" t="s">
        <v>49</v>
      </c>
      <c r="P1033">
        <v>3</v>
      </c>
      <c r="Q1033" s="1" t="s">
        <v>50</v>
      </c>
      <c r="R1033" s="1" t="str">
        <f>_xlfn.CONCAT(laptop[[#This Row],[CPU_company]]," ",laptop[[#This Row],[CPU_model]])</f>
        <v>AMD A9-Series 9420</v>
      </c>
      <c r="S1033">
        <v>1024</v>
      </c>
      <c r="T1033">
        <v>0</v>
      </c>
      <c r="U1033">
        <f>laptop[[#This Row],[PrimaryStorage]]+laptop[[#This Row],[SecondaryStorage]]</f>
        <v>1024</v>
      </c>
      <c r="V1033" s="1" t="s">
        <v>51</v>
      </c>
      <c r="W1033" s="1" t="s">
        <v>27</v>
      </c>
      <c r="X1033" s="1" t="str">
        <f>IF(laptop[[#This Row],[PrimaryStorageType]]=laptop[[#This Row],[SecondaryStorageType]],laptop[[#This Row],[PrimaryStorageType]],"SSD &amp; HDD")</f>
        <v>SSD &amp; HDD</v>
      </c>
      <c r="Y1033" s="1" t="s">
        <v>52</v>
      </c>
    </row>
    <row r="1034" spans="1:25" x14ac:dyDescent="0.25">
      <c r="A1034" s="1" t="s">
        <v>141</v>
      </c>
      <c r="B1034" s="1" t="s">
        <v>158</v>
      </c>
      <c r="C1034" s="1" t="s">
        <v>83</v>
      </c>
      <c r="D1034">
        <v>17.3</v>
      </c>
      <c r="E1034">
        <v>8</v>
      </c>
      <c r="F1034" s="1" t="s">
        <v>48</v>
      </c>
      <c r="G1034">
        <v>2.7</v>
      </c>
      <c r="H1034">
        <v>1191.8</v>
      </c>
      <c r="I1034" s="1" t="s">
        <v>40</v>
      </c>
      <c r="J1034">
        <v>1920</v>
      </c>
      <c r="K1034">
        <v>1080</v>
      </c>
      <c r="L1034" s="1" t="s">
        <v>27</v>
      </c>
      <c r="M1034" s="1" t="s">
        <v>27</v>
      </c>
      <c r="N1034" s="1" t="s">
        <v>27</v>
      </c>
      <c r="O1034" s="1" t="s">
        <v>29</v>
      </c>
      <c r="P1034">
        <v>2.8</v>
      </c>
      <c r="Q1034" s="1" t="s">
        <v>118</v>
      </c>
      <c r="R1034" s="1" t="str">
        <f>_xlfn.CONCAT(laptop[[#This Row],[CPU_company]]," ",laptop[[#This Row],[CPU_model]])</f>
        <v>Intel Core i7 7700HQ</v>
      </c>
      <c r="S1034">
        <v>128</v>
      </c>
      <c r="T1034">
        <v>1024</v>
      </c>
      <c r="U1034">
        <f>laptop[[#This Row],[PrimaryStorage]]+laptop[[#This Row],[SecondaryStorage]]</f>
        <v>1152</v>
      </c>
      <c r="V1034" s="1" t="s">
        <v>31</v>
      </c>
      <c r="W1034" s="1" t="s">
        <v>51</v>
      </c>
      <c r="X1034" s="1" t="str">
        <f>IF(laptop[[#This Row],[PrimaryStorageType]]=laptop[[#This Row],[SecondaryStorageType]],laptop[[#This Row],[PrimaryStorageType]],"SSD &amp; HDD")</f>
        <v>SSD &amp; HDD</v>
      </c>
      <c r="Y1034" s="1" t="s">
        <v>85</v>
      </c>
    </row>
    <row r="1035" spans="1:25" x14ac:dyDescent="0.25">
      <c r="A1035" s="1" t="s">
        <v>36</v>
      </c>
      <c r="B1035" s="1" t="s">
        <v>700</v>
      </c>
      <c r="C1035" s="1" t="s">
        <v>38</v>
      </c>
      <c r="D1035">
        <v>14</v>
      </c>
      <c r="E1035">
        <v>8</v>
      </c>
      <c r="F1035" s="1" t="s">
        <v>480</v>
      </c>
      <c r="G1035">
        <v>1.95</v>
      </c>
      <c r="H1035">
        <v>1195</v>
      </c>
      <c r="I1035" s="1" t="s">
        <v>40</v>
      </c>
      <c r="J1035">
        <v>1920</v>
      </c>
      <c r="K1035">
        <v>1080</v>
      </c>
      <c r="L1035" s="1" t="s">
        <v>27</v>
      </c>
      <c r="M1035" s="1" t="s">
        <v>27</v>
      </c>
      <c r="N1035" s="1" t="s">
        <v>27</v>
      </c>
      <c r="O1035" s="1" t="s">
        <v>29</v>
      </c>
      <c r="P1035">
        <v>2.2999999999999998</v>
      </c>
      <c r="Q1035" s="1" t="s">
        <v>212</v>
      </c>
      <c r="R1035" s="1" t="str">
        <f>_xlfn.CONCAT(laptop[[#This Row],[CPU_company]]," ",laptop[[#This Row],[CPU_model]])</f>
        <v>Intel Core i5 6200U</v>
      </c>
      <c r="S1035">
        <v>256</v>
      </c>
      <c r="T1035">
        <v>0</v>
      </c>
      <c r="U1035">
        <f>laptop[[#This Row],[PrimaryStorage]]+laptop[[#This Row],[SecondaryStorage]]</f>
        <v>256</v>
      </c>
      <c r="V1035" s="1" t="s">
        <v>31</v>
      </c>
      <c r="W1035" s="1" t="s">
        <v>27</v>
      </c>
      <c r="X1035" s="1" t="str">
        <f>IF(laptop[[#This Row],[PrimaryStorageType]]=laptop[[#This Row],[SecondaryStorageType]],laptop[[#This Row],[PrimaryStorageType]],"SSD &amp; HDD")</f>
        <v>SSD &amp; HDD</v>
      </c>
      <c r="Y1035" s="1" t="s">
        <v>63</v>
      </c>
    </row>
    <row r="1036" spans="1:25" x14ac:dyDescent="0.25">
      <c r="A1036" s="1" t="s">
        <v>36</v>
      </c>
      <c r="B1036" s="1" t="s">
        <v>527</v>
      </c>
      <c r="C1036" s="1" t="s">
        <v>38</v>
      </c>
      <c r="D1036">
        <v>15.6</v>
      </c>
      <c r="E1036">
        <v>8</v>
      </c>
      <c r="F1036" s="1" t="s">
        <v>48</v>
      </c>
      <c r="G1036">
        <v>1.84</v>
      </c>
      <c r="H1036">
        <v>1228.99</v>
      </c>
      <c r="I1036" s="1" t="s">
        <v>40</v>
      </c>
      <c r="J1036">
        <v>1920</v>
      </c>
      <c r="K1036">
        <v>1080</v>
      </c>
      <c r="L1036" s="1" t="s">
        <v>27</v>
      </c>
      <c r="M1036" s="1" t="s">
        <v>27</v>
      </c>
      <c r="N1036" s="1" t="s">
        <v>27</v>
      </c>
      <c r="O1036" s="1" t="s">
        <v>29</v>
      </c>
      <c r="P1036">
        <v>2.5</v>
      </c>
      <c r="Q1036" s="1" t="s">
        <v>274</v>
      </c>
      <c r="R1036" s="1" t="str">
        <f>_xlfn.CONCAT(laptop[[#This Row],[CPU_company]]," ",laptop[[#This Row],[CPU_model]])</f>
        <v>Intel Core i7 6500U</v>
      </c>
      <c r="S1036">
        <v>256</v>
      </c>
      <c r="T1036">
        <v>0</v>
      </c>
      <c r="U1036">
        <f>laptop[[#This Row],[PrimaryStorage]]+laptop[[#This Row],[SecondaryStorage]]</f>
        <v>256</v>
      </c>
      <c r="V1036" s="1" t="s">
        <v>31</v>
      </c>
      <c r="W1036" s="1" t="s">
        <v>27</v>
      </c>
      <c r="X1036" s="1" t="str">
        <f>IF(laptop[[#This Row],[PrimaryStorageType]]=laptop[[#This Row],[SecondaryStorageType]],laptop[[#This Row],[PrimaryStorageType]],"SSD &amp; HDD")</f>
        <v>SSD &amp; HDD</v>
      </c>
      <c r="Y1036" s="1" t="s">
        <v>63</v>
      </c>
    </row>
    <row r="1037" spans="1:25" x14ac:dyDescent="0.25">
      <c r="A1037" s="1" t="s">
        <v>36</v>
      </c>
      <c r="B1037" s="1" t="s">
        <v>639</v>
      </c>
      <c r="C1037" s="1" t="s">
        <v>24</v>
      </c>
      <c r="D1037">
        <v>12.5</v>
      </c>
      <c r="E1037">
        <v>8</v>
      </c>
      <c r="F1037" s="1" t="s">
        <v>48</v>
      </c>
      <c r="G1037">
        <v>1.26</v>
      </c>
      <c r="H1037">
        <v>1349</v>
      </c>
      <c r="I1037" s="1" t="s">
        <v>40</v>
      </c>
      <c r="J1037">
        <v>1920</v>
      </c>
      <c r="K1037">
        <v>1080</v>
      </c>
      <c r="L1037" s="1" t="s">
        <v>27</v>
      </c>
      <c r="M1037" s="1" t="s">
        <v>27</v>
      </c>
      <c r="N1037" s="1" t="s">
        <v>27</v>
      </c>
      <c r="O1037" s="1" t="s">
        <v>29</v>
      </c>
      <c r="P1037">
        <v>2.5</v>
      </c>
      <c r="Q1037" s="1" t="s">
        <v>274</v>
      </c>
      <c r="R1037" s="1" t="str">
        <f>_xlfn.CONCAT(laptop[[#This Row],[CPU_company]]," ",laptop[[#This Row],[CPU_model]])</f>
        <v>Intel Core i7 6500U</v>
      </c>
      <c r="S1037">
        <v>256</v>
      </c>
      <c r="T1037">
        <v>0</v>
      </c>
      <c r="U1037">
        <f>laptop[[#This Row],[PrimaryStorage]]+laptop[[#This Row],[SecondaryStorage]]</f>
        <v>256</v>
      </c>
      <c r="V1037" s="1" t="s">
        <v>31</v>
      </c>
      <c r="W1037" s="1" t="s">
        <v>27</v>
      </c>
      <c r="X1037" s="1" t="str">
        <f>IF(laptop[[#This Row],[PrimaryStorageType]]=laptop[[#This Row],[SecondaryStorageType]],laptop[[#This Row],[PrimaryStorageType]],"SSD &amp; HDD")</f>
        <v>SSD &amp; HDD</v>
      </c>
      <c r="Y1037" s="1" t="s">
        <v>63</v>
      </c>
    </row>
    <row r="1038" spans="1:25" x14ac:dyDescent="0.25">
      <c r="A1038" s="1" t="s">
        <v>36</v>
      </c>
      <c r="B1038" s="1" t="s">
        <v>114</v>
      </c>
      <c r="C1038" s="1" t="s">
        <v>38</v>
      </c>
      <c r="D1038">
        <v>15.6</v>
      </c>
      <c r="E1038">
        <v>4</v>
      </c>
      <c r="F1038" s="1" t="s">
        <v>48</v>
      </c>
      <c r="G1038">
        <v>2.04</v>
      </c>
      <c r="H1038">
        <v>742</v>
      </c>
      <c r="I1038" s="1" t="s">
        <v>26</v>
      </c>
      <c r="J1038">
        <v>1366</v>
      </c>
      <c r="K1038">
        <v>768</v>
      </c>
      <c r="L1038" s="1" t="s">
        <v>27</v>
      </c>
      <c r="M1038" s="1" t="s">
        <v>27</v>
      </c>
      <c r="N1038" s="1" t="s">
        <v>27</v>
      </c>
      <c r="O1038" s="1" t="s">
        <v>29</v>
      </c>
      <c r="P1038">
        <v>2.5</v>
      </c>
      <c r="Q1038" s="1" t="s">
        <v>41</v>
      </c>
      <c r="R1038" s="1" t="str">
        <f>_xlfn.CONCAT(laptop[[#This Row],[CPU_company]]," ",laptop[[#This Row],[CPU_model]])</f>
        <v>Intel Core i5 7200U</v>
      </c>
      <c r="S1038">
        <v>500</v>
      </c>
      <c r="T1038">
        <v>0</v>
      </c>
      <c r="U1038">
        <f>laptop[[#This Row],[PrimaryStorage]]+laptop[[#This Row],[SecondaryStorage]]</f>
        <v>500</v>
      </c>
      <c r="V1038" s="1" t="s">
        <v>51</v>
      </c>
      <c r="W1038" s="1" t="s">
        <v>27</v>
      </c>
      <c r="X1038" s="1" t="str">
        <f>IF(laptop[[#This Row],[PrimaryStorageType]]=laptop[[#This Row],[SecondaryStorageType]],laptop[[#This Row],[PrimaryStorageType]],"SSD &amp; HDD")</f>
        <v>SSD &amp; HDD</v>
      </c>
      <c r="Y1038" s="1" t="s">
        <v>42</v>
      </c>
    </row>
    <row r="1039" spans="1:25" x14ac:dyDescent="0.25">
      <c r="A1039" s="1" t="s">
        <v>210</v>
      </c>
      <c r="B1039" s="1" t="s">
        <v>765</v>
      </c>
      <c r="C1039" s="1" t="s">
        <v>24</v>
      </c>
      <c r="D1039">
        <v>14</v>
      </c>
      <c r="E1039">
        <v>8</v>
      </c>
      <c r="F1039" s="1" t="s">
        <v>48</v>
      </c>
      <c r="G1039">
        <v>1.47</v>
      </c>
      <c r="H1039">
        <v>1725</v>
      </c>
      <c r="I1039" s="1" t="s">
        <v>40</v>
      </c>
      <c r="J1039">
        <v>1920</v>
      </c>
      <c r="K1039">
        <v>1080</v>
      </c>
      <c r="L1039" s="1" t="s">
        <v>27</v>
      </c>
      <c r="M1039" s="1" t="s">
        <v>28</v>
      </c>
      <c r="N1039" s="1" t="s">
        <v>27</v>
      </c>
      <c r="O1039" s="1" t="s">
        <v>29</v>
      </c>
      <c r="P1039">
        <v>2.6</v>
      </c>
      <c r="Q1039" s="1" t="s">
        <v>309</v>
      </c>
      <c r="R1039" s="1" t="str">
        <f>_xlfn.CONCAT(laptop[[#This Row],[CPU_company]]," ",laptop[[#This Row],[CPU_model]])</f>
        <v>Intel Core i7 6600U</v>
      </c>
      <c r="S1039">
        <v>256</v>
      </c>
      <c r="T1039">
        <v>0</v>
      </c>
      <c r="U1039">
        <f>laptop[[#This Row],[PrimaryStorage]]+laptop[[#This Row],[SecondaryStorage]]</f>
        <v>256</v>
      </c>
      <c r="V1039" s="1" t="s">
        <v>31</v>
      </c>
      <c r="W1039" s="1" t="s">
        <v>27</v>
      </c>
      <c r="X1039" s="1" t="str">
        <f>IF(laptop[[#This Row],[PrimaryStorageType]]=laptop[[#This Row],[SecondaryStorageType]],laptop[[#This Row],[PrimaryStorageType]],"SSD &amp; HDD")</f>
        <v>SSD &amp; HDD</v>
      </c>
      <c r="Y1039" s="1" t="s">
        <v>63</v>
      </c>
    </row>
    <row r="1040" spans="1:25" x14ac:dyDescent="0.25">
      <c r="A1040" s="1" t="s">
        <v>65</v>
      </c>
      <c r="B1040" s="1" t="s">
        <v>764</v>
      </c>
      <c r="C1040" s="1" t="s">
        <v>38</v>
      </c>
      <c r="D1040">
        <v>15.6</v>
      </c>
      <c r="E1040">
        <v>8</v>
      </c>
      <c r="F1040" s="1" t="s">
        <v>480</v>
      </c>
      <c r="G1040">
        <v>2.09</v>
      </c>
      <c r="H1040">
        <v>1062.95</v>
      </c>
      <c r="I1040" s="1" t="s">
        <v>40</v>
      </c>
      <c r="J1040">
        <v>1920</v>
      </c>
      <c r="K1040">
        <v>1080</v>
      </c>
      <c r="L1040" s="1" t="s">
        <v>27</v>
      </c>
      <c r="M1040" s="1" t="s">
        <v>27</v>
      </c>
      <c r="N1040" s="1" t="s">
        <v>27</v>
      </c>
      <c r="O1040" s="1" t="s">
        <v>29</v>
      </c>
      <c r="P1040">
        <v>2.4</v>
      </c>
      <c r="Q1040" s="1" t="s">
        <v>562</v>
      </c>
      <c r="R1040" s="1" t="str">
        <f>_xlfn.CONCAT(laptop[[#This Row],[CPU_company]]," ",laptop[[#This Row],[CPU_model]])</f>
        <v>Intel Core i5 6300U</v>
      </c>
      <c r="S1040">
        <v>256</v>
      </c>
      <c r="T1040">
        <v>0</v>
      </c>
      <c r="U1040">
        <f>laptop[[#This Row],[PrimaryStorage]]+laptop[[#This Row],[SecondaryStorage]]</f>
        <v>256</v>
      </c>
      <c r="V1040" s="1" t="s">
        <v>31</v>
      </c>
      <c r="W1040" s="1" t="s">
        <v>27</v>
      </c>
      <c r="X1040" s="1" t="str">
        <f>IF(laptop[[#This Row],[PrimaryStorageType]]=laptop[[#This Row],[SecondaryStorageType]],laptop[[#This Row],[PrimaryStorageType]],"SSD &amp; HDD")</f>
        <v>SSD &amp; HDD</v>
      </c>
      <c r="Y1040" s="1" t="s">
        <v>63</v>
      </c>
    </row>
    <row r="1041" spans="1:25" x14ac:dyDescent="0.25">
      <c r="A1041" s="1" t="s">
        <v>36</v>
      </c>
      <c r="B1041" s="1" t="s">
        <v>164</v>
      </c>
      <c r="C1041" s="1" t="s">
        <v>38</v>
      </c>
      <c r="D1041">
        <v>14</v>
      </c>
      <c r="E1041">
        <v>8</v>
      </c>
      <c r="F1041" s="1" t="s">
        <v>48</v>
      </c>
      <c r="G1041">
        <v>1.64</v>
      </c>
      <c r="H1041">
        <v>1010.51</v>
      </c>
      <c r="I1041" s="1" t="s">
        <v>40</v>
      </c>
      <c r="J1041">
        <v>1920</v>
      </c>
      <c r="K1041">
        <v>1080</v>
      </c>
      <c r="L1041" s="1" t="s">
        <v>27</v>
      </c>
      <c r="M1041" s="1" t="s">
        <v>27</v>
      </c>
      <c r="N1041" s="1" t="s">
        <v>27</v>
      </c>
      <c r="O1041" s="1" t="s">
        <v>29</v>
      </c>
      <c r="P1041">
        <v>2.5</v>
      </c>
      <c r="Q1041" s="1" t="s">
        <v>41</v>
      </c>
      <c r="R1041" s="1" t="str">
        <f>_xlfn.CONCAT(laptop[[#This Row],[CPU_company]]," ",laptop[[#This Row],[CPU_model]])</f>
        <v>Intel Core i5 7200U</v>
      </c>
      <c r="S1041">
        <v>256</v>
      </c>
      <c r="T1041">
        <v>0</v>
      </c>
      <c r="U1041">
        <f>laptop[[#This Row],[PrimaryStorage]]+laptop[[#This Row],[SecondaryStorage]]</f>
        <v>256</v>
      </c>
      <c r="V1041" s="1" t="s">
        <v>31</v>
      </c>
      <c r="W1041" s="1" t="s">
        <v>27</v>
      </c>
      <c r="X1041" s="1" t="str">
        <f>IF(laptop[[#This Row],[PrimaryStorageType]]=laptop[[#This Row],[SecondaryStorageType]],laptop[[#This Row],[PrimaryStorageType]],"SSD &amp; HDD")</f>
        <v>SSD &amp; HDD</v>
      </c>
      <c r="Y1041" s="1" t="s">
        <v>42</v>
      </c>
    </row>
    <row r="1042" spans="1:25" x14ac:dyDescent="0.25">
      <c r="A1042" s="1" t="s">
        <v>73</v>
      </c>
      <c r="B1042" s="1" t="s">
        <v>766</v>
      </c>
      <c r="C1042" s="1" t="s">
        <v>90</v>
      </c>
      <c r="D1042">
        <v>15.6</v>
      </c>
      <c r="E1042">
        <v>4</v>
      </c>
      <c r="F1042" s="1" t="s">
        <v>48</v>
      </c>
      <c r="G1042">
        <v>1.8</v>
      </c>
      <c r="H1042">
        <v>847</v>
      </c>
      <c r="I1042" s="1" t="s">
        <v>40</v>
      </c>
      <c r="J1042">
        <v>1920</v>
      </c>
      <c r="K1042">
        <v>1080</v>
      </c>
      <c r="L1042" s="1" t="s">
        <v>28</v>
      </c>
      <c r="M1042" s="1" t="s">
        <v>28</v>
      </c>
      <c r="N1042" s="1" t="s">
        <v>27</v>
      </c>
      <c r="O1042" s="1" t="s">
        <v>29</v>
      </c>
      <c r="P1042">
        <v>2.5</v>
      </c>
      <c r="Q1042" s="1" t="s">
        <v>274</v>
      </c>
      <c r="R1042" s="1" t="str">
        <f>_xlfn.CONCAT(laptop[[#This Row],[CPU_company]]," ",laptop[[#This Row],[CPU_model]])</f>
        <v>Intel Core i7 6500U</v>
      </c>
      <c r="S1042">
        <v>256</v>
      </c>
      <c r="T1042">
        <v>0</v>
      </c>
      <c r="U1042">
        <f>laptop[[#This Row],[PrimaryStorage]]+laptop[[#This Row],[SecondaryStorage]]</f>
        <v>256</v>
      </c>
      <c r="V1042" s="1" t="s">
        <v>31</v>
      </c>
      <c r="W1042" s="1" t="s">
        <v>27</v>
      </c>
      <c r="X1042" s="1" t="str">
        <f>IF(laptop[[#This Row],[PrimaryStorageType]]=laptop[[#This Row],[SecondaryStorageType]],laptop[[#This Row],[PrimaryStorageType]],"SSD &amp; HDD")</f>
        <v>SSD &amp; HDD</v>
      </c>
      <c r="Y1042" s="1" t="s">
        <v>63</v>
      </c>
    </row>
    <row r="1043" spans="1:25" x14ac:dyDescent="0.25">
      <c r="A1043" s="1" t="s">
        <v>253</v>
      </c>
      <c r="B1043" s="1" t="s">
        <v>767</v>
      </c>
      <c r="C1043" s="1" t="s">
        <v>38</v>
      </c>
      <c r="D1043">
        <v>14</v>
      </c>
      <c r="E1043">
        <v>2</v>
      </c>
      <c r="F1043" s="1" t="s">
        <v>48</v>
      </c>
      <c r="G1043">
        <v>1.45</v>
      </c>
      <c r="H1043">
        <v>210.8</v>
      </c>
      <c r="I1043" s="1" t="s">
        <v>26</v>
      </c>
      <c r="J1043">
        <v>1366</v>
      </c>
      <c r="K1043">
        <v>768</v>
      </c>
      <c r="L1043" s="1" t="s">
        <v>27</v>
      </c>
      <c r="M1043" s="1" t="s">
        <v>27</v>
      </c>
      <c r="N1043" s="1" t="s">
        <v>27</v>
      </c>
      <c r="O1043" s="1" t="s">
        <v>29</v>
      </c>
      <c r="P1043">
        <v>1.44</v>
      </c>
      <c r="Q1043" s="1" t="s">
        <v>768</v>
      </c>
      <c r="R1043" s="1" t="str">
        <f>_xlfn.CONCAT(laptop[[#This Row],[CPU_company]]," ",laptop[[#This Row],[CPU_model]])</f>
        <v>Intel Atom X5-Z8350</v>
      </c>
      <c r="S1043">
        <v>32</v>
      </c>
      <c r="T1043">
        <v>0</v>
      </c>
      <c r="U1043">
        <f>laptop[[#This Row],[PrimaryStorage]]+laptop[[#This Row],[SecondaryStorage]]</f>
        <v>32</v>
      </c>
      <c r="V1043" s="1" t="s">
        <v>34</v>
      </c>
      <c r="W1043" s="1" t="s">
        <v>27</v>
      </c>
      <c r="X1043" s="1" t="str">
        <f>IF(laptop[[#This Row],[PrimaryStorageType]]=laptop[[#This Row],[SecondaryStorageType]],laptop[[#This Row],[PrimaryStorageType]],"SSD &amp; HDD")</f>
        <v>SSD &amp; HDD</v>
      </c>
      <c r="Y1043" s="1" t="s">
        <v>81</v>
      </c>
    </row>
    <row r="1044" spans="1:25" x14ac:dyDescent="0.25">
      <c r="A1044" s="1" t="s">
        <v>210</v>
      </c>
      <c r="B1044" s="1" t="s">
        <v>769</v>
      </c>
      <c r="C1044" s="1" t="s">
        <v>38</v>
      </c>
      <c r="D1044">
        <v>15.6</v>
      </c>
      <c r="E1044">
        <v>16</v>
      </c>
      <c r="F1044" s="1" t="s">
        <v>48</v>
      </c>
      <c r="G1044">
        <v>2.4</v>
      </c>
      <c r="H1044">
        <v>1425</v>
      </c>
      <c r="I1044" s="1" t="s">
        <v>40</v>
      </c>
      <c r="J1044">
        <v>1920</v>
      </c>
      <c r="K1044">
        <v>1080</v>
      </c>
      <c r="L1044" s="1" t="s">
        <v>27</v>
      </c>
      <c r="M1044" s="1" t="s">
        <v>28</v>
      </c>
      <c r="N1044" s="1" t="s">
        <v>27</v>
      </c>
      <c r="O1044" s="1" t="s">
        <v>29</v>
      </c>
      <c r="P1044">
        <v>2.5</v>
      </c>
      <c r="Q1044" s="1" t="s">
        <v>274</v>
      </c>
      <c r="R1044" s="1" t="str">
        <f>_xlfn.CONCAT(laptop[[#This Row],[CPU_company]]," ",laptop[[#This Row],[CPU_model]])</f>
        <v>Intel Core i7 6500U</v>
      </c>
      <c r="S1044">
        <v>256</v>
      </c>
      <c r="T1044">
        <v>0</v>
      </c>
      <c r="U1044">
        <f>laptop[[#This Row],[PrimaryStorage]]+laptop[[#This Row],[SecondaryStorage]]</f>
        <v>256</v>
      </c>
      <c r="V1044" s="1" t="s">
        <v>31</v>
      </c>
      <c r="W1044" s="1" t="s">
        <v>27</v>
      </c>
      <c r="X1044" s="1" t="str">
        <f>IF(laptop[[#This Row],[PrimaryStorageType]]=laptop[[#This Row],[SecondaryStorageType]],laptop[[#This Row],[PrimaryStorageType]],"SSD &amp; HDD")</f>
        <v>SSD &amp; HDD</v>
      </c>
      <c r="Y1044" s="1" t="s">
        <v>310</v>
      </c>
    </row>
    <row r="1045" spans="1:25" x14ac:dyDescent="0.25">
      <c r="A1045" s="1" t="s">
        <v>73</v>
      </c>
      <c r="B1045" s="1" t="s">
        <v>770</v>
      </c>
      <c r="C1045" s="1" t="s">
        <v>38</v>
      </c>
      <c r="D1045">
        <v>15.6</v>
      </c>
      <c r="E1045">
        <v>8</v>
      </c>
      <c r="F1045" s="1" t="s">
        <v>48</v>
      </c>
      <c r="G1045">
        <v>2.2999999999999998</v>
      </c>
      <c r="H1045">
        <v>1049.5999999999999</v>
      </c>
      <c r="I1045" s="1" t="s">
        <v>40</v>
      </c>
      <c r="J1045">
        <v>1920</v>
      </c>
      <c r="K1045">
        <v>1080</v>
      </c>
      <c r="L1045" s="1" t="s">
        <v>27</v>
      </c>
      <c r="M1045" s="1" t="s">
        <v>27</v>
      </c>
      <c r="N1045" s="1" t="s">
        <v>27</v>
      </c>
      <c r="O1045" s="1" t="s">
        <v>29</v>
      </c>
      <c r="P1045">
        <v>2.2999999999999998</v>
      </c>
      <c r="Q1045" s="1" t="s">
        <v>212</v>
      </c>
      <c r="R1045" s="1" t="str">
        <f>_xlfn.CONCAT(laptop[[#This Row],[CPU_company]]," ",laptop[[#This Row],[CPU_model]])</f>
        <v>Intel Core i5 6200U</v>
      </c>
      <c r="S1045">
        <v>256</v>
      </c>
      <c r="T1045">
        <v>0</v>
      </c>
      <c r="U1045">
        <f>laptop[[#This Row],[PrimaryStorage]]+laptop[[#This Row],[SecondaryStorage]]</f>
        <v>256</v>
      </c>
      <c r="V1045" s="1" t="s">
        <v>31</v>
      </c>
      <c r="W1045" s="1" t="s">
        <v>27</v>
      </c>
      <c r="X1045" s="1" t="str">
        <f>IF(laptop[[#This Row],[PrimaryStorageType]]=laptop[[#This Row],[SecondaryStorageType]],laptop[[#This Row],[PrimaryStorageType]],"SSD &amp; HDD")</f>
        <v>SSD &amp; HDD</v>
      </c>
      <c r="Y1045" s="1" t="s">
        <v>63</v>
      </c>
    </row>
    <row r="1046" spans="1:25" x14ac:dyDescent="0.25">
      <c r="A1046" s="1" t="s">
        <v>36</v>
      </c>
      <c r="B1046" s="1" t="s">
        <v>226</v>
      </c>
      <c r="C1046" s="1" t="s">
        <v>38</v>
      </c>
      <c r="D1046">
        <v>14</v>
      </c>
      <c r="E1046">
        <v>4</v>
      </c>
      <c r="F1046" s="1" t="s">
        <v>48</v>
      </c>
      <c r="G1046">
        <v>1.54</v>
      </c>
      <c r="H1046">
        <v>1000</v>
      </c>
      <c r="I1046" s="1" t="s">
        <v>40</v>
      </c>
      <c r="J1046">
        <v>1920</v>
      </c>
      <c r="K1046">
        <v>1080</v>
      </c>
      <c r="L1046" s="1" t="s">
        <v>27</v>
      </c>
      <c r="M1046" s="1" t="s">
        <v>27</v>
      </c>
      <c r="N1046" s="1" t="s">
        <v>27</v>
      </c>
      <c r="O1046" s="1" t="s">
        <v>29</v>
      </c>
      <c r="P1046">
        <v>2.2999999999999998</v>
      </c>
      <c r="Q1046" s="1" t="s">
        <v>212</v>
      </c>
      <c r="R1046" s="1" t="str">
        <f>_xlfn.CONCAT(laptop[[#This Row],[CPU_company]]," ",laptop[[#This Row],[CPU_model]])</f>
        <v>Intel Core i5 6200U</v>
      </c>
      <c r="S1046">
        <v>500</v>
      </c>
      <c r="T1046">
        <v>0</v>
      </c>
      <c r="U1046">
        <f>laptop[[#This Row],[PrimaryStorage]]+laptop[[#This Row],[SecondaryStorage]]</f>
        <v>500</v>
      </c>
      <c r="V1046" s="1" t="s">
        <v>51</v>
      </c>
      <c r="W1046" s="1" t="s">
        <v>27</v>
      </c>
      <c r="X1046" s="1" t="str">
        <f>IF(laptop[[#This Row],[PrimaryStorageType]]=laptop[[#This Row],[SecondaryStorageType]],laptop[[#This Row],[PrimaryStorageType]],"SSD &amp; HDD")</f>
        <v>SSD &amp; HDD</v>
      </c>
      <c r="Y1046" s="1" t="s">
        <v>63</v>
      </c>
    </row>
    <row r="1047" spans="1:25" x14ac:dyDescent="0.25">
      <c r="A1047" s="1" t="s">
        <v>36</v>
      </c>
      <c r="B1047" s="1" t="s">
        <v>527</v>
      </c>
      <c r="C1047" s="1" t="s">
        <v>38</v>
      </c>
      <c r="D1047">
        <v>15.6</v>
      </c>
      <c r="E1047">
        <v>8</v>
      </c>
      <c r="F1047" s="1" t="s">
        <v>48</v>
      </c>
      <c r="G1047">
        <v>1.84</v>
      </c>
      <c r="H1047">
        <v>2103.34</v>
      </c>
      <c r="I1047" s="1" t="s">
        <v>40</v>
      </c>
      <c r="J1047">
        <v>1920</v>
      </c>
      <c r="K1047">
        <v>1080</v>
      </c>
      <c r="L1047" s="1" t="s">
        <v>27</v>
      </c>
      <c r="M1047" s="1" t="s">
        <v>27</v>
      </c>
      <c r="N1047" s="1" t="s">
        <v>27</v>
      </c>
      <c r="O1047" s="1" t="s">
        <v>29</v>
      </c>
      <c r="P1047">
        <v>2.4</v>
      </c>
      <c r="Q1047" s="1" t="s">
        <v>562</v>
      </c>
      <c r="R1047" s="1" t="str">
        <f>_xlfn.CONCAT(laptop[[#This Row],[CPU_company]]," ",laptop[[#This Row],[CPU_model]])</f>
        <v>Intel Core i5 6300U</v>
      </c>
      <c r="S1047">
        <v>256</v>
      </c>
      <c r="T1047">
        <v>500</v>
      </c>
      <c r="U1047">
        <f>laptop[[#This Row],[PrimaryStorage]]+laptop[[#This Row],[SecondaryStorage]]</f>
        <v>756</v>
      </c>
      <c r="V1047" s="1" t="s">
        <v>31</v>
      </c>
      <c r="W1047" s="1" t="s">
        <v>51</v>
      </c>
      <c r="X1047" s="1" t="str">
        <f>IF(laptop[[#This Row],[PrimaryStorageType]]=laptop[[#This Row],[SecondaryStorageType]],laptop[[#This Row],[PrimaryStorageType]],"SSD &amp; HDD")</f>
        <v>SSD &amp; HDD</v>
      </c>
      <c r="Y1047" s="1" t="s">
        <v>63</v>
      </c>
    </row>
    <row r="1048" spans="1:25" x14ac:dyDescent="0.25">
      <c r="A1048" s="1" t="s">
        <v>36</v>
      </c>
      <c r="B1048" s="1" t="s">
        <v>405</v>
      </c>
      <c r="C1048" s="1" t="s">
        <v>38</v>
      </c>
      <c r="D1048">
        <v>14</v>
      </c>
      <c r="E1048">
        <v>8</v>
      </c>
      <c r="F1048" s="1" t="s">
        <v>480</v>
      </c>
      <c r="G1048">
        <v>1.43</v>
      </c>
      <c r="H1048">
        <v>1469</v>
      </c>
      <c r="I1048" s="1" t="s">
        <v>40</v>
      </c>
      <c r="J1048">
        <v>1920</v>
      </c>
      <c r="K1048">
        <v>1080</v>
      </c>
      <c r="L1048" s="1" t="s">
        <v>27</v>
      </c>
      <c r="M1048" s="1" t="s">
        <v>27</v>
      </c>
      <c r="N1048" s="1" t="s">
        <v>27</v>
      </c>
      <c r="O1048" s="1" t="s">
        <v>29</v>
      </c>
      <c r="P1048">
        <v>2.2999999999999998</v>
      </c>
      <c r="Q1048" s="1" t="s">
        <v>212</v>
      </c>
      <c r="R1048" s="1" t="str">
        <f>_xlfn.CONCAT(laptop[[#This Row],[CPU_company]]," ",laptop[[#This Row],[CPU_model]])</f>
        <v>Intel Core i5 6200U</v>
      </c>
      <c r="S1048">
        <v>256</v>
      </c>
      <c r="T1048">
        <v>0</v>
      </c>
      <c r="U1048">
        <f>laptop[[#This Row],[PrimaryStorage]]+laptop[[#This Row],[SecondaryStorage]]</f>
        <v>256</v>
      </c>
      <c r="V1048" s="1" t="s">
        <v>31</v>
      </c>
      <c r="W1048" s="1" t="s">
        <v>27</v>
      </c>
      <c r="X1048" s="1" t="str">
        <f>IF(laptop[[#This Row],[PrimaryStorageType]]=laptop[[#This Row],[SecondaryStorageType]],laptop[[#This Row],[PrimaryStorageType]],"SSD &amp; HDD")</f>
        <v>SSD &amp; HDD</v>
      </c>
      <c r="Y1048" s="1" t="s">
        <v>63</v>
      </c>
    </row>
    <row r="1049" spans="1:25" x14ac:dyDescent="0.25">
      <c r="A1049" s="1" t="s">
        <v>141</v>
      </c>
      <c r="B1049" s="1" t="s">
        <v>771</v>
      </c>
      <c r="C1049" s="1" t="s">
        <v>83</v>
      </c>
      <c r="D1049">
        <v>17.3</v>
      </c>
      <c r="E1049">
        <v>16</v>
      </c>
      <c r="F1049" s="1" t="s">
        <v>48</v>
      </c>
      <c r="G1049">
        <v>3.78</v>
      </c>
      <c r="H1049">
        <v>1545.64</v>
      </c>
      <c r="I1049" s="1" t="s">
        <v>40</v>
      </c>
      <c r="J1049">
        <v>1920</v>
      </c>
      <c r="K1049">
        <v>1080</v>
      </c>
      <c r="L1049" s="1" t="s">
        <v>27</v>
      </c>
      <c r="M1049" s="1" t="s">
        <v>28</v>
      </c>
      <c r="N1049" s="1" t="s">
        <v>27</v>
      </c>
      <c r="O1049" s="1" t="s">
        <v>29</v>
      </c>
      <c r="P1049">
        <v>2.7</v>
      </c>
      <c r="Q1049" s="1" t="s">
        <v>514</v>
      </c>
      <c r="R1049" s="1" t="str">
        <f>_xlfn.CONCAT(laptop[[#This Row],[CPU_company]]," ",laptop[[#This Row],[CPU_model]])</f>
        <v>Intel Core i7 6820HK</v>
      </c>
      <c r="S1049">
        <v>256</v>
      </c>
      <c r="T1049">
        <v>1024</v>
      </c>
      <c r="U1049">
        <f>laptop[[#This Row],[PrimaryStorage]]+laptop[[#This Row],[SecondaryStorage]]</f>
        <v>1280</v>
      </c>
      <c r="V1049" s="1" t="s">
        <v>31</v>
      </c>
      <c r="W1049" s="1" t="s">
        <v>51</v>
      </c>
      <c r="X1049" s="1" t="str">
        <f>IF(laptop[[#This Row],[PrimaryStorageType]]=laptop[[#This Row],[SecondaryStorageType]],laptop[[#This Row],[PrimaryStorageType]],"SSD &amp; HDD")</f>
        <v>SSD &amp; HDD</v>
      </c>
      <c r="Y1049" s="1" t="s">
        <v>297</v>
      </c>
    </row>
    <row r="1050" spans="1:25" x14ac:dyDescent="0.25">
      <c r="A1050" s="1" t="s">
        <v>73</v>
      </c>
      <c r="B1050" s="1" t="s">
        <v>772</v>
      </c>
      <c r="C1050" s="1" t="s">
        <v>83</v>
      </c>
      <c r="D1050">
        <v>17.3</v>
      </c>
      <c r="E1050">
        <v>16</v>
      </c>
      <c r="F1050" s="1" t="s">
        <v>48</v>
      </c>
      <c r="G1050">
        <v>4.5999999999999996</v>
      </c>
      <c r="H1050">
        <v>2289.9899999999998</v>
      </c>
      <c r="I1050" s="1" t="s">
        <v>40</v>
      </c>
      <c r="J1050">
        <v>1920</v>
      </c>
      <c r="K1050">
        <v>1080</v>
      </c>
      <c r="L1050" s="1" t="s">
        <v>27</v>
      </c>
      <c r="M1050" s="1" t="s">
        <v>28</v>
      </c>
      <c r="N1050" s="1" t="s">
        <v>27</v>
      </c>
      <c r="O1050" s="1" t="s">
        <v>29</v>
      </c>
      <c r="P1050">
        <v>2.6</v>
      </c>
      <c r="Q1050" s="1" t="s">
        <v>447</v>
      </c>
      <c r="R1050" s="1" t="str">
        <f>_xlfn.CONCAT(laptop[[#This Row],[CPU_company]]," ",laptop[[#This Row],[CPU_model]])</f>
        <v>Intel Core i7 6700HQ</v>
      </c>
      <c r="S1050">
        <v>128</v>
      </c>
      <c r="T1050">
        <v>1024</v>
      </c>
      <c r="U1050">
        <f>laptop[[#This Row],[PrimaryStorage]]+laptop[[#This Row],[SecondaryStorage]]</f>
        <v>1152</v>
      </c>
      <c r="V1050" s="1" t="s">
        <v>31</v>
      </c>
      <c r="W1050" s="1" t="s">
        <v>51</v>
      </c>
      <c r="X1050" s="1" t="str">
        <f>IF(laptop[[#This Row],[PrimaryStorageType]]=laptop[[#This Row],[SecondaryStorageType]],laptop[[#This Row],[PrimaryStorageType]],"SSD &amp; HDD")</f>
        <v>SSD &amp; HDD</v>
      </c>
      <c r="Y1050" s="1" t="s">
        <v>297</v>
      </c>
    </row>
    <row r="1051" spans="1:25" x14ac:dyDescent="0.25">
      <c r="A1051" s="1" t="s">
        <v>55</v>
      </c>
      <c r="B1051" s="1" t="s">
        <v>773</v>
      </c>
      <c r="C1051" s="1" t="s">
        <v>79</v>
      </c>
      <c r="D1051">
        <v>11.6</v>
      </c>
      <c r="E1051">
        <v>4</v>
      </c>
      <c r="F1051" s="1" t="s">
        <v>317</v>
      </c>
      <c r="G1051">
        <v>1.2</v>
      </c>
      <c r="H1051">
        <v>287.89999999999998</v>
      </c>
      <c r="I1051" s="1" t="s">
        <v>26</v>
      </c>
      <c r="J1051">
        <v>1366</v>
      </c>
      <c r="K1051">
        <v>768</v>
      </c>
      <c r="L1051" s="1" t="s">
        <v>27</v>
      </c>
      <c r="M1051" s="1" t="s">
        <v>27</v>
      </c>
      <c r="N1051" s="1" t="s">
        <v>27</v>
      </c>
      <c r="O1051" s="1" t="s">
        <v>29</v>
      </c>
      <c r="P1051">
        <v>1.6</v>
      </c>
      <c r="Q1051" s="1" t="s">
        <v>151</v>
      </c>
      <c r="R1051" s="1" t="str">
        <f>_xlfn.CONCAT(laptop[[#This Row],[CPU_company]]," ",laptop[[#This Row],[CPU_model]])</f>
        <v>Intel Celeron Dual Core N3060</v>
      </c>
      <c r="S1051">
        <v>16</v>
      </c>
      <c r="T1051">
        <v>0</v>
      </c>
      <c r="U1051">
        <f>laptop[[#This Row],[PrimaryStorage]]+laptop[[#This Row],[SecondaryStorage]]</f>
        <v>16</v>
      </c>
      <c r="V1051" s="1" t="s">
        <v>34</v>
      </c>
      <c r="W1051" s="1" t="s">
        <v>27</v>
      </c>
      <c r="X1051" s="1" t="str">
        <f>IF(laptop[[#This Row],[PrimaryStorageType]]=laptop[[#This Row],[SecondaryStorageType]],laptop[[#This Row],[PrimaryStorageType]],"SSD &amp; HDD")</f>
        <v>SSD &amp; HDD</v>
      </c>
      <c r="Y1051" s="1" t="s">
        <v>81</v>
      </c>
    </row>
    <row r="1052" spans="1:25" x14ac:dyDescent="0.25">
      <c r="A1052" s="1" t="s">
        <v>73</v>
      </c>
      <c r="B1052" s="1" t="s">
        <v>308</v>
      </c>
      <c r="C1052" s="1" t="s">
        <v>38</v>
      </c>
      <c r="D1052">
        <v>14</v>
      </c>
      <c r="E1052">
        <v>16</v>
      </c>
      <c r="F1052" s="1" t="s">
        <v>480</v>
      </c>
      <c r="G1052">
        <v>1.1000000000000001</v>
      </c>
      <c r="H1052">
        <v>2620</v>
      </c>
      <c r="I1052" s="1" t="s">
        <v>26</v>
      </c>
      <c r="J1052">
        <v>2560</v>
      </c>
      <c r="K1052">
        <v>1440</v>
      </c>
      <c r="L1052" s="1" t="s">
        <v>27</v>
      </c>
      <c r="M1052" s="1" t="s">
        <v>28</v>
      </c>
      <c r="N1052" s="1" t="s">
        <v>27</v>
      </c>
      <c r="O1052" s="1" t="s">
        <v>29</v>
      </c>
      <c r="P1052">
        <v>2.6</v>
      </c>
      <c r="Q1052" s="1" t="s">
        <v>309</v>
      </c>
      <c r="R1052" s="1" t="str">
        <f>_xlfn.CONCAT(laptop[[#This Row],[CPU_company]]," ",laptop[[#This Row],[CPU_model]])</f>
        <v>Intel Core i7 6600U</v>
      </c>
      <c r="S1052">
        <v>256</v>
      </c>
      <c r="T1052">
        <v>0</v>
      </c>
      <c r="U1052">
        <f>laptop[[#This Row],[PrimaryStorage]]+laptop[[#This Row],[SecondaryStorage]]</f>
        <v>256</v>
      </c>
      <c r="V1052" s="1" t="s">
        <v>31</v>
      </c>
      <c r="W1052" s="1" t="s">
        <v>27</v>
      </c>
      <c r="X1052" s="1" t="str">
        <f>IF(laptop[[#This Row],[PrimaryStorageType]]=laptop[[#This Row],[SecondaryStorageType]],laptop[[#This Row],[PrimaryStorageType]],"SSD &amp; HDD")</f>
        <v>SSD &amp; HDD</v>
      </c>
      <c r="Y1052" s="1" t="s">
        <v>63</v>
      </c>
    </row>
    <row r="1053" spans="1:25" x14ac:dyDescent="0.25">
      <c r="A1053" s="1" t="s">
        <v>36</v>
      </c>
      <c r="B1053" s="1" t="s">
        <v>774</v>
      </c>
      <c r="C1053" s="1" t="s">
        <v>38</v>
      </c>
      <c r="D1053">
        <v>15.6</v>
      </c>
      <c r="E1053">
        <v>8</v>
      </c>
      <c r="F1053" s="1" t="s">
        <v>48</v>
      </c>
      <c r="G1053">
        <v>1.91</v>
      </c>
      <c r="H1053">
        <v>979</v>
      </c>
      <c r="I1053" s="1" t="s">
        <v>40</v>
      </c>
      <c r="J1053">
        <v>1920</v>
      </c>
      <c r="K1053">
        <v>1080</v>
      </c>
      <c r="L1053" s="1" t="s">
        <v>27</v>
      </c>
      <c r="M1053" s="1" t="s">
        <v>28</v>
      </c>
      <c r="N1053" s="1" t="s">
        <v>27</v>
      </c>
      <c r="O1053" s="1" t="s">
        <v>29</v>
      </c>
      <c r="P1053">
        <v>2.7</v>
      </c>
      <c r="Q1053" s="1" t="s">
        <v>71</v>
      </c>
      <c r="R1053" s="1" t="str">
        <f>_xlfn.CONCAT(laptop[[#This Row],[CPU_company]]," ",laptop[[#This Row],[CPU_model]])</f>
        <v>Intel Core i7 7500U</v>
      </c>
      <c r="S1053">
        <v>1024</v>
      </c>
      <c r="T1053">
        <v>0</v>
      </c>
      <c r="U1053">
        <f>laptop[[#This Row],[PrimaryStorage]]+laptop[[#This Row],[SecondaryStorage]]</f>
        <v>1024</v>
      </c>
      <c r="V1053" s="1" t="s">
        <v>51</v>
      </c>
      <c r="W1053" s="1" t="s">
        <v>27</v>
      </c>
      <c r="X1053" s="1" t="str">
        <f>IF(laptop[[#This Row],[PrimaryStorageType]]=laptop[[#This Row],[SecondaryStorageType]],laptop[[#This Row],[PrimaryStorageType]],"SSD &amp; HDD")</f>
        <v>SSD &amp; HDD</v>
      </c>
      <c r="Y1053" s="1" t="s">
        <v>76</v>
      </c>
    </row>
    <row r="1054" spans="1:25" x14ac:dyDescent="0.25">
      <c r="A1054" s="1" t="s">
        <v>65</v>
      </c>
      <c r="B1054" s="1" t="s">
        <v>775</v>
      </c>
      <c r="C1054" s="1" t="s">
        <v>90</v>
      </c>
      <c r="D1054">
        <v>15.6</v>
      </c>
      <c r="E1054">
        <v>8</v>
      </c>
      <c r="F1054" s="1" t="s">
        <v>48</v>
      </c>
      <c r="G1054">
        <v>2.2999999999999998</v>
      </c>
      <c r="H1054">
        <v>1094</v>
      </c>
      <c r="I1054" s="1" t="s">
        <v>40</v>
      </c>
      <c r="J1054">
        <v>1920</v>
      </c>
      <c r="K1054">
        <v>1080</v>
      </c>
      <c r="L1054" s="1" t="s">
        <v>28</v>
      </c>
      <c r="M1054" s="1" t="s">
        <v>28</v>
      </c>
      <c r="N1054" s="1" t="s">
        <v>27</v>
      </c>
      <c r="O1054" s="1" t="s">
        <v>29</v>
      </c>
      <c r="P1054">
        <v>2.7</v>
      </c>
      <c r="Q1054" s="1" t="s">
        <v>41</v>
      </c>
      <c r="R1054" s="1" t="str">
        <f>_xlfn.CONCAT(laptop[[#This Row],[CPU_company]]," ",laptop[[#This Row],[CPU_model]])</f>
        <v>Intel Core i5 7200U</v>
      </c>
      <c r="S1054">
        <v>256</v>
      </c>
      <c r="T1054">
        <v>0</v>
      </c>
      <c r="U1054">
        <f>laptop[[#This Row],[PrimaryStorage]]+laptop[[#This Row],[SecondaryStorage]]</f>
        <v>256</v>
      </c>
      <c r="V1054" s="1" t="s">
        <v>31</v>
      </c>
      <c r="W1054" s="1" t="s">
        <v>27</v>
      </c>
      <c r="X1054" s="1" t="str">
        <f>IF(laptop[[#This Row],[PrimaryStorageType]]=laptop[[#This Row],[SecondaryStorageType]],laptop[[#This Row],[PrimaryStorageType]],"SSD &amp; HDD")</f>
        <v>SSD &amp; HDD</v>
      </c>
      <c r="Y1054" s="1" t="s">
        <v>42</v>
      </c>
    </row>
    <row r="1055" spans="1:25" x14ac:dyDescent="0.25">
      <c r="A1055" s="1" t="s">
        <v>36</v>
      </c>
      <c r="B1055" s="1" t="s">
        <v>114</v>
      </c>
      <c r="C1055" s="1" t="s">
        <v>38</v>
      </c>
      <c r="D1055">
        <v>15.6</v>
      </c>
      <c r="E1055">
        <v>4</v>
      </c>
      <c r="F1055" s="1" t="s">
        <v>48</v>
      </c>
      <c r="G1055">
        <v>2.04</v>
      </c>
      <c r="H1055">
        <v>979</v>
      </c>
      <c r="I1055" s="1" t="s">
        <v>26</v>
      </c>
      <c r="J1055">
        <v>1366</v>
      </c>
      <c r="K1055">
        <v>768</v>
      </c>
      <c r="L1055" s="1" t="s">
        <v>27</v>
      </c>
      <c r="M1055" s="1" t="s">
        <v>27</v>
      </c>
      <c r="N1055" s="1" t="s">
        <v>27</v>
      </c>
      <c r="O1055" s="1" t="s">
        <v>29</v>
      </c>
      <c r="P1055">
        <v>2.5</v>
      </c>
      <c r="Q1055" s="1" t="s">
        <v>41</v>
      </c>
      <c r="R1055" s="1" t="str">
        <f>_xlfn.CONCAT(laptop[[#This Row],[CPU_company]]," ",laptop[[#This Row],[CPU_model]])</f>
        <v>Intel Core i5 7200U</v>
      </c>
      <c r="S1055">
        <v>256</v>
      </c>
      <c r="T1055">
        <v>0</v>
      </c>
      <c r="U1055">
        <f>laptop[[#This Row],[PrimaryStorage]]+laptop[[#This Row],[SecondaryStorage]]</f>
        <v>256</v>
      </c>
      <c r="V1055" s="1" t="s">
        <v>31</v>
      </c>
      <c r="W1055" s="1" t="s">
        <v>27</v>
      </c>
      <c r="X1055" s="1" t="str">
        <f>IF(laptop[[#This Row],[PrimaryStorageType]]=laptop[[#This Row],[SecondaryStorageType]],laptop[[#This Row],[PrimaryStorageType]],"SSD &amp; HDD")</f>
        <v>SSD &amp; HDD</v>
      </c>
      <c r="Y1055" s="1" t="s">
        <v>42</v>
      </c>
    </row>
    <row r="1056" spans="1:25" x14ac:dyDescent="0.25">
      <c r="A1056" s="1" t="s">
        <v>65</v>
      </c>
      <c r="B1056" s="1" t="s">
        <v>77</v>
      </c>
      <c r="C1056" s="1" t="s">
        <v>24</v>
      </c>
      <c r="D1056">
        <v>13.3</v>
      </c>
      <c r="E1056">
        <v>16</v>
      </c>
      <c r="F1056" s="1" t="s">
        <v>48</v>
      </c>
      <c r="G1056">
        <v>1.2</v>
      </c>
      <c r="H1056">
        <v>2254</v>
      </c>
      <c r="I1056" s="1" t="s">
        <v>107</v>
      </c>
      <c r="J1056">
        <v>3200</v>
      </c>
      <c r="K1056">
        <v>1800</v>
      </c>
      <c r="L1056" s="1" t="s">
        <v>28</v>
      </c>
      <c r="M1056" s="1" t="s">
        <v>27</v>
      </c>
      <c r="N1056" s="1" t="s">
        <v>27</v>
      </c>
      <c r="O1056" s="1" t="s">
        <v>29</v>
      </c>
      <c r="P1056">
        <v>2.7</v>
      </c>
      <c r="Q1056" s="1" t="s">
        <v>71</v>
      </c>
      <c r="R1056" s="1" t="str">
        <f>_xlfn.CONCAT(laptop[[#This Row],[CPU_company]]," ",laptop[[#This Row],[CPU_model]])</f>
        <v>Intel Core i7 7500U</v>
      </c>
      <c r="S1056">
        <v>1024</v>
      </c>
      <c r="T1056">
        <v>0</v>
      </c>
      <c r="U1056">
        <f>laptop[[#This Row],[PrimaryStorage]]+laptop[[#This Row],[SecondaryStorage]]</f>
        <v>1024</v>
      </c>
      <c r="V1056" s="1" t="s">
        <v>31</v>
      </c>
      <c r="W1056" s="1" t="s">
        <v>27</v>
      </c>
      <c r="X1056" s="1" t="str">
        <f>IF(laptop[[#This Row],[PrimaryStorageType]]=laptop[[#This Row],[SecondaryStorageType]],laptop[[#This Row],[PrimaryStorageType]],"SSD &amp; HDD")</f>
        <v>SSD &amp; HDD</v>
      </c>
      <c r="Y1056" s="1" t="s">
        <v>42</v>
      </c>
    </row>
    <row r="1057" spans="1:25" x14ac:dyDescent="0.25">
      <c r="A1057" s="1" t="s">
        <v>36</v>
      </c>
      <c r="B1057" s="1" t="s">
        <v>407</v>
      </c>
      <c r="C1057" s="1" t="s">
        <v>38</v>
      </c>
      <c r="D1057">
        <v>15.6</v>
      </c>
      <c r="E1057">
        <v>4</v>
      </c>
      <c r="F1057" s="1" t="s">
        <v>48</v>
      </c>
      <c r="G1057">
        <v>2.31</v>
      </c>
      <c r="H1057">
        <v>705.15</v>
      </c>
      <c r="I1057" s="1" t="s">
        <v>26</v>
      </c>
      <c r="J1057">
        <v>1366</v>
      </c>
      <c r="K1057">
        <v>768</v>
      </c>
      <c r="L1057" s="1" t="s">
        <v>27</v>
      </c>
      <c r="M1057" s="1" t="s">
        <v>27</v>
      </c>
      <c r="N1057" s="1" t="s">
        <v>27</v>
      </c>
      <c r="O1057" s="1" t="s">
        <v>29</v>
      </c>
      <c r="P1057">
        <v>2.2999999999999998</v>
      </c>
      <c r="Q1057" s="1" t="s">
        <v>450</v>
      </c>
      <c r="R1057" s="1" t="str">
        <f>_xlfn.CONCAT(laptop[[#This Row],[CPU_company]]," ",laptop[[#This Row],[CPU_model]])</f>
        <v>Intel Core i3 6100U</v>
      </c>
      <c r="S1057">
        <v>500</v>
      </c>
      <c r="T1057">
        <v>0</v>
      </c>
      <c r="U1057">
        <f>laptop[[#This Row],[PrimaryStorage]]+laptop[[#This Row],[SecondaryStorage]]</f>
        <v>500</v>
      </c>
      <c r="V1057" s="1" t="s">
        <v>51</v>
      </c>
      <c r="W1057" s="1" t="s">
        <v>27</v>
      </c>
      <c r="X1057" s="1" t="str">
        <f>IF(laptop[[#This Row],[PrimaryStorageType]]=laptop[[#This Row],[SecondaryStorageType]],laptop[[#This Row],[PrimaryStorageType]],"SSD &amp; HDD")</f>
        <v>SSD &amp; HDD</v>
      </c>
      <c r="Y1057" s="1" t="s">
        <v>63</v>
      </c>
    </row>
    <row r="1058" spans="1:25" x14ac:dyDescent="0.25">
      <c r="A1058" s="1" t="s">
        <v>36</v>
      </c>
      <c r="B1058" s="1" t="s">
        <v>776</v>
      </c>
      <c r="C1058" s="1" t="s">
        <v>38</v>
      </c>
      <c r="D1058">
        <v>15.6</v>
      </c>
      <c r="E1058">
        <v>4</v>
      </c>
      <c r="F1058" s="1" t="s">
        <v>39</v>
      </c>
      <c r="G1058">
        <v>1.96</v>
      </c>
      <c r="H1058">
        <v>499</v>
      </c>
      <c r="I1058" s="1" t="s">
        <v>26</v>
      </c>
      <c r="J1058">
        <v>1366</v>
      </c>
      <c r="K1058">
        <v>768</v>
      </c>
      <c r="L1058" s="1" t="s">
        <v>27</v>
      </c>
      <c r="M1058" s="1" t="s">
        <v>27</v>
      </c>
      <c r="N1058" s="1" t="s">
        <v>27</v>
      </c>
      <c r="O1058" s="1" t="s">
        <v>29</v>
      </c>
      <c r="P1058">
        <v>2.5</v>
      </c>
      <c r="Q1058" s="1" t="s">
        <v>41</v>
      </c>
      <c r="R1058" s="1" t="str">
        <f>_xlfn.CONCAT(laptop[[#This Row],[CPU_company]]," ",laptop[[#This Row],[CPU_model]])</f>
        <v>Intel Core i5 7200U</v>
      </c>
      <c r="S1058">
        <v>500</v>
      </c>
      <c r="T1058">
        <v>0</v>
      </c>
      <c r="U1058">
        <f>laptop[[#This Row],[PrimaryStorage]]+laptop[[#This Row],[SecondaryStorage]]</f>
        <v>500</v>
      </c>
      <c r="V1058" s="1" t="s">
        <v>51</v>
      </c>
      <c r="W1058" s="1" t="s">
        <v>27</v>
      </c>
      <c r="X1058" s="1" t="str">
        <f>IF(laptop[[#This Row],[PrimaryStorageType]]=laptop[[#This Row],[SecondaryStorageType]],laptop[[#This Row],[PrimaryStorageType]],"SSD &amp; HDD")</f>
        <v>SSD &amp; HDD</v>
      </c>
      <c r="Y1058" s="1" t="s">
        <v>42</v>
      </c>
    </row>
    <row r="1059" spans="1:25" x14ac:dyDescent="0.25">
      <c r="A1059" s="1" t="s">
        <v>46</v>
      </c>
      <c r="B1059" s="1" t="s">
        <v>777</v>
      </c>
      <c r="C1059" s="1" t="s">
        <v>38</v>
      </c>
      <c r="D1059">
        <v>15.6</v>
      </c>
      <c r="E1059">
        <v>8</v>
      </c>
      <c r="F1059" s="1" t="s">
        <v>48</v>
      </c>
      <c r="G1059">
        <v>2.4</v>
      </c>
      <c r="H1059">
        <v>449</v>
      </c>
      <c r="I1059" s="1" t="s">
        <v>26</v>
      </c>
      <c r="J1059">
        <v>1366</v>
      </c>
      <c r="K1059">
        <v>768</v>
      </c>
      <c r="L1059" s="1" t="s">
        <v>27</v>
      </c>
      <c r="M1059" s="1" t="s">
        <v>27</v>
      </c>
      <c r="N1059" s="1" t="s">
        <v>27</v>
      </c>
      <c r="O1059" s="1" t="s">
        <v>49</v>
      </c>
      <c r="P1059">
        <v>2.2000000000000002</v>
      </c>
      <c r="Q1059" s="1" t="s">
        <v>339</v>
      </c>
      <c r="R1059" s="1" t="str">
        <f>_xlfn.CONCAT(laptop[[#This Row],[CPU_company]]," ",laptop[[#This Row],[CPU_model]])</f>
        <v>AMD A8-Series 7410</v>
      </c>
      <c r="S1059">
        <v>1024</v>
      </c>
      <c r="T1059">
        <v>0</v>
      </c>
      <c r="U1059">
        <f>laptop[[#This Row],[PrimaryStorage]]+laptop[[#This Row],[SecondaryStorage]]</f>
        <v>1024</v>
      </c>
      <c r="V1059" s="1" t="s">
        <v>51</v>
      </c>
      <c r="W1059" s="1" t="s">
        <v>27</v>
      </c>
      <c r="X1059" s="1" t="str">
        <f>IF(laptop[[#This Row],[PrimaryStorageType]]=laptop[[#This Row],[SecondaryStorageType]],laptop[[#This Row],[PrimaryStorageType]],"SSD &amp; HDD")</f>
        <v>SSD &amp; HDD</v>
      </c>
      <c r="Y1059" s="1" t="s">
        <v>52</v>
      </c>
    </row>
    <row r="1060" spans="1:25" x14ac:dyDescent="0.25">
      <c r="A1060" s="1" t="s">
        <v>65</v>
      </c>
      <c r="B1060" s="1" t="s">
        <v>778</v>
      </c>
      <c r="C1060" s="1" t="s">
        <v>90</v>
      </c>
      <c r="D1060">
        <v>13.3</v>
      </c>
      <c r="E1060">
        <v>12</v>
      </c>
      <c r="F1060" s="1" t="s">
        <v>48</v>
      </c>
      <c r="G1060">
        <v>1.6</v>
      </c>
      <c r="H1060">
        <v>1299</v>
      </c>
      <c r="I1060" s="1" t="s">
        <v>40</v>
      </c>
      <c r="J1060">
        <v>1920</v>
      </c>
      <c r="K1060">
        <v>1080</v>
      </c>
      <c r="L1060" s="1" t="s">
        <v>28</v>
      </c>
      <c r="M1060" s="1" t="s">
        <v>28</v>
      </c>
      <c r="N1060" s="1" t="s">
        <v>27</v>
      </c>
      <c r="O1060" s="1" t="s">
        <v>29</v>
      </c>
      <c r="P1060">
        <v>2.7</v>
      </c>
      <c r="Q1060" s="1" t="s">
        <v>71</v>
      </c>
      <c r="R1060" s="1" t="str">
        <f>_xlfn.CONCAT(laptop[[#This Row],[CPU_company]]," ",laptop[[#This Row],[CPU_model]])</f>
        <v>Intel Core i7 7500U</v>
      </c>
      <c r="S1060">
        <v>256</v>
      </c>
      <c r="T1060">
        <v>0</v>
      </c>
      <c r="U1060">
        <f>laptop[[#This Row],[PrimaryStorage]]+laptop[[#This Row],[SecondaryStorage]]</f>
        <v>256</v>
      </c>
      <c r="V1060" s="1" t="s">
        <v>31</v>
      </c>
      <c r="W1060" s="1" t="s">
        <v>27</v>
      </c>
      <c r="X1060" s="1" t="str">
        <f>IF(laptop[[#This Row],[PrimaryStorageType]]=laptop[[#This Row],[SecondaryStorageType]],laptop[[#This Row],[PrimaryStorageType]],"SSD &amp; HDD")</f>
        <v>SSD &amp; HDD</v>
      </c>
      <c r="Y1060" s="1" t="s">
        <v>42</v>
      </c>
    </row>
    <row r="1061" spans="1:25" x14ac:dyDescent="0.25">
      <c r="A1061" s="1" t="s">
        <v>141</v>
      </c>
      <c r="B1061" s="1" t="s">
        <v>779</v>
      </c>
      <c r="C1061" s="1" t="s">
        <v>83</v>
      </c>
      <c r="D1061">
        <v>15.6</v>
      </c>
      <c r="E1061">
        <v>16</v>
      </c>
      <c r="F1061" s="1" t="s">
        <v>48</v>
      </c>
      <c r="G1061">
        <v>2.94</v>
      </c>
      <c r="H1061">
        <v>1819</v>
      </c>
      <c r="I1061" s="1" t="s">
        <v>40</v>
      </c>
      <c r="J1061">
        <v>1920</v>
      </c>
      <c r="K1061">
        <v>1080</v>
      </c>
      <c r="L1061" s="1" t="s">
        <v>27</v>
      </c>
      <c r="M1061" s="1" t="s">
        <v>27</v>
      </c>
      <c r="N1061" s="1" t="s">
        <v>27</v>
      </c>
      <c r="O1061" s="1" t="s">
        <v>29</v>
      </c>
      <c r="P1061">
        <v>2.6</v>
      </c>
      <c r="Q1061" s="1" t="s">
        <v>447</v>
      </c>
      <c r="R1061" s="1" t="str">
        <f>_xlfn.CONCAT(laptop[[#This Row],[CPU_company]]," ",laptop[[#This Row],[CPU_model]])</f>
        <v>Intel Core i7 6700HQ</v>
      </c>
      <c r="S1061">
        <v>256</v>
      </c>
      <c r="T1061">
        <v>1024</v>
      </c>
      <c r="U1061">
        <f>laptop[[#This Row],[PrimaryStorage]]+laptop[[#This Row],[SecondaryStorage]]</f>
        <v>1280</v>
      </c>
      <c r="V1061" s="1" t="s">
        <v>31</v>
      </c>
      <c r="W1061" s="1" t="s">
        <v>51</v>
      </c>
      <c r="X1061" s="1" t="str">
        <f>IF(laptop[[#This Row],[PrimaryStorageType]]=laptop[[#This Row],[SecondaryStorageType]],laptop[[#This Row],[PrimaryStorageType]],"SSD &amp; HDD")</f>
        <v>SSD &amp; HDD</v>
      </c>
      <c r="Y1061" s="1" t="s">
        <v>119</v>
      </c>
    </row>
    <row r="1062" spans="1:25" x14ac:dyDescent="0.25">
      <c r="A1062" s="1" t="s">
        <v>36</v>
      </c>
      <c r="B1062" s="1" t="s">
        <v>114</v>
      </c>
      <c r="C1062" s="1" t="s">
        <v>38</v>
      </c>
      <c r="D1062">
        <v>15.6</v>
      </c>
      <c r="E1062">
        <v>8</v>
      </c>
      <c r="F1062" s="1" t="s">
        <v>48</v>
      </c>
      <c r="G1062">
        <v>2.04</v>
      </c>
      <c r="H1062">
        <v>1070</v>
      </c>
      <c r="I1062" s="1" t="s">
        <v>40</v>
      </c>
      <c r="J1062">
        <v>1920</v>
      </c>
      <c r="K1062">
        <v>1080</v>
      </c>
      <c r="L1062" s="1" t="s">
        <v>27</v>
      </c>
      <c r="M1062" s="1" t="s">
        <v>27</v>
      </c>
      <c r="N1062" s="1" t="s">
        <v>27</v>
      </c>
      <c r="O1062" s="1" t="s">
        <v>29</v>
      </c>
      <c r="P1062">
        <v>2.7</v>
      </c>
      <c r="Q1062" s="1" t="s">
        <v>71</v>
      </c>
      <c r="R1062" s="1" t="str">
        <f>_xlfn.CONCAT(laptop[[#This Row],[CPU_company]]," ",laptop[[#This Row],[CPU_model]])</f>
        <v>Intel Core i7 7500U</v>
      </c>
      <c r="S1062">
        <v>256</v>
      </c>
      <c r="T1062">
        <v>0</v>
      </c>
      <c r="U1062">
        <f>laptop[[#This Row],[PrimaryStorage]]+laptop[[#This Row],[SecondaryStorage]]</f>
        <v>256</v>
      </c>
      <c r="V1062" s="1" t="s">
        <v>31</v>
      </c>
      <c r="W1062" s="1" t="s">
        <v>27</v>
      </c>
      <c r="X1062" s="1" t="str">
        <f>IF(laptop[[#This Row],[PrimaryStorageType]]=laptop[[#This Row],[SecondaryStorageType]],laptop[[#This Row],[PrimaryStorageType]],"SSD &amp; HDD")</f>
        <v>SSD &amp; HDD</v>
      </c>
      <c r="Y1062" s="1" t="s">
        <v>42</v>
      </c>
    </row>
    <row r="1063" spans="1:25" x14ac:dyDescent="0.25">
      <c r="A1063" s="1" t="s">
        <v>55</v>
      </c>
      <c r="B1063" s="1" t="s">
        <v>780</v>
      </c>
      <c r="C1063" s="1" t="s">
        <v>83</v>
      </c>
      <c r="D1063">
        <v>17.3</v>
      </c>
      <c r="E1063">
        <v>16</v>
      </c>
      <c r="F1063" s="1" t="s">
        <v>39</v>
      </c>
      <c r="G1063">
        <v>4</v>
      </c>
      <c r="H1063">
        <v>998</v>
      </c>
      <c r="I1063" s="1" t="s">
        <v>40</v>
      </c>
      <c r="J1063">
        <v>1920</v>
      </c>
      <c r="K1063">
        <v>1080</v>
      </c>
      <c r="L1063" s="1" t="s">
        <v>27</v>
      </c>
      <c r="M1063" s="1" t="s">
        <v>28</v>
      </c>
      <c r="N1063" s="1" t="s">
        <v>27</v>
      </c>
      <c r="O1063" s="1" t="s">
        <v>29</v>
      </c>
      <c r="P1063">
        <v>2.6</v>
      </c>
      <c r="Q1063" s="1" t="s">
        <v>447</v>
      </c>
      <c r="R1063" s="1" t="str">
        <f>_xlfn.CONCAT(laptop[[#This Row],[CPU_company]]," ",laptop[[#This Row],[CPU_model]])</f>
        <v>Intel Core i7 6700HQ</v>
      </c>
      <c r="S1063">
        <v>1024</v>
      </c>
      <c r="T1063">
        <v>0</v>
      </c>
      <c r="U1063">
        <f>laptop[[#This Row],[PrimaryStorage]]+laptop[[#This Row],[SecondaryStorage]]</f>
        <v>1024</v>
      </c>
      <c r="V1063" s="1" t="s">
        <v>51</v>
      </c>
      <c r="W1063" s="1" t="s">
        <v>27</v>
      </c>
      <c r="X1063" s="1" t="str">
        <f>IF(laptop[[#This Row],[PrimaryStorageType]]=laptop[[#This Row],[SecondaryStorageType]],laptop[[#This Row],[PrimaryStorageType]],"SSD &amp; HDD")</f>
        <v>SSD &amp; HDD</v>
      </c>
      <c r="Y1063" s="1" t="s">
        <v>460</v>
      </c>
    </row>
    <row r="1064" spans="1:25" x14ac:dyDescent="0.25">
      <c r="A1064" s="1" t="s">
        <v>65</v>
      </c>
      <c r="B1064" s="1" t="s">
        <v>66</v>
      </c>
      <c r="C1064" s="1" t="s">
        <v>38</v>
      </c>
      <c r="D1064">
        <v>15.6</v>
      </c>
      <c r="E1064">
        <v>4</v>
      </c>
      <c r="F1064" s="1" t="s">
        <v>48</v>
      </c>
      <c r="G1064">
        <v>2.25</v>
      </c>
      <c r="H1064">
        <v>559</v>
      </c>
      <c r="I1064" s="1" t="s">
        <v>40</v>
      </c>
      <c r="J1064">
        <v>1920</v>
      </c>
      <c r="K1064">
        <v>1080</v>
      </c>
      <c r="L1064" s="1" t="s">
        <v>27</v>
      </c>
      <c r="M1064" s="1" t="s">
        <v>27</v>
      </c>
      <c r="N1064" s="1" t="s">
        <v>27</v>
      </c>
      <c r="O1064" s="1" t="s">
        <v>29</v>
      </c>
      <c r="P1064">
        <v>2.5</v>
      </c>
      <c r="Q1064" s="1" t="s">
        <v>41</v>
      </c>
      <c r="R1064" s="1" t="str">
        <f>_xlfn.CONCAT(laptop[[#This Row],[CPU_company]]," ",laptop[[#This Row],[CPU_model]])</f>
        <v>Intel Core i5 7200U</v>
      </c>
      <c r="S1064">
        <v>1024</v>
      </c>
      <c r="T1064">
        <v>0</v>
      </c>
      <c r="U1064">
        <f>laptop[[#This Row],[PrimaryStorage]]+laptop[[#This Row],[SecondaryStorage]]</f>
        <v>1024</v>
      </c>
      <c r="V1064" s="1" t="s">
        <v>51</v>
      </c>
      <c r="W1064" s="1" t="s">
        <v>27</v>
      </c>
      <c r="X1064" s="1" t="str">
        <f>IF(laptop[[#This Row],[PrimaryStorageType]]=laptop[[#This Row],[SecondaryStorageType]],laptop[[#This Row],[PrimaryStorageType]],"SSD &amp; HDD")</f>
        <v>SSD &amp; HDD</v>
      </c>
      <c r="Y1064" s="1" t="s">
        <v>102</v>
      </c>
    </row>
    <row r="1065" spans="1:25" x14ac:dyDescent="0.25">
      <c r="A1065" s="1" t="s">
        <v>65</v>
      </c>
      <c r="B1065" s="1" t="s">
        <v>200</v>
      </c>
      <c r="C1065" s="1" t="s">
        <v>38</v>
      </c>
      <c r="D1065">
        <v>15.6</v>
      </c>
      <c r="E1065">
        <v>16</v>
      </c>
      <c r="F1065" s="1" t="s">
        <v>48</v>
      </c>
      <c r="G1065">
        <v>2.3199999999999998</v>
      </c>
      <c r="H1065">
        <v>989.99</v>
      </c>
      <c r="I1065" s="1" t="s">
        <v>40</v>
      </c>
      <c r="J1065">
        <v>1920</v>
      </c>
      <c r="K1065">
        <v>1080</v>
      </c>
      <c r="L1065" s="1" t="s">
        <v>27</v>
      </c>
      <c r="M1065" s="1" t="s">
        <v>27</v>
      </c>
      <c r="N1065" s="1" t="s">
        <v>27</v>
      </c>
      <c r="O1065" s="1" t="s">
        <v>29</v>
      </c>
      <c r="P1065">
        <v>2.7</v>
      </c>
      <c r="Q1065" s="1" t="s">
        <v>71</v>
      </c>
      <c r="R1065" s="1" t="str">
        <f>_xlfn.CONCAT(laptop[[#This Row],[CPU_company]]," ",laptop[[#This Row],[CPU_model]])</f>
        <v>Intel Core i7 7500U</v>
      </c>
      <c r="S1065">
        <v>2048</v>
      </c>
      <c r="T1065">
        <v>0</v>
      </c>
      <c r="U1065">
        <f>laptop[[#This Row],[PrimaryStorage]]+laptop[[#This Row],[SecondaryStorage]]</f>
        <v>2048</v>
      </c>
      <c r="V1065" s="1" t="s">
        <v>51</v>
      </c>
      <c r="W1065" s="1" t="s">
        <v>27</v>
      </c>
      <c r="X1065" s="1" t="str">
        <f>IF(laptop[[#This Row],[PrimaryStorageType]]=laptop[[#This Row],[SecondaryStorageType]],laptop[[#This Row],[PrimaryStorageType]],"SSD &amp; HDD")</f>
        <v>SSD &amp; HDD</v>
      </c>
      <c r="Y1065" s="1" t="s">
        <v>201</v>
      </c>
    </row>
    <row r="1066" spans="1:25" x14ac:dyDescent="0.25">
      <c r="A1066" s="1" t="s">
        <v>141</v>
      </c>
      <c r="B1066" s="1" t="s">
        <v>781</v>
      </c>
      <c r="C1066" s="1" t="s">
        <v>83</v>
      </c>
      <c r="D1066">
        <v>15.6</v>
      </c>
      <c r="E1066">
        <v>16</v>
      </c>
      <c r="F1066" s="1" t="s">
        <v>48</v>
      </c>
      <c r="G1066">
        <v>1.8</v>
      </c>
      <c r="H1066">
        <v>1929</v>
      </c>
      <c r="I1066" s="1" t="s">
        <v>40</v>
      </c>
      <c r="J1066">
        <v>1920</v>
      </c>
      <c r="K1066">
        <v>1080</v>
      </c>
      <c r="L1066" s="1" t="s">
        <v>27</v>
      </c>
      <c r="M1066" s="1" t="s">
        <v>27</v>
      </c>
      <c r="N1066" s="1" t="s">
        <v>27</v>
      </c>
      <c r="O1066" s="1" t="s">
        <v>29</v>
      </c>
      <c r="P1066">
        <v>2.6</v>
      </c>
      <c r="Q1066" s="1" t="s">
        <v>447</v>
      </c>
      <c r="R1066" s="1" t="str">
        <f>_xlfn.CONCAT(laptop[[#This Row],[CPU_company]]," ",laptop[[#This Row],[CPU_model]])</f>
        <v>Intel Core i7 6700HQ</v>
      </c>
      <c r="S1066">
        <v>256</v>
      </c>
      <c r="T1066">
        <v>1024</v>
      </c>
      <c r="U1066">
        <f>laptop[[#This Row],[PrimaryStorage]]+laptop[[#This Row],[SecondaryStorage]]</f>
        <v>1280</v>
      </c>
      <c r="V1066" s="1" t="s">
        <v>31</v>
      </c>
      <c r="W1066" s="1" t="s">
        <v>51</v>
      </c>
      <c r="X1066" s="1" t="str">
        <f>IF(laptop[[#This Row],[PrimaryStorageType]]=laptop[[#This Row],[SecondaryStorageType]],laptop[[#This Row],[PrimaryStorageType]],"SSD &amp; HDD")</f>
        <v>SSD &amp; HDD</v>
      </c>
      <c r="Y1066" s="1" t="s">
        <v>119</v>
      </c>
    </row>
    <row r="1067" spans="1:25" x14ac:dyDescent="0.25">
      <c r="A1067" s="1" t="s">
        <v>65</v>
      </c>
      <c r="B1067" s="1" t="s">
        <v>77</v>
      </c>
      <c r="C1067" s="1" t="s">
        <v>24</v>
      </c>
      <c r="D1067">
        <v>13.3</v>
      </c>
      <c r="E1067">
        <v>8</v>
      </c>
      <c r="F1067" s="1" t="s">
        <v>48</v>
      </c>
      <c r="G1067">
        <v>1.29</v>
      </c>
      <c r="H1067">
        <v>1458</v>
      </c>
      <c r="I1067" s="1" t="s">
        <v>40</v>
      </c>
      <c r="J1067">
        <v>1920</v>
      </c>
      <c r="K1067">
        <v>1080</v>
      </c>
      <c r="L1067" s="1" t="s">
        <v>27</v>
      </c>
      <c r="M1067" s="1" t="s">
        <v>27</v>
      </c>
      <c r="N1067" s="1" t="s">
        <v>27</v>
      </c>
      <c r="O1067" s="1" t="s">
        <v>29</v>
      </c>
      <c r="P1067">
        <v>2.7</v>
      </c>
      <c r="Q1067" s="1" t="s">
        <v>71</v>
      </c>
      <c r="R1067" s="1" t="str">
        <f>_xlfn.CONCAT(laptop[[#This Row],[CPU_company]]," ",laptop[[#This Row],[CPU_model]])</f>
        <v>Intel Core i7 7500U</v>
      </c>
      <c r="S1067">
        <v>256</v>
      </c>
      <c r="T1067">
        <v>0</v>
      </c>
      <c r="U1067">
        <f>laptop[[#This Row],[PrimaryStorage]]+laptop[[#This Row],[SecondaryStorage]]</f>
        <v>256</v>
      </c>
      <c r="V1067" s="1" t="s">
        <v>31</v>
      </c>
      <c r="W1067" s="1" t="s">
        <v>27</v>
      </c>
      <c r="X1067" s="1" t="str">
        <f>IF(laptop[[#This Row],[PrimaryStorageType]]=laptop[[#This Row],[SecondaryStorageType]],laptop[[#This Row],[PrimaryStorageType]],"SSD &amp; HDD")</f>
        <v>SSD &amp; HDD</v>
      </c>
      <c r="Y1067" s="1" t="s">
        <v>42</v>
      </c>
    </row>
    <row r="1068" spans="1:25" x14ac:dyDescent="0.25">
      <c r="A1068" s="1" t="s">
        <v>55</v>
      </c>
      <c r="B1068" s="1" t="s">
        <v>782</v>
      </c>
      <c r="C1068" s="1" t="s">
        <v>83</v>
      </c>
      <c r="D1068">
        <v>17.3</v>
      </c>
      <c r="E1068">
        <v>64</v>
      </c>
      <c r="F1068" s="1" t="s">
        <v>48</v>
      </c>
      <c r="G1068">
        <v>3.58</v>
      </c>
      <c r="H1068">
        <v>3975</v>
      </c>
      <c r="I1068" s="1" t="s">
        <v>40</v>
      </c>
      <c r="J1068">
        <v>1920</v>
      </c>
      <c r="K1068">
        <v>1080</v>
      </c>
      <c r="L1068" s="1" t="s">
        <v>27</v>
      </c>
      <c r="M1068" s="1" t="s">
        <v>28</v>
      </c>
      <c r="N1068" s="1" t="s">
        <v>27</v>
      </c>
      <c r="O1068" s="1" t="s">
        <v>29</v>
      </c>
      <c r="P1068">
        <v>2.7</v>
      </c>
      <c r="Q1068" s="1" t="s">
        <v>514</v>
      </c>
      <c r="R1068" s="1" t="str">
        <f>_xlfn.CONCAT(laptop[[#This Row],[CPU_company]]," ",laptop[[#This Row],[CPU_model]])</f>
        <v>Intel Core i7 6820HK</v>
      </c>
      <c r="S1068">
        <v>1024</v>
      </c>
      <c r="T1068">
        <v>0</v>
      </c>
      <c r="U1068">
        <f>laptop[[#This Row],[PrimaryStorage]]+laptop[[#This Row],[SecondaryStorage]]</f>
        <v>1024</v>
      </c>
      <c r="V1068" s="1" t="s">
        <v>31</v>
      </c>
      <c r="W1068" s="1" t="s">
        <v>27</v>
      </c>
      <c r="X1068" s="1" t="str">
        <f>IF(laptop[[#This Row],[PrimaryStorageType]]=laptop[[#This Row],[SecondaryStorageType]],laptop[[#This Row],[PrimaryStorageType]],"SSD &amp; HDD")</f>
        <v>SSD &amp; HDD</v>
      </c>
      <c r="Y1068" s="1" t="s">
        <v>783</v>
      </c>
    </row>
    <row r="1069" spans="1:25" x14ac:dyDescent="0.25">
      <c r="A1069" s="1" t="s">
        <v>65</v>
      </c>
      <c r="B1069" s="1" t="s">
        <v>686</v>
      </c>
      <c r="C1069" s="1" t="s">
        <v>90</v>
      </c>
      <c r="D1069">
        <v>13.3</v>
      </c>
      <c r="E1069">
        <v>8</v>
      </c>
      <c r="F1069" s="1" t="s">
        <v>48</v>
      </c>
      <c r="G1069">
        <v>1.62</v>
      </c>
      <c r="H1069">
        <v>798.01</v>
      </c>
      <c r="I1069" s="1" t="s">
        <v>40</v>
      </c>
      <c r="J1069">
        <v>1920</v>
      </c>
      <c r="K1069">
        <v>1080</v>
      </c>
      <c r="L1069" s="1" t="s">
        <v>28</v>
      </c>
      <c r="M1069" s="1" t="s">
        <v>27</v>
      </c>
      <c r="N1069" s="1" t="s">
        <v>27</v>
      </c>
      <c r="O1069" s="1" t="s">
        <v>29</v>
      </c>
      <c r="P1069">
        <v>2.5</v>
      </c>
      <c r="Q1069" s="1" t="s">
        <v>274</v>
      </c>
      <c r="R1069" s="1" t="str">
        <f>_xlfn.CONCAT(laptop[[#This Row],[CPU_company]]," ",laptop[[#This Row],[CPU_model]])</f>
        <v>Intel Core i7 6500U</v>
      </c>
      <c r="S1069">
        <v>256</v>
      </c>
      <c r="T1069">
        <v>0</v>
      </c>
      <c r="U1069">
        <f>laptop[[#This Row],[PrimaryStorage]]+laptop[[#This Row],[SecondaryStorage]]</f>
        <v>256</v>
      </c>
      <c r="V1069" s="1" t="s">
        <v>31</v>
      </c>
      <c r="W1069" s="1" t="s">
        <v>27</v>
      </c>
      <c r="X1069" s="1" t="str">
        <f>IF(laptop[[#This Row],[PrimaryStorageType]]=laptop[[#This Row],[SecondaryStorageType]],laptop[[#This Row],[PrimaryStorageType]],"SSD &amp; HDD")</f>
        <v>SSD &amp; HDD</v>
      </c>
      <c r="Y1069" s="1" t="s">
        <v>63</v>
      </c>
    </row>
    <row r="1070" spans="1:25" x14ac:dyDescent="0.25">
      <c r="A1070" s="1" t="s">
        <v>65</v>
      </c>
      <c r="B1070" s="1" t="s">
        <v>580</v>
      </c>
      <c r="C1070" s="1" t="s">
        <v>83</v>
      </c>
      <c r="D1070">
        <v>15.6</v>
      </c>
      <c r="E1070">
        <v>16</v>
      </c>
      <c r="F1070" s="1" t="s">
        <v>48</v>
      </c>
      <c r="G1070">
        <v>3.21</v>
      </c>
      <c r="H1070">
        <v>1329</v>
      </c>
      <c r="I1070" s="1" t="s">
        <v>215</v>
      </c>
      <c r="J1070">
        <v>3840</v>
      </c>
      <c r="K1070">
        <v>2160</v>
      </c>
      <c r="L1070" s="1" t="s">
        <v>27</v>
      </c>
      <c r="M1070" s="1" t="s">
        <v>27</v>
      </c>
      <c r="N1070" s="1" t="s">
        <v>27</v>
      </c>
      <c r="O1070" s="1" t="s">
        <v>29</v>
      </c>
      <c r="P1070">
        <v>2.6</v>
      </c>
      <c r="Q1070" s="1" t="s">
        <v>447</v>
      </c>
      <c r="R1070" s="1" t="str">
        <f>_xlfn.CONCAT(laptop[[#This Row],[CPU_company]]," ",laptop[[#This Row],[CPU_model]])</f>
        <v>Intel Core i7 6700HQ</v>
      </c>
      <c r="S1070">
        <v>256</v>
      </c>
      <c r="T1070">
        <v>1024</v>
      </c>
      <c r="U1070">
        <f>laptop[[#This Row],[PrimaryStorage]]+laptop[[#This Row],[SecondaryStorage]]</f>
        <v>1280</v>
      </c>
      <c r="V1070" s="1" t="s">
        <v>31</v>
      </c>
      <c r="W1070" s="1" t="s">
        <v>51</v>
      </c>
      <c r="X1070" s="1" t="str">
        <f>IF(laptop[[#This Row],[PrimaryStorageType]]=laptop[[#This Row],[SecondaryStorageType]],laptop[[#This Row],[PrimaryStorageType]],"SSD &amp; HDD")</f>
        <v>SSD &amp; HDD</v>
      </c>
      <c r="Y1070" s="1" t="s">
        <v>530</v>
      </c>
    </row>
    <row r="1071" spans="1:25" x14ac:dyDescent="0.25">
      <c r="A1071" s="1" t="s">
        <v>22</v>
      </c>
      <c r="B1071" s="1" t="s">
        <v>68</v>
      </c>
      <c r="C1071" s="1" t="s">
        <v>24</v>
      </c>
      <c r="D1071">
        <v>12</v>
      </c>
      <c r="E1071">
        <v>8</v>
      </c>
      <c r="F1071" s="1" t="s">
        <v>53</v>
      </c>
      <c r="G1071">
        <v>0.92</v>
      </c>
      <c r="H1071">
        <v>1300</v>
      </c>
      <c r="I1071" s="1" t="s">
        <v>26</v>
      </c>
      <c r="J1071">
        <v>2304</v>
      </c>
      <c r="K1071">
        <v>1440</v>
      </c>
      <c r="L1071" s="1" t="s">
        <v>27</v>
      </c>
      <c r="M1071" s="1" t="s">
        <v>28</v>
      </c>
      <c r="N1071" s="1" t="s">
        <v>28</v>
      </c>
      <c r="O1071" s="1" t="s">
        <v>29</v>
      </c>
      <c r="P1071">
        <v>1.1000000000000001</v>
      </c>
      <c r="Q1071" s="1" t="s">
        <v>656</v>
      </c>
      <c r="R1071" s="1" t="str">
        <f>_xlfn.CONCAT(laptop[[#This Row],[CPU_company]]," ",laptop[[#This Row],[CPU_model]])</f>
        <v>Intel Core M</v>
      </c>
      <c r="S1071">
        <v>256</v>
      </c>
      <c r="T1071">
        <v>0</v>
      </c>
      <c r="U1071">
        <f>laptop[[#This Row],[PrimaryStorage]]+laptop[[#This Row],[SecondaryStorage]]</f>
        <v>256</v>
      </c>
      <c r="V1071" s="1" t="s">
        <v>34</v>
      </c>
      <c r="W1071" s="1" t="s">
        <v>27</v>
      </c>
      <c r="X1071" s="1" t="str">
        <f>IF(laptop[[#This Row],[PrimaryStorageType]]=laptop[[#This Row],[SecondaryStorageType]],laptop[[#This Row],[PrimaryStorageType]],"SSD &amp; HDD")</f>
        <v>SSD &amp; HDD</v>
      </c>
      <c r="Y1071" s="1" t="s">
        <v>217</v>
      </c>
    </row>
    <row r="1072" spans="1:25" x14ac:dyDescent="0.25">
      <c r="A1072" s="1" t="s">
        <v>65</v>
      </c>
      <c r="B1072" s="1" t="s">
        <v>784</v>
      </c>
      <c r="C1072" s="1" t="s">
        <v>38</v>
      </c>
      <c r="D1072">
        <v>15.6</v>
      </c>
      <c r="E1072">
        <v>4</v>
      </c>
      <c r="F1072" s="1" t="s">
        <v>48</v>
      </c>
      <c r="G1072">
        <v>2.06</v>
      </c>
      <c r="H1072">
        <v>481.98</v>
      </c>
      <c r="I1072" s="1" t="s">
        <v>26</v>
      </c>
      <c r="J1072">
        <v>1366</v>
      </c>
      <c r="K1072">
        <v>768</v>
      </c>
      <c r="L1072" s="1" t="s">
        <v>27</v>
      </c>
      <c r="M1072" s="1" t="s">
        <v>27</v>
      </c>
      <c r="N1072" s="1" t="s">
        <v>27</v>
      </c>
      <c r="O1072" s="1" t="s">
        <v>29</v>
      </c>
      <c r="P1072">
        <v>2.2999999999999998</v>
      </c>
      <c r="Q1072" s="1" t="s">
        <v>450</v>
      </c>
      <c r="R1072" s="1" t="str">
        <f>_xlfn.CONCAT(laptop[[#This Row],[CPU_company]]," ",laptop[[#This Row],[CPU_model]])</f>
        <v>Intel Core i3 6100U</v>
      </c>
      <c r="S1072">
        <v>500</v>
      </c>
      <c r="T1072">
        <v>0</v>
      </c>
      <c r="U1072">
        <f>laptop[[#This Row],[PrimaryStorage]]+laptop[[#This Row],[SecondaryStorage]]</f>
        <v>500</v>
      </c>
      <c r="V1072" s="1" t="s">
        <v>51</v>
      </c>
      <c r="W1072" s="1" t="s">
        <v>27</v>
      </c>
      <c r="X1072" s="1" t="str">
        <f>IF(laptop[[#This Row],[PrimaryStorageType]]=laptop[[#This Row],[SecondaryStorageType]],laptop[[#This Row],[PrimaryStorageType]],"SSD &amp; HDD")</f>
        <v>SSD &amp; HDD</v>
      </c>
      <c r="Y1072" s="1" t="s">
        <v>63</v>
      </c>
    </row>
    <row r="1073" spans="1:25" x14ac:dyDescent="0.25">
      <c r="A1073" s="1" t="s">
        <v>36</v>
      </c>
      <c r="B1073" s="1" t="s">
        <v>407</v>
      </c>
      <c r="C1073" s="1" t="s">
        <v>38</v>
      </c>
      <c r="D1073">
        <v>15.6</v>
      </c>
      <c r="E1073">
        <v>4</v>
      </c>
      <c r="F1073" s="1" t="s">
        <v>48</v>
      </c>
      <c r="G1073">
        <v>2.31</v>
      </c>
      <c r="H1073">
        <v>1199</v>
      </c>
      <c r="I1073" s="1" t="s">
        <v>26</v>
      </c>
      <c r="J1073">
        <v>1366</v>
      </c>
      <c r="K1073">
        <v>768</v>
      </c>
      <c r="L1073" s="1" t="s">
        <v>27</v>
      </c>
      <c r="M1073" s="1" t="s">
        <v>27</v>
      </c>
      <c r="N1073" s="1" t="s">
        <v>27</v>
      </c>
      <c r="O1073" s="1" t="s">
        <v>29</v>
      </c>
      <c r="P1073">
        <v>2.2999999999999998</v>
      </c>
      <c r="Q1073" s="1" t="s">
        <v>212</v>
      </c>
      <c r="R1073" s="1" t="str">
        <f>_xlfn.CONCAT(laptop[[#This Row],[CPU_company]]," ",laptop[[#This Row],[CPU_model]])</f>
        <v>Intel Core i5 6200U</v>
      </c>
      <c r="S1073">
        <v>500</v>
      </c>
      <c r="T1073">
        <v>0</v>
      </c>
      <c r="U1073">
        <f>laptop[[#This Row],[PrimaryStorage]]+laptop[[#This Row],[SecondaryStorage]]</f>
        <v>500</v>
      </c>
      <c r="V1073" s="1" t="s">
        <v>51</v>
      </c>
      <c r="W1073" s="1" t="s">
        <v>27</v>
      </c>
      <c r="X1073" s="1" t="str">
        <f>IF(laptop[[#This Row],[PrimaryStorageType]]=laptop[[#This Row],[SecondaryStorageType]],laptop[[#This Row],[PrimaryStorageType]],"SSD &amp; HDD")</f>
        <v>SSD &amp; HDD</v>
      </c>
      <c r="Y1073" s="1" t="s">
        <v>63</v>
      </c>
    </row>
    <row r="1074" spans="1:25" x14ac:dyDescent="0.25">
      <c r="A1074" s="1" t="s">
        <v>36</v>
      </c>
      <c r="B1074" s="1" t="s">
        <v>639</v>
      </c>
      <c r="C1074" s="1" t="s">
        <v>24</v>
      </c>
      <c r="D1074">
        <v>12.5</v>
      </c>
      <c r="E1074">
        <v>8</v>
      </c>
      <c r="F1074" s="1" t="s">
        <v>480</v>
      </c>
      <c r="G1074">
        <v>1.26</v>
      </c>
      <c r="H1074">
        <v>1199</v>
      </c>
      <c r="I1074" s="1" t="s">
        <v>40</v>
      </c>
      <c r="J1074">
        <v>1920</v>
      </c>
      <c r="K1074">
        <v>1080</v>
      </c>
      <c r="L1074" s="1" t="s">
        <v>27</v>
      </c>
      <c r="M1074" s="1" t="s">
        <v>27</v>
      </c>
      <c r="N1074" s="1" t="s">
        <v>27</v>
      </c>
      <c r="O1074" s="1" t="s">
        <v>29</v>
      </c>
      <c r="P1074">
        <v>2.2999999999999998</v>
      </c>
      <c r="Q1074" s="1" t="s">
        <v>212</v>
      </c>
      <c r="R1074" s="1" t="str">
        <f>_xlfn.CONCAT(laptop[[#This Row],[CPU_company]]," ",laptop[[#This Row],[CPU_model]])</f>
        <v>Intel Core i5 6200U</v>
      </c>
      <c r="S1074">
        <v>256</v>
      </c>
      <c r="T1074">
        <v>0</v>
      </c>
      <c r="U1074">
        <f>laptop[[#This Row],[PrimaryStorage]]+laptop[[#This Row],[SecondaryStorage]]</f>
        <v>256</v>
      </c>
      <c r="V1074" s="1" t="s">
        <v>31</v>
      </c>
      <c r="W1074" s="1" t="s">
        <v>27</v>
      </c>
      <c r="X1074" s="1" t="str">
        <f>IF(laptop[[#This Row],[PrimaryStorageType]]=laptop[[#This Row],[SecondaryStorageType]],laptop[[#This Row],[PrimaryStorageType]],"SSD &amp; HDD")</f>
        <v>SSD &amp; HDD</v>
      </c>
      <c r="Y1074" s="1" t="s">
        <v>63</v>
      </c>
    </row>
    <row r="1075" spans="1:25" x14ac:dyDescent="0.25">
      <c r="A1075" s="1" t="s">
        <v>36</v>
      </c>
      <c r="B1075" s="1" t="s">
        <v>136</v>
      </c>
      <c r="C1075" s="1" t="s">
        <v>38</v>
      </c>
      <c r="D1075">
        <v>13.3</v>
      </c>
      <c r="E1075">
        <v>8</v>
      </c>
      <c r="F1075" s="1" t="s">
        <v>48</v>
      </c>
      <c r="G1075">
        <v>1.49</v>
      </c>
      <c r="H1075">
        <v>1090</v>
      </c>
      <c r="I1075" s="1" t="s">
        <v>40</v>
      </c>
      <c r="J1075">
        <v>1920</v>
      </c>
      <c r="K1075">
        <v>1080</v>
      </c>
      <c r="L1075" s="1" t="s">
        <v>27</v>
      </c>
      <c r="M1075" s="1" t="s">
        <v>27</v>
      </c>
      <c r="N1075" s="1" t="s">
        <v>27</v>
      </c>
      <c r="O1075" s="1" t="s">
        <v>29</v>
      </c>
      <c r="P1075">
        <v>2.7</v>
      </c>
      <c r="Q1075" s="1" t="s">
        <v>71</v>
      </c>
      <c r="R1075" s="1" t="str">
        <f>_xlfn.CONCAT(laptop[[#This Row],[CPU_company]]," ",laptop[[#This Row],[CPU_model]])</f>
        <v>Intel Core i7 7500U</v>
      </c>
      <c r="S1075">
        <v>256</v>
      </c>
      <c r="T1075">
        <v>0</v>
      </c>
      <c r="U1075">
        <f>laptop[[#This Row],[PrimaryStorage]]+laptop[[#This Row],[SecondaryStorage]]</f>
        <v>256</v>
      </c>
      <c r="V1075" s="1" t="s">
        <v>31</v>
      </c>
      <c r="W1075" s="1" t="s">
        <v>27</v>
      </c>
      <c r="X1075" s="1" t="str">
        <f>IF(laptop[[#This Row],[PrimaryStorageType]]=laptop[[#This Row],[SecondaryStorageType]],laptop[[#This Row],[PrimaryStorageType]],"SSD &amp; HDD")</f>
        <v>SSD &amp; HDD</v>
      </c>
      <c r="Y1075" s="1" t="s">
        <v>42</v>
      </c>
    </row>
    <row r="1076" spans="1:25" x14ac:dyDescent="0.25">
      <c r="A1076" s="1" t="s">
        <v>73</v>
      </c>
      <c r="B1076" s="1" t="s">
        <v>190</v>
      </c>
      <c r="C1076" s="1" t="s">
        <v>24</v>
      </c>
      <c r="D1076">
        <v>12.5</v>
      </c>
      <c r="E1076">
        <v>8</v>
      </c>
      <c r="F1076" s="1" t="s">
        <v>48</v>
      </c>
      <c r="G1076">
        <v>1.3</v>
      </c>
      <c r="H1076">
        <v>1713.49</v>
      </c>
      <c r="I1076" s="1" t="s">
        <v>40</v>
      </c>
      <c r="J1076">
        <v>1920</v>
      </c>
      <c r="K1076">
        <v>1080</v>
      </c>
      <c r="L1076" s="1" t="s">
        <v>28</v>
      </c>
      <c r="M1076" s="1" t="s">
        <v>28</v>
      </c>
      <c r="N1076" s="1" t="s">
        <v>27</v>
      </c>
      <c r="O1076" s="1" t="s">
        <v>29</v>
      </c>
      <c r="P1076">
        <v>2.5</v>
      </c>
      <c r="Q1076" s="1" t="s">
        <v>274</v>
      </c>
      <c r="R1076" s="1" t="str">
        <f>_xlfn.CONCAT(laptop[[#This Row],[CPU_company]]," ",laptop[[#This Row],[CPU_model]])</f>
        <v>Intel Core i7 6500U</v>
      </c>
      <c r="S1076">
        <v>256</v>
      </c>
      <c r="T1076">
        <v>0</v>
      </c>
      <c r="U1076">
        <f>laptop[[#This Row],[PrimaryStorage]]+laptop[[#This Row],[SecondaryStorage]]</f>
        <v>256</v>
      </c>
      <c r="V1076" s="1" t="s">
        <v>31</v>
      </c>
      <c r="W1076" s="1" t="s">
        <v>27</v>
      </c>
      <c r="X1076" s="1" t="str">
        <f>IF(laptop[[#This Row],[PrimaryStorageType]]=laptop[[#This Row],[SecondaryStorageType]],laptop[[#This Row],[PrimaryStorageType]],"SSD &amp; HDD")</f>
        <v>SSD &amp; HDD</v>
      </c>
      <c r="Y1076" s="1" t="s">
        <v>63</v>
      </c>
    </row>
    <row r="1077" spans="1:25" x14ac:dyDescent="0.25">
      <c r="A1077" s="1" t="s">
        <v>73</v>
      </c>
      <c r="B1077" s="1" t="s">
        <v>785</v>
      </c>
      <c r="C1077" s="1" t="s">
        <v>38</v>
      </c>
      <c r="D1077">
        <v>17.3</v>
      </c>
      <c r="E1077">
        <v>8</v>
      </c>
      <c r="F1077" s="1" t="s">
        <v>48</v>
      </c>
      <c r="G1077">
        <v>3</v>
      </c>
      <c r="H1077">
        <v>659</v>
      </c>
      <c r="I1077" s="1" t="s">
        <v>26</v>
      </c>
      <c r="J1077">
        <v>1600</v>
      </c>
      <c r="K1077">
        <v>900</v>
      </c>
      <c r="L1077" s="1" t="s">
        <v>27</v>
      </c>
      <c r="M1077" s="1" t="s">
        <v>27</v>
      </c>
      <c r="N1077" s="1" t="s">
        <v>27</v>
      </c>
      <c r="O1077" s="1" t="s">
        <v>29</v>
      </c>
      <c r="P1077">
        <v>2.2999999999999998</v>
      </c>
      <c r="Q1077" s="1" t="s">
        <v>212</v>
      </c>
      <c r="R1077" s="1" t="str">
        <f>_xlfn.CONCAT(laptop[[#This Row],[CPU_company]]," ",laptop[[#This Row],[CPU_model]])</f>
        <v>Intel Core i5 6200U</v>
      </c>
      <c r="S1077">
        <v>1024</v>
      </c>
      <c r="T1077">
        <v>0</v>
      </c>
      <c r="U1077">
        <f>laptop[[#This Row],[PrimaryStorage]]+laptop[[#This Row],[SecondaryStorage]]</f>
        <v>1024</v>
      </c>
      <c r="V1077" s="1" t="s">
        <v>51</v>
      </c>
      <c r="W1077" s="1" t="s">
        <v>27</v>
      </c>
      <c r="X1077" s="1" t="str">
        <f>IF(laptop[[#This Row],[PrimaryStorageType]]=laptop[[#This Row],[SecondaryStorageType]],laptop[[#This Row],[PrimaryStorageType]],"SSD &amp; HDD")</f>
        <v>SSD &amp; HDD</v>
      </c>
      <c r="Y1077" s="1" t="s">
        <v>786</v>
      </c>
    </row>
    <row r="1078" spans="1:25" x14ac:dyDescent="0.25">
      <c r="A1078" s="1" t="s">
        <v>73</v>
      </c>
      <c r="B1078" s="1" t="s">
        <v>787</v>
      </c>
      <c r="C1078" s="1" t="s">
        <v>38</v>
      </c>
      <c r="D1078">
        <v>15.6</v>
      </c>
      <c r="E1078">
        <v>4</v>
      </c>
      <c r="F1078" s="1" t="s">
        <v>48</v>
      </c>
      <c r="G1078">
        <v>2.2999999999999998</v>
      </c>
      <c r="H1078">
        <v>977</v>
      </c>
      <c r="I1078" s="1" t="s">
        <v>40</v>
      </c>
      <c r="J1078">
        <v>1920</v>
      </c>
      <c r="K1078">
        <v>1080</v>
      </c>
      <c r="L1078" s="1" t="s">
        <v>27</v>
      </c>
      <c r="M1078" s="1" t="s">
        <v>28</v>
      </c>
      <c r="N1078" s="1" t="s">
        <v>27</v>
      </c>
      <c r="O1078" s="1" t="s">
        <v>29</v>
      </c>
      <c r="P1078">
        <v>2.2999999999999998</v>
      </c>
      <c r="Q1078" s="1" t="s">
        <v>601</v>
      </c>
      <c r="R1078" s="1" t="str">
        <f>_xlfn.CONCAT(laptop[[#This Row],[CPU_company]]," ",laptop[[#This Row],[CPU_model]])</f>
        <v>Intel Core i5 6300HQ</v>
      </c>
      <c r="S1078">
        <v>1024</v>
      </c>
      <c r="T1078">
        <v>0</v>
      </c>
      <c r="U1078">
        <f>laptop[[#This Row],[PrimaryStorage]]+laptop[[#This Row],[SecondaryStorage]]</f>
        <v>1024</v>
      </c>
      <c r="V1078" s="1" t="s">
        <v>51</v>
      </c>
      <c r="W1078" s="1" t="s">
        <v>27</v>
      </c>
      <c r="X1078" s="1" t="str">
        <f>IF(laptop[[#This Row],[PrimaryStorageType]]=laptop[[#This Row],[SecondaryStorageType]],laptop[[#This Row],[PrimaryStorageType]],"SSD &amp; HDD")</f>
        <v>SSD &amp; HDD</v>
      </c>
      <c r="Y1078" s="1" t="s">
        <v>279</v>
      </c>
    </row>
    <row r="1079" spans="1:25" x14ac:dyDescent="0.25">
      <c r="A1079" s="1" t="s">
        <v>141</v>
      </c>
      <c r="B1079" s="1" t="s">
        <v>788</v>
      </c>
      <c r="C1079" s="1" t="s">
        <v>83</v>
      </c>
      <c r="D1079">
        <v>17.3</v>
      </c>
      <c r="E1079">
        <v>16</v>
      </c>
      <c r="F1079" s="1" t="s">
        <v>48</v>
      </c>
      <c r="G1079">
        <v>3.78</v>
      </c>
      <c r="H1079">
        <v>2499</v>
      </c>
      <c r="I1079" s="1" t="s">
        <v>40</v>
      </c>
      <c r="J1079">
        <v>1920</v>
      </c>
      <c r="K1079">
        <v>1080</v>
      </c>
      <c r="L1079" s="1" t="s">
        <v>27</v>
      </c>
      <c r="M1079" s="1" t="s">
        <v>27</v>
      </c>
      <c r="N1079" s="1" t="s">
        <v>27</v>
      </c>
      <c r="O1079" s="1" t="s">
        <v>29</v>
      </c>
      <c r="P1079">
        <v>2.8</v>
      </c>
      <c r="Q1079" s="1" t="s">
        <v>118</v>
      </c>
      <c r="R1079" s="1" t="str">
        <f>_xlfn.CONCAT(laptop[[#This Row],[CPU_company]]," ",laptop[[#This Row],[CPU_model]])</f>
        <v>Intel Core i7 7700HQ</v>
      </c>
      <c r="S1079">
        <v>256</v>
      </c>
      <c r="T1079">
        <v>1024</v>
      </c>
      <c r="U1079">
        <f>laptop[[#This Row],[PrimaryStorage]]+laptop[[#This Row],[SecondaryStorage]]</f>
        <v>1280</v>
      </c>
      <c r="V1079" s="1" t="s">
        <v>31</v>
      </c>
      <c r="W1079" s="1" t="s">
        <v>51</v>
      </c>
      <c r="X1079" s="1" t="str">
        <f>IF(laptop[[#This Row],[PrimaryStorageType]]=laptop[[#This Row],[SecondaryStorageType]],laptop[[#This Row],[PrimaryStorageType]],"SSD &amp; HDD")</f>
        <v>SSD &amp; HDD</v>
      </c>
      <c r="Y1079" s="1" t="s">
        <v>143</v>
      </c>
    </row>
    <row r="1080" spans="1:25" x14ac:dyDescent="0.25">
      <c r="A1080" s="1" t="s">
        <v>73</v>
      </c>
      <c r="B1080" s="1" t="s">
        <v>789</v>
      </c>
      <c r="C1080" s="1" t="s">
        <v>38</v>
      </c>
      <c r="D1080">
        <v>15.6</v>
      </c>
      <c r="E1080">
        <v>4</v>
      </c>
      <c r="F1080" s="1" t="s">
        <v>48</v>
      </c>
      <c r="G1080">
        <v>2.1</v>
      </c>
      <c r="H1080">
        <v>540</v>
      </c>
      <c r="I1080" s="1" t="s">
        <v>26</v>
      </c>
      <c r="J1080">
        <v>1366</v>
      </c>
      <c r="K1080">
        <v>768</v>
      </c>
      <c r="L1080" s="1" t="s">
        <v>27</v>
      </c>
      <c r="M1080" s="1" t="s">
        <v>27</v>
      </c>
      <c r="N1080" s="1" t="s">
        <v>27</v>
      </c>
      <c r="O1080" s="1" t="s">
        <v>29</v>
      </c>
      <c r="P1080">
        <v>2.2999999999999998</v>
      </c>
      <c r="Q1080" s="1" t="s">
        <v>212</v>
      </c>
      <c r="R1080" s="1" t="str">
        <f>_xlfn.CONCAT(laptop[[#This Row],[CPU_company]]," ",laptop[[#This Row],[CPU_model]])</f>
        <v>Intel Core i5 6200U</v>
      </c>
      <c r="S1080">
        <v>500</v>
      </c>
      <c r="T1080">
        <v>0</v>
      </c>
      <c r="U1080">
        <f>laptop[[#This Row],[PrimaryStorage]]+laptop[[#This Row],[SecondaryStorage]]</f>
        <v>500</v>
      </c>
      <c r="V1080" s="1" t="s">
        <v>51</v>
      </c>
      <c r="W1080" s="1" t="s">
        <v>27</v>
      </c>
      <c r="X1080" s="1" t="str">
        <f>IF(laptop[[#This Row],[PrimaryStorageType]]=laptop[[#This Row],[SecondaryStorageType]],laptop[[#This Row],[PrimaryStorageType]],"SSD &amp; HDD")</f>
        <v>SSD &amp; HDD</v>
      </c>
      <c r="Y1080" s="1" t="s">
        <v>63</v>
      </c>
    </row>
    <row r="1081" spans="1:25" x14ac:dyDescent="0.25">
      <c r="A1081" s="1" t="s">
        <v>36</v>
      </c>
      <c r="B1081" s="1" t="s">
        <v>715</v>
      </c>
      <c r="C1081" s="1" t="s">
        <v>38</v>
      </c>
      <c r="D1081">
        <v>15.6</v>
      </c>
      <c r="E1081">
        <v>4</v>
      </c>
      <c r="F1081" s="1" t="s">
        <v>480</v>
      </c>
      <c r="G1081">
        <v>2.31</v>
      </c>
      <c r="H1081">
        <v>940</v>
      </c>
      <c r="I1081" s="1" t="s">
        <v>40</v>
      </c>
      <c r="J1081">
        <v>1920</v>
      </c>
      <c r="K1081">
        <v>1080</v>
      </c>
      <c r="L1081" s="1" t="s">
        <v>27</v>
      </c>
      <c r="M1081" s="1" t="s">
        <v>27</v>
      </c>
      <c r="N1081" s="1" t="s">
        <v>27</v>
      </c>
      <c r="O1081" s="1" t="s">
        <v>29</v>
      </c>
      <c r="P1081">
        <v>2.2999999999999998</v>
      </c>
      <c r="Q1081" s="1" t="s">
        <v>212</v>
      </c>
      <c r="R1081" s="1" t="str">
        <f>_xlfn.CONCAT(laptop[[#This Row],[CPU_company]]," ",laptop[[#This Row],[CPU_model]])</f>
        <v>Intel Core i5 6200U</v>
      </c>
      <c r="S1081">
        <v>500</v>
      </c>
      <c r="T1081">
        <v>0</v>
      </c>
      <c r="U1081">
        <f>laptop[[#This Row],[PrimaryStorage]]+laptop[[#This Row],[SecondaryStorage]]</f>
        <v>500</v>
      </c>
      <c r="V1081" s="1" t="s">
        <v>51</v>
      </c>
      <c r="W1081" s="1" t="s">
        <v>27</v>
      </c>
      <c r="X1081" s="1" t="str">
        <f>IF(laptop[[#This Row],[PrimaryStorageType]]=laptop[[#This Row],[SecondaryStorageType]],laptop[[#This Row],[PrimaryStorageType]],"SSD &amp; HDD")</f>
        <v>SSD &amp; HDD</v>
      </c>
      <c r="Y1081" s="1" t="s">
        <v>63</v>
      </c>
    </row>
    <row r="1082" spans="1:25" x14ac:dyDescent="0.25">
      <c r="A1082" s="1" t="s">
        <v>73</v>
      </c>
      <c r="B1082" s="1" t="s">
        <v>790</v>
      </c>
      <c r="C1082" s="1" t="s">
        <v>24</v>
      </c>
      <c r="D1082">
        <v>12.5</v>
      </c>
      <c r="E1082">
        <v>8</v>
      </c>
      <c r="F1082" s="1" t="s">
        <v>48</v>
      </c>
      <c r="G1082">
        <v>0.99</v>
      </c>
      <c r="H1082">
        <v>1399</v>
      </c>
      <c r="I1082" s="1" t="s">
        <v>26</v>
      </c>
      <c r="J1082">
        <v>2560</v>
      </c>
      <c r="K1082">
        <v>1440</v>
      </c>
      <c r="L1082" s="1" t="s">
        <v>28</v>
      </c>
      <c r="M1082" s="1" t="s">
        <v>28</v>
      </c>
      <c r="N1082" s="1" t="s">
        <v>27</v>
      </c>
      <c r="O1082" s="1" t="s">
        <v>29</v>
      </c>
      <c r="P1082">
        <v>1.2</v>
      </c>
      <c r="Q1082" s="1" t="s">
        <v>216</v>
      </c>
      <c r="R1082" s="1" t="str">
        <f>_xlfn.CONCAT(laptop[[#This Row],[CPU_company]]," ",laptop[[#This Row],[CPU_model]])</f>
        <v>Intel Core M 6Y75</v>
      </c>
      <c r="S1082">
        <v>512</v>
      </c>
      <c r="T1082">
        <v>0</v>
      </c>
      <c r="U1082">
        <f>laptop[[#This Row],[PrimaryStorage]]+laptop[[#This Row],[SecondaryStorage]]</f>
        <v>512</v>
      </c>
      <c r="V1082" s="1" t="s">
        <v>31</v>
      </c>
      <c r="W1082" s="1" t="s">
        <v>27</v>
      </c>
      <c r="X1082" s="1" t="str">
        <f>IF(laptop[[#This Row],[PrimaryStorageType]]=laptop[[#This Row],[SecondaryStorageType]],laptop[[#This Row],[PrimaryStorageType]],"SSD &amp; HDD")</f>
        <v>SSD &amp; HDD</v>
      </c>
      <c r="Y1082" s="1" t="s">
        <v>217</v>
      </c>
    </row>
    <row r="1083" spans="1:25" x14ac:dyDescent="0.25">
      <c r="A1083" s="1" t="s">
        <v>73</v>
      </c>
      <c r="B1083" s="1" t="s">
        <v>772</v>
      </c>
      <c r="C1083" s="1" t="s">
        <v>83</v>
      </c>
      <c r="D1083">
        <v>17.3</v>
      </c>
      <c r="E1083">
        <v>32</v>
      </c>
      <c r="F1083" s="1" t="s">
        <v>48</v>
      </c>
      <c r="G1083">
        <v>4.5999999999999996</v>
      </c>
      <c r="H1083">
        <v>3240</v>
      </c>
      <c r="I1083" s="1" t="s">
        <v>40</v>
      </c>
      <c r="J1083">
        <v>1920</v>
      </c>
      <c r="K1083">
        <v>1080</v>
      </c>
      <c r="L1083" s="1" t="s">
        <v>27</v>
      </c>
      <c r="M1083" s="1" t="s">
        <v>28</v>
      </c>
      <c r="N1083" s="1" t="s">
        <v>27</v>
      </c>
      <c r="O1083" s="1" t="s">
        <v>29</v>
      </c>
      <c r="P1083">
        <v>2.7</v>
      </c>
      <c r="Q1083" s="1" t="s">
        <v>514</v>
      </c>
      <c r="R1083" s="1" t="str">
        <f>_xlfn.CONCAT(laptop[[#This Row],[CPU_company]]," ",laptop[[#This Row],[CPU_model]])</f>
        <v>Intel Core i7 6820HK</v>
      </c>
      <c r="S1083">
        <v>512</v>
      </c>
      <c r="T1083">
        <v>1024</v>
      </c>
      <c r="U1083">
        <f>laptop[[#This Row],[PrimaryStorage]]+laptop[[#This Row],[SecondaryStorage]]</f>
        <v>1536</v>
      </c>
      <c r="V1083" s="1" t="s">
        <v>31</v>
      </c>
      <c r="W1083" s="1" t="s">
        <v>223</v>
      </c>
      <c r="X1083" s="1" t="str">
        <f>IF(laptop[[#This Row],[PrimaryStorageType]]=laptop[[#This Row],[SecondaryStorageType]],laptop[[#This Row],[PrimaryStorageType]],"SSD &amp; HDD")</f>
        <v>SSD &amp; HDD</v>
      </c>
      <c r="Y1083" s="1" t="s">
        <v>297</v>
      </c>
    </row>
    <row r="1084" spans="1:25" x14ac:dyDescent="0.25">
      <c r="A1084" s="1" t="s">
        <v>73</v>
      </c>
      <c r="B1084" s="1" t="s">
        <v>132</v>
      </c>
      <c r="C1084" s="1" t="s">
        <v>90</v>
      </c>
      <c r="D1084">
        <v>10.1</v>
      </c>
      <c r="E1084">
        <v>4</v>
      </c>
      <c r="F1084" s="1" t="s">
        <v>48</v>
      </c>
      <c r="G1084">
        <v>0.69</v>
      </c>
      <c r="H1084">
        <v>646.27</v>
      </c>
      <c r="I1084" s="1" t="s">
        <v>26</v>
      </c>
      <c r="J1084">
        <v>1920</v>
      </c>
      <c r="K1084">
        <v>1200</v>
      </c>
      <c r="L1084" s="1" t="s">
        <v>28</v>
      </c>
      <c r="M1084" s="1" t="s">
        <v>28</v>
      </c>
      <c r="N1084" s="1" t="s">
        <v>27</v>
      </c>
      <c r="O1084" s="1" t="s">
        <v>29</v>
      </c>
      <c r="P1084">
        <v>1.44</v>
      </c>
      <c r="Q1084" s="1" t="s">
        <v>134</v>
      </c>
      <c r="R1084" s="1" t="str">
        <f>_xlfn.CONCAT(laptop[[#This Row],[CPU_company]]," ",laptop[[#This Row],[CPU_model]])</f>
        <v>Intel Atom x5-Z8550</v>
      </c>
      <c r="S1084">
        <v>64</v>
      </c>
      <c r="T1084">
        <v>0</v>
      </c>
      <c r="U1084">
        <f>laptop[[#This Row],[PrimaryStorage]]+laptop[[#This Row],[SecondaryStorage]]</f>
        <v>64</v>
      </c>
      <c r="V1084" s="1" t="s">
        <v>34</v>
      </c>
      <c r="W1084" s="1" t="s">
        <v>27</v>
      </c>
      <c r="X1084" s="1" t="str">
        <f>IF(laptop[[#This Row],[PrimaryStorageType]]=laptop[[#This Row],[SecondaryStorageType]],laptop[[#This Row],[PrimaryStorageType]],"SSD &amp; HDD")</f>
        <v>SSD &amp; HDD</v>
      </c>
      <c r="Y1084" s="1" t="s">
        <v>81</v>
      </c>
    </row>
    <row r="1085" spans="1:25" x14ac:dyDescent="0.25">
      <c r="A1085" s="1" t="s">
        <v>36</v>
      </c>
      <c r="B1085" s="1" t="s">
        <v>192</v>
      </c>
      <c r="C1085" s="1" t="s">
        <v>24</v>
      </c>
      <c r="D1085">
        <v>13.3</v>
      </c>
      <c r="E1085">
        <v>16</v>
      </c>
      <c r="F1085" s="1" t="s">
        <v>48</v>
      </c>
      <c r="G1085">
        <v>1.3</v>
      </c>
      <c r="H1085">
        <v>2049</v>
      </c>
      <c r="I1085" s="1" t="s">
        <v>215</v>
      </c>
      <c r="J1085">
        <v>3840</v>
      </c>
      <c r="K1085">
        <v>2160</v>
      </c>
      <c r="L1085" s="1" t="s">
        <v>27</v>
      </c>
      <c r="M1085" s="1" t="s">
        <v>28</v>
      </c>
      <c r="N1085" s="1" t="s">
        <v>27</v>
      </c>
      <c r="O1085" s="1" t="s">
        <v>29</v>
      </c>
      <c r="P1085">
        <v>2.7</v>
      </c>
      <c r="Q1085" s="1" t="s">
        <v>71</v>
      </c>
      <c r="R1085" s="1" t="str">
        <f>_xlfn.CONCAT(laptop[[#This Row],[CPU_company]]," ",laptop[[#This Row],[CPU_model]])</f>
        <v>Intel Core i7 7500U</v>
      </c>
      <c r="S1085">
        <v>512</v>
      </c>
      <c r="T1085">
        <v>0</v>
      </c>
      <c r="U1085">
        <f>laptop[[#This Row],[PrimaryStorage]]+laptop[[#This Row],[SecondaryStorage]]</f>
        <v>512</v>
      </c>
      <c r="V1085" s="1" t="s">
        <v>31</v>
      </c>
      <c r="W1085" s="1" t="s">
        <v>27</v>
      </c>
      <c r="X1085" s="1" t="str">
        <f>IF(laptop[[#This Row],[PrimaryStorageType]]=laptop[[#This Row],[SecondaryStorageType]],laptop[[#This Row],[PrimaryStorageType]],"SSD &amp; HDD")</f>
        <v>SSD &amp; HDD</v>
      </c>
      <c r="Y1085" s="1" t="s">
        <v>42</v>
      </c>
    </row>
    <row r="1086" spans="1:25" x14ac:dyDescent="0.25">
      <c r="A1086" s="1" t="s">
        <v>65</v>
      </c>
      <c r="B1086" s="1" t="s">
        <v>305</v>
      </c>
      <c r="C1086" s="1" t="s">
        <v>38</v>
      </c>
      <c r="D1086">
        <v>15.6</v>
      </c>
      <c r="E1086">
        <v>8</v>
      </c>
      <c r="F1086" s="1" t="s">
        <v>48</v>
      </c>
      <c r="G1086">
        <v>2.1800000000000002</v>
      </c>
      <c r="H1086">
        <v>750</v>
      </c>
      <c r="I1086" s="1" t="s">
        <v>40</v>
      </c>
      <c r="J1086">
        <v>1920</v>
      </c>
      <c r="K1086">
        <v>1080</v>
      </c>
      <c r="L1086" s="1" t="s">
        <v>27</v>
      </c>
      <c r="M1086" s="1" t="s">
        <v>27</v>
      </c>
      <c r="N1086" s="1" t="s">
        <v>27</v>
      </c>
      <c r="O1086" s="1" t="s">
        <v>29</v>
      </c>
      <c r="P1086">
        <v>2.5</v>
      </c>
      <c r="Q1086" s="1" t="s">
        <v>41</v>
      </c>
      <c r="R1086" s="1" t="str">
        <f>_xlfn.CONCAT(laptop[[#This Row],[CPU_company]]," ",laptop[[#This Row],[CPU_model]])</f>
        <v>Intel Core i5 7200U</v>
      </c>
      <c r="S1086">
        <v>256</v>
      </c>
      <c r="T1086">
        <v>0</v>
      </c>
      <c r="U1086">
        <f>laptop[[#This Row],[PrimaryStorage]]+laptop[[#This Row],[SecondaryStorage]]</f>
        <v>256</v>
      </c>
      <c r="V1086" s="1" t="s">
        <v>31</v>
      </c>
      <c r="W1086" s="1" t="s">
        <v>27</v>
      </c>
      <c r="X1086" s="1" t="str">
        <f>IF(laptop[[#This Row],[PrimaryStorageType]]=laptop[[#This Row],[SecondaryStorageType]],laptop[[#This Row],[PrimaryStorageType]],"SSD &amp; HDD")</f>
        <v>SSD &amp; HDD</v>
      </c>
      <c r="Y1086" s="1" t="s">
        <v>42</v>
      </c>
    </row>
    <row r="1087" spans="1:25" x14ac:dyDescent="0.25">
      <c r="A1087" s="1" t="s">
        <v>36</v>
      </c>
      <c r="B1087" s="1" t="s">
        <v>226</v>
      </c>
      <c r="C1087" s="1" t="s">
        <v>38</v>
      </c>
      <c r="D1087">
        <v>14</v>
      </c>
      <c r="E1087">
        <v>4</v>
      </c>
      <c r="F1087" s="1" t="s">
        <v>480</v>
      </c>
      <c r="G1087">
        <v>1.54</v>
      </c>
      <c r="H1087">
        <v>1030.99</v>
      </c>
      <c r="I1087" s="1" t="s">
        <v>40</v>
      </c>
      <c r="J1087">
        <v>1920</v>
      </c>
      <c r="K1087">
        <v>1080</v>
      </c>
      <c r="L1087" s="1" t="s">
        <v>27</v>
      </c>
      <c r="M1087" s="1" t="s">
        <v>27</v>
      </c>
      <c r="N1087" s="1" t="s">
        <v>27</v>
      </c>
      <c r="O1087" s="1" t="s">
        <v>29</v>
      </c>
      <c r="P1087">
        <v>2.2999999999999998</v>
      </c>
      <c r="Q1087" s="1" t="s">
        <v>212</v>
      </c>
      <c r="R1087" s="1" t="str">
        <f>_xlfn.CONCAT(laptop[[#This Row],[CPU_company]]," ",laptop[[#This Row],[CPU_model]])</f>
        <v>Intel Core i5 6200U</v>
      </c>
      <c r="S1087">
        <v>500</v>
      </c>
      <c r="T1087">
        <v>0</v>
      </c>
      <c r="U1087">
        <f>laptop[[#This Row],[PrimaryStorage]]+laptop[[#This Row],[SecondaryStorage]]</f>
        <v>500</v>
      </c>
      <c r="V1087" s="1" t="s">
        <v>51</v>
      </c>
      <c r="W1087" s="1" t="s">
        <v>27</v>
      </c>
      <c r="X1087" s="1" t="str">
        <f>IF(laptop[[#This Row],[PrimaryStorageType]]=laptop[[#This Row],[SecondaryStorageType]],laptop[[#This Row],[PrimaryStorageType]],"SSD &amp; HDD")</f>
        <v>SSD &amp; HDD</v>
      </c>
      <c r="Y1087" s="1" t="s">
        <v>63</v>
      </c>
    </row>
    <row r="1088" spans="1:25" x14ac:dyDescent="0.25">
      <c r="A1088" s="1" t="s">
        <v>36</v>
      </c>
      <c r="B1088" s="1" t="s">
        <v>280</v>
      </c>
      <c r="C1088" s="1" t="s">
        <v>265</v>
      </c>
      <c r="D1088">
        <v>15.6</v>
      </c>
      <c r="E1088">
        <v>8</v>
      </c>
      <c r="F1088" s="1" t="s">
        <v>480</v>
      </c>
      <c r="G1088">
        <v>1.9</v>
      </c>
      <c r="H1088">
        <v>1495</v>
      </c>
      <c r="I1088" s="1" t="s">
        <v>40</v>
      </c>
      <c r="J1088">
        <v>1920</v>
      </c>
      <c r="K1088">
        <v>1080</v>
      </c>
      <c r="L1088" s="1" t="s">
        <v>27</v>
      </c>
      <c r="M1088" s="1" t="s">
        <v>27</v>
      </c>
      <c r="N1088" s="1" t="s">
        <v>27</v>
      </c>
      <c r="O1088" s="1" t="s">
        <v>29</v>
      </c>
      <c r="P1088">
        <v>2.5</v>
      </c>
      <c r="Q1088" s="1" t="s">
        <v>274</v>
      </c>
      <c r="R1088" s="1" t="str">
        <f>_xlfn.CONCAT(laptop[[#This Row],[CPU_company]]," ",laptop[[#This Row],[CPU_model]])</f>
        <v>Intel Core i7 6500U</v>
      </c>
      <c r="S1088">
        <v>256</v>
      </c>
      <c r="T1088">
        <v>0</v>
      </c>
      <c r="U1088">
        <f>laptop[[#This Row],[PrimaryStorage]]+laptop[[#This Row],[SecondaryStorage]]</f>
        <v>256</v>
      </c>
      <c r="V1088" s="1" t="s">
        <v>31</v>
      </c>
      <c r="W1088" s="1" t="s">
        <v>27</v>
      </c>
      <c r="X1088" s="1" t="str">
        <f>IF(laptop[[#This Row],[PrimaryStorageType]]=laptop[[#This Row],[SecondaryStorageType]],laptop[[#This Row],[PrimaryStorageType]],"SSD &amp; HDD")</f>
        <v>SSD &amp; HDD</v>
      </c>
      <c r="Y1088" s="1" t="s">
        <v>791</v>
      </c>
    </row>
    <row r="1089" spans="1:25" x14ac:dyDescent="0.25">
      <c r="A1089" s="1" t="s">
        <v>73</v>
      </c>
      <c r="B1089" s="1" t="s">
        <v>738</v>
      </c>
      <c r="C1089" s="1" t="s">
        <v>38</v>
      </c>
      <c r="D1089">
        <v>14</v>
      </c>
      <c r="E1089">
        <v>8</v>
      </c>
      <c r="F1089" s="1" t="s">
        <v>480</v>
      </c>
      <c r="G1089">
        <v>1.7</v>
      </c>
      <c r="H1089">
        <v>1199</v>
      </c>
      <c r="I1089" s="1" t="s">
        <v>40</v>
      </c>
      <c r="J1089">
        <v>1920</v>
      </c>
      <c r="K1089">
        <v>1080</v>
      </c>
      <c r="L1089" s="1" t="s">
        <v>27</v>
      </c>
      <c r="M1089" s="1" t="s">
        <v>27</v>
      </c>
      <c r="N1089" s="1" t="s">
        <v>27</v>
      </c>
      <c r="O1089" s="1" t="s">
        <v>29</v>
      </c>
      <c r="P1089">
        <v>2.2999999999999998</v>
      </c>
      <c r="Q1089" s="1" t="s">
        <v>212</v>
      </c>
      <c r="R1089" s="1" t="str">
        <f>_xlfn.CONCAT(laptop[[#This Row],[CPU_company]]," ",laptop[[#This Row],[CPU_model]])</f>
        <v>Intel Core i5 6200U</v>
      </c>
      <c r="S1089">
        <v>180</v>
      </c>
      <c r="T1089">
        <v>0</v>
      </c>
      <c r="U1089">
        <f>laptop[[#This Row],[PrimaryStorage]]+laptop[[#This Row],[SecondaryStorage]]</f>
        <v>180</v>
      </c>
      <c r="V1089" s="1" t="s">
        <v>31</v>
      </c>
      <c r="W1089" s="1" t="s">
        <v>27</v>
      </c>
      <c r="X1089" s="1" t="str">
        <f>IF(laptop[[#This Row],[PrimaryStorageType]]=laptop[[#This Row],[SecondaryStorageType]],laptop[[#This Row],[PrimaryStorageType]],"SSD &amp; HDD")</f>
        <v>SSD &amp; HDD</v>
      </c>
      <c r="Y1089" s="1" t="s">
        <v>63</v>
      </c>
    </row>
    <row r="1090" spans="1:25" x14ac:dyDescent="0.25">
      <c r="A1090" s="1" t="s">
        <v>36</v>
      </c>
      <c r="B1090" s="1" t="s">
        <v>792</v>
      </c>
      <c r="C1090" s="1" t="s">
        <v>38</v>
      </c>
      <c r="D1090">
        <v>13.3</v>
      </c>
      <c r="E1090">
        <v>4</v>
      </c>
      <c r="F1090" s="1" t="s">
        <v>317</v>
      </c>
      <c r="G1090">
        <v>1.29</v>
      </c>
      <c r="H1090">
        <v>615</v>
      </c>
      <c r="I1090" s="1" t="s">
        <v>107</v>
      </c>
      <c r="J1090">
        <v>3200</v>
      </c>
      <c r="K1090">
        <v>1800</v>
      </c>
      <c r="L1090" s="1" t="s">
        <v>27</v>
      </c>
      <c r="M1090" s="1" t="s">
        <v>27</v>
      </c>
      <c r="N1090" s="1" t="s">
        <v>27</v>
      </c>
      <c r="O1090" s="1" t="s">
        <v>29</v>
      </c>
      <c r="P1090">
        <v>1.5</v>
      </c>
      <c r="Q1090" s="1" t="s">
        <v>793</v>
      </c>
      <c r="R1090" s="1" t="str">
        <f>_xlfn.CONCAT(laptop[[#This Row],[CPU_company]]," ",laptop[[#This Row],[CPU_model]])</f>
        <v>Intel Pentium Dual Core 4405Y</v>
      </c>
      <c r="S1090">
        <v>32</v>
      </c>
      <c r="T1090">
        <v>0</v>
      </c>
      <c r="U1090">
        <f>laptop[[#This Row],[PrimaryStorage]]+laptop[[#This Row],[SecondaryStorage]]</f>
        <v>32</v>
      </c>
      <c r="V1090" s="1" t="s">
        <v>34</v>
      </c>
      <c r="W1090" s="1" t="s">
        <v>27</v>
      </c>
      <c r="X1090" s="1" t="str">
        <f>IF(laptop[[#This Row],[PrimaryStorageType]]=laptop[[#This Row],[SecondaryStorageType]],laptop[[#This Row],[PrimaryStorageType]],"SSD &amp; HDD")</f>
        <v>SSD &amp; HDD</v>
      </c>
      <c r="Y1090" s="1" t="s">
        <v>217</v>
      </c>
    </row>
    <row r="1091" spans="1:25" x14ac:dyDescent="0.25">
      <c r="A1091" s="1" t="s">
        <v>46</v>
      </c>
      <c r="B1091" s="1" t="s">
        <v>777</v>
      </c>
      <c r="C1091" s="1" t="s">
        <v>38</v>
      </c>
      <c r="D1091">
        <v>15.6</v>
      </c>
      <c r="E1091">
        <v>4</v>
      </c>
      <c r="F1091" s="1" t="s">
        <v>48</v>
      </c>
      <c r="G1091">
        <v>2.4</v>
      </c>
      <c r="H1091">
        <v>387</v>
      </c>
      <c r="I1091" s="1" t="s">
        <v>26</v>
      </c>
      <c r="J1091">
        <v>1366</v>
      </c>
      <c r="K1091">
        <v>768</v>
      </c>
      <c r="L1091" s="1" t="s">
        <v>27</v>
      </c>
      <c r="M1091" s="1" t="s">
        <v>27</v>
      </c>
      <c r="N1091" s="1" t="s">
        <v>27</v>
      </c>
      <c r="O1091" s="1" t="s">
        <v>49</v>
      </c>
      <c r="P1091">
        <v>2.2000000000000002</v>
      </c>
      <c r="Q1091" s="1" t="s">
        <v>339</v>
      </c>
      <c r="R1091" s="1" t="str">
        <f>_xlfn.CONCAT(laptop[[#This Row],[CPU_company]]," ",laptop[[#This Row],[CPU_model]])</f>
        <v>AMD A8-Series 7410</v>
      </c>
      <c r="S1091">
        <v>500</v>
      </c>
      <c r="T1091">
        <v>0</v>
      </c>
      <c r="U1091">
        <f>laptop[[#This Row],[PrimaryStorage]]+laptop[[#This Row],[SecondaryStorage]]</f>
        <v>500</v>
      </c>
      <c r="V1091" s="1" t="s">
        <v>51</v>
      </c>
      <c r="W1091" s="1" t="s">
        <v>27</v>
      </c>
      <c r="X1091" s="1" t="str">
        <f>IF(laptop[[#This Row],[PrimaryStorageType]]=laptop[[#This Row],[SecondaryStorageType]],laptop[[#This Row],[PrimaryStorageType]],"SSD &amp; HDD")</f>
        <v>SSD &amp; HDD</v>
      </c>
      <c r="Y1091" s="1" t="s">
        <v>52</v>
      </c>
    </row>
    <row r="1092" spans="1:25" x14ac:dyDescent="0.25">
      <c r="A1092" s="1" t="s">
        <v>65</v>
      </c>
      <c r="B1092" s="1" t="s">
        <v>361</v>
      </c>
      <c r="C1092" s="1" t="s">
        <v>38</v>
      </c>
      <c r="D1092">
        <v>15.6</v>
      </c>
      <c r="E1092">
        <v>4</v>
      </c>
      <c r="F1092" s="1" t="s">
        <v>111</v>
      </c>
      <c r="G1092">
        <v>2.2000000000000002</v>
      </c>
      <c r="H1092">
        <v>393.49</v>
      </c>
      <c r="I1092" s="1" t="s">
        <v>26</v>
      </c>
      <c r="J1092">
        <v>1366</v>
      </c>
      <c r="K1092">
        <v>768</v>
      </c>
      <c r="L1092" s="1" t="s">
        <v>27</v>
      </c>
      <c r="M1092" s="1" t="s">
        <v>27</v>
      </c>
      <c r="N1092" s="1" t="s">
        <v>27</v>
      </c>
      <c r="O1092" s="1" t="s">
        <v>29</v>
      </c>
      <c r="P1092">
        <v>1.6</v>
      </c>
      <c r="Q1092" s="1" t="s">
        <v>794</v>
      </c>
      <c r="R1092" s="1" t="str">
        <f>_xlfn.CONCAT(laptop[[#This Row],[CPU_company]]," ",laptop[[#This Row],[CPU_model]])</f>
        <v>Intel Pentium Quad Core N3700</v>
      </c>
      <c r="S1092">
        <v>500</v>
      </c>
      <c r="T1092">
        <v>0</v>
      </c>
      <c r="U1092">
        <f>laptop[[#This Row],[PrimaryStorage]]+laptop[[#This Row],[SecondaryStorage]]</f>
        <v>500</v>
      </c>
      <c r="V1092" s="1" t="s">
        <v>51</v>
      </c>
      <c r="W1092" s="1" t="s">
        <v>27</v>
      </c>
      <c r="X1092" s="1" t="str">
        <f>IF(laptop[[#This Row],[PrimaryStorageType]]=laptop[[#This Row],[SecondaryStorageType]],laptop[[#This Row],[PrimaryStorageType]],"SSD &amp; HDD")</f>
        <v>SSD &amp; HDD</v>
      </c>
      <c r="Y1092" s="1" t="s">
        <v>102</v>
      </c>
    </row>
    <row r="1093" spans="1:25" x14ac:dyDescent="0.25">
      <c r="A1093" s="1" t="s">
        <v>36</v>
      </c>
      <c r="B1093" s="1" t="s">
        <v>37</v>
      </c>
      <c r="C1093" s="1" t="s">
        <v>38</v>
      </c>
      <c r="D1093">
        <v>15.6</v>
      </c>
      <c r="E1093">
        <v>4</v>
      </c>
      <c r="F1093" s="1" t="s">
        <v>39</v>
      </c>
      <c r="G1093">
        <v>1.86</v>
      </c>
      <c r="H1093">
        <v>345.99</v>
      </c>
      <c r="I1093" s="1" t="s">
        <v>26</v>
      </c>
      <c r="J1093">
        <v>1366</v>
      </c>
      <c r="K1093">
        <v>768</v>
      </c>
      <c r="L1093" s="1" t="s">
        <v>27</v>
      </c>
      <c r="M1093" s="1" t="s">
        <v>27</v>
      </c>
      <c r="N1093" s="1" t="s">
        <v>27</v>
      </c>
      <c r="O1093" s="1" t="s">
        <v>29</v>
      </c>
      <c r="P1093">
        <v>2</v>
      </c>
      <c r="Q1093" s="1" t="s">
        <v>62</v>
      </c>
      <c r="R1093" s="1" t="str">
        <f>_xlfn.CONCAT(laptop[[#This Row],[CPU_company]]," ",laptop[[#This Row],[CPU_model]])</f>
        <v>Intel Core i3 6006U</v>
      </c>
      <c r="S1093">
        <v>1024</v>
      </c>
      <c r="T1093">
        <v>0</v>
      </c>
      <c r="U1093">
        <f>laptop[[#This Row],[PrimaryStorage]]+laptop[[#This Row],[SecondaryStorage]]</f>
        <v>1024</v>
      </c>
      <c r="V1093" s="1" t="s">
        <v>51</v>
      </c>
      <c r="W1093" s="1" t="s">
        <v>27</v>
      </c>
      <c r="X1093" s="1" t="str">
        <f>IF(laptop[[#This Row],[PrimaryStorageType]]=laptop[[#This Row],[SecondaryStorageType]],laptop[[#This Row],[PrimaryStorageType]],"SSD &amp; HDD")</f>
        <v>SSD &amp; HDD</v>
      </c>
      <c r="Y1093" s="1" t="s">
        <v>63</v>
      </c>
    </row>
    <row r="1094" spans="1:25" x14ac:dyDescent="0.25">
      <c r="A1094" s="1" t="s">
        <v>55</v>
      </c>
      <c r="B1094" s="1" t="s">
        <v>795</v>
      </c>
      <c r="C1094" s="1" t="s">
        <v>83</v>
      </c>
      <c r="D1094">
        <v>17.3</v>
      </c>
      <c r="E1094">
        <v>8</v>
      </c>
      <c r="F1094" s="1" t="s">
        <v>48</v>
      </c>
      <c r="G1094">
        <v>2.7</v>
      </c>
      <c r="H1094">
        <v>1599</v>
      </c>
      <c r="I1094" s="1" t="s">
        <v>40</v>
      </c>
      <c r="J1094">
        <v>1920</v>
      </c>
      <c r="K1094">
        <v>1080</v>
      </c>
      <c r="L1094" s="1" t="s">
        <v>27</v>
      </c>
      <c r="M1094" s="1" t="s">
        <v>28</v>
      </c>
      <c r="N1094" s="1" t="s">
        <v>27</v>
      </c>
      <c r="O1094" s="1" t="s">
        <v>29</v>
      </c>
      <c r="P1094">
        <v>2.8</v>
      </c>
      <c r="Q1094" s="1" t="s">
        <v>118</v>
      </c>
      <c r="R1094" s="1" t="str">
        <f>_xlfn.CONCAT(laptop[[#This Row],[CPU_company]]," ",laptop[[#This Row],[CPU_model]])</f>
        <v>Intel Core i7 7700HQ</v>
      </c>
      <c r="S1094">
        <v>256</v>
      </c>
      <c r="T1094">
        <v>1024</v>
      </c>
      <c r="U1094">
        <f>laptop[[#This Row],[PrimaryStorage]]+laptop[[#This Row],[SecondaryStorage]]</f>
        <v>1280</v>
      </c>
      <c r="V1094" s="1" t="s">
        <v>31</v>
      </c>
      <c r="W1094" s="1" t="s">
        <v>51</v>
      </c>
      <c r="X1094" s="1" t="str">
        <f>IF(laptop[[#This Row],[PrimaryStorageType]]=laptop[[#This Row],[SecondaryStorageType]],laptop[[#This Row],[PrimaryStorageType]],"SSD &amp; HDD")</f>
        <v>SSD &amp; HDD</v>
      </c>
      <c r="Y1094" s="1" t="s">
        <v>119</v>
      </c>
    </row>
    <row r="1095" spans="1:25" x14ac:dyDescent="0.25">
      <c r="A1095" s="1" t="s">
        <v>65</v>
      </c>
      <c r="B1095" s="1" t="s">
        <v>157</v>
      </c>
      <c r="C1095" s="1" t="s">
        <v>24</v>
      </c>
      <c r="D1095">
        <v>13.3</v>
      </c>
      <c r="E1095">
        <v>4</v>
      </c>
      <c r="F1095" s="1" t="s">
        <v>48</v>
      </c>
      <c r="G1095">
        <v>1.4</v>
      </c>
      <c r="H1095">
        <v>818.35</v>
      </c>
      <c r="I1095" s="1" t="s">
        <v>40</v>
      </c>
      <c r="J1095">
        <v>1920</v>
      </c>
      <c r="K1095">
        <v>1080</v>
      </c>
      <c r="L1095" s="1" t="s">
        <v>27</v>
      </c>
      <c r="M1095" s="1" t="s">
        <v>28</v>
      </c>
      <c r="N1095" s="1" t="s">
        <v>27</v>
      </c>
      <c r="O1095" s="1" t="s">
        <v>29</v>
      </c>
      <c r="P1095">
        <v>1.6</v>
      </c>
      <c r="Q1095" s="1" t="s">
        <v>60</v>
      </c>
      <c r="R1095" s="1" t="str">
        <f>_xlfn.CONCAT(laptop[[#This Row],[CPU_company]]," ",laptop[[#This Row],[CPU_model]])</f>
        <v>Intel Core i5 8250U</v>
      </c>
      <c r="S1095">
        <v>256</v>
      </c>
      <c r="T1095">
        <v>0</v>
      </c>
      <c r="U1095">
        <f>laptop[[#This Row],[PrimaryStorage]]+laptop[[#This Row],[SecondaryStorage]]</f>
        <v>256</v>
      </c>
      <c r="V1095" s="1" t="s">
        <v>31</v>
      </c>
      <c r="W1095" s="1" t="s">
        <v>27</v>
      </c>
      <c r="X1095" s="1" t="str">
        <f>IF(laptop[[#This Row],[PrimaryStorageType]]=laptop[[#This Row],[SecondaryStorageType]],laptop[[#This Row],[PrimaryStorageType]],"SSD &amp; HDD")</f>
        <v>SSD &amp; HDD</v>
      </c>
      <c r="Y1095" s="1" t="s">
        <v>94</v>
      </c>
    </row>
    <row r="1096" spans="1:25" x14ac:dyDescent="0.25">
      <c r="A1096" s="1" t="s">
        <v>36</v>
      </c>
      <c r="B1096" s="1" t="s">
        <v>353</v>
      </c>
      <c r="C1096" s="1" t="s">
        <v>79</v>
      </c>
      <c r="D1096">
        <v>12.5</v>
      </c>
      <c r="E1096">
        <v>4</v>
      </c>
      <c r="F1096" s="1" t="s">
        <v>480</v>
      </c>
      <c r="G1096">
        <v>2.4</v>
      </c>
      <c r="H1096">
        <v>1599</v>
      </c>
      <c r="I1096" s="1" t="s">
        <v>26</v>
      </c>
      <c r="J1096">
        <v>1366</v>
      </c>
      <c r="K1096">
        <v>768</v>
      </c>
      <c r="L1096" s="1" t="s">
        <v>27</v>
      </c>
      <c r="M1096" s="1" t="s">
        <v>27</v>
      </c>
      <c r="N1096" s="1" t="s">
        <v>27</v>
      </c>
      <c r="O1096" s="1" t="s">
        <v>29</v>
      </c>
      <c r="P1096">
        <v>2.2999999999999998</v>
      </c>
      <c r="Q1096" s="1" t="s">
        <v>212</v>
      </c>
      <c r="R1096" s="1" t="str">
        <f>_xlfn.CONCAT(laptop[[#This Row],[CPU_company]]," ",laptop[[#This Row],[CPU_model]])</f>
        <v>Intel Core i5 6200U</v>
      </c>
      <c r="S1096">
        <v>128</v>
      </c>
      <c r="T1096">
        <v>0</v>
      </c>
      <c r="U1096">
        <f>laptop[[#This Row],[PrimaryStorage]]+laptop[[#This Row],[SecondaryStorage]]</f>
        <v>128</v>
      </c>
      <c r="V1096" s="1" t="s">
        <v>31</v>
      </c>
      <c r="W1096" s="1" t="s">
        <v>27</v>
      </c>
      <c r="X1096" s="1" t="str">
        <f>IF(laptop[[#This Row],[PrimaryStorageType]]=laptop[[#This Row],[SecondaryStorageType]],laptop[[#This Row],[PrimaryStorageType]],"SSD &amp; HDD")</f>
        <v>SSD &amp; HDD</v>
      </c>
      <c r="Y1096" s="1" t="s">
        <v>63</v>
      </c>
    </row>
    <row r="1097" spans="1:25" x14ac:dyDescent="0.25">
      <c r="A1097" s="1" t="s">
        <v>46</v>
      </c>
      <c r="B1097" s="1" t="s">
        <v>796</v>
      </c>
      <c r="C1097" s="1" t="s">
        <v>38</v>
      </c>
      <c r="D1097">
        <v>15.6</v>
      </c>
      <c r="E1097">
        <v>8</v>
      </c>
      <c r="F1097" s="1" t="s">
        <v>48</v>
      </c>
      <c r="G1097">
        <v>2.4</v>
      </c>
      <c r="H1097">
        <v>799</v>
      </c>
      <c r="I1097" s="1" t="s">
        <v>40</v>
      </c>
      <c r="J1097">
        <v>1920</v>
      </c>
      <c r="K1097">
        <v>1080</v>
      </c>
      <c r="L1097" s="1" t="s">
        <v>27</v>
      </c>
      <c r="M1097" s="1" t="s">
        <v>27</v>
      </c>
      <c r="N1097" s="1" t="s">
        <v>27</v>
      </c>
      <c r="O1097" s="1" t="s">
        <v>29</v>
      </c>
      <c r="P1097">
        <v>2.5</v>
      </c>
      <c r="Q1097" s="1" t="s">
        <v>41</v>
      </c>
      <c r="R1097" s="1" t="str">
        <f>_xlfn.CONCAT(laptop[[#This Row],[CPU_company]]," ",laptop[[#This Row],[CPU_model]])</f>
        <v>Intel Core i5 7200U</v>
      </c>
      <c r="S1097">
        <v>256</v>
      </c>
      <c r="T1097">
        <v>1024</v>
      </c>
      <c r="U1097">
        <f>laptop[[#This Row],[PrimaryStorage]]+laptop[[#This Row],[SecondaryStorage]]</f>
        <v>1280</v>
      </c>
      <c r="V1097" s="1" t="s">
        <v>31</v>
      </c>
      <c r="W1097" s="1" t="s">
        <v>51</v>
      </c>
      <c r="X1097" s="1" t="str">
        <f>IF(laptop[[#This Row],[PrimaryStorageType]]=laptop[[#This Row],[SecondaryStorageType]],laptop[[#This Row],[PrimaryStorageType]],"SSD &amp; HDD")</f>
        <v>SSD &amp; HDD</v>
      </c>
      <c r="Y1097" s="1" t="s">
        <v>279</v>
      </c>
    </row>
    <row r="1098" spans="1:25" x14ac:dyDescent="0.25">
      <c r="A1098" s="1" t="s">
        <v>65</v>
      </c>
      <c r="B1098" s="1" t="s">
        <v>200</v>
      </c>
      <c r="C1098" s="1" t="s">
        <v>38</v>
      </c>
      <c r="D1098">
        <v>15.6</v>
      </c>
      <c r="E1098">
        <v>8</v>
      </c>
      <c r="F1098" s="1" t="s">
        <v>48</v>
      </c>
      <c r="G1098">
        <v>2.36</v>
      </c>
      <c r="H1098">
        <v>638.79999999999995</v>
      </c>
      <c r="I1098" s="1" t="s">
        <v>40</v>
      </c>
      <c r="J1098">
        <v>1920</v>
      </c>
      <c r="K1098">
        <v>1080</v>
      </c>
      <c r="L1098" s="1" t="s">
        <v>27</v>
      </c>
      <c r="M1098" s="1" t="s">
        <v>27</v>
      </c>
      <c r="N1098" s="1" t="s">
        <v>27</v>
      </c>
      <c r="O1098" s="1" t="s">
        <v>29</v>
      </c>
      <c r="P1098">
        <v>2.5</v>
      </c>
      <c r="Q1098" s="1" t="s">
        <v>41</v>
      </c>
      <c r="R1098" s="1" t="str">
        <f>_xlfn.CONCAT(laptop[[#This Row],[CPU_company]]," ",laptop[[#This Row],[CPU_model]])</f>
        <v>Intel Core i5 7200U</v>
      </c>
      <c r="S1098">
        <v>1024</v>
      </c>
      <c r="T1098">
        <v>0</v>
      </c>
      <c r="U1098">
        <f>laptop[[#This Row],[PrimaryStorage]]+laptop[[#This Row],[SecondaryStorage]]</f>
        <v>1024</v>
      </c>
      <c r="V1098" s="1" t="s">
        <v>51</v>
      </c>
      <c r="W1098" s="1" t="s">
        <v>27</v>
      </c>
      <c r="X1098" s="1" t="str">
        <f>IF(laptop[[#This Row],[PrimaryStorageType]]=laptop[[#This Row],[SecondaryStorageType]],laptop[[#This Row],[PrimaryStorageType]],"SSD &amp; HDD")</f>
        <v>SSD &amp; HDD</v>
      </c>
      <c r="Y1098" s="1" t="s">
        <v>201</v>
      </c>
    </row>
    <row r="1099" spans="1:25" x14ac:dyDescent="0.25">
      <c r="A1099" s="1" t="s">
        <v>141</v>
      </c>
      <c r="B1099" s="1" t="s">
        <v>797</v>
      </c>
      <c r="C1099" s="1" t="s">
        <v>83</v>
      </c>
      <c r="D1099">
        <v>17.3</v>
      </c>
      <c r="E1099">
        <v>8</v>
      </c>
      <c r="F1099" s="1" t="s">
        <v>48</v>
      </c>
      <c r="G1099">
        <v>2.6</v>
      </c>
      <c r="H1099">
        <v>1599</v>
      </c>
      <c r="I1099" s="1" t="s">
        <v>40</v>
      </c>
      <c r="J1099">
        <v>1920</v>
      </c>
      <c r="K1099">
        <v>1080</v>
      </c>
      <c r="L1099" s="1" t="s">
        <v>27</v>
      </c>
      <c r="M1099" s="1" t="s">
        <v>27</v>
      </c>
      <c r="N1099" s="1" t="s">
        <v>27</v>
      </c>
      <c r="O1099" s="1" t="s">
        <v>29</v>
      </c>
      <c r="P1099">
        <v>2.6</v>
      </c>
      <c r="Q1099" s="1" t="s">
        <v>447</v>
      </c>
      <c r="R1099" s="1" t="str">
        <f>_xlfn.CONCAT(laptop[[#This Row],[CPU_company]]," ",laptop[[#This Row],[CPU_model]])</f>
        <v>Intel Core i7 6700HQ</v>
      </c>
      <c r="S1099">
        <v>256</v>
      </c>
      <c r="T1099">
        <v>0</v>
      </c>
      <c r="U1099">
        <f>laptop[[#This Row],[PrimaryStorage]]+laptop[[#This Row],[SecondaryStorage]]</f>
        <v>256</v>
      </c>
      <c r="V1099" s="1" t="s">
        <v>31</v>
      </c>
      <c r="W1099" s="1" t="s">
        <v>27</v>
      </c>
      <c r="X1099" s="1" t="str">
        <f>IF(laptop[[#This Row],[PrimaryStorageType]]=laptop[[#This Row],[SecondaryStorageType]],laptop[[#This Row],[PrimaryStorageType]],"SSD &amp; HDD")</f>
        <v>SSD &amp; HDD</v>
      </c>
      <c r="Y1099" s="1" t="s">
        <v>460</v>
      </c>
    </row>
    <row r="1100" spans="1:25" x14ac:dyDescent="0.25">
      <c r="A1100" s="1" t="s">
        <v>36</v>
      </c>
      <c r="B1100" s="1" t="s">
        <v>776</v>
      </c>
      <c r="C1100" s="1" t="s">
        <v>38</v>
      </c>
      <c r="D1100">
        <v>15.6</v>
      </c>
      <c r="E1100">
        <v>4</v>
      </c>
      <c r="F1100" s="1" t="s">
        <v>48</v>
      </c>
      <c r="G1100">
        <v>1.96</v>
      </c>
      <c r="H1100">
        <v>500</v>
      </c>
      <c r="I1100" s="1" t="s">
        <v>26</v>
      </c>
      <c r="J1100">
        <v>1366</v>
      </c>
      <c r="K1100">
        <v>768</v>
      </c>
      <c r="L1100" s="1" t="s">
        <v>27</v>
      </c>
      <c r="M1100" s="1" t="s">
        <v>27</v>
      </c>
      <c r="N1100" s="1" t="s">
        <v>27</v>
      </c>
      <c r="O1100" s="1" t="s">
        <v>29</v>
      </c>
      <c r="P1100">
        <v>1.6</v>
      </c>
      <c r="Q1100" s="1" t="s">
        <v>346</v>
      </c>
      <c r="R1100" s="1" t="str">
        <f>_xlfn.CONCAT(laptop[[#This Row],[CPU_company]]," ",laptop[[#This Row],[CPU_model]])</f>
        <v>Intel Pentium Quad Core N3710</v>
      </c>
      <c r="S1100">
        <v>1024</v>
      </c>
      <c r="T1100">
        <v>0</v>
      </c>
      <c r="U1100">
        <f>laptop[[#This Row],[PrimaryStorage]]+laptop[[#This Row],[SecondaryStorage]]</f>
        <v>1024</v>
      </c>
      <c r="V1100" s="1" t="s">
        <v>51</v>
      </c>
      <c r="W1100" s="1" t="s">
        <v>27</v>
      </c>
      <c r="X1100" s="1" t="str">
        <f>IF(laptop[[#This Row],[PrimaryStorageType]]=laptop[[#This Row],[SecondaryStorageType]],laptop[[#This Row],[PrimaryStorageType]],"SSD &amp; HDD")</f>
        <v>SSD &amp; HDD</v>
      </c>
      <c r="Y1100" s="1" t="s">
        <v>347</v>
      </c>
    </row>
    <row r="1101" spans="1:25" x14ac:dyDescent="0.25">
      <c r="A1101" s="1" t="s">
        <v>55</v>
      </c>
      <c r="B1101" s="1" t="s">
        <v>798</v>
      </c>
      <c r="C1101" s="1" t="s">
        <v>83</v>
      </c>
      <c r="D1101">
        <v>17.3</v>
      </c>
      <c r="E1101">
        <v>16</v>
      </c>
      <c r="F1101" s="1" t="s">
        <v>48</v>
      </c>
      <c r="G1101">
        <v>4.3</v>
      </c>
      <c r="H1101">
        <v>2299</v>
      </c>
      <c r="I1101" s="1" t="s">
        <v>40</v>
      </c>
      <c r="J1101">
        <v>1920</v>
      </c>
      <c r="K1101">
        <v>1080</v>
      </c>
      <c r="L1101" s="1" t="s">
        <v>27</v>
      </c>
      <c r="M1101" s="1" t="s">
        <v>28</v>
      </c>
      <c r="N1101" s="1" t="s">
        <v>27</v>
      </c>
      <c r="O1101" s="1" t="s">
        <v>29</v>
      </c>
      <c r="P1101">
        <v>2.6</v>
      </c>
      <c r="Q1101" s="1" t="s">
        <v>447</v>
      </c>
      <c r="R1101" s="1" t="str">
        <f>_xlfn.CONCAT(laptop[[#This Row],[CPU_company]]," ",laptop[[#This Row],[CPU_model]])</f>
        <v>Intel Core i7 6700HQ</v>
      </c>
      <c r="S1101">
        <v>128</v>
      </c>
      <c r="T1101">
        <v>1024</v>
      </c>
      <c r="U1101">
        <f>laptop[[#This Row],[PrimaryStorage]]+laptop[[#This Row],[SecondaryStorage]]</f>
        <v>1152</v>
      </c>
      <c r="V1101" s="1" t="s">
        <v>31</v>
      </c>
      <c r="W1101" s="1" t="s">
        <v>51</v>
      </c>
      <c r="X1101" s="1" t="str">
        <f>IF(laptop[[#This Row],[PrimaryStorageType]]=laptop[[#This Row],[SecondaryStorageType]],laptop[[#This Row],[PrimaryStorageType]],"SSD &amp; HDD")</f>
        <v>SSD &amp; HDD</v>
      </c>
      <c r="Y1101" s="1" t="s">
        <v>297</v>
      </c>
    </row>
    <row r="1102" spans="1:25" x14ac:dyDescent="0.25">
      <c r="A1102" s="1" t="s">
        <v>65</v>
      </c>
      <c r="B1102" s="1" t="s">
        <v>799</v>
      </c>
      <c r="C1102" s="1" t="s">
        <v>24</v>
      </c>
      <c r="D1102">
        <v>12.5</v>
      </c>
      <c r="E1102">
        <v>4</v>
      </c>
      <c r="F1102" s="1" t="s">
        <v>480</v>
      </c>
      <c r="G1102">
        <v>1.5</v>
      </c>
      <c r="H1102">
        <v>1135.1500000000001</v>
      </c>
      <c r="I1102" s="1" t="s">
        <v>26</v>
      </c>
      <c r="J1102">
        <v>1366</v>
      </c>
      <c r="K1102">
        <v>768</v>
      </c>
      <c r="L1102" s="1" t="s">
        <v>27</v>
      </c>
      <c r="M1102" s="1" t="s">
        <v>27</v>
      </c>
      <c r="N1102" s="1" t="s">
        <v>27</v>
      </c>
      <c r="O1102" s="1" t="s">
        <v>29</v>
      </c>
      <c r="P1102">
        <v>2.2999999999999998</v>
      </c>
      <c r="Q1102" s="1" t="s">
        <v>450</v>
      </c>
      <c r="R1102" s="1" t="str">
        <f>_xlfn.CONCAT(laptop[[#This Row],[CPU_company]]," ",laptop[[#This Row],[CPU_model]])</f>
        <v>Intel Core i3 6100U</v>
      </c>
      <c r="S1102">
        <v>500</v>
      </c>
      <c r="T1102">
        <v>0</v>
      </c>
      <c r="U1102">
        <f>laptop[[#This Row],[PrimaryStorage]]+laptop[[#This Row],[SecondaryStorage]]</f>
        <v>500</v>
      </c>
      <c r="V1102" s="1" t="s">
        <v>51</v>
      </c>
      <c r="W1102" s="1" t="s">
        <v>27</v>
      </c>
      <c r="X1102" s="1" t="str">
        <f>IF(laptop[[#This Row],[PrimaryStorageType]]=laptop[[#This Row],[SecondaryStorageType]],laptop[[#This Row],[PrimaryStorageType]],"SSD &amp; HDD")</f>
        <v>SSD &amp; HDD</v>
      </c>
      <c r="Y1102" s="1" t="s">
        <v>63</v>
      </c>
    </row>
    <row r="1103" spans="1:25" x14ac:dyDescent="0.25">
      <c r="A1103" s="1" t="s">
        <v>65</v>
      </c>
      <c r="B1103" s="1" t="s">
        <v>799</v>
      </c>
      <c r="C1103" s="1" t="s">
        <v>24</v>
      </c>
      <c r="D1103">
        <v>12.5</v>
      </c>
      <c r="E1103">
        <v>4</v>
      </c>
      <c r="F1103" s="1" t="s">
        <v>480</v>
      </c>
      <c r="G1103">
        <v>1.5</v>
      </c>
      <c r="H1103">
        <v>1166.97</v>
      </c>
      <c r="I1103" s="1" t="s">
        <v>26</v>
      </c>
      <c r="J1103">
        <v>1366</v>
      </c>
      <c r="K1103">
        <v>768</v>
      </c>
      <c r="L1103" s="1" t="s">
        <v>27</v>
      </c>
      <c r="M1103" s="1" t="s">
        <v>27</v>
      </c>
      <c r="N1103" s="1" t="s">
        <v>27</v>
      </c>
      <c r="O1103" s="1" t="s">
        <v>29</v>
      </c>
      <c r="P1103">
        <v>2.2999999999999998</v>
      </c>
      <c r="Q1103" s="1" t="s">
        <v>450</v>
      </c>
      <c r="R1103" s="1" t="str">
        <f>_xlfn.CONCAT(laptop[[#This Row],[CPU_company]]," ",laptop[[#This Row],[CPU_model]])</f>
        <v>Intel Core i3 6100U</v>
      </c>
      <c r="S1103">
        <v>128</v>
      </c>
      <c r="T1103">
        <v>0</v>
      </c>
      <c r="U1103">
        <f>laptop[[#This Row],[PrimaryStorage]]+laptop[[#This Row],[SecondaryStorage]]</f>
        <v>128</v>
      </c>
      <c r="V1103" s="1" t="s">
        <v>31</v>
      </c>
      <c r="W1103" s="1" t="s">
        <v>27</v>
      </c>
      <c r="X1103" s="1" t="str">
        <f>IF(laptop[[#This Row],[PrimaryStorageType]]=laptop[[#This Row],[SecondaryStorageType]],laptop[[#This Row],[PrimaryStorageType]],"SSD &amp; HDD")</f>
        <v>SSD &amp; HDD</v>
      </c>
      <c r="Y1103" s="1" t="s">
        <v>63</v>
      </c>
    </row>
    <row r="1104" spans="1:25" x14ac:dyDescent="0.25">
      <c r="A1104" s="1" t="s">
        <v>46</v>
      </c>
      <c r="B1104" s="1" t="s">
        <v>800</v>
      </c>
      <c r="C1104" s="1" t="s">
        <v>38</v>
      </c>
      <c r="D1104">
        <v>15.6</v>
      </c>
      <c r="E1104">
        <v>4</v>
      </c>
      <c r="F1104" s="1" t="s">
        <v>317</v>
      </c>
      <c r="G1104">
        <v>2.2000000000000002</v>
      </c>
      <c r="H1104">
        <v>209</v>
      </c>
      <c r="I1104" s="1" t="s">
        <v>26</v>
      </c>
      <c r="J1104">
        <v>1366</v>
      </c>
      <c r="K1104">
        <v>768</v>
      </c>
      <c r="L1104" s="1" t="s">
        <v>27</v>
      </c>
      <c r="M1104" s="1" t="s">
        <v>27</v>
      </c>
      <c r="N1104" s="1" t="s">
        <v>27</v>
      </c>
      <c r="O1104" s="1" t="s">
        <v>29</v>
      </c>
      <c r="P1104">
        <v>1.5</v>
      </c>
      <c r="Q1104" s="1" t="s">
        <v>318</v>
      </c>
      <c r="R1104" s="1" t="str">
        <f>_xlfn.CONCAT(laptop[[#This Row],[CPU_company]]," ",laptop[[#This Row],[CPU_model]])</f>
        <v>Intel Celeron Dual Core 3205U</v>
      </c>
      <c r="S1104">
        <v>16</v>
      </c>
      <c r="T1104">
        <v>0</v>
      </c>
      <c r="U1104">
        <f>laptop[[#This Row],[PrimaryStorage]]+laptop[[#This Row],[SecondaryStorage]]</f>
        <v>16</v>
      </c>
      <c r="V1104" s="1" t="s">
        <v>31</v>
      </c>
      <c r="W1104" s="1" t="s">
        <v>27</v>
      </c>
      <c r="X1104" s="1" t="str">
        <f>IF(laptop[[#This Row],[PrimaryStorageType]]=laptop[[#This Row],[SecondaryStorageType]],laptop[[#This Row],[PrimaryStorageType]],"SSD &amp; HDD")</f>
        <v>SSD &amp; HDD</v>
      </c>
      <c r="Y1104" s="1" t="s">
        <v>102</v>
      </c>
    </row>
    <row r="1105" spans="1:25" x14ac:dyDescent="0.25">
      <c r="A1105" s="1" t="s">
        <v>36</v>
      </c>
      <c r="B1105" s="1" t="s">
        <v>506</v>
      </c>
      <c r="C1105" s="1" t="s">
        <v>265</v>
      </c>
      <c r="D1105">
        <v>17.3</v>
      </c>
      <c r="E1105">
        <v>8</v>
      </c>
      <c r="F1105" s="1" t="s">
        <v>480</v>
      </c>
      <c r="G1105">
        <v>3</v>
      </c>
      <c r="H1105">
        <v>2899</v>
      </c>
      <c r="I1105" s="1" t="s">
        <v>40</v>
      </c>
      <c r="J1105">
        <v>1920</v>
      </c>
      <c r="K1105">
        <v>1080</v>
      </c>
      <c r="L1105" s="1" t="s">
        <v>27</v>
      </c>
      <c r="M1105" s="1" t="s">
        <v>28</v>
      </c>
      <c r="N1105" s="1" t="s">
        <v>27</v>
      </c>
      <c r="O1105" s="1" t="s">
        <v>29</v>
      </c>
      <c r="P1105">
        <v>2.6</v>
      </c>
      <c r="Q1105" s="1" t="s">
        <v>447</v>
      </c>
      <c r="R1105" s="1" t="str">
        <f>_xlfn.CONCAT(laptop[[#This Row],[CPU_company]]," ",laptop[[#This Row],[CPU_model]])</f>
        <v>Intel Core i7 6700HQ</v>
      </c>
      <c r="S1105">
        <v>1024</v>
      </c>
      <c r="T1105">
        <v>0</v>
      </c>
      <c r="U1105">
        <f>laptop[[#This Row],[PrimaryStorage]]+laptop[[#This Row],[SecondaryStorage]]</f>
        <v>1024</v>
      </c>
      <c r="V1105" s="1" t="s">
        <v>51</v>
      </c>
      <c r="W1105" s="1" t="s">
        <v>27</v>
      </c>
      <c r="X1105" s="1" t="str">
        <f>IF(laptop[[#This Row],[PrimaryStorageType]]=laptop[[#This Row],[SecondaryStorageType]],laptop[[#This Row],[PrimaryStorageType]],"SSD &amp; HDD")</f>
        <v>SSD &amp; HDD</v>
      </c>
      <c r="Y1105" s="1" t="s">
        <v>801</v>
      </c>
    </row>
    <row r="1106" spans="1:25" x14ac:dyDescent="0.25">
      <c r="A1106" s="1" t="s">
        <v>73</v>
      </c>
      <c r="B1106" s="1" t="s">
        <v>82</v>
      </c>
      <c r="C1106" s="1" t="s">
        <v>83</v>
      </c>
      <c r="D1106">
        <v>15.6</v>
      </c>
      <c r="E1106">
        <v>16</v>
      </c>
      <c r="F1106" s="1" t="s">
        <v>48</v>
      </c>
      <c r="G1106">
        <v>2.4</v>
      </c>
      <c r="H1106">
        <v>1199</v>
      </c>
      <c r="I1106" s="1" t="s">
        <v>40</v>
      </c>
      <c r="J1106">
        <v>1920</v>
      </c>
      <c r="K1106">
        <v>1080</v>
      </c>
      <c r="L1106" s="1" t="s">
        <v>27</v>
      </c>
      <c r="M1106" s="1" t="s">
        <v>27</v>
      </c>
      <c r="N1106" s="1" t="s">
        <v>27</v>
      </c>
      <c r="O1106" s="1" t="s">
        <v>29</v>
      </c>
      <c r="P1106">
        <v>2.8</v>
      </c>
      <c r="Q1106" s="1" t="s">
        <v>118</v>
      </c>
      <c r="R1106" s="1" t="str">
        <f>_xlfn.CONCAT(laptop[[#This Row],[CPU_company]]," ",laptop[[#This Row],[CPU_model]])</f>
        <v>Intel Core i7 7700HQ</v>
      </c>
      <c r="S1106">
        <v>512</v>
      </c>
      <c r="T1106">
        <v>0</v>
      </c>
      <c r="U1106">
        <f>laptop[[#This Row],[PrimaryStorage]]+laptop[[#This Row],[SecondaryStorage]]</f>
        <v>512</v>
      </c>
      <c r="V1106" s="1" t="s">
        <v>31</v>
      </c>
      <c r="W1106" s="1" t="s">
        <v>27</v>
      </c>
      <c r="X1106" s="1" t="str">
        <f>IF(laptop[[#This Row],[PrimaryStorageType]]=laptop[[#This Row],[SecondaryStorageType]],laptop[[#This Row],[PrimaryStorageType]],"SSD &amp; HDD")</f>
        <v>SSD &amp; HDD</v>
      </c>
      <c r="Y1106" s="1" t="s">
        <v>149</v>
      </c>
    </row>
    <row r="1107" spans="1:25" x14ac:dyDescent="0.25">
      <c r="A1107" s="1" t="s">
        <v>65</v>
      </c>
      <c r="B1107" s="1" t="s">
        <v>799</v>
      </c>
      <c r="C1107" s="1" t="s">
        <v>24</v>
      </c>
      <c r="D1107">
        <v>12.5</v>
      </c>
      <c r="E1107">
        <v>8</v>
      </c>
      <c r="F1107" s="1" t="s">
        <v>480</v>
      </c>
      <c r="G1107">
        <v>1.5</v>
      </c>
      <c r="H1107">
        <v>1413.1</v>
      </c>
      <c r="I1107" s="1" t="s">
        <v>26</v>
      </c>
      <c r="J1107">
        <v>1366</v>
      </c>
      <c r="K1107">
        <v>768</v>
      </c>
      <c r="L1107" s="1" t="s">
        <v>27</v>
      </c>
      <c r="M1107" s="1" t="s">
        <v>27</v>
      </c>
      <c r="N1107" s="1" t="s">
        <v>27</v>
      </c>
      <c r="O1107" s="1" t="s">
        <v>29</v>
      </c>
      <c r="P1107">
        <v>2.2999999999999998</v>
      </c>
      <c r="Q1107" s="1" t="s">
        <v>212</v>
      </c>
      <c r="R1107" s="1" t="str">
        <f>_xlfn.CONCAT(laptop[[#This Row],[CPU_company]]," ",laptop[[#This Row],[CPU_model]])</f>
        <v>Intel Core i5 6200U</v>
      </c>
      <c r="S1107">
        <v>256</v>
      </c>
      <c r="T1107">
        <v>0</v>
      </c>
      <c r="U1107">
        <f>laptop[[#This Row],[PrimaryStorage]]+laptop[[#This Row],[SecondaryStorage]]</f>
        <v>256</v>
      </c>
      <c r="V1107" s="1" t="s">
        <v>31</v>
      </c>
      <c r="W1107" s="1" t="s">
        <v>27</v>
      </c>
      <c r="X1107" s="1" t="str">
        <f>IF(laptop[[#This Row],[PrimaryStorageType]]=laptop[[#This Row],[SecondaryStorageType]],laptop[[#This Row],[PrimaryStorageType]],"SSD &amp; HDD")</f>
        <v>SSD &amp; HDD</v>
      </c>
      <c r="Y1107" s="1" t="s">
        <v>63</v>
      </c>
    </row>
    <row r="1108" spans="1:25" x14ac:dyDescent="0.25">
      <c r="A1108" s="1" t="s">
        <v>141</v>
      </c>
      <c r="B1108" s="1" t="s">
        <v>802</v>
      </c>
      <c r="C1108" s="1" t="s">
        <v>83</v>
      </c>
      <c r="D1108">
        <v>17.3</v>
      </c>
      <c r="E1108">
        <v>8</v>
      </c>
      <c r="F1108" s="1" t="s">
        <v>48</v>
      </c>
      <c r="G1108">
        <v>2.9</v>
      </c>
      <c r="H1108">
        <v>1511.19</v>
      </c>
      <c r="I1108" s="1" t="s">
        <v>40</v>
      </c>
      <c r="J1108">
        <v>1920</v>
      </c>
      <c r="K1108">
        <v>1080</v>
      </c>
      <c r="L1108" s="1" t="s">
        <v>27</v>
      </c>
      <c r="M1108" s="1" t="s">
        <v>27</v>
      </c>
      <c r="N1108" s="1" t="s">
        <v>27</v>
      </c>
      <c r="O1108" s="1" t="s">
        <v>29</v>
      </c>
      <c r="P1108">
        <v>2.6</v>
      </c>
      <c r="Q1108" s="1" t="s">
        <v>447</v>
      </c>
      <c r="R1108" s="1" t="str">
        <f>_xlfn.CONCAT(laptop[[#This Row],[CPU_company]]," ",laptop[[#This Row],[CPU_model]])</f>
        <v>Intel Core i7 6700HQ</v>
      </c>
      <c r="S1108">
        <v>128</v>
      </c>
      <c r="T1108">
        <v>1024</v>
      </c>
      <c r="U1108">
        <f>laptop[[#This Row],[PrimaryStorage]]+laptop[[#This Row],[SecondaryStorage]]</f>
        <v>1152</v>
      </c>
      <c r="V1108" s="1" t="s">
        <v>31</v>
      </c>
      <c r="W1108" s="1" t="s">
        <v>51</v>
      </c>
      <c r="X1108" s="1" t="str">
        <f>IF(laptop[[#This Row],[PrimaryStorageType]]=laptop[[#This Row],[SecondaryStorageType]],laptop[[#This Row],[PrimaryStorageType]],"SSD &amp; HDD")</f>
        <v>SSD &amp; HDD</v>
      </c>
      <c r="Y1108" s="1" t="s">
        <v>483</v>
      </c>
    </row>
    <row r="1109" spans="1:25" x14ac:dyDescent="0.25">
      <c r="A1109" s="1" t="s">
        <v>73</v>
      </c>
      <c r="B1109" s="1" t="s">
        <v>766</v>
      </c>
      <c r="C1109" s="1" t="s">
        <v>90</v>
      </c>
      <c r="D1109">
        <v>15.6</v>
      </c>
      <c r="E1109">
        <v>4</v>
      </c>
      <c r="F1109" s="1" t="s">
        <v>48</v>
      </c>
      <c r="G1109">
        <v>2.1</v>
      </c>
      <c r="H1109">
        <v>867</v>
      </c>
      <c r="I1109" s="1" t="s">
        <v>40</v>
      </c>
      <c r="J1109">
        <v>1920</v>
      </c>
      <c r="K1109">
        <v>1080</v>
      </c>
      <c r="L1109" s="1" t="s">
        <v>28</v>
      </c>
      <c r="M1109" s="1" t="s">
        <v>28</v>
      </c>
      <c r="N1109" s="1" t="s">
        <v>27</v>
      </c>
      <c r="O1109" s="1" t="s">
        <v>29</v>
      </c>
      <c r="P1109">
        <v>2.2999999999999998</v>
      </c>
      <c r="Q1109" s="1" t="s">
        <v>212</v>
      </c>
      <c r="R1109" s="1" t="str">
        <f>_xlfn.CONCAT(laptop[[#This Row],[CPU_company]]," ",laptop[[#This Row],[CPU_model]])</f>
        <v>Intel Core i5 6200U</v>
      </c>
      <c r="S1109">
        <v>256</v>
      </c>
      <c r="T1109">
        <v>0</v>
      </c>
      <c r="U1109">
        <f>laptop[[#This Row],[PrimaryStorage]]+laptop[[#This Row],[SecondaryStorage]]</f>
        <v>256</v>
      </c>
      <c r="V1109" s="1" t="s">
        <v>31</v>
      </c>
      <c r="W1109" s="1" t="s">
        <v>27</v>
      </c>
      <c r="X1109" s="1" t="str">
        <f>IF(laptop[[#This Row],[PrimaryStorageType]]=laptop[[#This Row],[SecondaryStorageType]],laptop[[#This Row],[PrimaryStorageType]],"SSD &amp; HDD")</f>
        <v>SSD &amp; HDD</v>
      </c>
      <c r="Y1109" s="1" t="s">
        <v>63</v>
      </c>
    </row>
    <row r="1110" spans="1:25" x14ac:dyDescent="0.25">
      <c r="A1110" s="1" t="s">
        <v>36</v>
      </c>
      <c r="B1110" s="1" t="s">
        <v>803</v>
      </c>
      <c r="C1110" s="1" t="s">
        <v>38</v>
      </c>
      <c r="D1110">
        <v>15.6</v>
      </c>
      <c r="E1110">
        <v>4</v>
      </c>
      <c r="F1110" s="1" t="s">
        <v>48</v>
      </c>
      <c r="G1110">
        <v>2.1</v>
      </c>
      <c r="H1110">
        <v>398</v>
      </c>
      <c r="I1110" s="1" t="s">
        <v>40</v>
      </c>
      <c r="J1110">
        <v>1920</v>
      </c>
      <c r="K1110">
        <v>1080</v>
      </c>
      <c r="L1110" s="1" t="s">
        <v>27</v>
      </c>
      <c r="M1110" s="1" t="s">
        <v>27</v>
      </c>
      <c r="N1110" s="1" t="s">
        <v>27</v>
      </c>
      <c r="O1110" s="1" t="s">
        <v>49</v>
      </c>
      <c r="P1110">
        <v>2.5</v>
      </c>
      <c r="Q1110" s="1" t="s">
        <v>106</v>
      </c>
      <c r="R1110" s="1" t="str">
        <f>_xlfn.CONCAT(laptop[[#This Row],[CPU_company]]," ",laptop[[#This Row],[CPU_model]])</f>
        <v>AMD A6-Series 9220</v>
      </c>
      <c r="S1110">
        <v>1024</v>
      </c>
      <c r="T1110">
        <v>0</v>
      </c>
      <c r="U1110">
        <f>laptop[[#This Row],[PrimaryStorage]]+laptop[[#This Row],[SecondaryStorage]]</f>
        <v>1024</v>
      </c>
      <c r="V1110" s="1" t="s">
        <v>51</v>
      </c>
      <c r="W1110" s="1" t="s">
        <v>27</v>
      </c>
      <c r="X1110" s="1" t="str">
        <f>IF(laptop[[#This Row],[PrimaryStorageType]]=laptop[[#This Row],[SecondaryStorageType]],laptop[[#This Row],[PrimaryStorageType]],"SSD &amp; HDD")</f>
        <v>SSD &amp; HDD</v>
      </c>
      <c r="Y1110" s="1" t="s">
        <v>425</v>
      </c>
    </row>
    <row r="1111" spans="1:25" x14ac:dyDescent="0.25">
      <c r="A1111" s="1" t="s">
        <v>55</v>
      </c>
      <c r="B1111" s="1" t="s">
        <v>804</v>
      </c>
      <c r="C1111" s="1" t="s">
        <v>83</v>
      </c>
      <c r="D1111">
        <v>15.6</v>
      </c>
      <c r="E1111">
        <v>16</v>
      </c>
      <c r="F1111" s="1" t="s">
        <v>48</v>
      </c>
      <c r="G1111">
        <v>2.59</v>
      </c>
      <c r="H1111">
        <v>1339</v>
      </c>
      <c r="I1111" s="1" t="s">
        <v>40</v>
      </c>
      <c r="J1111">
        <v>1920</v>
      </c>
      <c r="K1111">
        <v>1080</v>
      </c>
      <c r="L1111" s="1" t="s">
        <v>27</v>
      </c>
      <c r="M1111" s="1" t="s">
        <v>28</v>
      </c>
      <c r="N1111" s="1" t="s">
        <v>27</v>
      </c>
      <c r="O1111" s="1" t="s">
        <v>29</v>
      </c>
      <c r="P1111">
        <v>2.6</v>
      </c>
      <c r="Q1111" s="1" t="s">
        <v>447</v>
      </c>
      <c r="R1111" s="1" t="str">
        <f>_xlfn.CONCAT(laptop[[#This Row],[CPU_company]]," ",laptop[[#This Row],[CPU_model]])</f>
        <v>Intel Core i7 6700HQ</v>
      </c>
      <c r="S1111">
        <v>128</v>
      </c>
      <c r="T1111">
        <v>1024</v>
      </c>
      <c r="U1111">
        <f>laptop[[#This Row],[PrimaryStorage]]+laptop[[#This Row],[SecondaryStorage]]</f>
        <v>1152</v>
      </c>
      <c r="V1111" s="1" t="s">
        <v>31</v>
      </c>
      <c r="W1111" s="1" t="s">
        <v>51</v>
      </c>
      <c r="X1111" s="1" t="str">
        <f>IF(laptop[[#This Row],[PrimaryStorageType]]=laptop[[#This Row],[SecondaryStorageType]],laptop[[#This Row],[PrimaryStorageType]],"SSD &amp; HDD")</f>
        <v>SSD &amp; HDD</v>
      </c>
      <c r="Y1111" s="1" t="s">
        <v>483</v>
      </c>
    </row>
    <row r="1112" spans="1:25" x14ac:dyDescent="0.25">
      <c r="A1112" s="1" t="s">
        <v>36</v>
      </c>
      <c r="B1112" s="1" t="s">
        <v>500</v>
      </c>
      <c r="C1112" s="1" t="s">
        <v>38</v>
      </c>
      <c r="D1112">
        <v>13.3</v>
      </c>
      <c r="E1112">
        <v>8</v>
      </c>
      <c r="F1112" s="1" t="s">
        <v>48</v>
      </c>
      <c r="G1112">
        <v>1.1599999999999999</v>
      </c>
      <c r="H1112">
        <v>1699</v>
      </c>
      <c r="I1112" s="1" t="s">
        <v>107</v>
      </c>
      <c r="J1112">
        <v>3200</v>
      </c>
      <c r="K1112">
        <v>1800</v>
      </c>
      <c r="L1112" s="1" t="s">
        <v>28</v>
      </c>
      <c r="M1112" s="1" t="s">
        <v>27</v>
      </c>
      <c r="N1112" s="1" t="s">
        <v>27</v>
      </c>
      <c r="O1112" s="1" t="s">
        <v>29</v>
      </c>
      <c r="P1112">
        <v>1.1000000000000001</v>
      </c>
      <c r="Q1112" s="1" t="s">
        <v>805</v>
      </c>
      <c r="R1112" s="1" t="str">
        <f>_xlfn.CONCAT(laptop[[#This Row],[CPU_company]]," ",laptop[[#This Row],[CPU_model]])</f>
        <v>Intel Core M 6Y54</v>
      </c>
      <c r="S1112">
        <v>256</v>
      </c>
      <c r="T1112">
        <v>0</v>
      </c>
      <c r="U1112">
        <f>laptop[[#This Row],[PrimaryStorage]]+laptop[[#This Row],[SecondaryStorage]]</f>
        <v>256</v>
      </c>
      <c r="V1112" s="1" t="s">
        <v>31</v>
      </c>
      <c r="W1112" s="1" t="s">
        <v>27</v>
      </c>
      <c r="X1112" s="1" t="str">
        <f>IF(laptop[[#This Row],[PrimaryStorageType]]=laptop[[#This Row],[SecondaryStorageType]],laptop[[#This Row],[PrimaryStorageType]],"SSD &amp; HDD")</f>
        <v>SSD &amp; HDD</v>
      </c>
      <c r="Y1112" s="1" t="s">
        <v>217</v>
      </c>
    </row>
    <row r="1113" spans="1:25" x14ac:dyDescent="0.25">
      <c r="A1113" s="1" t="s">
        <v>65</v>
      </c>
      <c r="B1113" s="1" t="s">
        <v>806</v>
      </c>
      <c r="C1113" s="1" t="s">
        <v>38</v>
      </c>
      <c r="D1113">
        <v>15.6</v>
      </c>
      <c r="E1113">
        <v>4</v>
      </c>
      <c r="F1113" s="1" t="s">
        <v>480</v>
      </c>
      <c r="G1113">
        <v>2.2400000000000002</v>
      </c>
      <c r="H1113">
        <v>769.15</v>
      </c>
      <c r="I1113" s="1" t="s">
        <v>26</v>
      </c>
      <c r="J1113">
        <v>1366</v>
      </c>
      <c r="K1113">
        <v>768</v>
      </c>
      <c r="L1113" s="1" t="s">
        <v>27</v>
      </c>
      <c r="M1113" s="1" t="s">
        <v>27</v>
      </c>
      <c r="N1113" s="1" t="s">
        <v>27</v>
      </c>
      <c r="O1113" s="1" t="s">
        <v>29</v>
      </c>
      <c r="P1113">
        <v>2.2999999999999998</v>
      </c>
      <c r="Q1113" s="1" t="s">
        <v>212</v>
      </c>
      <c r="R1113" s="1" t="str">
        <f>_xlfn.CONCAT(laptop[[#This Row],[CPU_company]]," ",laptop[[#This Row],[CPU_model]])</f>
        <v>Intel Core i5 6200U</v>
      </c>
      <c r="S1113">
        <v>500</v>
      </c>
      <c r="T1113">
        <v>0</v>
      </c>
      <c r="U1113">
        <f>laptop[[#This Row],[PrimaryStorage]]+laptop[[#This Row],[SecondaryStorage]]</f>
        <v>500</v>
      </c>
      <c r="V1113" s="1" t="s">
        <v>51</v>
      </c>
      <c r="W1113" s="1" t="s">
        <v>27</v>
      </c>
      <c r="X1113" s="1" t="str">
        <f>IF(laptop[[#This Row],[PrimaryStorageType]]=laptop[[#This Row],[SecondaryStorageType]],laptop[[#This Row],[PrimaryStorageType]],"SSD &amp; HDD")</f>
        <v>SSD &amp; HDD</v>
      </c>
      <c r="Y1113" s="1" t="s">
        <v>807</v>
      </c>
    </row>
    <row r="1114" spans="1:25" x14ac:dyDescent="0.25">
      <c r="A1114" s="1" t="s">
        <v>73</v>
      </c>
      <c r="B1114" s="1" t="s">
        <v>808</v>
      </c>
      <c r="C1114" s="1" t="s">
        <v>38</v>
      </c>
      <c r="D1114">
        <v>15.6</v>
      </c>
      <c r="E1114">
        <v>4</v>
      </c>
      <c r="F1114" s="1" t="s">
        <v>48</v>
      </c>
      <c r="G1114">
        <v>2.1</v>
      </c>
      <c r="H1114">
        <v>429</v>
      </c>
      <c r="I1114" s="1" t="s">
        <v>26</v>
      </c>
      <c r="J1114">
        <v>1366</v>
      </c>
      <c r="K1114">
        <v>768</v>
      </c>
      <c r="L1114" s="1" t="s">
        <v>27</v>
      </c>
      <c r="M1114" s="1" t="s">
        <v>27</v>
      </c>
      <c r="N1114" s="1" t="s">
        <v>27</v>
      </c>
      <c r="O1114" s="1" t="s">
        <v>29</v>
      </c>
      <c r="P1114">
        <v>2</v>
      </c>
      <c r="Q1114" s="1" t="s">
        <v>62</v>
      </c>
      <c r="R1114" s="1" t="str">
        <f>_xlfn.CONCAT(laptop[[#This Row],[CPU_company]]," ",laptop[[#This Row],[CPU_model]])</f>
        <v>Intel Core i3 6006U</v>
      </c>
      <c r="S1114">
        <v>128</v>
      </c>
      <c r="T1114">
        <v>0</v>
      </c>
      <c r="U1114">
        <f>laptop[[#This Row],[PrimaryStorage]]+laptop[[#This Row],[SecondaryStorage]]</f>
        <v>128</v>
      </c>
      <c r="V1114" s="1" t="s">
        <v>31</v>
      </c>
      <c r="W1114" s="1" t="s">
        <v>27</v>
      </c>
      <c r="X1114" s="1" t="str">
        <f>IF(laptop[[#This Row],[PrimaryStorageType]]=laptop[[#This Row],[SecondaryStorageType]],laptop[[#This Row],[PrimaryStorageType]],"SSD &amp; HDD")</f>
        <v>SSD &amp; HDD</v>
      </c>
      <c r="Y1114" s="1" t="s">
        <v>63</v>
      </c>
    </row>
    <row r="1115" spans="1:25" x14ac:dyDescent="0.25">
      <c r="A1115" s="1" t="s">
        <v>36</v>
      </c>
      <c r="B1115" s="1" t="s">
        <v>809</v>
      </c>
      <c r="C1115" s="1" t="s">
        <v>24</v>
      </c>
      <c r="D1115">
        <v>13.3</v>
      </c>
      <c r="E1115">
        <v>8</v>
      </c>
      <c r="F1115" s="1" t="s">
        <v>48</v>
      </c>
      <c r="G1115">
        <v>1.1599999999999999</v>
      </c>
      <c r="H1115">
        <v>1969</v>
      </c>
      <c r="I1115" s="1" t="s">
        <v>40</v>
      </c>
      <c r="J1115">
        <v>1920</v>
      </c>
      <c r="K1115">
        <v>1080</v>
      </c>
      <c r="L1115" s="1" t="s">
        <v>27</v>
      </c>
      <c r="M1115" s="1" t="s">
        <v>27</v>
      </c>
      <c r="N1115" s="1" t="s">
        <v>27</v>
      </c>
      <c r="O1115" s="1" t="s">
        <v>29</v>
      </c>
      <c r="P1115">
        <v>2.5</v>
      </c>
      <c r="Q1115" s="1" t="s">
        <v>274</v>
      </c>
      <c r="R1115" s="1" t="str">
        <f>_xlfn.CONCAT(laptop[[#This Row],[CPU_company]]," ",laptop[[#This Row],[CPU_model]])</f>
        <v>Intel Core i7 6500U</v>
      </c>
      <c r="S1115">
        <v>512</v>
      </c>
      <c r="T1115">
        <v>0</v>
      </c>
      <c r="U1115">
        <f>laptop[[#This Row],[PrimaryStorage]]+laptop[[#This Row],[SecondaryStorage]]</f>
        <v>512</v>
      </c>
      <c r="V1115" s="1" t="s">
        <v>31</v>
      </c>
      <c r="W1115" s="1" t="s">
        <v>27</v>
      </c>
      <c r="X1115" s="1" t="str">
        <f>IF(laptop[[#This Row],[PrimaryStorageType]]=laptop[[#This Row],[SecondaryStorageType]],laptop[[#This Row],[PrimaryStorageType]],"SSD &amp; HDD")</f>
        <v>SSD &amp; HDD</v>
      </c>
      <c r="Y1115" s="1" t="s">
        <v>63</v>
      </c>
    </row>
    <row r="1116" spans="1:25" x14ac:dyDescent="0.25">
      <c r="A1116" s="1" t="s">
        <v>73</v>
      </c>
      <c r="B1116" s="1" t="s">
        <v>132</v>
      </c>
      <c r="C1116" s="1" t="s">
        <v>90</v>
      </c>
      <c r="D1116">
        <v>10.1</v>
      </c>
      <c r="E1116">
        <v>4</v>
      </c>
      <c r="F1116" s="1" t="s">
        <v>133</v>
      </c>
      <c r="G1116">
        <v>0.69</v>
      </c>
      <c r="H1116">
        <v>549</v>
      </c>
      <c r="I1116" s="1" t="s">
        <v>26</v>
      </c>
      <c r="J1116">
        <v>1920</v>
      </c>
      <c r="K1116">
        <v>1200</v>
      </c>
      <c r="L1116" s="1" t="s">
        <v>28</v>
      </c>
      <c r="M1116" s="1" t="s">
        <v>28</v>
      </c>
      <c r="N1116" s="1" t="s">
        <v>27</v>
      </c>
      <c r="O1116" s="1" t="s">
        <v>29</v>
      </c>
      <c r="P1116">
        <v>1.44</v>
      </c>
      <c r="Q1116" s="1" t="s">
        <v>134</v>
      </c>
      <c r="R1116" s="1" t="str">
        <f>_xlfn.CONCAT(laptop[[#This Row],[CPU_company]]," ",laptop[[#This Row],[CPU_model]])</f>
        <v>Intel Atom x5-Z8550</v>
      </c>
      <c r="S1116">
        <v>64</v>
      </c>
      <c r="T1116">
        <v>0</v>
      </c>
      <c r="U1116">
        <f>laptop[[#This Row],[PrimaryStorage]]+laptop[[#This Row],[SecondaryStorage]]</f>
        <v>64</v>
      </c>
      <c r="V1116" s="1" t="s">
        <v>34</v>
      </c>
      <c r="W1116" s="1" t="s">
        <v>27</v>
      </c>
      <c r="X1116" s="1" t="str">
        <f>IF(laptop[[#This Row],[PrimaryStorageType]]=laptop[[#This Row],[SecondaryStorageType]],laptop[[#This Row],[PrimaryStorageType]],"SSD &amp; HDD")</f>
        <v>SSD &amp; HDD</v>
      </c>
      <c r="Y1116" s="1" t="s">
        <v>81</v>
      </c>
    </row>
    <row r="1117" spans="1:25" x14ac:dyDescent="0.25">
      <c r="A1117" s="1" t="s">
        <v>65</v>
      </c>
      <c r="B1117" s="1" t="s">
        <v>77</v>
      </c>
      <c r="C1117" s="1" t="s">
        <v>24</v>
      </c>
      <c r="D1117">
        <v>13.3</v>
      </c>
      <c r="E1117">
        <v>8</v>
      </c>
      <c r="F1117" s="1" t="s">
        <v>48</v>
      </c>
      <c r="G1117">
        <v>1.23</v>
      </c>
      <c r="H1117">
        <v>1379</v>
      </c>
      <c r="I1117" s="1" t="s">
        <v>40</v>
      </c>
      <c r="J1117">
        <v>1920</v>
      </c>
      <c r="K1117">
        <v>1080</v>
      </c>
      <c r="L1117" s="1" t="s">
        <v>27</v>
      </c>
      <c r="M1117" s="1" t="s">
        <v>27</v>
      </c>
      <c r="N1117" s="1" t="s">
        <v>27</v>
      </c>
      <c r="O1117" s="1" t="s">
        <v>29</v>
      </c>
      <c r="P1117">
        <v>2.4</v>
      </c>
      <c r="Q1117" s="1" t="s">
        <v>189</v>
      </c>
      <c r="R1117" s="1" t="str">
        <f>_xlfn.CONCAT(laptop[[#This Row],[CPU_company]]," ",laptop[[#This Row],[CPU_model]])</f>
        <v>Intel Core i7 7560U</v>
      </c>
      <c r="S1117">
        <v>256</v>
      </c>
      <c r="T1117">
        <v>0</v>
      </c>
      <c r="U1117">
        <f>laptop[[#This Row],[PrimaryStorage]]+laptop[[#This Row],[SecondaryStorage]]</f>
        <v>256</v>
      </c>
      <c r="V1117" s="1" t="s">
        <v>31</v>
      </c>
      <c r="W1117" s="1" t="s">
        <v>27</v>
      </c>
      <c r="X1117" s="1" t="str">
        <f>IF(laptop[[#This Row],[PrimaryStorageType]]=laptop[[#This Row],[SecondaryStorageType]],laptop[[#This Row],[PrimaryStorageType]],"SSD &amp; HDD")</f>
        <v>SSD &amp; HDD</v>
      </c>
      <c r="Y1117" s="1" t="s">
        <v>32</v>
      </c>
    </row>
    <row r="1118" spans="1:25" x14ac:dyDescent="0.25">
      <c r="A1118" s="1" t="s">
        <v>73</v>
      </c>
      <c r="B1118" s="1" t="s">
        <v>772</v>
      </c>
      <c r="C1118" s="1" t="s">
        <v>83</v>
      </c>
      <c r="D1118">
        <v>17.3</v>
      </c>
      <c r="E1118">
        <v>16</v>
      </c>
      <c r="F1118" s="1" t="s">
        <v>48</v>
      </c>
      <c r="G1118">
        <v>4.5999999999999996</v>
      </c>
      <c r="H1118">
        <v>2749.99</v>
      </c>
      <c r="I1118" s="1" t="s">
        <v>40</v>
      </c>
      <c r="J1118">
        <v>1920</v>
      </c>
      <c r="K1118">
        <v>1080</v>
      </c>
      <c r="L1118" s="1" t="s">
        <v>27</v>
      </c>
      <c r="M1118" s="1" t="s">
        <v>28</v>
      </c>
      <c r="N1118" s="1" t="s">
        <v>27</v>
      </c>
      <c r="O1118" s="1" t="s">
        <v>29</v>
      </c>
      <c r="P1118">
        <v>2.7</v>
      </c>
      <c r="Q1118" s="1" t="s">
        <v>514</v>
      </c>
      <c r="R1118" s="1" t="str">
        <f>_xlfn.CONCAT(laptop[[#This Row],[CPU_company]]," ",laptop[[#This Row],[CPU_model]])</f>
        <v>Intel Core i7 6820HK</v>
      </c>
      <c r="S1118">
        <v>256</v>
      </c>
      <c r="T1118">
        <v>1024</v>
      </c>
      <c r="U1118">
        <f>laptop[[#This Row],[PrimaryStorage]]+laptop[[#This Row],[SecondaryStorage]]</f>
        <v>1280</v>
      </c>
      <c r="V1118" s="1" t="s">
        <v>31</v>
      </c>
      <c r="W1118" s="1" t="s">
        <v>223</v>
      </c>
      <c r="X1118" s="1" t="str">
        <f>IF(laptop[[#This Row],[PrimaryStorageType]]=laptop[[#This Row],[SecondaryStorageType]],laptop[[#This Row],[PrimaryStorageType]],"SSD &amp; HDD")</f>
        <v>SSD &amp; HDD</v>
      </c>
      <c r="Y1118" s="1" t="s">
        <v>297</v>
      </c>
    </row>
    <row r="1119" spans="1:25" x14ac:dyDescent="0.25">
      <c r="A1119" s="1" t="s">
        <v>256</v>
      </c>
      <c r="B1119" s="1" t="s">
        <v>667</v>
      </c>
      <c r="C1119" s="1" t="s">
        <v>24</v>
      </c>
      <c r="D1119">
        <v>12.5</v>
      </c>
      <c r="E1119">
        <v>8</v>
      </c>
      <c r="F1119" s="1" t="s">
        <v>48</v>
      </c>
      <c r="G1119">
        <v>1.25</v>
      </c>
      <c r="H1119">
        <v>1029</v>
      </c>
      <c r="I1119" s="1" t="s">
        <v>215</v>
      </c>
      <c r="J1119">
        <v>3840</v>
      </c>
      <c r="K1119">
        <v>2160</v>
      </c>
      <c r="L1119" s="1" t="s">
        <v>28</v>
      </c>
      <c r="M1119" s="1" t="s">
        <v>27</v>
      </c>
      <c r="N1119" s="1" t="s">
        <v>27</v>
      </c>
      <c r="O1119" s="1" t="s">
        <v>29</v>
      </c>
      <c r="P1119">
        <v>2.5</v>
      </c>
      <c r="Q1119" s="1" t="s">
        <v>274</v>
      </c>
      <c r="R1119" s="1" t="str">
        <f>_xlfn.CONCAT(laptop[[#This Row],[CPU_company]]," ",laptop[[#This Row],[CPU_model]])</f>
        <v>Intel Core i7 6500U</v>
      </c>
      <c r="S1119">
        <v>256</v>
      </c>
      <c r="T1119">
        <v>0</v>
      </c>
      <c r="U1119">
        <f>laptop[[#This Row],[PrimaryStorage]]+laptop[[#This Row],[SecondaryStorage]]</f>
        <v>256</v>
      </c>
      <c r="V1119" s="1" t="s">
        <v>31</v>
      </c>
      <c r="W1119" s="1" t="s">
        <v>27</v>
      </c>
      <c r="X1119" s="1" t="str">
        <f>IF(laptop[[#This Row],[PrimaryStorageType]]=laptop[[#This Row],[SecondaryStorageType]],laptop[[#This Row],[PrimaryStorageType]],"SSD &amp; HDD")</f>
        <v>SSD &amp; HDD</v>
      </c>
      <c r="Y1119" s="1" t="s">
        <v>63</v>
      </c>
    </row>
    <row r="1120" spans="1:25" x14ac:dyDescent="0.25">
      <c r="A1120" s="1" t="s">
        <v>210</v>
      </c>
      <c r="B1120" s="1" t="s">
        <v>810</v>
      </c>
      <c r="C1120" s="1" t="s">
        <v>24</v>
      </c>
      <c r="D1120">
        <v>13.3</v>
      </c>
      <c r="E1120">
        <v>16</v>
      </c>
      <c r="F1120" s="1" t="s">
        <v>48</v>
      </c>
      <c r="G1120">
        <v>1.05</v>
      </c>
      <c r="H1120">
        <v>2226</v>
      </c>
      <c r="I1120" s="1" t="s">
        <v>40</v>
      </c>
      <c r="J1120">
        <v>1920</v>
      </c>
      <c r="K1120">
        <v>1080</v>
      </c>
      <c r="L1120" s="1" t="s">
        <v>27</v>
      </c>
      <c r="M1120" s="1" t="s">
        <v>27</v>
      </c>
      <c r="N1120" s="1" t="s">
        <v>27</v>
      </c>
      <c r="O1120" s="1" t="s">
        <v>29</v>
      </c>
      <c r="P1120">
        <v>2.7</v>
      </c>
      <c r="Q1120" s="1" t="s">
        <v>71</v>
      </c>
      <c r="R1120" s="1" t="str">
        <f>_xlfn.CONCAT(laptop[[#This Row],[CPU_company]]," ",laptop[[#This Row],[CPU_model]])</f>
        <v>Intel Core i7 7500U</v>
      </c>
      <c r="S1120">
        <v>512</v>
      </c>
      <c r="T1120">
        <v>0</v>
      </c>
      <c r="U1120">
        <f>laptop[[#This Row],[PrimaryStorage]]+laptop[[#This Row],[SecondaryStorage]]</f>
        <v>512</v>
      </c>
      <c r="V1120" s="1" t="s">
        <v>31</v>
      </c>
      <c r="W1120" s="1" t="s">
        <v>27</v>
      </c>
      <c r="X1120" s="1" t="str">
        <f>IF(laptop[[#This Row],[PrimaryStorageType]]=laptop[[#This Row],[SecondaryStorageType]],laptop[[#This Row],[PrimaryStorageType]],"SSD &amp; HDD")</f>
        <v>SSD &amp; HDD</v>
      </c>
      <c r="Y1120" s="1" t="s">
        <v>42</v>
      </c>
    </row>
    <row r="1121" spans="1:25" x14ac:dyDescent="0.25">
      <c r="A1121" s="1" t="s">
        <v>55</v>
      </c>
      <c r="B1121" s="1" t="s">
        <v>811</v>
      </c>
      <c r="C1121" s="1" t="s">
        <v>83</v>
      </c>
      <c r="D1121">
        <v>17.3</v>
      </c>
      <c r="E1121">
        <v>8</v>
      </c>
      <c r="F1121" s="1" t="s">
        <v>48</v>
      </c>
      <c r="G1121">
        <v>3.52</v>
      </c>
      <c r="H1121">
        <v>1312.49</v>
      </c>
      <c r="I1121" s="1" t="s">
        <v>40</v>
      </c>
      <c r="J1121">
        <v>1920</v>
      </c>
      <c r="K1121">
        <v>1080</v>
      </c>
      <c r="L1121" s="1" t="s">
        <v>27</v>
      </c>
      <c r="M1121" s="1" t="s">
        <v>27</v>
      </c>
      <c r="N1121" s="1" t="s">
        <v>27</v>
      </c>
      <c r="O1121" s="1" t="s">
        <v>29</v>
      </c>
      <c r="P1121">
        <v>2.6</v>
      </c>
      <c r="Q1121" s="1" t="s">
        <v>447</v>
      </c>
      <c r="R1121" s="1" t="str">
        <f>_xlfn.CONCAT(laptop[[#This Row],[CPU_company]]," ",laptop[[#This Row],[CPU_model]])</f>
        <v>Intel Core i7 6700HQ</v>
      </c>
      <c r="S1121">
        <v>128</v>
      </c>
      <c r="T1121">
        <v>1024</v>
      </c>
      <c r="U1121">
        <f>laptop[[#This Row],[PrimaryStorage]]+laptop[[#This Row],[SecondaryStorage]]</f>
        <v>1152</v>
      </c>
      <c r="V1121" s="1" t="s">
        <v>31</v>
      </c>
      <c r="W1121" s="1" t="s">
        <v>51</v>
      </c>
      <c r="X1121" s="1" t="str">
        <f>IF(laptop[[#This Row],[PrimaryStorageType]]=laptop[[#This Row],[SecondaryStorageType]],laptop[[#This Row],[PrimaryStorageType]],"SSD &amp; HDD")</f>
        <v>SSD &amp; HDD</v>
      </c>
      <c r="Y1121" s="1" t="s">
        <v>483</v>
      </c>
    </row>
    <row r="1122" spans="1:25" x14ac:dyDescent="0.25">
      <c r="A1122" s="1" t="s">
        <v>253</v>
      </c>
      <c r="B1122" s="1" t="s">
        <v>812</v>
      </c>
      <c r="C1122" s="1" t="s">
        <v>38</v>
      </c>
      <c r="D1122">
        <v>13.3</v>
      </c>
      <c r="E1122">
        <v>4</v>
      </c>
      <c r="F1122" s="1" t="s">
        <v>48</v>
      </c>
      <c r="G1122">
        <v>1.35</v>
      </c>
      <c r="H1122">
        <v>196</v>
      </c>
      <c r="I1122" s="1" t="s">
        <v>40</v>
      </c>
      <c r="J1122">
        <v>1920</v>
      </c>
      <c r="K1122">
        <v>1080</v>
      </c>
      <c r="L1122" s="1" t="s">
        <v>27</v>
      </c>
      <c r="M1122" s="1" t="s">
        <v>27</v>
      </c>
      <c r="N1122" s="1" t="s">
        <v>27</v>
      </c>
      <c r="O1122" s="1" t="s">
        <v>29</v>
      </c>
      <c r="P1122">
        <v>1.44</v>
      </c>
      <c r="Q1122" s="1" t="s">
        <v>768</v>
      </c>
      <c r="R1122" s="1" t="str">
        <f>_xlfn.CONCAT(laptop[[#This Row],[CPU_company]]," ",laptop[[#This Row],[CPU_model]])</f>
        <v>Intel Atom X5-Z8350</v>
      </c>
      <c r="S1122">
        <v>32</v>
      </c>
      <c r="T1122">
        <v>0</v>
      </c>
      <c r="U1122">
        <f>laptop[[#This Row],[PrimaryStorage]]+laptop[[#This Row],[SecondaryStorage]]</f>
        <v>32</v>
      </c>
      <c r="V1122" s="1" t="s">
        <v>34</v>
      </c>
      <c r="W1122" s="1" t="s">
        <v>27</v>
      </c>
      <c r="X1122" s="1" t="str">
        <f>IF(laptop[[#This Row],[PrimaryStorageType]]=laptop[[#This Row],[SecondaryStorageType]],laptop[[#This Row],[PrimaryStorageType]],"SSD &amp; HDD")</f>
        <v>SSD &amp; HDD</v>
      </c>
      <c r="Y1122" s="1" t="s">
        <v>81</v>
      </c>
    </row>
    <row r="1123" spans="1:25" x14ac:dyDescent="0.25">
      <c r="A1123" s="1" t="s">
        <v>36</v>
      </c>
      <c r="B1123" s="1" t="s">
        <v>809</v>
      </c>
      <c r="C1123" s="1" t="s">
        <v>38</v>
      </c>
      <c r="D1123">
        <v>13.3</v>
      </c>
      <c r="E1123">
        <v>8</v>
      </c>
      <c r="F1123" s="1" t="s">
        <v>48</v>
      </c>
      <c r="G1123">
        <v>1.1599999999999999</v>
      </c>
      <c r="H1123">
        <v>1690</v>
      </c>
      <c r="I1123" s="1" t="s">
        <v>40</v>
      </c>
      <c r="J1123">
        <v>1920</v>
      </c>
      <c r="K1123">
        <v>1080</v>
      </c>
      <c r="L1123" s="1" t="s">
        <v>27</v>
      </c>
      <c r="M1123" s="1" t="s">
        <v>27</v>
      </c>
      <c r="N1123" s="1" t="s">
        <v>27</v>
      </c>
      <c r="O1123" s="1" t="s">
        <v>29</v>
      </c>
      <c r="P1123">
        <v>2.2999999999999998</v>
      </c>
      <c r="Q1123" s="1" t="s">
        <v>212</v>
      </c>
      <c r="R1123" s="1" t="str">
        <f>_xlfn.CONCAT(laptop[[#This Row],[CPU_company]]," ",laptop[[#This Row],[CPU_model]])</f>
        <v>Intel Core i5 6200U</v>
      </c>
      <c r="S1123">
        <v>256</v>
      </c>
      <c r="T1123">
        <v>0</v>
      </c>
      <c r="U1123">
        <f>laptop[[#This Row],[PrimaryStorage]]+laptop[[#This Row],[SecondaryStorage]]</f>
        <v>256</v>
      </c>
      <c r="V1123" s="1" t="s">
        <v>31</v>
      </c>
      <c r="W1123" s="1" t="s">
        <v>27</v>
      </c>
      <c r="X1123" s="1" t="str">
        <f>IF(laptop[[#This Row],[PrimaryStorageType]]=laptop[[#This Row],[SecondaryStorageType]],laptop[[#This Row],[PrimaryStorageType]],"SSD &amp; HDD")</f>
        <v>SSD &amp; HDD</v>
      </c>
      <c r="Y1123" s="1" t="s">
        <v>63</v>
      </c>
    </row>
    <row r="1124" spans="1:25" x14ac:dyDescent="0.25">
      <c r="A1124" s="1" t="s">
        <v>36</v>
      </c>
      <c r="B1124" s="1" t="s">
        <v>405</v>
      </c>
      <c r="C1124" s="1" t="s">
        <v>38</v>
      </c>
      <c r="D1124">
        <v>14</v>
      </c>
      <c r="E1124">
        <v>8</v>
      </c>
      <c r="F1124" s="1" t="s">
        <v>480</v>
      </c>
      <c r="G1124">
        <v>1.43</v>
      </c>
      <c r="H1124">
        <v>1513</v>
      </c>
      <c r="I1124" s="1" t="s">
        <v>40</v>
      </c>
      <c r="J1124">
        <v>1920</v>
      </c>
      <c r="K1124">
        <v>1080</v>
      </c>
      <c r="L1124" s="1" t="s">
        <v>27</v>
      </c>
      <c r="M1124" s="1" t="s">
        <v>27</v>
      </c>
      <c r="N1124" s="1" t="s">
        <v>27</v>
      </c>
      <c r="O1124" s="1" t="s">
        <v>29</v>
      </c>
      <c r="P1124">
        <v>2.2999999999999998</v>
      </c>
      <c r="Q1124" s="1" t="s">
        <v>212</v>
      </c>
      <c r="R1124" s="1" t="str">
        <f>_xlfn.CONCAT(laptop[[#This Row],[CPU_company]]," ",laptop[[#This Row],[CPU_model]])</f>
        <v>Intel Core i5 6200U</v>
      </c>
      <c r="S1124">
        <v>256</v>
      </c>
      <c r="T1124">
        <v>0</v>
      </c>
      <c r="U1124">
        <f>laptop[[#This Row],[PrimaryStorage]]+laptop[[#This Row],[SecondaryStorage]]</f>
        <v>256</v>
      </c>
      <c r="V1124" s="1" t="s">
        <v>31</v>
      </c>
      <c r="W1124" s="1" t="s">
        <v>27</v>
      </c>
      <c r="X1124" s="1" t="str">
        <f>IF(laptop[[#This Row],[PrimaryStorageType]]=laptop[[#This Row],[SecondaryStorageType]],laptop[[#This Row],[PrimaryStorageType]],"SSD &amp; HDD")</f>
        <v>SSD &amp; HDD</v>
      </c>
      <c r="Y1124" s="1" t="s">
        <v>63</v>
      </c>
    </row>
    <row r="1125" spans="1:25" x14ac:dyDescent="0.25">
      <c r="A1125" s="1" t="s">
        <v>65</v>
      </c>
      <c r="B1125" s="1" t="s">
        <v>764</v>
      </c>
      <c r="C1125" s="1" t="s">
        <v>38</v>
      </c>
      <c r="D1125">
        <v>15.6</v>
      </c>
      <c r="E1125">
        <v>4</v>
      </c>
      <c r="F1125" s="1" t="s">
        <v>111</v>
      </c>
      <c r="G1125">
        <v>2.09</v>
      </c>
      <c r="H1125">
        <v>523.63</v>
      </c>
      <c r="I1125" s="1" t="s">
        <v>26</v>
      </c>
      <c r="J1125">
        <v>1366</v>
      </c>
      <c r="K1125">
        <v>768</v>
      </c>
      <c r="L1125" s="1" t="s">
        <v>27</v>
      </c>
      <c r="M1125" s="1" t="s">
        <v>27</v>
      </c>
      <c r="N1125" s="1" t="s">
        <v>27</v>
      </c>
      <c r="O1125" s="1" t="s">
        <v>29</v>
      </c>
      <c r="P1125">
        <v>2.2999999999999998</v>
      </c>
      <c r="Q1125" s="1" t="s">
        <v>212</v>
      </c>
      <c r="R1125" s="1" t="str">
        <f>_xlfn.CONCAT(laptop[[#This Row],[CPU_company]]," ",laptop[[#This Row],[CPU_model]])</f>
        <v>Intel Core i5 6200U</v>
      </c>
      <c r="S1125">
        <v>500</v>
      </c>
      <c r="T1125">
        <v>0</v>
      </c>
      <c r="U1125">
        <f>laptop[[#This Row],[PrimaryStorage]]+laptop[[#This Row],[SecondaryStorage]]</f>
        <v>500</v>
      </c>
      <c r="V1125" s="1" t="s">
        <v>51</v>
      </c>
      <c r="W1125" s="1" t="s">
        <v>27</v>
      </c>
      <c r="X1125" s="1" t="str">
        <f>IF(laptop[[#This Row],[PrimaryStorageType]]=laptop[[#This Row],[SecondaryStorageType]],laptop[[#This Row],[PrimaryStorageType]],"SSD &amp; HDD")</f>
        <v>SSD &amp; HDD</v>
      </c>
      <c r="Y1125" s="1" t="s">
        <v>63</v>
      </c>
    </row>
    <row r="1126" spans="1:25" x14ac:dyDescent="0.25">
      <c r="A1126" s="1" t="s">
        <v>55</v>
      </c>
      <c r="B1126" s="1" t="s">
        <v>140</v>
      </c>
      <c r="C1126" s="1" t="s">
        <v>38</v>
      </c>
      <c r="D1126">
        <v>15.6</v>
      </c>
      <c r="E1126">
        <v>4</v>
      </c>
      <c r="F1126" s="1" t="s">
        <v>48</v>
      </c>
      <c r="G1126">
        <v>2</v>
      </c>
      <c r="H1126">
        <v>435</v>
      </c>
      <c r="I1126" s="1" t="s">
        <v>26</v>
      </c>
      <c r="J1126">
        <v>1366</v>
      </c>
      <c r="K1126">
        <v>768</v>
      </c>
      <c r="L1126" s="1" t="s">
        <v>27</v>
      </c>
      <c r="M1126" s="1" t="s">
        <v>27</v>
      </c>
      <c r="N1126" s="1" t="s">
        <v>27</v>
      </c>
      <c r="O1126" s="1" t="s">
        <v>29</v>
      </c>
      <c r="P1126">
        <v>2.4</v>
      </c>
      <c r="Q1126" s="1" t="s">
        <v>75</v>
      </c>
      <c r="R1126" s="1" t="str">
        <f>_xlfn.CONCAT(laptop[[#This Row],[CPU_company]]," ",laptop[[#This Row],[CPU_model]])</f>
        <v>Intel Core i3 7100U</v>
      </c>
      <c r="S1126">
        <v>1024</v>
      </c>
      <c r="T1126">
        <v>0</v>
      </c>
      <c r="U1126">
        <f>laptop[[#This Row],[PrimaryStorage]]+laptop[[#This Row],[SecondaryStorage]]</f>
        <v>1024</v>
      </c>
      <c r="V1126" s="1" t="s">
        <v>51</v>
      </c>
      <c r="W1126" s="1" t="s">
        <v>27</v>
      </c>
      <c r="X1126" s="1" t="str">
        <f>IF(laptop[[#This Row],[PrimaryStorageType]]=laptop[[#This Row],[SecondaryStorageType]],laptop[[#This Row],[PrimaryStorageType]],"SSD &amp; HDD")</f>
        <v>SSD &amp; HDD</v>
      </c>
      <c r="Y1126" s="1" t="s">
        <v>42</v>
      </c>
    </row>
    <row r="1127" spans="1:25" x14ac:dyDescent="0.25">
      <c r="A1127" s="1" t="s">
        <v>73</v>
      </c>
      <c r="B1127" s="1" t="s">
        <v>190</v>
      </c>
      <c r="C1127" s="1" t="s">
        <v>90</v>
      </c>
      <c r="D1127">
        <v>14</v>
      </c>
      <c r="E1127">
        <v>8</v>
      </c>
      <c r="F1127" s="1" t="s">
        <v>48</v>
      </c>
      <c r="G1127">
        <v>1.8</v>
      </c>
      <c r="H1127">
        <v>1669</v>
      </c>
      <c r="I1127" s="1" t="s">
        <v>40</v>
      </c>
      <c r="J1127">
        <v>1920</v>
      </c>
      <c r="K1127">
        <v>1080</v>
      </c>
      <c r="L1127" s="1" t="s">
        <v>28</v>
      </c>
      <c r="M1127" s="1" t="s">
        <v>28</v>
      </c>
      <c r="N1127" s="1" t="s">
        <v>27</v>
      </c>
      <c r="O1127" s="1" t="s">
        <v>29</v>
      </c>
      <c r="P1127">
        <v>2.5</v>
      </c>
      <c r="Q1127" s="1" t="s">
        <v>274</v>
      </c>
      <c r="R1127" s="1" t="str">
        <f>_xlfn.CONCAT(laptop[[#This Row],[CPU_company]]," ",laptop[[#This Row],[CPU_model]])</f>
        <v>Intel Core i7 6500U</v>
      </c>
      <c r="S1127">
        <v>256</v>
      </c>
      <c r="T1127">
        <v>0</v>
      </c>
      <c r="U1127">
        <f>laptop[[#This Row],[PrimaryStorage]]+laptop[[#This Row],[SecondaryStorage]]</f>
        <v>256</v>
      </c>
      <c r="V1127" s="1" t="s">
        <v>31</v>
      </c>
      <c r="W1127" s="1" t="s">
        <v>27</v>
      </c>
      <c r="X1127" s="1" t="str">
        <f>IF(laptop[[#This Row],[PrimaryStorageType]]=laptop[[#This Row],[SecondaryStorageType]],laptop[[#This Row],[PrimaryStorageType]],"SSD &amp; HDD")</f>
        <v>SSD &amp; HDD</v>
      </c>
      <c r="Y1127" s="1" t="s">
        <v>63</v>
      </c>
    </row>
    <row r="1128" spans="1:25" x14ac:dyDescent="0.25">
      <c r="A1128" s="1" t="s">
        <v>73</v>
      </c>
      <c r="B1128" s="1" t="s">
        <v>132</v>
      </c>
      <c r="C1128" s="1" t="s">
        <v>90</v>
      </c>
      <c r="D1128">
        <v>10.1</v>
      </c>
      <c r="E1128">
        <v>4</v>
      </c>
      <c r="F1128" s="1" t="s">
        <v>48</v>
      </c>
      <c r="G1128">
        <v>0.69</v>
      </c>
      <c r="H1128">
        <v>479</v>
      </c>
      <c r="I1128" s="1" t="s">
        <v>26</v>
      </c>
      <c r="J1128">
        <v>1920</v>
      </c>
      <c r="K1128">
        <v>1200</v>
      </c>
      <c r="L1128" s="1" t="s">
        <v>28</v>
      </c>
      <c r="M1128" s="1" t="s">
        <v>28</v>
      </c>
      <c r="N1128" s="1" t="s">
        <v>27</v>
      </c>
      <c r="O1128" s="1" t="s">
        <v>29</v>
      </c>
      <c r="P1128">
        <v>1.44</v>
      </c>
      <c r="Q1128" s="1" t="s">
        <v>134</v>
      </c>
      <c r="R1128" s="1" t="str">
        <f>_xlfn.CONCAT(laptop[[#This Row],[CPU_company]]," ",laptop[[#This Row],[CPU_model]])</f>
        <v>Intel Atom x5-Z8550</v>
      </c>
      <c r="S1128">
        <v>64</v>
      </c>
      <c r="T1128">
        <v>0</v>
      </c>
      <c r="U1128">
        <f>laptop[[#This Row],[PrimaryStorage]]+laptop[[#This Row],[SecondaryStorage]]</f>
        <v>64</v>
      </c>
      <c r="V1128" s="1" t="s">
        <v>34</v>
      </c>
      <c r="W1128" s="1" t="s">
        <v>27</v>
      </c>
      <c r="X1128" s="1" t="str">
        <f>IF(laptop[[#This Row],[PrimaryStorageType]]=laptop[[#This Row],[SecondaryStorageType]],laptop[[#This Row],[PrimaryStorageType]],"SSD &amp; HDD")</f>
        <v>SSD &amp; HDD</v>
      </c>
      <c r="Y1128" s="1" t="s">
        <v>81</v>
      </c>
    </row>
    <row r="1129" spans="1:25" x14ac:dyDescent="0.25">
      <c r="A1129" s="1" t="s">
        <v>36</v>
      </c>
      <c r="B1129" s="1" t="s">
        <v>639</v>
      </c>
      <c r="C1129" s="1" t="s">
        <v>24</v>
      </c>
      <c r="D1129">
        <v>12.5</v>
      </c>
      <c r="E1129">
        <v>8</v>
      </c>
      <c r="F1129" s="1" t="s">
        <v>480</v>
      </c>
      <c r="G1129">
        <v>1.26</v>
      </c>
      <c r="H1129">
        <v>1895</v>
      </c>
      <c r="I1129" s="1" t="s">
        <v>26</v>
      </c>
      <c r="J1129">
        <v>1366</v>
      </c>
      <c r="K1129">
        <v>768</v>
      </c>
      <c r="L1129" s="1" t="s">
        <v>27</v>
      </c>
      <c r="M1129" s="1" t="s">
        <v>27</v>
      </c>
      <c r="N1129" s="1" t="s">
        <v>27</v>
      </c>
      <c r="O1129" s="1" t="s">
        <v>29</v>
      </c>
      <c r="P1129">
        <v>2.4</v>
      </c>
      <c r="Q1129" s="1" t="s">
        <v>562</v>
      </c>
      <c r="R1129" s="1" t="str">
        <f>_xlfn.CONCAT(laptop[[#This Row],[CPU_company]]," ",laptop[[#This Row],[CPU_model]])</f>
        <v>Intel Core i5 6300U</v>
      </c>
      <c r="S1129">
        <v>256</v>
      </c>
      <c r="T1129">
        <v>0</v>
      </c>
      <c r="U1129">
        <f>laptop[[#This Row],[PrimaryStorage]]+laptop[[#This Row],[SecondaryStorage]]</f>
        <v>256</v>
      </c>
      <c r="V1129" s="1" t="s">
        <v>31</v>
      </c>
      <c r="W1129" s="1" t="s">
        <v>27</v>
      </c>
      <c r="X1129" s="1" t="str">
        <f>IF(laptop[[#This Row],[PrimaryStorageType]]=laptop[[#This Row],[SecondaryStorageType]],laptop[[#This Row],[PrimaryStorageType]],"SSD &amp; HDD")</f>
        <v>SSD &amp; HDD</v>
      </c>
      <c r="Y1129" s="1" t="s">
        <v>63</v>
      </c>
    </row>
    <row r="1130" spans="1:25" x14ac:dyDescent="0.25">
      <c r="A1130" s="1" t="s">
        <v>73</v>
      </c>
      <c r="B1130" s="1" t="s">
        <v>82</v>
      </c>
      <c r="C1130" s="1" t="s">
        <v>83</v>
      </c>
      <c r="D1130">
        <v>15.6</v>
      </c>
      <c r="E1130">
        <v>8</v>
      </c>
      <c r="F1130" s="1" t="s">
        <v>39</v>
      </c>
      <c r="G1130">
        <v>2.4</v>
      </c>
      <c r="H1130">
        <v>989</v>
      </c>
      <c r="I1130" s="1" t="s">
        <v>40</v>
      </c>
      <c r="J1130">
        <v>1920</v>
      </c>
      <c r="K1130">
        <v>1080</v>
      </c>
      <c r="L1130" s="1" t="s">
        <v>27</v>
      </c>
      <c r="M1130" s="1" t="s">
        <v>28</v>
      </c>
      <c r="N1130" s="1" t="s">
        <v>27</v>
      </c>
      <c r="O1130" s="1" t="s">
        <v>29</v>
      </c>
      <c r="P1130">
        <v>2.5</v>
      </c>
      <c r="Q1130" s="1" t="s">
        <v>84</v>
      </c>
      <c r="R1130" s="1" t="str">
        <f>_xlfn.CONCAT(laptop[[#This Row],[CPU_company]]," ",laptop[[#This Row],[CPU_model]])</f>
        <v>Intel Core i5 7300HQ</v>
      </c>
      <c r="S1130">
        <v>128</v>
      </c>
      <c r="T1130">
        <v>1024</v>
      </c>
      <c r="U1130">
        <f>laptop[[#This Row],[PrimaryStorage]]+laptop[[#This Row],[SecondaryStorage]]</f>
        <v>1152</v>
      </c>
      <c r="V1130" s="1" t="s">
        <v>31</v>
      </c>
      <c r="W1130" s="1" t="s">
        <v>51</v>
      </c>
      <c r="X1130" s="1" t="str">
        <f>IF(laptop[[#This Row],[PrimaryStorageType]]=laptop[[#This Row],[SecondaryStorageType]],laptop[[#This Row],[PrimaryStorageType]],"SSD &amp; HDD")</f>
        <v>SSD &amp; HDD</v>
      </c>
      <c r="Y1130" s="1" t="s">
        <v>119</v>
      </c>
    </row>
    <row r="1131" spans="1:25" x14ac:dyDescent="0.25">
      <c r="A1131" s="1" t="s">
        <v>36</v>
      </c>
      <c r="B1131" s="1" t="s">
        <v>813</v>
      </c>
      <c r="C1131" s="1" t="s">
        <v>83</v>
      </c>
      <c r="D1131">
        <v>17.3</v>
      </c>
      <c r="E1131">
        <v>8</v>
      </c>
      <c r="F1131" s="1" t="s">
        <v>48</v>
      </c>
      <c r="G1131">
        <v>3.35</v>
      </c>
      <c r="H1131">
        <v>1129</v>
      </c>
      <c r="I1131" s="1" t="s">
        <v>40</v>
      </c>
      <c r="J1131">
        <v>1920</v>
      </c>
      <c r="K1131">
        <v>1080</v>
      </c>
      <c r="L1131" s="1" t="s">
        <v>27</v>
      </c>
      <c r="M1131" s="1" t="s">
        <v>28</v>
      </c>
      <c r="N1131" s="1" t="s">
        <v>27</v>
      </c>
      <c r="O1131" s="1" t="s">
        <v>29</v>
      </c>
      <c r="P1131">
        <v>2.2999999999999998</v>
      </c>
      <c r="Q1131" s="1" t="s">
        <v>601</v>
      </c>
      <c r="R1131" s="1" t="str">
        <f>_xlfn.CONCAT(laptop[[#This Row],[CPU_company]]," ",laptop[[#This Row],[CPU_model]])</f>
        <v>Intel Core i5 6300HQ</v>
      </c>
      <c r="S1131">
        <v>128</v>
      </c>
      <c r="T1131">
        <v>1024</v>
      </c>
      <c r="U1131">
        <f>laptop[[#This Row],[PrimaryStorage]]+laptop[[#This Row],[SecondaryStorage]]</f>
        <v>1152</v>
      </c>
      <c r="V1131" s="1" t="s">
        <v>31</v>
      </c>
      <c r="W1131" s="1" t="s">
        <v>51</v>
      </c>
      <c r="X1131" s="1" t="str">
        <f>IF(laptop[[#This Row],[PrimaryStorageType]]=laptop[[#This Row],[SecondaryStorageType]],laptop[[#This Row],[PrimaryStorageType]],"SSD &amp; HDD")</f>
        <v>SSD &amp; HDD</v>
      </c>
      <c r="Y1131" s="1" t="s">
        <v>119</v>
      </c>
    </row>
    <row r="1132" spans="1:25" x14ac:dyDescent="0.25">
      <c r="A1132" s="1" t="s">
        <v>36</v>
      </c>
      <c r="B1132" s="1" t="s">
        <v>814</v>
      </c>
      <c r="C1132" s="1" t="s">
        <v>38</v>
      </c>
      <c r="D1132">
        <v>15.6</v>
      </c>
      <c r="E1132">
        <v>8</v>
      </c>
      <c r="F1132" s="1" t="s">
        <v>48</v>
      </c>
      <c r="G1132">
        <v>2.04</v>
      </c>
      <c r="H1132">
        <v>629</v>
      </c>
      <c r="I1132" s="1" t="s">
        <v>26</v>
      </c>
      <c r="J1132">
        <v>1366</v>
      </c>
      <c r="K1132">
        <v>768</v>
      </c>
      <c r="L1132" s="1" t="s">
        <v>27</v>
      </c>
      <c r="M1132" s="1" t="s">
        <v>27</v>
      </c>
      <c r="N1132" s="1" t="s">
        <v>27</v>
      </c>
      <c r="O1132" s="1" t="s">
        <v>29</v>
      </c>
      <c r="P1132">
        <v>2.7</v>
      </c>
      <c r="Q1132" s="1" t="s">
        <v>71</v>
      </c>
      <c r="R1132" s="1" t="str">
        <f>_xlfn.CONCAT(laptop[[#This Row],[CPU_company]]," ",laptop[[#This Row],[CPU_model]])</f>
        <v>Intel Core i7 7500U</v>
      </c>
      <c r="S1132">
        <v>2048</v>
      </c>
      <c r="T1132">
        <v>0</v>
      </c>
      <c r="U1132">
        <f>laptop[[#This Row],[PrimaryStorage]]+laptop[[#This Row],[SecondaryStorage]]</f>
        <v>2048</v>
      </c>
      <c r="V1132" s="1" t="s">
        <v>51</v>
      </c>
      <c r="W1132" s="1" t="s">
        <v>27</v>
      </c>
      <c r="X1132" s="1" t="str">
        <f>IF(laptop[[#This Row],[PrimaryStorageType]]=laptop[[#This Row],[SecondaryStorageType]],laptop[[#This Row],[PrimaryStorageType]],"SSD &amp; HDD")</f>
        <v>SSD &amp; HDD</v>
      </c>
      <c r="Y1132" s="1" t="s">
        <v>42</v>
      </c>
    </row>
    <row r="1133" spans="1:25" x14ac:dyDescent="0.25">
      <c r="A1133" s="1" t="s">
        <v>73</v>
      </c>
      <c r="B1133" s="1" t="s">
        <v>815</v>
      </c>
      <c r="C1133" s="1" t="s">
        <v>90</v>
      </c>
      <c r="D1133">
        <v>14</v>
      </c>
      <c r="E1133">
        <v>8</v>
      </c>
      <c r="F1133" s="1" t="s">
        <v>480</v>
      </c>
      <c r="G1133">
        <v>1.8</v>
      </c>
      <c r="H1133">
        <v>2050.38</v>
      </c>
      <c r="I1133" s="1" t="s">
        <v>40</v>
      </c>
      <c r="J1133">
        <v>1920</v>
      </c>
      <c r="K1133">
        <v>1080</v>
      </c>
      <c r="L1133" s="1" t="s">
        <v>28</v>
      </c>
      <c r="M1133" s="1" t="s">
        <v>28</v>
      </c>
      <c r="N1133" s="1" t="s">
        <v>27</v>
      </c>
      <c r="O1133" s="1" t="s">
        <v>29</v>
      </c>
      <c r="P1133">
        <v>2.6</v>
      </c>
      <c r="Q1133" s="1" t="s">
        <v>309</v>
      </c>
      <c r="R1133" s="1" t="str">
        <f>_xlfn.CONCAT(laptop[[#This Row],[CPU_company]]," ",laptop[[#This Row],[CPU_model]])</f>
        <v>Intel Core i7 6600U</v>
      </c>
      <c r="S1133">
        <v>512</v>
      </c>
      <c r="T1133">
        <v>0</v>
      </c>
      <c r="U1133">
        <f>laptop[[#This Row],[PrimaryStorage]]+laptop[[#This Row],[SecondaryStorage]]</f>
        <v>512</v>
      </c>
      <c r="V1133" s="1" t="s">
        <v>31</v>
      </c>
      <c r="W1133" s="1" t="s">
        <v>27</v>
      </c>
      <c r="X1133" s="1" t="str">
        <f>IF(laptop[[#This Row],[PrimaryStorageType]]=laptop[[#This Row],[SecondaryStorageType]],laptop[[#This Row],[PrimaryStorageType]],"SSD &amp; HDD")</f>
        <v>SSD &amp; HDD</v>
      </c>
      <c r="Y1133" s="1" t="s">
        <v>816</v>
      </c>
    </row>
    <row r="1134" spans="1:25" x14ac:dyDescent="0.25">
      <c r="A1134" s="1" t="s">
        <v>55</v>
      </c>
      <c r="B1134" s="1" t="s">
        <v>817</v>
      </c>
      <c r="C1134" s="1" t="s">
        <v>38</v>
      </c>
      <c r="D1134">
        <v>14</v>
      </c>
      <c r="E1134">
        <v>4</v>
      </c>
      <c r="F1134" s="1" t="s">
        <v>48</v>
      </c>
      <c r="G1134">
        <v>1.5</v>
      </c>
      <c r="H1134">
        <v>278</v>
      </c>
      <c r="I1134" s="1" t="s">
        <v>26</v>
      </c>
      <c r="J1134">
        <v>1366</v>
      </c>
      <c r="K1134">
        <v>768</v>
      </c>
      <c r="L1134" s="1" t="s">
        <v>27</v>
      </c>
      <c r="M1134" s="1" t="s">
        <v>27</v>
      </c>
      <c r="N1134" s="1" t="s">
        <v>27</v>
      </c>
      <c r="O1134" s="1" t="s">
        <v>29</v>
      </c>
      <c r="P1134">
        <v>1.1000000000000001</v>
      </c>
      <c r="Q1134" s="1" t="s">
        <v>109</v>
      </c>
      <c r="R1134" s="1" t="str">
        <f>_xlfn.CONCAT(laptop[[#This Row],[CPU_company]]," ",laptop[[#This Row],[CPU_model]])</f>
        <v>Intel Celeron Dual Core N3350</v>
      </c>
      <c r="S1134">
        <v>32</v>
      </c>
      <c r="T1134">
        <v>0</v>
      </c>
      <c r="U1134">
        <f>laptop[[#This Row],[PrimaryStorage]]+laptop[[#This Row],[SecondaryStorage]]</f>
        <v>32</v>
      </c>
      <c r="V1134" s="1" t="s">
        <v>34</v>
      </c>
      <c r="W1134" s="1" t="s">
        <v>27</v>
      </c>
      <c r="X1134" s="1" t="str">
        <f>IF(laptop[[#This Row],[PrimaryStorageType]]=laptop[[#This Row],[SecondaryStorageType]],laptop[[#This Row],[PrimaryStorageType]],"SSD &amp; HDD")</f>
        <v>SSD &amp; HDD</v>
      </c>
      <c r="Y1134" s="1" t="s">
        <v>110</v>
      </c>
    </row>
    <row r="1135" spans="1:25" x14ac:dyDescent="0.25">
      <c r="A1135" s="1" t="s">
        <v>36</v>
      </c>
      <c r="B1135" s="1" t="s">
        <v>37</v>
      </c>
      <c r="C1135" s="1" t="s">
        <v>24</v>
      </c>
      <c r="D1135">
        <v>15.6</v>
      </c>
      <c r="E1135">
        <v>8</v>
      </c>
      <c r="F1135" s="1" t="s">
        <v>48</v>
      </c>
      <c r="G1135">
        <v>1.84</v>
      </c>
      <c r="H1135">
        <v>752</v>
      </c>
      <c r="I1135" s="1" t="s">
        <v>40</v>
      </c>
      <c r="J1135">
        <v>1920</v>
      </c>
      <c r="K1135">
        <v>1080</v>
      </c>
      <c r="L1135" s="1" t="s">
        <v>27</v>
      </c>
      <c r="M1135" s="1" t="s">
        <v>27</v>
      </c>
      <c r="N1135" s="1" t="s">
        <v>27</v>
      </c>
      <c r="O1135" s="1" t="s">
        <v>29</v>
      </c>
      <c r="P1135">
        <v>2.7</v>
      </c>
      <c r="Q1135" s="1" t="s">
        <v>71</v>
      </c>
      <c r="R1135" s="1" t="str">
        <f>_xlfn.CONCAT(laptop[[#This Row],[CPU_company]]," ",laptop[[#This Row],[CPU_model]])</f>
        <v>Intel Core i7 7500U</v>
      </c>
      <c r="S1135">
        <v>256</v>
      </c>
      <c r="T1135">
        <v>0</v>
      </c>
      <c r="U1135">
        <f>laptop[[#This Row],[PrimaryStorage]]+laptop[[#This Row],[SecondaryStorage]]</f>
        <v>256</v>
      </c>
      <c r="V1135" s="1" t="s">
        <v>31</v>
      </c>
      <c r="W1135" s="1" t="s">
        <v>27</v>
      </c>
      <c r="X1135" s="1" t="str">
        <f>IF(laptop[[#This Row],[PrimaryStorageType]]=laptop[[#This Row],[SecondaryStorageType]],laptop[[#This Row],[PrimaryStorageType]],"SSD &amp; HDD")</f>
        <v>SSD &amp; HDD</v>
      </c>
      <c r="Y1135" s="1" t="s">
        <v>42</v>
      </c>
    </row>
    <row r="1136" spans="1:25" x14ac:dyDescent="0.25">
      <c r="A1136" s="1" t="s">
        <v>46</v>
      </c>
      <c r="B1136" s="1" t="s">
        <v>262</v>
      </c>
      <c r="C1136" s="1" t="s">
        <v>38</v>
      </c>
      <c r="D1136">
        <v>15.6</v>
      </c>
      <c r="E1136">
        <v>4</v>
      </c>
      <c r="F1136" s="1" t="s">
        <v>48</v>
      </c>
      <c r="G1136">
        <v>2.23</v>
      </c>
      <c r="H1136">
        <v>616</v>
      </c>
      <c r="I1136" s="1" t="s">
        <v>40</v>
      </c>
      <c r="J1136">
        <v>1920</v>
      </c>
      <c r="K1136">
        <v>1080</v>
      </c>
      <c r="L1136" s="1" t="s">
        <v>27</v>
      </c>
      <c r="M1136" s="1" t="s">
        <v>27</v>
      </c>
      <c r="N1136" s="1" t="s">
        <v>27</v>
      </c>
      <c r="O1136" s="1" t="s">
        <v>29</v>
      </c>
      <c r="P1136">
        <v>2.5</v>
      </c>
      <c r="Q1136" s="1" t="s">
        <v>41</v>
      </c>
      <c r="R1136" s="1" t="str">
        <f>_xlfn.CONCAT(laptop[[#This Row],[CPU_company]]," ",laptop[[#This Row],[CPU_model]])</f>
        <v>Intel Core i5 7200U</v>
      </c>
      <c r="S1136">
        <v>1024</v>
      </c>
      <c r="T1136">
        <v>0</v>
      </c>
      <c r="U1136">
        <f>laptop[[#This Row],[PrimaryStorage]]+laptop[[#This Row],[SecondaryStorage]]</f>
        <v>1024</v>
      </c>
      <c r="V1136" s="1" t="s">
        <v>51</v>
      </c>
      <c r="W1136" s="1" t="s">
        <v>27</v>
      </c>
      <c r="X1136" s="1" t="str">
        <f>IF(laptop[[#This Row],[PrimaryStorageType]]=laptop[[#This Row],[SecondaryStorageType]],laptop[[#This Row],[PrimaryStorageType]],"SSD &amp; HDD")</f>
        <v>SSD &amp; HDD</v>
      </c>
      <c r="Y1136" s="1" t="s">
        <v>76</v>
      </c>
    </row>
    <row r="1137" spans="1:25" x14ac:dyDescent="0.25">
      <c r="A1137" s="1" t="s">
        <v>73</v>
      </c>
      <c r="B1137" s="1" t="s">
        <v>818</v>
      </c>
      <c r="C1137" s="1" t="s">
        <v>38</v>
      </c>
      <c r="D1137">
        <v>15.6</v>
      </c>
      <c r="E1137">
        <v>16</v>
      </c>
      <c r="F1137" s="1" t="s">
        <v>48</v>
      </c>
      <c r="G1137">
        <v>2.5</v>
      </c>
      <c r="H1137">
        <v>1099</v>
      </c>
      <c r="I1137" s="1" t="s">
        <v>40</v>
      </c>
      <c r="J1137">
        <v>1920</v>
      </c>
      <c r="K1137">
        <v>1080</v>
      </c>
      <c r="L1137" s="1" t="s">
        <v>27</v>
      </c>
      <c r="M1137" s="1" t="s">
        <v>27</v>
      </c>
      <c r="N1137" s="1" t="s">
        <v>27</v>
      </c>
      <c r="O1137" s="1" t="s">
        <v>29</v>
      </c>
      <c r="P1137">
        <v>2.5</v>
      </c>
      <c r="Q1137" s="1" t="s">
        <v>274</v>
      </c>
      <c r="R1137" s="1" t="str">
        <f>_xlfn.CONCAT(laptop[[#This Row],[CPU_company]]," ",laptop[[#This Row],[CPU_model]])</f>
        <v>Intel Core i7 6500U</v>
      </c>
      <c r="S1137">
        <v>1024</v>
      </c>
      <c r="T1137">
        <v>0</v>
      </c>
      <c r="U1137">
        <f>laptop[[#This Row],[PrimaryStorage]]+laptop[[#This Row],[SecondaryStorage]]</f>
        <v>1024</v>
      </c>
      <c r="V1137" s="1" t="s">
        <v>223</v>
      </c>
      <c r="W1137" s="1" t="s">
        <v>27</v>
      </c>
      <c r="X1137" s="1" t="str">
        <f>IF(laptop[[#This Row],[PrimaryStorageType]]=laptop[[#This Row],[SecondaryStorageType]],laptop[[#This Row],[PrimaryStorageType]],"SSD &amp; HDD")</f>
        <v>SSD &amp; HDD</v>
      </c>
      <c r="Y1137" s="1" t="s">
        <v>819</v>
      </c>
    </row>
    <row r="1138" spans="1:25" x14ac:dyDescent="0.25">
      <c r="A1138" s="1" t="s">
        <v>36</v>
      </c>
      <c r="B1138" s="1" t="s">
        <v>506</v>
      </c>
      <c r="C1138" s="1" t="s">
        <v>265</v>
      </c>
      <c r="D1138">
        <v>17.3</v>
      </c>
      <c r="E1138">
        <v>8</v>
      </c>
      <c r="F1138" s="1" t="s">
        <v>480</v>
      </c>
      <c r="G1138">
        <v>3</v>
      </c>
      <c r="H1138">
        <v>3949.4</v>
      </c>
      <c r="I1138" s="1" t="s">
        <v>40</v>
      </c>
      <c r="J1138">
        <v>1920</v>
      </c>
      <c r="K1138">
        <v>1080</v>
      </c>
      <c r="L1138" s="1" t="s">
        <v>27</v>
      </c>
      <c r="M1138" s="1" t="s">
        <v>28</v>
      </c>
      <c r="N1138" s="1" t="s">
        <v>27</v>
      </c>
      <c r="O1138" s="1" t="s">
        <v>29</v>
      </c>
      <c r="P1138">
        <v>2.6</v>
      </c>
      <c r="Q1138" s="1" t="s">
        <v>447</v>
      </c>
      <c r="R1138" s="1" t="str">
        <f>_xlfn.CONCAT(laptop[[#This Row],[CPU_company]]," ",laptop[[#This Row],[CPU_model]])</f>
        <v>Intel Core i7 6700HQ</v>
      </c>
      <c r="S1138">
        <v>256</v>
      </c>
      <c r="T1138">
        <v>0</v>
      </c>
      <c r="U1138">
        <f>laptop[[#This Row],[PrimaryStorage]]+laptop[[#This Row],[SecondaryStorage]]</f>
        <v>256</v>
      </c>
      <c r="V1138" s="1" t="s">
        <v>31</v>
      </c>
      <c r="W1138" s="1" t="s">
        <v>27</v>
      </c>
      <c r="X1138" s="1" t="str">
        <f>IF(laptop[[#This Row],[PrimaryStorageType]]=laptop[[#This Row],[SecondaryStorageType]],laptop[[#This Row],[PrimaryStorageType]],"SSD &amp; HDD")</f>
        <v>SSD &amp; HDD</v>
      </c>
      <c r="Y1138" s="1" t="s">
        <v>820</v>
      </c>
    </row>
    <row r="1139" spans="1:25" x14ac:dyDescent="0.25">
      <c r="A1139" s="1" t="s">
        <v>65</v>
      </c>
      <c r="B1139" s="1" t="s">
        <v>200</v>
      </c>
      <c r="C1139" s="1" t="s">
        <v>38</v>
      </c>
      <c r="D1139">
        <v>15.6</v>
      </c>
      <c r="E1139">
        <v>8</v>
      </c>
      <c r="F1139" s="1" t="s">
        <v>48</v>
      </c>
      <c r="G1139">
        <v>2.5</v>
      </c>
      <c r="H1139">
        <v>784</v>
      </c>
      <c r="I1139" s="1" t="s">
        <v>26</v>
      </c>
      <c r="J1139">
        <v>1366</v>
      </c>
      <c r="K1139">
        <v>768</v>
      </c>
      <c r="L1139" s="1" t="s">
        <v>27</v>
      </c>
      <c r="M1139" s="1" t="s">
        <v>27</v>
      </c>
      <c r="N1139" s="1" t="s">
        <v>27</v>
      </c>
      <c r="O1139" s="1" t="s">
        <v>29</v>
      </c>
      <c r="P1139">
        <v>2.5</v>
      </c>
      <c r="Q1139" s="1" t="s">
        <v>41</v>
      </c>
      <c r="R1139" s="1" t="str">
        <f>_xlfn.CONCAT(laptop[[#This Row],[CPU_company]]," ",laptop[[#This Row],[CPU_model]])</f>
        <v>Intel Core i5 7200U</v>
      </c>
      <c r="S1139">
        <v>1024</v>
      </c>
      <c r="T1139">
        <v>0</v>
      </c>
      <c r="U1139">
        <f>laptop[[#This Row],[PrimaryStorage]]+laptop[[#This Row],[SecondaryStorage]]</f>
        <v>1024</v>
      </c>
      <c r="V1139" s="1" t="s">
        <v>51</v>
      </c>
      <c r="W1139" s="1" t="s">
        <v>27</v>
      </c>
      <c r="X1139" s="1" t="str">
        <f>IF(laptop[[#This Row],[PrimaryStorageType]]=laptop[[#This Row],[SecondaryStorageType]],laptop[[#This Row],[PrimaryStorageType]],"SSD &amp; HDD")</f>
        <v>SSD &amp; HDD</v>
      </c>
      <c r="Y1139" s="1" t="s">
        <v>201</v>
      </c>
    </row>
    <row r="1140" spans="1:25" x14ac:dyDescent="0.25">
      <c r="A1140" s="1" t="s">
        <v>141</v>
      </c>
      <c r="B1140" s="1" t="s">
        <v>771</v>
      </c>
      <c r="C1140" s="1" t="s">
        <v>83</v>
      </c>
      <c r="D1140">
        <v>17.3</v>
      </c>
      <c r="E1140">
        <v>16</v>
      </c>
      <c r="F1140" s="1" t="s">
        <v>48</v>
      </c>
      <c r="G1140">
        <v>3.78</v>
      </c>
      <c r="H1140">
        <v>2399</v>
      </c>
      <c r="I1140" s="1" t="s">
        <v>40</v>
      </c>
      <c r="J1140">
        <v>1920</v>
      </c>
      <c r="K1140">
        <v>1080</v>
      </c>
      <c r="L1140" s="1" t="s">
        <v>27</v>
      </c>
      <c r="M1140" s="1" t="s">
        <v>27</v>
      </c>
      <c r="N1140" s="1" t="s">
        <v>27</v>
      </c>
      <c r="O1140" s="1" t="s">
        <v>29</v>
      </c>
      <c r="P1140">
        <v>2.7</v>
      </c>
      <c r="Q1140" s="1" t="s">
        <v>388</v>
      </c>
      <c r="R1140" s="1" t="str">
        <f>_xlfn.CONCAT(laptop[[#This Row],[CPU_company]]," ",laptop[[#This Row],[CPU_model]])</f>
        <v>Intel Core i7 6820HQ</v>
      </c>
      <c r="S1140">
        <v>256</v>
      </c>
      <c r="T1140">
        <v>1024</v>
      </c>
      <c r="U1140">
        <f>laptop[[#This Row],[PrimaryStorage]]+laptop[[#This Row],[SecondaryStorage]]</f>
        <v>1280</v>
      </c>
      <c r="V1140" s="1" t="s">
        <v>31</v>
      </c>
      <c r="W1140" s="1" t="s">
        <v>51</v>
      </c>
      <c r="X1140" s="1" t="str">
        <f>IF(laptop[[#This Row],[PrimaryStorageType]]=laptop[[#This Row],[SecondaryStorageType]],laptop[[#This Row],[PrimaryStorageType]],"SSD &amp; HDD")</f>
        <v>SSD &amp; HDD</v>
      </c>
      <c r="Y1140" s="1" t="s">
        <v>297</v>
      </c>
    </row>
    <row r="1141" spans="1:25" x14ac:dyDescent="0.25">
      <c r="A1141" s="1" t="s">
        <v>36</v>
      </c>
      <c r="B1141" s="1" t="s">
        <v>527</v>
      </c>
      <c r="C1141" s="1" t="s">
        <v>24</v>
      </c>
      <c r="D1141">
        <v>15.6</v>
      </c>
      <c r="E1141">
        <v>8</v>
      </c>
      <c r="F1141" s="1" t="s">
        <v>480</v>
      </c>
      <c r="G1141">
        <v>1.88</v>
      </c>
      <c r="H1141">
        <v>2171.7199999999998</v>
      </c>
      <c r="I1141" s="1" t="s">
        <v>40</v>
      </c>
      <c r="J1141">
        <v>1920</v>
      </c>
      <c r="K1141">
        <v>1080</v>
      </c>
      <c r="L1141" s="1" t="s">
        <v>27</v>
      </c>
      <c r="M1141" s="1" t="s">
        <v>27</v>
      </c>
      <c r="N1141" s="1" t="s">
        <v>27</v>
      </c>
      <c r="O1141" s="1" t="s">
        <v>29</v>
      </c>
      <c r="P1141">
        <v>2.5</v>
      </c>
      <c r="Q1141" s="1" t="s">
        <v>274</v>
      </c>
      <c r="R1141" s="1" t="str">
        <f>_xlfn.CONCAT(laptop[[#This Row],[CPU_company]]," ",laptop[[#This Row],[CPU_model]])</f>
        <v>Intel Core i7 6500U</v>
      </c>
      <c r="S1141">
        <v>256</v>
      </c>
      <c r="T1141">
        <v>0</v>
      </c>
      <c r="U1141">
        <f>laptop[[#This Row],[PrimaryStorage]]+laptop[[#This Row],[SecondaryStorage]]</f>
        <v>256</v>
      </c>
      <c r="V1141" s="1" t="s">
        <v>31</v>
      </c>
      <c r="W1141" s="1" t="s">
        <v>27</v>
      </c>
      <c r="X1141" s="1" t="str">
        <f>IF(laptop[[#This Row],[PrimaryStorageType]]=laptop[[#This Row],[SecondaryStorageType]],laptop[[#This Row],[PrimaryStorageType]],"SSD &amp; HDD")</f>
        <v>SSD &amp; HDD</v>
      </c>
      <c r="Y1141" s="1" t="s">
        <v>63</v>
      </c>
    </row>
    <row r="1142" spans="1:25" x14ac:dyDescent="0.25">
      <c r="A1142" s="1" t="s">
        <v>73</v>
      </c>
      <c r="B1142" s="1" t="s">
        <v>308</v>
      </c>
      <c r="C1142" s="1" t="s">
        <v>90</v>
      </c>
      <c r="D1142">
        <v>14</v>
      </c>
      <c r="E1142">
        <v>16</v>
      </c>
      <c r="F1142" s="1" t="s">
        <v>48</v>
      </c>
      <c r="G1142">
        <v>2.8</v>
      </c>
      <c r="H1142">
        <v>2440</v>
      </c>
      <c r="I1142" s="1" t="s">
        <v>26</v>
      </c>
      <c r="J1142">
        <v>2560</v>
      </c>
      <c r="K1142">
        <v>1440</v>
      </c>
      <c r="L1142" s="1" t="s">
        <v>28</v>
      </c>
      <c r="M1142" s="1" t="s">
        <v>28</v>
      </c>
      <c r="N1142" s="1" t="s">
        <v>27</v>
      </c>
      <c r="O1142" s="1" t="s">
        <v>29</v>
      </c>
      <c r="P1142">
        <v>2.6</v>
      </c>
      <c r="Q1142" s="1" t="s">
        <v>309</v>
      </c>
      <c r="R1142" s="1" t="str">
        <f>_xlfn.CONCAT(laptop[[#This Row],[CPU_company]]," ",laptop[[#This Row],[CPU_model]])</f>
        <v>Intel Core i7 6600U</v>
      </c>
      <c r="S1142">
        <v>512</v>
      </c>
      <c r="T1142">
        <v>0</v>
      </c>
      <c r="U1142">
        <f>laptop[[#This Row],[PrimaryStorage]]+laptop[[#This Row],[SecondaryStorage]]</f>
        <v>512</v>
      </c>
      <c r="V1142" s="1" t="s">
        <v>31</v>
      </c>
      <c r="W1142" s="1" t="s">
        <v>27</v>
      </c>
      <c r="X1142" s="1" t="str">
        <f>IF(laptop[[#This Row],[PrimaryStorageType]]=laptop[[#This Row],[SecondaryStorageType]],laptop[[#This Row],[PrimaryStorageType]],"SSD &amp; HDD")</f>
        <v>SSD &amp; HDD</v>
      </c>
      <c r="Y1142" s="1" t="s">
        <v>63</v>
      </c>
    </row>
    <row r="1143" spans="1:25" x14ac:dyDescent="0.25">
      <c r="A1143" s="1" t="s">
        <v>141</v>
      </c>
      <c r="B1143" s="1" t="s">
        <v>821</v>
      </c>
      <c r="C1143" s="1" t="s">
        <v>83</v>
      </c>
      <c r="D1143">
        <v>15.6</v>
      </c>
      <c r="E1143">
        <v>8</v>
      </c>
      <c r="F1143" s="1" t="s">
        <v>48</v>
      </c>
      <c r="G1143">
        <v>2.4</v>
      </c>
      <c r="H1143">
        <v>1142.8</v>
      </c>
      <c r="I1143" s="1" t="s">
        <v>40</v>
      </c>
      <c r="J1143">
        <v>1920</v>
      </c>
      <c r="K1143">
        <v>1080</v>
      </c>
      <c r="L1143" s="1" t="s">
        <v>27</v>
      </c>
      <c r="M1143" s="1" t="s">
        <v>27</v>
      </c>
      <c r="N1143" s="1" t="s">
        <v>27</v>
      </c>
      <c r="O1143" s="1" t="s">
        <v>29</v>
      </c>
      <c r="P1143">
        <v>2.8</v>
      </c>
      <c r="Q1143" s="1" t="s">
        <v>118</v>
      </c>
      <c r="R1143" s="1" t="str">
        <f>_xlfn.CONCAT(laptop[[#This Row],[CPU_company]]," ",laptop[[#This Row],[CPU_model]])</f>
        <v>Intel Core i7 7700HQ</v>
      </c>
      <c r="S1143">
        <v>128</v>
      </c>
      <c r="T1143">
        <v>1024</v>
      </c>
      <c r="U1143">
        <f>laptop[[#This Row],[PrimaryStorage]]+laptop[[#This Row],[SecondaryStorage]]</f>
        <v>1152</v>
      </c>
      <c r="V1143" s="1" t="s">
        <v>31</v>
      </c>
      <c r="W1143" s="1" t="s">
        <v>51</v>
      </c>
      <c r="X1143" s="1" t="str">
        <f>IF(laptop[[#This Row],[PrimaryStorageType]]=laptop[[#This Row],[SecondaryStorageType]],laptop[[#This Row],[PrimaryStorageType]],"SSD &amp; HDD")</f>
        <v>SSD &amp; HDD</v>
      </c>
      <c r="Y1143" s="1" t="s">
        <v>85</v>
      </c>
    </row>
    <row r="1144" spans="1:25" x14ac:dyDescent="0.25">
      <c r="A1144" s="1" t="s">
        <v>36</v>
      </c>
      <c r="B1144" s="1" t="s">
        <v>809</v>
      </c>
      <c r="C1144" s="1" t="s">
        <v>90</v>
      </c>
      <c r="D1144">
        <v>13.3</v>
      </c>
      <c r="E1144">
        <v>8</v>
      </c>
      <c r="F1144" s="1" t="s">
        <v>48</v>
      </c>
      <c r="G1144">
        <v>1.48</v>
      </c>
      <c r="H1144">
        <v>1629</v>
      </c>
      <c r="I1144" s="1" t="s">
        <v>40</v>
      </c>
      <c r="J1144">
        <v>1920</v>
      </c>
      <c r="K1144">
        <v>1080</v>
      </c>
      <c r="L1144" s="1" t="s">
        <v>28</v>
      </c>
      <c r="M1144" s="1" t="s">
        <v>27</v>
      </c>
      <c r="N1144" s="1" t="s">
        <v>27</v>
      </c>
      <c r="O1144" s="1" t="s">
        <v>29</v>
      </c>
      <c r="P1144">
        <v>2.4</v>
      </c>
      <c r="Q1144" s="1" t="s">
        <v>562</v>
      </c>
      <c r="R1144" s="1" t="str">
        <f>_xlfn.CONCAT(laptop[[#This Row],[CPU_company]]," ",laptop[[#This Row],[CPU_model]])</f>
        <v>Intel Core i5 6300U</v>
      </c>
      <c r="S1144">
        <v>256</v>
      </c>
      <c r="T1144">
        <v>0</v>
      </c>
      <c r="U1144">
        <f>laptop[[#This Row],[PrimaryStorage]]+laptop[[#This Row],[SecondaryStorage]]</f>
        <v>256</v>
      </c>
      <c r="V1144" s="1" t="s">
        <v>31</v>
      </c>
      <c r="W1144" s="1" t="s">
        <v>27</v>
      </c>
      <c r="X1144" s="1" t="str">
        <f>IF(laptop[[#This Row],[PrimaryStorageType]]=laptop[[#This Row],[SecondaryStorageType]],laptop[[#This Row],[PrimaryStorageType]],"SSD &amp; HDD")</f>
        <v>SSD &amp; HDD</v>
      </c>
      <c r="Y1144" s="1" t="s">
        <v>63</v>
      </c>
    </row>
    <row r="1145" spans="1:25" x14ac:dyDescent="0.25">
      <c r="A1145" s="1" t="s">
        <v>36</v>
      </c>
      <c r="B1145" s="1" t="s">
        <v>614</v>
      </c>
      <c r="C1145" s="1" t="s">
        <v>265</v>
      </c>
      <c r="D1145">
        <v>15.6</v>
      </c>
      <c r="E1145">
        <v>8</v>
      </c>
      <c r="F1145" s="1" t="s">
        <v>480</v>
      </c>
      <c r="G1145">
        <v>2.59</v>
      </c>
      <c r="H1145">
        <v>2229</v>
      </c>
      <c r="I1145" s="1" t="s">
        <v>40</v>
      </c>
      <c r="J1145">
        <v>1920</v>
      </c>
      <c r="K1145">
        <v>1080</v>
      </c>
      <c r="L1145" s="1" t="s">
        <v>27</v>
      </c>
      <c r="M1145" s="1" t="s">
        <v>28</v>
      </c>
      <c r="N1145" s="1" t="s">
        <v>27</v>
      </c>
      <c r="O1145" s="1" t="s">
        <v>29</v>
      </c>
      <c r="P1145">
        <v>2.6</v>
      </c>
      <c r="Q1145" s="1" t="s">
        <v>447</v>
      </c>
      <c r="R1145" s="1" t="str">
        <f>_xlfn.CONCAT(laptop[[#This Row],[CPU_company]]," ",laptop[[#This Row],[CPU_model]])</f>
        <v>Intel Core i7 6700HQ</v>
      </c>
      <c r="S1145">
        <v>256</v>
      </c>
      <c r="T1145">
        <v>0</v>
      </c>
      <c r="U1145">
        <f>laptop[[#This Row],[PrimaryStorage]]+laptop[[#This Row],[SecondaryStorage]]</f>
        <v>256</v>
      </c>
      <c r="V1145" s="1" t="s">
        <v>31</v>
      </c>
      <c r="W1145" s="1" t="s">
        <v>27</v>
      </c>
      <c r="X1145" s="1" t="str">
        <f>IF(laptop[[#This Row],[PrimaryStorageType]]=laptop[[#This Row],[SecondaryStorageType]],laptop[[#This Row],[PrimaryStorageType]],"SSD &amp; HDD")</f>
        <v>SSD &amp; HDD</v>
      </c>
      <c r="Y1145" s="1" t="s">
        <v>632</v>
      </c>
    </row>
    <row r="1146" spans="1:25" x14ac:dyDescent="0.25">
      <c r="A1146" s="1" t="s">
        <v>36</v>
      </c>
      <c r="B1146" s="1" t="s">
        <v>809</v>
      </c>
      <c r="C1146" s="1" t="s">
        <v>90</v>
      </c>
      <c r="D1146">
        <v>13.3</v>
      </c>
      <c r="E1146">
        <v>8</v>
      </c>
      <c r="F1146" s="1" t="s">
        <v>48</v>
      </c>
      <c r="G1146">
        <v>1.48</v>
      </c>
      <c r="H1146">
        <v>1799</v>
      </c>
      <c r="I1146" s="1" t="s">
        <v>26</v>
      </c>
      <c r="J1146">
        <v>2560</v>
      </c>
      <c r="K1146">
        <v>1440</v>
      </c>
      <c r="L1146" s="1" t="s">
        <v>28</v>
      </c>
      <c r="M1146" s="1" t="s">
        <v>27</v>
      </c>
      <c r="N1146" s="1" t="s">
        <v>27</v>
      </c>
      <c r="O1146" s="1" t="s">
        <v>29</v>
      </c>
      <c r="P1146">
        <v>2.6</v>
      </c>
      <c r="Q1146" s="1" t="s">
        <v>309</v>
      </c>
      <c r="R1146" s="1" t="str">
        <f>_xlfn.CONCAT(laptop[[#This Row],[CPU_company]]," ",laptop[[#This Row],[CPU_model]])</f>
        <v>Intel Core i7 6600U</v>
      </c>
      <c r="S1146">
        <v>256</v>
      </c>
      <c r="T1146">
        <v>0</v>
      </c>
      <c r="U1146">
        <f>laptop[[#This Row],[PrimaryStorage]]+laptop[[#This Row],[SecondaryStorage]]</f>
        <v>256</v>
      </c>
      <c r="V1146" s="1" t="s">
        <v>31</v>
      </c>
      <c r="W1146" s="1" t="s">
        <v>27</v>
      </c>
      <c r="X1146" s="1" t="str">
        <f>IF(laptop[[#This Row],[PrimaryStorageType]]=laptop[[#This Row],[SecondaryStorageType]],laptop[[#This Row],[PrimaryStorageType]],"SSD &amp; HDD")</f>
        <v>SSD &amp; HDD</v>
      </c>
      <c r="Y1146" s="1" t="s">
        <v>63</v>
      </c>
    </row>
    <row r="1147" spans="1:25" x14ac:dyDescent="0.25">
      <c r="A1147" s="1" t="s">
        <v>36</v>
      </c>
      <c r="B1147" s="1" t="s">
        <v>729</v>
      </c>
      <c r="C1147" s="1" t="s">
        <v>265</v>
      </c>
      <c r="D1147">
        <v>15.6</v>
      </c>
      <c r="E1147">
        <v>8</v>
      </c>
      <c r="F1147" s="1" t="s">
        <v>480</v>
      </c>
      <c r="G1147">
        <v>2</v>
      </c>
      <c r="H1147">
        <v>1899</v>
      </c>
      <c r="I1147" s="1" t="s">
        <v>40</v>
      </c>
      <c r="J1147">
        <v>1920</v>
      </c>
      <c r="K1147">
        <v>1080</v>
      </c>
      <c r="L1147" s="1" t="s">
        <v>27</v>
      </c>
      <c r="M1147" s="1" t="s">
        <v>27</v>
      </c>
      <c r="N1147" s="1" t="s">
        <v>27</v>
      </c>
      <c r="O1147" s="1" t="s">
        <v>29</v>
      </c>
      <c r="P1147">
        <v>2.6</v>
      </c>
      <c r="Q1147" s="1" t="s">
        <v>447</v>
      </c>
      <c r="R1147" s="1" t="str">
        <f>_xlfn.CONCAT(laptop[[#This Row],[CPU_company]]," ",laptop[[#This Row],[CPU_model]])</f>
        <v>Intel Core i7 6700HQ</v>
      </c>
      <c r="S1147">
        <v>256</v>
      </c>
      <c r="T1147">
        <v>0</v>
      </c>
      <c r="U1147">
        <f>laptop[[#This Row],[PrimaryStorage]]+laptop[[#This Row],[SecondaryStorage]]</f>
        <v>256</v>
      </c>
      <c r="V1147" s="1" t="s">
        <v>31</v>
      </c>
      <c r="W1147" s="1" t="s">
        <v>27</v>
      </c>
      <c r="X1147" s="1" t="str">
        <f>IF(laptop[[#This Row],[PrimaryStorageType]]=laptop[[#This Row],[SecondaryStorageType]],laptop[[#This Row],[PrimaryStorageType]],"SSD &amp; HDD")</f>
        <v>SSD &amp; HDD</v>
      </c>
      <c r="Y1147" s="1" t="s">
        <v>632</v>
      </c>
    </row>
    <row r="1148" spans="1:25" x14ac:dyDescent="0.25">
      <c r="A1148" s="1" t="s">
        <v>36</v>
      </c>
      <c r="B1148" s="1" t="s">
        <v>639</v>
      </c>
      <c r="C1148" s="1" t="s">
        <v>24</v>
      </c>
      <c r="D1148">
        <v>12.5</v>
      </c>
      <c r="E1148">
        <v>8</v>
      </c>
      <c r="F1148" s="1" t="s">
        <v>480</v>
      </c>
      <c r="G1148">
        <v>1.26</v>
      </c>
      <c r="H1148">
        <v>2296.9499999999998</v>
      </c>
      <c r="I1148" s="1" t="s">
        <v>40</v>
      </c>
      <c r="J1148">
        <v>1920</v>
      </c>
      <c r="K1148">
        <v>1080</v>
      </c>
      <c r="L1148" s="1" t="s">
        <v>27</v>
      </c>
      <c r="M1148" s="1" t="s">
        <v>27</v>
      </c>
      <c r="N1148" s="1" t="s">
        <v>27</v>
      </c>
      <c r="O1148" s="1" t="s">
        <v>29</v>
      </c>
      <c r="P1148">
        <v>2.5</v>
      </c>
      <c r="Q1148" s="1" t="s">
        <v>274</v>
      </c>
      <c r="R1148" s="1" t="str">
        <f>_xlfn.CONCAT(laptop[[#This Row],[CPU_company]]," ",laptop[[#This Row],[CPU_model]])</f>
        <v>Intel Core i7 6500U</v>
      </c>
      <c r="S1148">
        <v>256</v>
      </c>
      <c r="T1148">
        <v>0</v>
      </c>
      <c r="U1148">
        <f>laptop[[#This Row],[PrimaryStorage]]+laptop[[#This Row],[SecondaryStorage]]</f>
        <v>256</v>
      </c>
      <c r="V1148" s="1" t="s">
        <v>31</v>
      </c>
      <c r="W1148" s="1" t="s">
        <v>27</v>
      </c>
      <c r="X1148" s="1" t="str">
        <f>IF(laptop[[#This Row],[PrimaryStorageType]]=laptop[[#This Row],[SecondaryStorageType]],laptop[[#This Row],[PrimaryStorageType]],"SSD &amp; HDD")</f>
        <v>SSD &amp; HDD</v>
      </c>
      <c r="Y1148" s="1" t="s">
        <v>63</v>
      </c>
    </row>
    <row r="1149" spans="1:25" x14ac:dyDescent="0.25">
      <c r="A1149" s="1" t="s">
        <v>65</v>
      </c>
      <c r="B1149" s="1" t="s">
        <v>471</v>
      </c>
      <c r="C1149" s="1" t="s">
        <v>38</v>
      </c>
      <c r="D1149">
        <v>15.6</v>
      </c>
      <c r="E1149">
        <v>8</v>
      </c>
      <c r="F1149" s="1" t="s">
        <v>48</v>
      </c>
      <c r="G1149">
        <v>2.1800000000000002</v>
      </c>
      <c r="H1149">
        <v>1009.9</v>
      </c>
      <c r="I1149" s="1" t="s">
        <v>40</v>
      </c>
      <c r="J1149">
        <v>1920</v>
      </c>
      <c r="K1149">
        <v>1080</v>
      </c>
      <c r="L1149" s="1" t="s">
        <v>27</v>
      </c>
      <c r="M1149" s="1" t="s">
        <v>27</v>
      </c>
      <c r="N1149" s="1" t="s">
        <v>27</v>
      </c>
      <c r="O1149" s="1" t="s">
        <v>29</v>
      </c>
      <c r="P1149">
        <v>2.7</v>
      </c>
      <c r="Q1149" s="1" t="s">
        <v>71</v>
      </c>
      <c r="R1149" s="1" t="str">
        <f>_xlfn.CONCAT(laptop[[#This Row],[CPU_company]]," ",laptop[[#This Row],[CPU_model]])</f>
        <v>Intel Core i7 7500U</v>
      </c>
      <c r="S1149">
        <v>256</v>
      </c>
      <c r="T1149">
        <v>0</v>
      </c>
      <c r="U1149">
        <f>laptop[[#This Row],[PrimaryStorage]]+laptop[[#This Row],[SecondaryStorage]]</f>
        <v>256</v>
      </c>
      <c r="V1149" s="1" t="s">
        <v>31</v>
      </c>
      <c r="W1149" s="1" t="s">
        <v>27</v>
      </c>
      <c r="X1149" s="1" t="str">
        <f>IF(laptop[[#This Row],[PrimaryStorageType]]=laptop[[#This Row],[SecondaryStorageType]],laptop[[#This Row],[PrimaryStorageType]],"SSD &amp; HDD")</f>
        <v>SSD &amp; HDD</v>
      </c>
      <c r="Y1149" s="1" t="s">
        <v>76</v>
      </c>
    </row>
    <row r="1150" spans="1:25" x14ac:dyDescent="0.25">
      <c r="A1150" s="1" t="s">
        <v>36</v>
      </c>
      <c r="B1150" s="1" t="s">
        <v>527</v>
      </c>
      <c r="C1150" s="1" t="s">
        <v>38</v>
      </c>
      <c r="D1150">
        <v>15.6</v>
      </c>
      <c r="E1150">
        <v>8</v>
      </c>
      <c r="F1150" s="1" t="s">
        <v>480</v>
      </c>
      <c r="G1150">
        <v>1.88</v>
      </c>
      <c r="H1150">
        <v>1579</v>
      </c>
      <c r="I1150" s="1" t="s">
        <v>40</v>
      </c>
      <c r="J1150">
        <v>1920</v>
      </c>
      <c r="K1150">
        <v>1080</v>
      </c>
      <c r="L1150" s="1" t="s">
        <v>27</v>
      </c>
      <c r="M1150" s="1" t="s">
        <v>27</v>
      </c>
      <c r="N1150" s="1" t="s">
        <v>27</v>
      </c>
      <c r="O1150" s="1" t="s">
        <v>29</v>
      </c>
      <c r="P1150">
        <v>2.2999999999999998</v>
      </c>
      <c r="Q1150" s="1" t="s">
        <v>212</v>
      </c>
      <c r="R1150" s="1" t="str">
        <f>_xlfn.CONCAT(laptop[[#This Row],[CPU_company]]," ",laptop[[#This Row],[CPU_model]])</f>
        <v>Intel Core i5 6200U</v>
      </c>
      <c r="S1150">
        <v>256</v>
      </c>
      <c r="T1150">
        <v>0</v>
      </c>
      <c r="U1150">
        <f>laptop[[#This Row],[PrimaryStorage]]+laptop[[#This Row],[SecondaryStorage]]</f>
        <v>256</v>
      </c>
      <c r="V1150" s="1" t="s">
        <v>31</v>
      </c>
      <c r="W1150" s="1" t="s">
        <v>27</v>
      </c>
      <c r="X1150" s="1" t="str">
        <f>IF(laptop[[#This Row],[PrimaryStorageType]]=laptop[[#This Row],[SecondaryStorageType]],laptop[[#This Row],[PrimaryStorageType]],"SSD &amp; HDD")</f>
        <v>SSD &amp; HDD</v>
      </c>
      <c r="Y1150" s="1" t="s">
        <v>63</v>
      </c>
    </row>
    <row r="1151" spans="1:25" x14ac:dyDescent="0.25">
      <c r="A1151" s="1" t="s">
        <v>73</v>
      </c>
      <c r="B1151" s="1" t="s">
        <v>308</v>
      </c>
      <c r="C1151" s="1" t="s">
        <v>90</v>
      </c>
      <c r="D1151">
        <v>14</v>
      </c>
      <c r="E1151">
        <v>8</v>
      </c>
      <c r="F1151" s="1" t="s">
        <v>48</v>
      </c>
      <c r="G1151">
        <v>1.27</v>
      </c>
      <c r="H1151">
        <v>2339</v>
      </c>
      <c r="I1151" s="1" t="s">
        <v>26</v>
      </c>
      <c r="J1151">
        <v>2560</v>
      </c>
      <c r="K1151">
        <v>1440</v>
      </c>
      <c r="L1151" s="1" t="s">
        <v>28</v>
      </c>
      <c r="M1151" s="1" t="s">
        <v>28</v>
      </c>
      <c r="N1151" s="1" t="s">
        <v>27</v>
      </c>
      <c r="O1151" s="1" t="s">
        <v>29</v>
      </c>
      <c r="P1151">
        <v>2.5</v>
      </c>
      <c r="Q1151" s="1" t="s">
        <v>274</v>
      </c>
      <c r="R1151" s="1" t="str">
        <f>_xlfn.CONCAT(laptop[[#This Row],[CPU_company]]," ",laptop[[#This Row],[CPU_model]])</f>
        <v>Intel Core i7 6500U</v>
      </c>
      <c r="S1151">
        <v>256</v>
      </c>
      <c r="T1151">
        <v>0</v>
      </c>
      <c r="U1151">
        <f>laptop[[#This Row],[PrimaryStorage]]+laptop[[#This Row],[SecondaryStorage]]</f>
        <v>256</v>
      </c>
      <c r="V1151" s="1" t="s">
        <v>31</v>
      </c>
      <c r="W1151" s="1" t="s">
        <v>27</v>
      </c>
      <c r="X1151" s="1" t="str">
        <f>IF(laptop[[#This Row],[PrimaryStorageType]]=laptop[[#This Row],[SecondaryStorageType]],laptop[[#This Row],[PrimaryStorageType]],"SSD &amp; HDD")</f>
        <v>SSD &amp; HDD</v>
      </c>
      <c r="Y1151" s="1" t="s">
        <v>63</v>
      </c>
    </row>
    <row r="1152" spans="1:25" x14ac:dyDescent="0.25">
      <c r="A1152" s="1" t="s">
        <v>73</v>
      </c>
      <c r="B1152" s="1" t="s">
        <v>822</v>
      </c>
      <c r="C1152" s="1" t="s">
        <v>38</v>
      </c>
      <c r="D1152">
        <v>15.6</v>
      </c>
      <c r="E1152">
        <v>4</v>
      </c>
      <c r="F1152" s="1" t="s">
        <v>39</v>
      </c>
      <c r="G1152">
        <v>1.9</v>
      </c>
      <c r="H1152">
        <v>339</v>
      </c>
      <c r="I1152" s="1" t="s">
        <v>26</v>
      </c>
      <c r="J1152">
        <v>1366</v>
      </c>
      <c r="K1152">
        <v>768</v>
      </c>
      <c r="L1152" s="1" t="s">
        <v>27</v>
      </c>
      <c r="M1152" s="1" t="s">
        <v>27</v>
      </c>
      <c r="N1152" s="1" t="s">
        <v>27</v>
      </c>
      <c r="O1152" s="1" t="s">
        <v>29</v>
      </c>
      <c r="P1152">
        <v>2</v>
      </c>
      <c r="Q1152" s="1" t="s">
        <v>62</v>
      </c>
      <c r="R1152" s="1" t="str">
        <f>_xlfn.CONCAT(laptop[[#This Row],[CPU_company]]," ",laptop[[#This Row],[CPU_model]])</f>
        <v>Intel Core i3 6006U</v>
      </c>
      <c r="S1152">
        <v>1024</v>
      </c>
      <c r="T1152">
        <v>0</v>
      </c>
      <c r="U1152">
        <f>laptop[[#This Row],[PrimaryStorage]]+laptop[[#This Row],[SecondaryStorage]]</f>
        <v>1024</v>
      </c>
      <c r="V1152" s="1" t="s">
        <v>51</v>
      </c>
      <c r="W1152" s="1" t="s">
        <v>27</v>
      </c>
      <c r="X1152" s="1" t="str">
        <f>IF(laptop[[#This Row],[PrimaryStorageType]]=laptop[[#This Row],[SecondaryStorageType]],laptop[[#This Row],[PrimaryStorageType]],"SSD &amp; HDD")</f>
        <v>SSD &amp; HDD</v>
      </c>
      <c r="Y1152" s="1" t="s">
        <v>63</v>
      </c>
    </row>
    <row r="1153" spans="1:25" x14ac:dyDescent="0.25">
      <c r="A1153" s="1" t="s">
        <v>36</v>
      </c>
      <c r="B1153" s="1" t="s">
        <v>823</v>
      </c>
      <c r="C1153" s="1" t="s">
        <v>38</v>
      </c>
      <c r="D1153">
        <v>15.6</v>
      </c>
      <c r="E1153">
        <v>4</v>
      </c>
      <c r="F1153" s="1" t="s">
        <v>48</v>
      </c>
      <c r="G1153">
        <v>1.86</v>
      </c>
      <c r="H1153">
        <v>297</v>
      </c>
      <c r="I1153" s="1" t="s">
        <v>26</v>
      </c>
      <c r="J1153">
        <v>1366</v>
      </c>
      <c r="K1153">
        <v>768</v>
      </c>
      <c r="L1153" s="1" t="s">
        <v>27</v>
      </c>
      <c r="M1153" s="1" t="s">
        <v>27</v>
      </c>
      <c r="N1153" s="1" t="s">
        <v>27</v>
      </c>
      <c r="O1153" s="1" t="s">
        <v>49</v>
      </c>
      <c r="P1153">
        <v>1.8</v>
      </c>
      <c r="Q1153" s="1" t="s">
        <v>489</v>
      </c>
      <c r="R1153" s="1" t="str">
        <f>_xlfn.CONCAT(laptop[[#This Row],[CPU_company]]," ",laptop[[#This Row],[CPU_model]])</f>
        <v>AMD E-Series 7110</v>
      </c>
      <c r="S1153">
        <v>500</v>
      </c>
      <c r="T1153">
        <v>0</v>
      </c>
      <c r="U1153">
        <f>laptop[[#This Row],[PrimaryStorage]]+laptop[[#This Row],[SecondaryStorage]]</f>
        <v>500</v>
      </c>
      <c r="V1153" s="1" t="s">
        <v>51</v>
      </c>
      <c r="W1153" s="1" t="s">
        <v>27</v>
      </c>
      <c r="X1153" s="1" t="str">
        <f>IF(laptop[[#This Row],[PrimaryStorageType]]=laptop[[#This Row],[SecondaryStorageType]],laptop[[#This Row],[PrimaryStorageType]],"SSD &amp; HDD")</f>
        <v>SSD &amp; HDD</v>
      </c>
      <c r="Y1153" s="1" t="s">
        <v>490</v>
      </c>
    </row>
    <row r="1154" spans="1:25" x14ac:dyDescent="0.25">
      <c r="A1154" s="1" t="s">
        <v>73</v>
      </c>
      <c r="B1154" s="1" t="s">
        <v>824</v>
      </c>
      <c r="C1154" s="1" t="s">
        <v>38</v>
      </c>
      <c r="D1154">
        <v>15.6</v>
      </c>
      <c r="E1154">
        <v>8</v>
      </c>
      <c r="F1154" s="1" t="s">
        <v>39</v>
      </c>
      <c r="G1154">
        <v>2.3199999999999998</v>
      </c>
      <c r="H1154">
        <v>599</v>
      </c>
      <c r="I1154" s="1" t="s">
        <v>40</v>
      </c>
      <c r="J1154">
        <v>1920</v>
      </c>
      <c r="K1154">
        <v>1080</v>
      </c>
      <c r="L1154" s="1" t="s">
        <v>27</v>
      </c>
      <c r="M1154" s="1" t="s">
        <v>27</v>
      </c>
      <c r="N1154" s="1" t="s">
        <v>27</v>
      </c>
      <c r="O1154" s="1" t="s">
        <v>29</v>
      </c>
      <c r="P1154">
        <v>2.2999999999999998</v>
      </c>
      <c r="Q1154" s="1" t="s">
        <v>212</v>
      </c>
      <c r="R1154" s="1" t="str">
        <f>_xlfn.CONCAT(laptop[[#This Row],[CPU_company]]," ",laptop[[#This Row],[CPU_model]])</f>
        <v>Intel Core i5 6200U</v>
      </c>
      <c r="S1154">
        <v>1024</v>
      </c>
      <c r="T1154">
        <v>0</v>
      </c>
      <c r="U1154">
        <f>laptop[[#This Row],[PrimaryStorage]]+laptop[[#This Row],[SecondaryStorage]]</f>
        <v>1024</v>
      </c>
      <c r="V1154" s="1" t="s">
        <v>51</v>
      </c>
      <c r="W1154" s="1" t="s">
        <v>27</v>
      </c>
      <c r="X1154" s="1" t="str">
        <f>IF(laptop[[#This Row],[PrimaryStorageType]]=laptop[[#This Row],[SecondaryStorageType]],laptop[[#This Row],[PrimaryStorageType]],"SSD &amp; HDD")</f>
        <v>SSD &amp; HDD</v>
      </c>
      <c r="Y1154" s="1" t="s">
        <v>786</v>
      </c>
    </row>
    <row r="1155" spans="1:25" x14ac:dyDescent="0.25">
      <c r="A1155" s="1" t="s">
        <v>65</v>
      </c>
      <c r="B1155" s="1" t="s">
        <v>222</v>
      </c>
      <c r="C1155" s="1" t="s">
        <v>83</v>
      </c>
      <c r="D1155">
        <v>15.6</v>
      </c>
      <c r="E1155">
        <v>8</v>
      </c>
      <c r="F1155" s="1" t="s">
        <v>48</v>
      </c>
      <c r="G1155">
        <v>2.62</v>
      </c>
      <c r="H1155">
        <v>1199</v>
      </c>
      <c r="I1155" s="1" t="s">
        <v>40</v>
      </c>
      <c r="J1155">
        <v>1920</v>
      </c>
      <c r="K1155">
        <v>1080</v>
      </c>
      <c r="L1155" s="1" t="s">
        <v>27</v>
      </c>
      <c r="M1155" s="1" t="s">
        <v>27</v>
      </c>
      <c r="N1155" s="1" t="s">
        <v>27</v>
      </c>
      <c r="O1155" s="1" t="s">
        <v>29</v>
      </c>
      <c r="P1155">
        <v>2.8</v>
      </c>
      <c r="Q1155" s="1" t="s">
        <v>118</v>
      </c>
      <c r="R1155" s="1" t="str">
        <f>_xlfn.CONCAT(laptop[[#This Row],[CPU_company]]," ",laptop[[#This Row],[CPU_model]])</f>
        <v>Intel Core i7 7700HQ</v>
      </c>
      <c r="S1155">
        <v>1024</v>
      </c>
      <c r="T1155">
        <v>0</v>
      </c>
      <c r="U1155">
        <f>laptop[[#This Row],[PrimaryStorage]]+laptop[[#This Row],[SecondaryStorage]]</f>
        <v>1024</v>
      </c>
      <c r="V1155" s="1" t="s">
        <v>51</v>
      </c>
      <c r="W1155" s="1" t="s">
        <v>27</v>
      </c>
      <c r="X1155" s="1" t="str">
        <f>IF(laptop[[#This Row],[PrimaryStorageType]]=laptop[[#This Row],[SecondaryStorageType]],laptop[[#This Row],[PrimaryStorageType]],"SSD &amp; HDD")</f>
        <v>SSD &amp; HDD</v>
      </c>
      <c r="Y1155" s="1" t="s">
        <v>704</v>
      </c>
    </row>
    <row r="1156" spans="1:25" x14ac:dyDescent="0.25">
      <c r="A1156" s="1" t="s">
        <v>65</v>
      </c>
      <c r="B1156" s="1" t="s">
        <v>249</v>
      </c>
      <c r="C1156" s="1" t="s">
        <v>38</v>
      </c>
      <c r="D1156">
        <v>15.6</v>
      </c>
      <c r="E1156">
        <v>8</v>
      </c>
      <c r="F1156" s="1" t="s">
        <v>48</v>
      </c>
      <c r="G1156">
        <v>2.04</v>
      </c>
      <c r="H1156">
        <v>2250.6799999999998</v>
      </c>
      <c r="I1156" s="1" t="s">
        <v>215</v>
      </c>
      <c r="J1156">
        <v>3840</v>
      </c>
      <c r="K1156">
        <v>2160</v>
      </c>
      <c r="L1156" s="1" t="s">
        <v>28</v>
      </c>
      <c r="M1156" s="1" t="s">
        <v>28</v>
      </c>
      <c r="N1156" s="1" t="s">
        <v>27</v>
      </c>
      <c r="O1156" s="1" t="s">
        <v>29</v>
      </c>
      <c r="P1156">
        <v>2.2999999999999998</v>
      </c>
      <c r="Q1156" s="1" t="s">
        <v>601</v>
      </c>
      <c r="R1156" s="1" t="str">
        <f>_xlfn.CONCAT(laptop[[#This Row],[CPU_company]]," ",laptop[[#This Row],[CPU_model]])</f>
        <v>Intel Core i5 6300HQ</v>
      </c>
      <c r="S1156">
        <v>256</v>
      </c>
      <c r="T1156">
        <v>0</v>
      </c>
      <c r="U1156">
        <f>laptop[[#This Row],[PrimaryStorage]]+laptop[[#This Row],[SecondaryStorage]]</f>
        <v>256</v>
      </c>
      <c r="V1156" s="1" t="s">
        <v>31</v>
      </c>
      <c r="W1156" s="1" t="s">
        <v>27</v>
      </c>
      <c r="X1156" s="1" t="str">
        <f>IF(laptop[[#This Row],[PrimaryStorageType]]=laptop[[#This Row],[SecondaryStorageType]],laptop[[#This Row],[PrimaryStorageType]],"SSD &amp; HDD")</f>
        <v>SSD &amp; HDD</v>
      </c>
      <c r="Y1156" s="1" t="s">
        <v>825</v>
      </c>
    </row>
    <row r="1157" spans="1:25" x14ac:dyDescent="0.25">
      <c r="A1157" s="1" t="s">
        <v>36</v>
      </c>
      <c r="B1157" s="1" t="s">
        <v>826</v>
      </c>
      <c r="C1157" s="1" t="s">
        <v>38</v>
      </c>
      <c r="D1157">
        <v>15.6</v>
      </c>
      <c r="E1157">
        <v>4</v>
      </c>
      <c r="F1157" s="1" t="s">
        <v>48</v>
      </c>
      <c r="G1157">
        <v>1.91</v>
      </c>
      <c r="H1157">
        <v>478.89</v>
      </c>
      <c r="I1157" s="1" t="s">
        <v>40</v>
      </c>
      <c r="J1157">
        <v>1920</v>
      </c>
      <c r="K1157">
        <v>1080</v>
      </c>
      <c r="L1157" s="1" t="s">
        <v>27</v>
      </c>
      <c r="M1157" s="1" t="s">
        <v>27</v>
      </c>
      <c r="N1157" s="1" t="s">
        <v>27</v>
      </c>
      <c r="O1157" s="1" t="s">
        <v>49</v>
      </c>
      <c r="P1157">
        <v>2.5</v>
      </c>
      <c r="Q1157" s="1" t="s">
        <v>301</v>
      </c>
      <c r="R1157" s="1" t="str">
        <f>_xlfn.CONCAT(laptop[[#This Row],[CPU_company]]," ",laptop[[#This Row],[CPU_model]])</f>
        <v>AMD A6-Series A6-9220</v>
      </c>
      <c r="S1157">
        <v>256</v>
      </c>
      <c r="T1157">
        <v>0</v>
      </c>
      <c r="U1157">
        <f>laptop[[#This Row],[PrimaryStorage]]+laptop[[#This Row],[SecondaryStorage]]</f>
        <v>256</v>
      </c>
      <c r="V1157" s="1" t="s">
        <v>31</v>
      </c>
      <c r="W1157" s="1" t="s">
        <v>27</v>
      </c>
      <c r="X1157" s="1" t="str">
        <f>IF(laptop[[#This Row],[PrimaryStorageType]]=laptop[[#This Row],[SecondaryStorageType]],laptop[[#This Row],[PrimaryStorageType]],"SSD &amp; HDD")</f>
        <v>SSD &amp; HDD</v>
      </c>
      <c r="Y1157" s="1" t="s">
        <v>138</v>
      </c>
    </row>
    <row r="1158" spans="1:25" x14ac:dyDescent="0.25">
      <c r="A1158" s="1" t="s">
        <v>141</v>
      </c>
      <c r="B1158" s="1" t="s">
        <v>827</v>
      </c>
      <c r="C1158" s="1" t="s">
        <v>83</v>
      </c>
      <c r="D1158">
        <v>17.3</v>
      </c>
      <c r="E1158">
        <v>16</v>
      </c>
      <c r="F1158" s="1" t="s">
        <v>48</v>
      </c>
      <c r="G1158">
        <v>2.7</v>
      </c>
      <c r="H1158">
        <v>1492.8</v>
      </c>
      <c r="I1158" s="1" t="s">
        <v>40</v>
      </c>
      <c r="J1158">
        <v>1920</v>
      </c>
      <c r="K1158">
        <v>1080</v>
      </c>
      <c r="L1158" s="1" t="s">
        <v>27</v>
      </c>
      <c r="M1158" s="1" t="s">
        <v>27</v>
      </c>
      <c r="N1158" s="1" t="s">
        <v>27</v>
      </c>
      <c r="O1158" s="1" t="s">
        <v>29</v>
      </c>
      <c r="P1158">
        <v>2.8</v>
      </c>
      <c r="Q1158" s="1" t="s">
        <v>118</v>
      </c>
      <c r="R1158" s="1" t="str">
        <f>_xlfn.CONCAT(laptop[[#This Row],[CPU_company]]," ",laptop[[#This Row],[CPU_model]])</f>
        <v>Intel Core i7 7700HQ</v>
      </c>
      <c r="S1158">
        <v>256</v>
      </c>
      <c r="T1158">
        <v>1024</v>
      </c>
      <c r="U1158">
        <f>laptop[[#This Row],[PrimaryStorage]]+laptop[[#This Row],[SecondaryStorage]]</f>
        <v>1280</v>
      </c>
      <c r="V1158" s="1" t="s">
        <v>31</v>
      </c>
      <c r="W1158" s="1" t="s">
        <v>51</v>
      </c>
      <c r="X1158" s="1" t="str">
        <f>IF(laptop[[#This Row],[PrimaryStorageType]]=laptop[[#This Row],[SecondaryStorageType]],laptop[[#This Row],[PrimaryStorageType]],"SSD &amp; HDD")</f>
        <v>SSD &amp; HDD</v>
      </c>
      <c r="Y1158" s="1" t="s">
        <v>149</v>
      </c>
    </row>
    <row r="1159" spans="1:25" x14ac:dyDescent="0.25">
      <c r="A1159" s="1" t="s">
        <v>73</v>
      </c>
      <c r="B1159" s="1" t="s">
        <v>828</v>
      </c>
      <c r="C1159" s="1" t="s">
        <v>24</v>
      </c>
      <c r="D1159">
        <v>14</v>
      </c>
      <c r="E1159">
        <v>12</v>
      </c>
      <c r="F1159" s="1" t="s">
        <v>480</v>
      </c>
      <c r="G1159">
        <v>1.4</v>
      </c>
      <c r="H1159">
        <v>2299</v>
      </c>
      <c r="I1159" s="1" t="s">
        <v>40</v>
      </c>
      <c r="J1159">
        <v>1920</v>
      </c>
      <c r="K1159">
        <v>1080</v>
      </c>
      <c r="L1159" s="1" t="s">
        <v>27</v>
      </c>
      <c r="M1159" s="1" t="s">
        <v>27</v>
      </c>
      <c r="N1159" s="1" t="s">
        <v>27</v>
      </c>
      <c r="O1159" s="1" t="s">
        <v>29</v>
      </c>
      <c r="P1159">
        <v>2.6</v>
      </c>
      <c r="Q1159" s="1" t="s">
        <v>309</v>
      </c>
      <c r="R1159" s="1" t="str">
        <f>_xlfn.CONCAT(laptop[[#This Row],[CPU_company]]," ",laptop[[#This Row],[CPU_model]])</f>
        <v>Intel Core i7 6600U</v>
      </c>
      <c r="S1159">
        <v>512</v>
      </c>
      <c r="T1159">
        <v>0</v>
      </c>
      <c r="U1159">
        <f>laptop[[#This Row],[PrimaryStorage]]+laptop[[#This Row],[SecondaryStorage]]</f>
        <v>512</v>
      </c>
      <c r="V1159" s="1" t="s">
        <v>31</v>
      </c>
      <c r="W1159" s="1" t="s">
        <v>27</v>
      </c>
      <c r="X1159" s="1" t="str">
        <f>IF(laptop[[#This Row],[PrimaryStorageType]]=laptop[[#This Row],[SecondaryStorageType]],laptop[[#This Row],[PrimaryStorageType]],"SSD &amp; HDD")</f>
        <v>SSD &amp; HDD</v>
      </c>
      <c r="Y1159" s="1" t="s">
        <v>63</v>
      </c>
    </row>
    <row r="1160" spans="1:25" x14ac:dyDescent="0.25">
      <c r="A1160" s="1" t="s">
        <v>73</v>
      </c>
      <c r="B1160" s="1" t="s">
        <v>829</v>
      </c>
      <c r="C1160" s="1" t="s">
        <v>38</v>
      </c>
      <c r="D1160">
        <v>15.6</v>
      </c>
      <c r="E1160">
        <v>8</v>
      </c>
      <c r="F1160" s="1" t="s">
        <v>48</v>
      </c>
      <c r="G1160">
        <v>2.5</v>
      </c>
      <c r="H1160">
        <v>788.49</v>
      </c>
      <c r="I1160" s="1" t="s">
        <v>40</v>
      </c>
      <c r="J1160">
        <v>1920</v>
      </c>
      <c r="K1160">
        <v>1080</v>
      </c>
      <c r="L1160" s="1" t="s">
        <v>27</v>
      </c>
      <c r="M1160" s="1" t="s">
        <v>27</v>
      </c>
      <c r="N1160" s="1" t="s">
        <v>27</v>
      </c>
      <c r="O1160" s="1" t="s">
        <v>29</v>
      </c>
      <c r="P1160">
        <v>2.2999999999999998</v>
      </c>
      <c r="Q1160" s="1" t="s">
        <v>212</v>
      </c>
      <c r="R1160" s="1" t="str">
        <f>_xlfn.CONCAT(laptop[[#This Row],[CPU_company]]," ",laptop[[#This Row],[CPU_model]])</f>
        <v>Intel Core i5 6200U</v>
      </c>
      <c r="S1160">
        <v>1024</v>
      </c>
      <c r="T1160">
        <v>0</v>
      </c>
      <c r="U1160">
        <f>laptop[[#This Row],[PrimaryStorage]]+laptop[[#This Row],[SecondaryStorage]]</f>
        <v>1024</v>
      </c>
      <c r="V1160" s="1" t="s">
        <v>223</v>
      </c>
      <c r="W1160" s="1" t="s">
        <v>27</v>
      </c>
      <c r="X1160" s="1" t="str">
        <f>IF(laptop[[#This Row],[PrimaryStorageType]]=laptop[[#This Row],[SecondaryStorageType]],laptop[[#This Row],[PrimaryStorageType]],"SSD &amp; HDD")</f>
        <v>SSD &amp; HDD</v>
      </c>
      <c r="Y1160" s="1" t="s">
        <v>786</v>
      </c>
    </row>
    <row r="1161" spans="1:25" x14ac:dyDescent="0.25">
      <c r="A1161" s="1" t="s">
        <v>36</v>
      </c>
      <c r="B1161" s="1" t="s">
        <v>809</v>
      </c>
      <c r="C1161" s="1" t="s">
        <v>90</v>
      </c>
      <c r="D1161">
        <v>13.3</v>
      </c>
      <c r="E1161">
        <v>8</v>
      </c>
      <c r="F1161" s="1" t="s">
        <v>48</v>
      </c>
      <c r="G1161">
        <v>1.48</v>
      </c>
      <c r="H1161">
        <v>2041</v>
      </c>
      <c r="I1161" s="1" t="s">
        <v>26</v>
      </c>
      <c r="J1161">
        <v>2560</v>
      </c>
      <c r="K1161">
        <v>1440</v>
      </c>
      <c r="L1161" s="1" t="s">
        <v>28</v>
      </c>
      <c r="M1161" s="1" t="s">
        <v>27</v>
      </c>
      <c r="N1161" s="1" t="s">
        <v>27</v>
      </c>
      <c r="O1161" s="1" t="s">
        <v>29</v>
      </c>
      <c r="P1161">
        <v>2.6</v>
      </c>
      <c r="Q1161" s="1" t="s">
        <v>309</v>
      </c>
      <c r="R1161" s="1" t="str">
        <f>_xlfn.CONCAT(laptop[[#This Row],[CPU_company]]," ",laptop[[#This Row],[CPU_model]])</f>
        <v>Intel Core i7 6600U</v>
      </c>
      <c r="S1161">
        <v>512</v>
      </c>
      <c r="T1161">
        <v>0</v>
      </c>
      <c r="U1161">
        <f>laptop[[#This Row],[PrimaryStorage]]+laptop[[#This Row],[SecondaryStorage]]</f>
        <v>512</v>
      </c>
      <c r="V1161" s="1" t="s">
        <v>31</v>
      </c>
      <c r="W1161" s="1" t="s">
        <v>27</v>
      </c>
      <c r="X1161" s="1" t="str">
        <f>IF(laptop[[#This Row],[PrimaryStorageType]]=laptop[[#This Row],[SecondaryStorageType]],laptop[[#This Row],[PrimaryStorageType]],"SSD &amp; HDD")</f>
        <v>SSD &amp; HDD</v>
      </c>
      <c r="Y1161" s="1" t="s">
        <v>63</v>
      </c>
    </row>
    <row r="1162" spans="1:25" x14ac:dyDescent="0.25">
      <c r="A1162" s="1" t="s">
        <v>73</v>
      </c>
      <c r="B1162" s="1" t="s">
        <v>738</v>
      </c>
      <c r="C1162" s="1" t="s">
        <v>24</v>
      </c>
      <c r="D1162">
        <v>14</v>
      </c>
      <c r="E1162">
        <v>8</v>
      </c>
      <c r="F1162" s="1" t="s">
        <v>480</v>
      </c>
      <c r="G1162">
        <v>1.7</v>
      </c>
      <c r="H1162">
        <v>1499</v>
      </c>
      <c r="I1162" s="1" t="s">
        <v>40</v>
      </c>
      <c r="J1162">
        <v>1920</v>
      </c>
      <c r="K1162">
        <v>1080</v>
      </c>
      <c r="L1162" s="1" t="s">
        <v>27</v>
      </c>
      <c r="M1162" s="1" t="s">
        <v>27</v>
      </c>
      <c r="N1162" s="1" t="s">
        <v>27</v>
      </c>
      <c r="O1162" s="1" t="s">
        <v>29</v>
      </c>
      <c r="P1162">
        <v>2.6</v>
      </c>
      <c r="Q1162" s="1" t="s">
        <v>309</v>
      </c>
      <c r="R1162" s="1" t="str">
        <f>_xlfn.CONCAT(laptop[[#This Row],[CPU_company]]," ",laptop[[#This Row],[CPU_model]])</f>
        <v>Intel Core i7 6600U</v>
      </c>
      <c r="S1162">
        <v>256</v>
      </c>
      <c r="T1162">
        <v>0</v>
      </c>
      <c r="U1162">
        <f>laptop[[#This Row],[PrimaryStorage]]+laptop[[#This Row],[SecondaryStorage]]</f>
        <v>256</v>
      </c>
      <c r="V1162" s="1" t="s">
        <v>31</v>
      </c>
      <c r="W1162" s="1" t="s">
        <v>27</v>
      </c>
      <c r="X1162" s="1" t="str">
        <f>IF(laptop[[#This Row],[PrimaryStorageType]]=laptop[[#This Row],[SecondaryStorageType]],laptop[[#This Row],[PrimaryStorageType]],"SSD &amp; HDD")</f>
        <v>SSD &amp; HDD</v>
      </c>
      <c r="Y1162" s="1" t="s">
        <v>63</v>
      </c>
    </row>
    <row r="1163" spans="1:25" x14ac:dyDescent="0.25">
      <c r="A1163" s="1" t="s">
        <v>141</v>
      </c>
      <c r="B1163" s="1" t="s">
        <v>830</v>
      </c>
      <c r="C1163" s="1" t="s">
        <v>83</v>
      </c>
      <c r="D1163">
        <v>14</v>
      </c>
      <c r="E1163">
        <v>16</v>
      </c>
      <c r="F1163" s="1" t="s">
        <v>48</v>
      </c>
      <c r="G1163">
        <v>1.7</v>
      </c>
      <c r="H1163">
        <v>1769</v>
      </c>
      <c r="I1163" s="1" t="s">
        <v>40</v>
      </c>
      <c r="J1163">
        <v>1920</v>
      </c>
      <c r="K1163">
        <v>1080</v>
      </c>
      <c r="L1163" s="1" t="s">
        <v>27</v>
      </c>
      <c r="M1163" s="1" t="s">
        <v>27</v>
      </c>
      <c r="N1163" s="1" t="s">
        <v>27</v>
      </c>
      <c r="O1163" s="1" t="s">
        <v>29</v>
      </c>
      <c r="P1163">
        <v>2.6</v>
      </c>
      <c r="Q1163" s="1" t="s">
        <v>447</v>
      </c>
      <c r="R1163" s="1" t="str">
        <f>_xlfn.CONCAT(laptop[[#This Row],[CPU_company]]," ",laptop[[#This Row],[CPU_model]])</f>
        <v>Intel Core i7 6700HQ</v>
      </c>
      <c r="S1163">
        <v>256</v>
      </c>
      <c r="T1163">
        <v>1024</v>
      </c>
      <c r="U1163">
        <f>laptop[[#This Row],[PrimaryStorage]]+laptop[[#This Row],[SecondaryStorage]]</f>
        <v>1280</v>
      </c>
      <c r="V1163" s="1" t="s">
        <v>31</v>
      </c>
      <c r="W1163" s="1" t="s">
        <v>51</v>
      </c>
      <c r="X1163" s="1" t="str">
        <f>IF(laptop[[#This Row],[PrimaryStorageType]]=laptop[[#This Row],[SecondaryStorageType]],laptop[[#This Row],[PrimaryStorageType]],"SSD &amp; HDD")</f>
        <v>SSD &amp; HDD</v>
      </c>
      <c r="Y1163" s="1" t="s">
        <v>530</v>
      </c>
    </row>
    <row r="1164" spans="1:25" x14ac:dyDescent="0.25">
      <c r="A1164" s="1" t="s">
        <v>36</v>
      </c>
      <c r="B1164" s="1" t="s">
        <v>831</v>
      </c>
      <c r="C1164" s="1" t="s">
        <v>83</v>
      </c>
      <c r="D1164">
        <v>15.6</v>
      </c>
      <c r="E1164">
        <v>8</v>
      </c>
      <c r="F1164" s="1" t="s">
        <v>48</v>
      </c>
      <c r="G1164">
        <v>2.62</v>
      </c>
      <c r="H1164">
        <v>899</v>
      </c>
      <c r="I1164" s="1" t="s">
        <v>40</v>
      </c>
      <c r="J1164">
        <v>1920</v>
      </c>
      <c r="K1164">
        <v>1080</v>
      </c>
      <c r="L1164" s="1" t="s">
        <v>27</v>
      </c>
      <c r="M1164" s="1" t="s">
        <v>28</v>
      </c>
      <c r="N1164" s="1" t="s">
        <v>27</v>
      </c>
      <c r="O1164" s="1" t="s">
        <v>29</v>
      </c>
      <c r="P1164">
        <v>2.8</v>
      </c>
      <c r="Q1164" s="1" t="s">
        <v>118</v>
      </c>
      <c r="R1164" s="1" t="str">
        <f>_xlfn.CONCAT(laptop[[#This Row],[CPU_company]]," ",laptop[[#This Row],[CPU_model]])</f>
        <v>Intel Core i7 7700HQ</v>
      </c>
      <c r="S1164">
        <v>1024</v>
      </c>
      <c r="T1164">
        <v>0</v>
      </c>
      <c r="U1164">
        <f>laptop[[#This Row],[PrimaryStorage]]+laptop[[#This Row],[SecondaryStorage]]</f>
        <v>1024</v>
      </c>
      <c r="V1164" s="1" t="s">
        <v>51</v>
      </c>
      <c r="W1164" s="1" t="s">
        <v>27</v>
      </c>
      <c r="X1164" s="1" t="str">
        <f>IF(laptop[[#This Row],[PrimaryStorageType]]=laptop[[#This Row],[SecondaryStorageType]],laptop[[#This Row],[PrimaryStorageType]],"SSD &amp; HDD")</f>
        <v>SSD &amp; HDD</v>
      </c>
      <c r="Y1164" s="1" t="s">
        <v>85</v>
      </c>
    </row>
    <row r="1165" spans="1:25" x14ac:dyDescent="0.25">
      <c r="A1165" s="1" t="s">
        <v>73</v>
      </c>
      <c r="B1165" s="1" t="s">
        <v>832</v>
      </c>
      <c r="C1165" s="1" t="s">
        <v>38</v>
      </c>
      <c r="D1165">
        <v>15.6</v>
      </c>
      <c r="E1165">
        <v>8</v>
      </c>
      <c r="F1165" s="1" t="s">
        <v>48</v>
      </c>
      <c r="G1165">
        <v>2.2000000000000002</v>
      </c>
      <c r="H1165">
        <v>459</v>
      </c>
      <c r="I1165" s="1" t="s">
        <v>26</v>
      </c>
      <c r="J1165">
        <v>1366</v>
      </c>
      <c r="K1165">
        <v>768</v>
      </c>
      <c r="L1165" s="1" t="s">
        <v>27</v>
      </c>
      <c r="M1165" s="1" t="s">
        <v>27</v>
      </c>
      <c r="N1165" s="1" t="s">
        <v>27</v>
      </c>
      <c r="O1165" s="1" t="s">
        <v>29</v>
      </c>
      <c r="P1165">
        <v>2</v>
      </c>
      <c r="Q1165" s="1" t="s">
        <v>62</v>
      </c>
      <c r="R1165" s="1" t="str">
        <f>_xlfn.CONCAT(laptop[[#This Row],[CPU_company]]," ",laptop[[#This Row],[CPU_model]])</f>
        <v>Intel Core i3 6006U</v>
      </c>
      <c r="S1165">
        <v>1024</v>
      </c>
      <c r="T1165">
        <v>0</v>
      </c>
      <c r="U1165">
        <f>laptop[[#This Row],[PrimaryStorage]]+laptop[[#This Row],[SecondaryStorage]]</f>
        <v>1024</v>
      </c>
      <c r="V1165" s="1" t="s">
        <v>51</v>
      </c>
      <c r="W1165" s="1" t="s">
        <v>27</v>
      </c>
      <c r="X1165" s="1" t="str">
        <f>IF(laptop[[#This Row],[PrimaryStorageType]]=laptop[[#This Row],[SecondaryStorageType]],laptop[[#This Row],[PrimaryStorageType]],"SSD &amp; HDD")</f>
        <v>SSD &amp; HDD</v>
      </c>
      <c r="Y1165" s="1" t="s">
        <v>63</v>
      </c>
    </row>
    <row r="1166" spans="1:25" x14ac:dyDescent="0.25">
      <c r="A1166" s="1" t="s">
        <v>36</v>
      </c>
      <c r="B1166" s="1" t="s">
        <v>833</v>
      </c>
      <c r="C1166" s="1" t="s">
        <v>38</v>
      </c>
      <c r="D1166">
        <v>15.6</v>
      </c>
      <c r="E1166">
        <v>4</v>
      </c>
      <c r="F1166" s="1" t="s">
        <v>39</v>
      </c>
      <c r="G1166">
        <v>2.1</v>
      </c>
      <c r="H1166">
        <v>476.99</v>
      </c>
      <c r="I1166" s="1" t="s">
        <v>26</v>
      </c>
      <c r="J1166">
        <v>1366</v>
      </c>
      <c r="K1166">
        <v>768</v>
      </c>
      <c r="L1166" s="1" t="s">
        <v>27</v>
      </c>
      <c r="M1166" s="1" t="s">
        <v>27</v>
      </c>
      <c r="N1166" s="1" t="s">
        <v>27</v>
      </c>
      <c r="O1166" s="1" t="s">
        <v>29</v>
      </c>
      <c r="P1166">
        <v>2.2999999999999998</v>
      </c>
      <c r="Q1166" s="1" t="s">
        <v>212</v>
      </c>
      <c r="R1166" s="1" t="str">
        <f>_xlfn.CONCAT(laptop[[#This Row],[CPU_company]]," ",laptop[[#This Row],[CPU_model]])</f>
        <v>Intel Core i5 6200U</v>
      </c>
      <c r="S1166">
        <v>500</v>
      </c>
      <c r="T1166">
        <v>0</v>
      </c>
      <c r="U1166">
        <f>laptop[[#This Row],[PrimaryStorage]]+laptop[[#This Row],[SecondaryStorage]]</f>
        <v>500</v>
      </c>
      <c r="V1166" s="1" t="s">
        <v>51</v>
      </c>
      <c r="W1166" s="1" t="s">
        <v>27</v>
      </c>
      <c r="X1166" s="1" t="str">
        <f>IF(laptop[[#This Row],[PrimaryStorageType]]=laptop[[#This Row],[SecondaryStorageType]],laptop[[#This Row],[PrimaryStorageType]],"SSD &amp; HDD")</f>
        <v>SSD &amp; HDD</v>
      </c>
      <c r="Y1166" s="1" t="s">
        <v>63</v>
      </c>
    </row>
    <row r="1167" spans="1:25" x14ac:dyDescent="0.25">
      <c r="A1167" s="1" t="s">
        <v>65</v>
      </c>
      <c r="B1167" s="1" t="s">
        <v>222</v>
      </c>
      <c r="C1167" s="1" t="s">
        <v>83</v>
      </c>
      <c r="D1167">
        <v>15.6</v>
      </c>
      <c r="E1167">
        <v>8</v>
      </c>
      <c r="F1167" s="1" t="s">
        <v>48</v>
      </c>
      <c r="G1167">
        <v>2.62</v>
      </c>
      <c r="H1167">
        <v>1498</v>
      </c>
      <c r="I1167" s="1" t="s">
        <v>215</v>
      </c>
      <c r="J1167">
        <v>3840</v>
      </c>
      <c r="K1167">
        <v>2160</v>
      </c>
      <c r="L1167" s="1" t="s">
        <v>27</v>
      </c>
      <c r="M1167" s="1" t="s">
        <v>27</v>
      </c>
      <c r="N1167" s="1" t="s">
        <v>27</v>
      </c>
      <c r="O1167" s="1" t="s">
        <v>29</v>
      </c>
      <c r="P1167">
        <v>2.8</v>
      </c>
      <c r="Q1167" s="1" t="s">
        <v>118</v>
      </c>
      <c r="R1167" s="1" t="str">
        <f>_xlfn.CONCAT(laptop[[#This Row],[CPU_company]]," ",laptop[[#This Row],[CPU_model]])</f>
        <v>Intel Core i7 7700HQ</v>
      </c>
      <c r="S1167">
        <v>128</v>
      </c>
      <c r="T1167">
        <v>1024</v>
      </c>
      <c r="U1167">
        <f>laptop[[#This Row],[PrimaryStorage]]+laptop[[#This Row],[SecondaryStorage]]</f>
        <v>1152</v>
      </c>
      <c r="V1167" s="1" t="s">
        <v>31</v>
      </c>
      <c r="W1167" s="1" t="s">
        <v>51</v>
      </c>
      <c r="X1167" s="1" t="str">
        <f>IF(laptop[[#This Row],[PrimaryStorageType]]=laptop[[#This Row],[SecondaryStorageType]],laptop[[#This Row],[PrimaryStorageType]],"SSD &amp; HDD")</f>
        <v>SSD &amp; HDD</v>
      </c>
      <c r="Y1167" s="1" t="s">
        <v>149</v>
      </c>
    </row>
    <row r="1168" spans="1:25" x14ac:dyDescent="0.25">
      <c r="A1168" s="1" t="s">
        <v>73</v>
      </c>
      <c r="B1168" s="1" t="s">
        <v>493</v>
      </c>
      <c r="C1168" s="1" t="s">
        <v>38</v>
      </c>
      <c r="D1168">
        <v>15.6</v>
      </c>
      <c r="E1168">
        <v>8</v>
      </c>
      <c r="F1168" s="1" t="s">
        <v>48</v>
      </c>
      <c r="G1168">
        <v>1.95</v>
      </c>
      <c r="H1168">
        <v>1390</v>
      </c>
      <c r="I1168" s="1" t="s">
        <v>40</v>
      </c>
      <c r="J1168">
        <v>1920</v>
      </c>
      <c r="K1168">
        <v>1080</v>
      </c>
      <c r="L1168" s="1" t="s">
        <v>27</v>
      </c>
      <c r="M1168" s="1" t="s">
        <v>28</v>
      </c>
      <c r="N1168" s="1" t="s">
        <v>27</v>
      </c>
      <c r="O1168" s="1" t="s">
        <v>29</v>
      </c>
      <c r="P1168">
        <v>2.5</v>
      </c>
      <c r="Q1168" s="1" t="s">
        <v>41</v>
      </c>
      <c r="R1168" s="1" t="str">
        <f>_xlfn.CONCAT(laptop[[#This Row],[CPU_company]]," ",laptop[[#This Row],[CPU_model]])</f>
        <v>Intel Core i5 7200U</v>
      </c>
      <c r="S1168">
        <v>256</v>
      </c>
      <c r="T1168">
        <v>0</v>
      </c>
      <c r="U1168">
        <f>laptop[[#This Row],[PrimaryStorage]]+laptop[[#This Row],[SecondaryStorage]]</f>
        <v>256</v>
      </c>
      <c r="V1168" s="1" t="s">
        <v>31</v>
      </c>
      <c r="W1168" s="1" t="s">
        <v>27</v>
      </c>
      <c r="X1168" s="1" t="str">
        <f>IF(laptop[[#This Row],[PrimaryStorageType]]=laptop[[#This Row],[SecondaryStorageType]],laptop[[#This Row],[PrimaryStorageType]],"SSD &amp; HDD")</f>
        <v>SSD &amp; HDD</v>
      </c>
      <c r="Y1168" s="1" t="s">
        <v>42</v>
      </c>
    </row>
    <row r="1169" spans="1:25" x14ac:dyDescent="0.25">
      <c r="A1169" s="1" t="s">
        <v>73</v>
      </c>
      <c r="B1169" s="1" t="s">
        <v>834</v>
      </c>
      <c r="C1169" s="1" t="s">
        <v>38</v>
      </c>
      <c r="D1169">
        <v>15.6</v>
      </c>
      <c r="E1169">
        <v>4</v>
      </c>
      <c r="F1169" s="1" t="s">
        <v>48</v>
      </c>
      <c r="G1169">
        <v>2.2000000000000002</v>
      </c>
      <c r="H1169">
        <v>468</v>
      </c>
      <c r="I1169" s="1" t="s">
        <v>40</v>
      </c>
      <c r="J1169">
        <v>1920</v>
      </c>
      <c r="K1169">
        <v>1080</v>
      </c>
      <c r="L1169" s="1" t="s">
        <v>27</v>
      </c>
      <c r="M1169" s="1" t="s">
        <v>27</v>
      </c>
      <c r="N1169" s="1" t="s">
        <v>27</v>
      </c>
      <c r="O1169" s="1" t="s">
        <v>29</v>
      </c>
      <c r="P1169">
        <v>2</v>
      </c>
      <c r="Q1169" s="1" t="s">
        <v>62</v>
      </c>
      <c r="R1169" s="1" t="str">
        <f>_xlfn.CONCAT(laptop[[#This Row],[CPU_company]]," ",laptop[[#This Row],[CPU_model]])</f>
        <v>Intel Core i3 6006U</v>
      </c>
      <c r="S1169">
        <v>1024</v>
      </c>
      <c r="T1169">
        <v>0</v>
      </c>
      <c r="U1169">
        <f>laptop[[#This Row],[PrimaryStorage]]+laptop[[#This Row],[SecondaryStorage]]</f>
        <v>1024</v>
      </c>
      <c r="V1169" s="1" t="s">
        <v>51</v>
      </c>
      <c r="W1169" s="1" t="s">
        <v>27</v>
      </c>
      <c r="X1169" s="1" t="str">
        <f>IF(laptop[[#This Row],[PrimaryStorageType]]=laptop[[#This Row],[SecondaryStorageType]],laptop[[#This Row],[PrimaryStorageType]],"SSD &amp; HDD")</f>
        <v>SSD &amp; HDD</v>
      </c>
      <c r="Y1169" s="1" t="s">
        <v>277</v>
      </c>
    </row>
    <row r="1170" spans="1:25" x14ac:dyDescent="0.25">
      <c r="A1170" s="1" t="s">
        <v>36</v>
      </c>
      <c r="B1170" s="1" t="s">
        <v>835</v>
      </c>
      <c r="C1170" s="1" t="s">
        <v>38</v>
      </c>
      <c r="D1170">
        <v>14</v>
      </c>
      <c r="E1170">
        <v>2</v>
      </c>
      <c r="F1170" s="1" t="s">
        <v>48</v>
      </c>
      <c r="G1170">
        <v>1.44</v>
      </c>
      <c r="H1170">
        <v>249</v>
      </c>
      <c r="I1170" s="1" t="s">
        <v>26</v>
      </c>
      <c r="J1170">
        <v>1366</v>
      </c>
      <c r="K1170">
        <v>768</v>
      </c>
      <c r="L1170" s="1" t="s">
        <v>27</v>
      </c>
      <c r="M1170" s="1" t="s">
        <v>27</v>
      </c>
      <c r="N1170" s="1" t="s">
        <v>27</v>
      </c>
      <c r="O1170" s="1" t="s">
        <v>29</v>
      </c>
      <c r="P1170">
        <v>1.6</v>
      </c>
      <c r="Q1170" s="1" t="s">
        <v>151</v>
      </c>
      <c r="R1170" s="1" t="str">
        <f>_xlfn.CONCAT(laptop[[#This Row],[CPU_company]]," ",laptop[[#This Row],[CPU_model]])</f>
        <v>Intel Celeron Dual Core N3060</v>
      </c>
      <c r="S1170">
        <v>32</v>
      </c>
      <c r="T1170">
        <v>0</v>
      </c>
      <c r="U1170">
        <f>laptop[[#This Row],[PrimaryStorage]]+laptop[[#This Row],[SecondaryStorage]]</f>
        <v>32</v>
      </c>
      <c r="V1170" s="1" t="s">
        <v>34</v>
      </c>
      <c r="W1170" s="1" t="s">
        <v>27</v>
      </c>
      <c r="X1170" s="1" t="str">
        <f>IF(laptop[[#This Row],[PrimaryStorageType]]=laptop[[#This Row],[SecondaryStorageType]],laptop[[#This Row],[PrimaryStorageType]],"SSD &amp; HDD")</f>
        <v>SSD &amp; HDD</v>
      </c>
      <c r="Y1170" s="1" t="s">
        <v>81</v>
      </c>
    </row>
    <row r="1171" spans="1:25" x14ac:dyDescent="0.25">
      <c r="A1171" s="1" t="s">
        <v>141</v>
      </c>
      <c r="B1171" s="1" t="s">
        <v>836</v>
      </c>
      <c r="C1171" s="1" t="s">
        <v>83</v>
      </c>
      <c r="D1171">
        <v>15.6</v>
      </c>
      <c r="E1171">
        <v>8</v>
      </c>
      <c r="F1171" s="1" t="s">
        <v>48</v>
      </c>
      <c r="G1171">
        <v>2.2000000000000002</v>
      </c>
      <c r="H1171">
        <v>839</v>
      </c>
      <c r="I1171" s="1" t="s">
        <v>40</v>
      </c>
      <c r="J1171">
        <v>1920</v>
      </c>
      <c r="K1171">
        <v>1080</v>
      </c>
      <c r="L1171" s="1" t="s">
        <v>27</v>
      </c>
      <c r="M1171" s="1" t="s">
        <v>28</v>
      </c>
      <c r="N1171" s="1" t="s">
        <v>27</v>
      </c>
      <c r="O1171" s="1" t="s">
        <v>29</v>
      </c>
      <c r="P1171">
        <v>2.7</v>
      </c>
      <c r="Q1171" s="1" t="s">
        <v>71</v>
      </c>
      <c r="R1171" s="1" t="str">
        <f>_xlfn.CONCAT(laptop[[#This Row],[CPU_company]]," ",laptop[[#This Row],[CPU_model]])</f>
        <v>Intel Core i7 7500U</v>
      </c>
      <c r="S1171">
        <v>1024</v>
      </c>
      <c r="T1171">
        <v>0</v>
      </c>
      <c r="U1171">
        <f>laptop[[#This Row],[PrimaryStorage]]+laptop[[#This Row],[SecondaryStorage]]</f>
        <v>1024</v>
      </c>
      <c r="V1171" s="1" t="s">
        <v>51</v>
      </c>
      <c r="W1171" s="1" t="s">
        <v>27</v>
      </c>
      <c r="X1171" s="1" t="str">
        <f>IF(laptop[[#This Row],[PrimaryStorageType]]=laptop[[#This Row],[SecondaryStorageType]],laptop[[#This Row],[PrimaryStorageType]],"SSD &amp; HDD")</f>
        <v>SSD &amp; HDD</v>
      </c>
      <c r="Y1171" s="1" t="s">
        <v>85</v>
      </c>
    </row>
    <row r="1172" spans="1:25" x14ac:dyDescent="0.25">
      <c r="A1172" s="1" t="s">
        <v>36</v>
      </c>
      <c r="B1172" s="1" t="s">
        <v>776</v>
      </c>
      <c r="C1172" s="1" t="s">
        <v>38</v>
      </c>
      <c r="D1172">
        <v>15.6</v>
      </c>
      <c r="E1172">
        <v>8</v>
      </c>
      <c r="F1172" s="1" t="s">
        <v>48</v>
      </c>
      <c r="G1172">
        <v>1.96</v>
      </c>
      <c r="H1172">
        <v>679</v>
      </c>
      <c r="I1172" s="1" t="s">
        <v>40</v>
      </c>
      <c r="J1172">
        <v>1920</v>
      </c>
      <c r="K1172">
        <v>1080</v>
      </c>
      <c r="L1172" s="1" t="s">
        <v>27</v>
      </c>
      <c r="M1172" s="1" t="s">
        <v>27</v>
      </c>
      <c r="N1172" s="1" t="s">
        <v>27</v>
      </c>
      <c r="O1172" s="1" t="s">
        <v>29</v>
      </c>
      <c r="P1172">
        <v>2.5</v>
      </c>
      <c r="Q1172" s="1" t="s">
        <v>274</v>
      </c>
      <c r="R1172" s="1" t="str">
        <f>_xlfn.CONCAT(laptop[[#This Row],[CPU_company]]," ",laptop[[#This Row],[CPU_model]])</f>
        <v>Intel Core i7 6500U</v>
      </c>
      <c r="S1172">
        <v>256</v>
      </c>
      <c r="T1172">
        <v>0</v>
      </c>
      <c r="U1172">
        <f>laptop[[#This Row],[PrimaryStorage]]+laptop[[#This Row],[SecondaryStorage]]</f>
        <v>256</v>
      </c>
      <c r="V1172" s="1" t="s">
        <v>31</v>
      </c>
      <c r="W1172" s="1" t="s">
        <v>27</v>
      </c>
      <c r="X1172" s="1" t="str">
        <f>IF(laptop[[#This Row],[PrimaryStorageType]]=laptop[[#This Row],[SecondaryStorageType]],laptop[[#This Row],[PrimaryStorageType]],"SSD &amp; HDD")</f>
        <v>SSD &amp; HDD</v>
      </c>
      <c r="Y1172" s="1" t="s">
        <v>63</v>
      </c>
    </row>
    <row r="1173" spans="1:25" x14ac:dyDescent="0.25">
      <c r="A1173" s="1" t="s">
        <v>36</v>
      </c>
      <c r="B1173" s="1" t="s">
        <v>114</v>
      </c>
      <c r="C1173" s="1" t="s">
        <v>38</v>
      </c>
      <c r="D1173">
        <v>15.6</v>
      </c>
      <c r="E1173">
        <v>16</v>
      </c>
      <c r="F1173" s="1" t="s">
        <v>48</v>
      </c>
      <c r="G1173">
        <v>2.1</v>
      </c>
      <c r="H1173">
        <v>1159</v>
      </c>
      <c r="I1173" s="1" t="s">
        <v>40</v>
      </c>
      <c r="J1173">
        <v>1920</v>
      </c>
      <c r="K1173">
        <v>1080</v>
      </c>
      <c r="L1173" s="1" t="s">
        <v>27</v>
      </c>
      <c r="M1173" s="1" t="s">
        <v>27</v>
      </c>
      <c r="N1173" s="1" t="s">
        <v>27</v>
      </c>
      <c r="O1173" s="1" t="s">
        <v>29</v>
      </c>
      <c r="P1173">
        <v>1.8</v>
      </c>
      <c r="Q1173" s="1" t="s">
        <v>57</v>
      </c>
      <c r="R1173" s="1" t="str">
        <f>_xlfn.CONCAT(laptop[[#This Row],[CPU_company]]," ",laptop[[#This Row],[CPU_model]])</f>
        <v>Intel Core i7 8550U</v>
      </c>
      <c r="S1173">
        <v>512</v>
      </c>
      <c r="T1173">
        <v>0</v>
      </c>
      <c r="U1173">
        <f>laptop[[#This Row],[PrimaryStorage]]+laptop[[#This Row],[SecondaryStorage]]</f>
        <v>512</v>
      </c>
      <c r="V1173" s="1" t="s">
        <v>31</v>
      </c>
      <c r="W1173" s="1" t="s">
        <v>27</v>
      </c>
      <c r="X1173" s="1" t="str">
        <f>IF(laptop[[#This Row],[PrimaryStorageType]]=laptop[[#This Row],[SecondaryStorageType]],laptop[[#This Row],[PrimaryStorageType]],"SSD &amp; HDD")</f>
        <v>SSD &amp; HDD</v>
      </c>
      <c r="Y1173" s="1" t="s">
        <v>61</v>
      </c>
    </row>
    <row r="1174" spans="1:25" x14ac:dyDescent="0.25">
      <c r="A1174" s="1" t="s">
        <v>55</v>
      </c>
      <c r="B1174" s="1" t="s">
        <v>837</v>
      </c>
      <c r="C1174" s="1" t="s">
        <v>38</v>
      </c>
      <c r="D1174">
        <v>15.6</v>
      </c>
      <c r="E1174">
        <v>4</v>
      </c>
      <c r="F1174" s="1" t="s">
        <v>48</v>
      </c>
      <c r="G1174">
        <v>2.2000000000000002</v>
      </c>
      <c r="H1174">
        <v>369</v>
      </c>
      <c r="I1174" s="1" t="s">
        <v>26</v>
      </c>
      <c r="J1174">
        <v>1366</v>
      </c>
      <c r="K1174">
        <v>768</v>
      </c>
      <c r="L1174" s="1" t="s">
        <v>27</v>
      </c>
      <c r="M1174" s="1" t="s">
        <v>27</v>
      </c>
      <c r="N1174" s="1" t="s">
        <v>27</v>
      </c>
      <c r="O1174" s="1" t="s">
        <v>29</v>
      </c>
      <c r="P1174">
        <v>1.6</v>
      </c>
      <c r="Q1174" s="1" t="s">
        <v>590</v>
      </c>
      <c r="R1174" s="1" t="str">
        <f>_xlfn.CONCAT(laptop[[#This Row],[CPU_company]]," ",laptop[[#This Row],[CPU_model]])</f>
        <v>Intel Celeron Dual Core N3050</v>
      </c>
      <c r="S1174">
        <v>500</v>
      </c>
      <c r="T1174">
        <v>0</v>
      </c>
      <c r="U1174">
        <f>laptop[[#This Row],[PrimaryStorage]]+laptop[[#This Row],[SecondaryStorage]]</f>
        <v>500</v>
      </c>
      <c r="V1174" s="1" t="s">
        <v>51</v>
      </c>
      <c r="W1174" s="1" t="s">
        <v>27</v>
      </c>
      <c r="X1174" s="1" t="str">
        <f>IF(laptop[[#This Row],[PrimaryStorageType]]=laptop[[#This Row],[SecondaryStorageType]],laptop[[#This Row],[PrimaryStorageType]],"SSD &amp; HDD")</f>
        <v>SSD &amp; HDD</v>
      </c>
      <c r="Y1174" s="1" t="s">
        <v>102</v>
      </c>
    </row>
    <row r="1175" spans="1:25" x14ac:dyDescent="0.25">
      <c r="A1175" s="1" t="s">
        <v>73</v>
      </c>
      <c r="B1175" s="1" t="s">
        <v>838</v>
      </c>
      <c r="C1175" s="1" t="s">
        <v>38</v>
      </c>
      <c r="D1175">
        <v>15.6</v>
      </c>
      <c r="E1175">
        <v>4</v>
      </c>
      <c r="F1175" s="1" t="s">
        <v>39</v>
      </c>
      <c r="G1175">
        <v>2.1</v>
      </c>
      <c r="H1175">
        <v>398</v>
      </c>
      <c r="I1175" s="1" t="s">
        <v>26</v>
      </c>
      <c r="J1175">
        <v>1366</v>
      </c>
      <c r="K1175">
        <v>768</v>
      </c>
      <c r="L1175" s="1" t="s">
        <v>27</v>
      </c>
      <c r="M1175" s="1" t="s">
        <v>27</v>
      </c>
      <c r="N1175" s="1" t="s">
        <v>27</v>
      </c>
      <c r="O1175" s="1" t="s">
        <v>29</v>
      </c>
      <c r="P1175">
        <v>2.2999999999999998</v>
      </c>
      <c r="Q1175" s="1" t="s">
        <v>212</v>
      </c>
      <c r="R1175" s="1" t="str">
        <f>_xlfn.CONCAT(laptop[[#This Row],[CPU_company]]," ",laptop[[#This Row],[CPU_model]])</f>
        <v>Intel Core i5 6200U</v>
      </c>
      <c r="S1175">
        <v>500</v>
      </c>
      <c r="T1175">
        <v>0</v>
      </c>
      <c r="U1175">
        <f>laptop[[#This Row],[PrimaryStorage]]+laptop[[#This Row],[SecondaryStorage]]</f>
        <v>500</v>
      </c>
      <c r="V1175" s="1" t="s">
        <v>51</v>
      </c>
      <c r="W1175" s="1" t="s">
        <v>27</v>
      </c>
      <c r="X1175" s="1" t="str">
        <f>IF(laptop[[#This Row],[PrimaryStorageType]]=laptop[[#This Row],[SecondaryStorageType]],laptop[[#This Row],[PrimaryStorageType]],"SSD &amp; HDD")</f>
        <v>SSD &amp; HDD</v>
      </c>
      <c r="Y1175" s="1" t="s">
        <v>63</v>
      </c>
    </row>
    <row r="1176" spans="1:25" x14ac:dyDescent="0.25">
      <c r="A1176" s="1" t="s">
        <v>73</v>
      </c>
      <c r="B1176" s="1" t="s">
        <v>710</v>
      </c>
      <c r="C1176" s="1" t="s">
        <v>38</v>
      </c>
      <c r="D1176">
        <v>15.6</v>
      </c>
      <c r="E1176">
        <v>8</v>
      </c>
      <c r="F1176" s="1" t="s">
        <v>39</v>
      </c>
      <c r="G1176">
        <v>2.2000000000000002</v>
      </c>
      <c r="H1176">
        <v>709</v>
      </c>
      <c r="I1176" s="1" t="s">
        <v>40</v>
      </c>
      <c r="J1176">
        <v>1920</v>
      </c>
      <c r="K1176">
        <v>1080</v>
      </c>
      <c r="L1176" s="1" t="s">
        <v>27</v>
      </c>
      <c r="M1176" s="1" t="s">
        <v>27</v>
      </c>
      <c r="N1176" s="1" t="s">
        <v>27</v>
      </c>
      <c r="O1176" s="1" t="s">
        <v>29</v>
      </c>
      <c r="P1176">
        <v>2.7</v>
      </c>
      <c r="Q1176" s="1" t="s">
        <v>71</v>
      </c>
      <c r="R1176" s="1" t="str">
        <f>_xlfn.CONCAT(laptop[[#This Row],[CPU_company]]," ",laptop[[#This Row],[CPU_model]])</f>
        <v>Intel Core i7 7500U</v>
      </c>
      <c r="S1176">
        <v>1024</v>
      </c>
      <c r="T1176">
        <v>0</v>
      </c>
      <c r="U1176">
        <f>laptop[[#This Row],[PrimaryStorage]]+laptop[[#This Row],[SecondaryStorage]]</f>
        <v>1024</v>
      </c>
      <c r="V1176" s="1" t="s">
        <v>51</v>
      </c>
      <c r="W1176" s="1" t="s">
        <v>27</v>
      </c>
      <c r="X1176" s="1" t="str">
        <f>IF(laptop[[#This Row],[PrimaryStorageType]]=laptop[[#This Row],[SecondaryStorageType]],laptop[[#This Row],[PrimaryStorageType]],"SSD &amp; HDD")</f>
        <v>SSD &amp; HDD</v>
      </c>
      <c r="Y1176" s="1" t="s">
        <v>76</v>
      </c>
    </row>
    <row r="1177" spans="1:25" x14ac:dyDescent="0.25">
      <c r="A1177" s="1" t="s">
        <v>55</v>
      </c>
      <c r="B1177" s="1" t="s">
        <v>839</v>
      </c>
      <c r="C1177" s="1" t="s">
        <v>38</v>
      </c>
      <c r="D1177">
        <v>14</v>
      </c>
      <c r="E1177">
        <v>4</v>
      </c>
      <c r="F1177" s="1" t="s">
        <v>48</v>
      </c>
      <c r="G1177">
        <v>2</v>
      </c>
      <c r="H1177">
        <v>769</v>
      </c>
      <c r="I1177" s="1" t="s">
        <v>40</v>
      </c>
      <c r="J1177">
        <v>1920</v>
      </c>
      <c r="K1177">
        <v>1080</v>
      </c>
      <c r="L1177" s="1" t="s">
        <v>27</v>
      </c>
      <c r="M1177" s="1" t="s">
        <v>27</v>
      </c>
      <c r="N1177" s="1" t="s">
        <v>27</v>
      </c>
      <c r="O1177" s="1" t="s">
        <v>29</v>
      </c>
      <c r="P1177">
        <v>2.4</v>
      </c>
      <c r="Q1177" s="1" t="s">
        <v>75</v>
      </c>
      <c r="R1177" s="1" t="str">
        <f>_xlfn.CONCAT(laptop[[#This Row],[CPU_company]]," ",laptop[[#This Row],[CPU_model]])</f>
        <v>Intel Core i3 7100U</v>
      </c>
      <c r="S1177">
        <v>256</v>
      </c>
      <c r="T1177">
        <v>0</v>
      </c>
      <c r="U1177">
        <f>laptop[[#This Row],[PrimaryStorage]]+laptop[[#This Row],[SecondaryStorage]]</f>
        <v>256</v>
      </c>
      <c r="V1177" s="1" t="s">
        <v>31</v>
      </c>
      <c r="W1177" s="1" t="s">
        <v>27</v>
      </c>
      <c r="X1177" s="1" t="str">
        <f>IF(laptop[[#This Row],[PrimaryStorageType]]=laptop[[#This Row],[SecondaryStorageType]],laptop[[#This Row],[PrimaryStorageType]],"SSD &amp; HDD")</f>
        <v>SSD &amp; HDD</v>
      </c>
      <c r="Y1177" s="1" t="s">
        <v>42</v>
      </c>
    </row>
    <row r="1178" spans="1:25" x14ac:dyDescent="0.25">
      <c r="A1178" s="1" t="s">
        <v>73</v>
      </c>
      <c r="B1178" s="1" t="s">
        <v>840</v>
      </c>
      <c r="C1178" s="1" t="s">
        <v>38</v>
      </c>
      <c r="D1178">
        <v>15.6</v>
      </c>
      <c r="E1178">
        <v>4</v>
      </c>
      <c r="F1178" s="1" t="s">
        <v>480</v>
      </c>
      <c r="G1178">
        <v>2.3199999999999998</v>
      </c>
      <c r="H1178">
        <v>825</v>
      </c>
      <c r="I1178" s="1" t="s">
        <v>40</v>
      </c>
      <c r="J1178">
        <v>1920</v>
      </c>
      <c r="K1178">
        <v>1080</v>
      </c>
      <c r="L1178" s="1" t="s">
        <v>27</v>
      </c>
      <c r="M1178" s="1" t="s">
        <v>27</v>
      </c>
      <c r="N1178" s="1" t="s">
        <v>27</v>
      </c>
      <c r="O1178" s="1" t="s">
        <v>29</v>
      </c>
      <c r="P1178">
        <v>2.5</v>
      </c>
      <c r="Q1178" s="1" t="s">
        <v>274</v>
      </c>
      <c r="R1178" s="1" t="str">
        <f>_xlfn.CONCAT(laptop[[#This Row],[CPU_company]]," ",laptop[[#This Row],[CPU_model]])</f>
        <v>Intel Core i7 6500U</v>
      </c>
      <c r="S1178">
        <v>1024</v>
      </c>
      <c r="T1178">
        <v>0</v>
      </c>
      <c r="U1178">
        <f>laptop[[#This Row],[PrimaryStorage]]+laptop[[#This Row],[SecondaryStorage]]</f>
        <v>1024</v>
      </c>
      <c r="V1178" s="1" t="s">
        <v>223</v>
      </c>
      <c r="W1178" s="1" t="s">
        <v>27</v>
      </c>
      <c r="X1178" s="1" t="str">
        <f>IF(laptop[[#This Row],[PrimaryStorageType]]=laptop[[#This Row],[SecondaryStorageType]],laptop[[#This Row],[PrimaryStorageType]],"SSD &amp; HDD")</f>
        <v>SSD &amp; HDD</v>
      </c>
      <c r="Y1178" s="1" t="s">
        <v>63</v>
      </c>
    </row>
    <row r="1179" spans="1:25" x14ac:dyDescent="0.25">
      <c r="A1179" s="1" t="s">
        <v>73</v>
      </c>
      <c r="B1179" s="1" t="s">
        <v>559</v>
      </c>
      <c r="C1179" s="1" t="s">
        <v>83</v>
      </c>
      <c r="D1179">
        <v>15.6</v>
      </c>
      <c r="E1179">
        <v>16</v>
      </c>
      <c r="F1179" s="1" t="s">
        <v>48</v>
      </c>
      <c r="G1179">
        <v>3.31</v>
      </c>
      <c r="H1179">
        <v>1305</v>
      </c>
      <c r="I1179" s="1" t="s">
        <v>40</v>
      </c>
      <c r="J1179">
        <v>1920</v>
      </c>
      <c r="K1179">
        <v>1080</v>
      </c>
      <c r="L1179" s="1" t="s">
        <v>27</v>
      </c>
      <c r="M1179" s="1" t="s">
        <v>28</v>
      </c>
      <c r="N1179" s="1" t="s">
        <v>27</v>
      </c>
      <c r="O1179" s="1" t="s">
        <v>29</v>
      </c>
      <c r="P1179">
        <v>2.6</v>
      </c>
      <c r="Q1179" s="1" t="s">
        <v>447</v>
      </c>
      <c r="R1179" s="1" t="str">
        <f>_xlfn.CONCAT(laptop[[#This Row],[CPU_company]]," ",laptop[[#This Row],[CPU_model]])</f>
        <v>Intel Core i7 6700HQ</v>
      </c>
      <c r="S1179">
        <v>512</v>
      </c>
      <c r="T1179">
        <v>0</v>
      </c>
      <c r="U1179">
        <f>laptop[[#This Row],[PrimaryStorage]]+laptop[[#This Row],[SecondaryStorage]]</f>
        <v>512</v>
      </c>
      <c r="V1179" s="1" t="s">
        <v>31</v>
      </c>
      <c r="W1179" s="1" t="s">
        <v>27</v>
      </c>
      <c r="X1179" s="1" t="str">
        <f>IF(laptop[[#This Row],[PrimaryStorageType]]=laptop[[#This Row],[SecondaryStorageType]],laptop[[#This Row],[PrimaryStorageType]],"SSD &amp; HDD")</f>
        <v>SSD &amp; HDD</v>
      </c>
      <c r="Y1179" s="1" t="s">
        <v>560</v>
      </c>
    </row>
    <row r="1180" spans="1:25" x14ac:dyDescent="0.25">
      <c r="A1180" s="1" t="s">
        <v>141</v>
      </c>
      <c r="B1180" s="1" t="s">
        <v>841</v>
      </c>
      <c r="C1180" s="1" t="s">
        <v>83</v>
      </c>
      <c r="D1180">
        <v>15.6</v>
      </c>
      <c r="E1180">
        <v>16</v>
      </c>
      <c r="F1180" s="1" t="s">
        <v>48</v>
      </c>
      <c r="G1180">
        <v>1.91</v>
      </c>
      <c r="H1180">
        <v>2153.37</v>
      </c>
      <c r="I1180" s="1" t="s">
        <v>40</v>
      </c>
      <c r="J1180">
        <v>1920</v>
      </c>
      <c r="K1180">
        <v>1080</v>
      </c>
      <c r="L1180" s="1" t="s">
        <v>27</v>
      </c>
      <c r="M1180" s="1" t="s">
        <v>27</v>
      </c>
      <c r="N1180" s="1" t="s">
        <v>27</v>
      </c>
      <c r="O1180" s="1" t="s">
        <v>29</v>
      </c>
      <c r="P1180">
        <v>2.6</v>
      </c>
      <c r="Q1180" s="1" t="s">
        <v>447</v>
      </c>
      <c r="R1180" s="1" t="str">
        <f>_xlfn.CONCAT(laptop[[#This Row],[CPU_company]]," ",laptop[[#This Row],[CPU_model]])</f>
        <v>Intel Core i7 6700HQ</v>
      </c>
      <c r="S1180">
        <v>128</v>
      </c>
      <c r="T1180">
        <v>1024</v>
      </c>
      <c r="U1180">
        <f>laptop[[#This Row],[PrimaryStorage]]+laptop[[#This Row],[SecondaryStorage]]</f>
        <v>1152</v>
      </c>
      <c r="V1180" s="1" t="s">
        <v>31</v>
      </c>
      <c r="W1180" s="1" t="s">
        <v>51</v>
      </c>
      <c r="X1180" s="1" t="str">
        <f>IF(laptop[[#This Row],[PrimaryStorageType]]=laptop[[#This Row],[SecondaryStorageType]],laptop[[#This Row],[PrimaryStorageType]],"SSD &amp; HDD")</f>
        <v>SSD &amp; HDD</v>
      </c>
      <c r="Y1180" s="1" t="s">
        <v>530</v>
      </c>
    </row>
    <row r="1181" spans="1:25" x14ac:dyDescent="0.25">
      <c r="A1181" s="1" t="s">
        <v>36</v>
      </c>
      <c r="B1181" s="1" t="s">
        <v>114</v>
      </c>
      <c r="C1181" s="1" t="s">
        <v>38</v>
      </c>
      <c r="D1181">
        <v>15.6</v>
      </c>
      <c r="E1181">
        <v>4</v>
      </c>
      <c r="F1181" s="1" t="s">
        <v>48</v>
      </c>
      <c r="G1181">
        <v>2.0699999999999998</v>
      </c>
      <c r="H1181">
        <v>650</v>
      </c>
      <c r="I1181" s="1" t="s">
        <v>26</v>
      </c>
      <c r="J1181">
        <v>1366</v>
      </c>
      <c r="K1181">
        <v>768</v>
      </c>
      <c r="L1181" s="1" t="s">
        <v>27</v>
      </c>
      <c r="M1181" s="1" t="s">
        <v>27</v>
      </c>
      <c r="N1181" s="1" t="s">
        <v>27</v>
      </c>
      <c r="O1181" s="1" t="s">
        <v>29</v>
      </c>
      <c r="P1181">
        <v>2.2999999999999998</v>
      </c>
      <c r="Q1181" s="1" t="s">
        <v>450</v>
      </c>
      <c r="R1181" s="1" t="str">
        <f>_xlfn.CONCAT(laptop[[#This Row],[CPU_company]]," ",laptop[[#This Row],[CPU_model]])</f>
        <v>Intel Core i3 6100U</v>
      </c>
      <c r="S1181">
        <v>500</v>
      </c>
      <c r="T1181">
        <v>0</v>
      </c>
      <c r="U1181">
        <f>laptop[[#This Row],[PrimaryStorage]]+laptop[[#This Row],[SecondaryStorage]]</f>
        <v>500</v>
      </c>
      <c r="V1181" s="1" t="s">
        <v>51</v>
      </c>
      <c r="W1181" s="1" t="s">
        <v>27</v>
      </c>
      <c r="X1181" s="1" t="str">
        <f>IF(laptop[[#This Row],[PrimaryStorageType]]=laptop[[#This Row],[SecondaryStorageType]],laptop[[#This Row],[PrimaryStorageType]],"SSD &amp; HDD")</f>
        <v>SSD &amp; HDD</v>
      </c>
      <c r="Y1181" s="1" t="s">
        <v>63</v>
      </c>
    </row>
    <row r="1182" spans="1:25" x14ac:dyDescent="0.25">
      <c r="A1182" s="1" t="s">
        <v>73</v>
      </c>
      <c r="B1182" s="1" t="s">
        <v>308</v>
      </c>
      <c r="C1182" s="1" t="s">
        <v>90</v>
      </c>
      <c r="D1182">
        <v>14</v>
      </c>
      <c r="E1182">
        <v>8</v>
      </c>
      <c r="F1182" s="1" t="s">
        <v>48</v>
      </c>
      <c r="G1182">
        <v>1.36</v>
      </c>
      <c r="H1182">
        <v>1637</v>
      </c>
      <c r="I1182" s="1" t="s">
        <v>26</v>
      </c>
      <c r="J1182">
        <v>2560</v>
      </c>
      <c r="K1182">
        <v>1440</v>
      </c>
      <c r="L1182" s="1" t="s">
        <v>28</v>
      </c>
      <c r="M1182" s="1" t="s">
        <v>28</v>
      </c>
      <c r="N1182" s="1" t="s">
        <v>27</v>
      </c>
      <c r="O1182" s="1" t="s">
        <v>29</v>
      </c>
      <c r="P1182">
        <v>2.2999999999999998</v>
      </c>
      <c r="Q1182" s="1" t="s">
        <v>212</v>
      </c>
      <c r="R1182" s="1" t="str">
        <f>_xlfn.CONCAT(laptop[[#This Row],[CPU_company]]," ",laptop[[#This Row],[CPU_model]])</f>
        <v>Intel Core i5 6200U</v>
      </c>
      <c r="S1182">
        <v>256</v>
      </c>
      <c r="T1182">
        <v>0</v>
      </c>
      <c r="U1182">
        <f>laptop[[#This Row],[PrimaryStorage]]+laptop[[#This Row],[SecondaryStorage]]</f>
        <v>256</v>
      </c>
      <c r="V1182" s="1" t="s">
        <v>31</v>
      </c>
      <c r="W1182" s="1" t="s">
        <v>27</v>
      </c>
      <c r="X1182" s="1" t="str">
        <f>IF(laptop[[#This Row],[PrimaryStorageType]]=laptop[[#This Row],[SecondaryStorageType]],laptop[[#This Row],[PrimaryStorageType]],"SSD &amp; HDD")</f>
        <v>SSD &amp; HDD</v>
      </c>
      <c r="Y1182" s="1" t="s">
        <v>63</v>
      </c>
    </row>
    <row r="1183" spans="1:25" x14ac:dyDescent="0.25">
      <c r="A1183" s="1" t="s">
        <v>73</v>
      </c>
      <c r="B1183" s="1" t="s">
        <v>533</v>
      </c>
      <c r="C1183" s="1" t="s">
        <v>24</v>
      </c>
      <c r="D1183">
        <v>15.6</v>
      </c>
      <c r="E1183">
        <v>6</v>
      </c>
      <c r="F1183" s="1" t="s">
        <v>48</v>
      </c>
      <c r="G1183">
        <v>1.54</v>
      </c>
      <c r="H1183">
        <v>831</v>
      </c>
      <c r="I1183" s="1" t="s">
        <v>40</v>
      </c>
      <c r="J1183">
        <v>1920</v>
      </c>
      <c r="K1183">
        <v>1080</v>
      </c>
      <c r="L1183" s="1" t="s">
        <v>27</v>
      </c>
      <c r="M1183" s="1" t="s">
        <v>27</v>
      </c>
      <c r="N1183" s="1" t="s">
        <v>27</v>
      </c>
      <c r="O1183" s="1" t="s">
        <v>29</v>
      </c>
      <c r="P1183">
        <v>2.7</v>
      </c>
      <c r="Q1183" s="1" t="s">
        <v>71</v>
      </c>
      <c r="R1183" s="1" t="str">
        <f>_xlfn.CONCAT(laptop[[#This Row],[CPU_company]]," ",laptop[[#This Row],[CPU_model]])</f>
        <v>Intel Core i7 7500U</v>
      </c>
      <c r="S1183">
        <v>256</v>
      </c>
      <c r="T1183">
        <v>0</v>
      </c>
      <c r="U1183">
        <f>laptop[[#This Row],[PrimaryStorage]]+laptop[[#This Row],[SecondaryStorage]]</f>
        <v>256</v>
      </c>
      <c r="V1183" s="1" t="s">
        <v>31</v>
      </c>
      <c r="W1183" s="1" t="s">
        <v>27</v>
      </c>
      <c r="X1183" s="1" t="str">
        <f>IF(laptop[[#This Row],[PrimaryStorageType]]=laptop[[#This Row],[SecondaryStorageType]],laptop[[#This Row],[PrimaryStorageType]],"SSD &amp; HDD")</f>
        <v>SSD &amp; HDD</v>
      </c>
      <c r="Y1183" s="1" t="s">
        <v>178</v>
      </c>
    </row>
    <row r="1184" spans="1:25" x14ac:dyDescent="0.25">
      <c r="A1184" s="1" t="s">
        <v>65</v>
      </c>
      <c r="B1184" s="1" t="s">
        <v>471</v>
      </c>
      <c r="C1184" s="1" t="s">
        <v>38</v>
      </c>
      <c r="D1184">
        <v>15.6</v>
      </c>
      <c r="E1184">
        <v>8</v>
      </c>
      <c r="F1184" s="1" t="s">
        <v>111</v>
      </c>
      <c r="G1184">
        <v>1.98</v>
      </c>
      <c r="H1184">
        <v>895.01</v>
      </c>
      <c r="I1184" s="1" t="s">
        <v>40</v>
      </c>
      <c r="J1184">
        <v>1920</v>
      </c>
      <c r="K1184">
        <v>1080</v>
      </c>
      <c r="L1184" s="1" t="s">
        <v>27</v>
      </c>
      <c r="M1184" s="1" t="s">
        <v>27</v>
      </c>
      <c r="N1184" s="1" t="s">
        <v>27</v>
      </c>
      <c r="O1184" s="1" t="s">
        <v>29</v>
      </c>
      <c r="P1184">
        <v>2.7</v>
      </c>
      <c r="Q1184" s="1" t="s">
        <v>71</v>
      </c>
      <c r="R1184" s="1" t="str">
        <f>_xlfn.CONCAT(laptop[[#This Row],[CPU_company]]," ",laptop[[#This Row],[CPU_model]])</f>
        <v>Intel Core i7 7500U</v>
      </c>
      <c r="S1184">
        <v>256</v>
      </c>
      <c r="T1184">
        <v>0</v>
      </c>
      <c r="U1184">
        <f>laptop[[#This Row],[PrimaryStorage]]+laptop[[#This Row],[SecondaryStorage]]</f>
        <v>256</v>
      </c>
      <c r="V1184" s="1" t="s">
        <v>31</v>
      </c>
      <c r="W1184" s="1" t="s">
        <v>27</v>
      </c>
      <c r="X1184" s="1" t="str">
        <f>IF(laptop[[#This Row],[PrimaryStorageType]]=laptop[[#This Row],[SecondaryStorageType]],laptop[[#This Row],[PrimaryStorageType]],"SSD &amp; HDD")</f>
        <v>SSD &amp; HDD</v>
      </c>
      <c r="Y1184" s="1" t="s">
        <v>371</v>
      </c>
    </row>
    <row r="1185" spans="1:25" x14ac:dyDescent="0.25">
      <c r="A1185" s="1" t="s">
        <v>46</v>
      </c>
      <c r="B1185" s="1" t="s">
        <v>47</v>
      </c>
      <c r="C1185" s="1" t="s">
        <v>38</v>
      </c>
      <c r="D1185">
        <v>15.6</v>
      </c>
      <c r="E1185">
        <v>4</v>
      </c>
      <c r="F1185" s="1" t="s">
        <v>48</v>
      </c>
      <c r="G1185">
        <v>2.1</v>
      </c>
      <c r="H1185">
        <v>333</v>
      </c>
      <c r="I1185" s="1" t="s">
        <v>26</v>
      </c>
      <c r="J1185">
        <v>1366</v>
      </c>
      <c r="K1185">
        <v>768</v>
      </c>
      <c r="L1185" s="1" t="s">
        <v>27</v>
      </c>
      <c r="M1185" s="1" t="s">
        <v>27</v>
      </c>
      <c r="N1185" s="1" t="s">
        <v>27</v>
      </c>
      <c r="O1185" s="1" t="s">
        <v>29</v>
      </c>
      <c r="P1185">
        <v>2</v>
      </c>
      <c r="Q1185" s="1" t="s">
        <v>109</v>
      </c>
      <c r="R1185" s="1" t="str">
        <f>_xlfn.CONCAT(laptop[[#This Row],[CPU_company]]," ",laptop[[#This Row],[CPU_model]])</f>
        <v>Intel Celeron Dual Core N3350</v>
      </c>
      <c r="S1185">
        <v>500</v>
      </c>
      <c r="T1185">
        <v>0</v>
      </c>
      <c r="U1185">
        <f>laptop[[#This Row],[PrimaryStorage]]+laptop[[#This Row],[SecondaryStorage]]</f>
        <v>500</v>
      </c>
      <c r="V1185" s="1" t="s">
        <v>51</v>
      </c>
      <c r="W1185" s="1" t="s">
        <v>27</v>
      </c>
      <c r="X1185" s="1" t="str">
        <f>IF(laptop[[#This Row],[PrimaryStorageType]]=laptop[[#This Row],[SecondaryStorageType]],laptop[[#This Row],[PrimaryStorageType]],"SSD &amp; HDD")</f>
        <v>SSD &amp; HDD</v>
      </c>
      <c r="Y1185" s="1" t="s">
        <v>110</v>
      </c>
    </row>
    <row r="1186" spans="1:25" x14ac:dyDescent="0.25">
      <c r="A1186" s="1" t="s">
        <v>36</v>
      </c>
      <c r="B1186" s="1" t="s">
        <v>842</v>
      </c>
      <c r="C1186" s="1" t="s">
        <v>38</v>
      </c>
      <c r="D1186">
        <v>15.6</v>
      </c>
      <c r="E1186">
        <v>6</v>
      </c>
      <c r="F1186" s="1" t="s">
        <v>48</v>
      </c>
      <c r="G1186">
        <v>2.1800000000000002</v>
      </c>
      <c r="H1186">
        <v>799</v>
      </c>
      <c r="I1186" s="1" t="s">
        <v>40</v>
      </c>
      <c r="J1186">
        <v>1920</v>
      </c>
      <c r="K1186">
        <v>1080</v>
      </c>
      <c r="L1186" s="1" t="s">
        <v>27</v>
      </c>
      <c r="M1186" s="1" t="s">
        <v>28</v>
      </c>
      <c r="N1186" s="1" t="s">
        <v>27</v>
      </c>
      <c r="O1186" s="1" t="s">
        <v>29</v>
      </c>
      <c r="P1186">
        <v>2.6</v>
      </c>
      <c r="Q1186" s="1" t="s">
        <v>447</v>
      </c>
      <c r="R1186" s="1" t="str">
        <f>_xlfn.CONCAT(laptop[[#This Row],[CPU_company]]," ",laptop[[#This Row],[CPU_model]])</f>
        <v>Intel Core i7 6700HQ</v>
      </c>
      <c r="S1186">
        <v>1024</v>
      </c>
      <c r="T1186">
        <v>0</v>
      </c>
      <c r="U1186">
        <f>laptop[[#This Row],[PrimaryStorage]]+laptop[[#This Row],[SecondaryStorage]]</f>
        <v>1024</v>
      </c>
      <c r="V1186" s="1" t="s">
        <v>51</v>
      </c>
      <c r="W1186" s="1" t="s">
        <v>27</v>
      </c>
      <c r="X1186" s="1" t="str">
        <f>IF(laptop[[#This Row],[PrimaryStorageType]]=laptop[[#This Row],[SecondaryStorageType]],laptop[[#This Row],[PrimaryStorageType]],"SSD &amp; HDD")</f>
        <v>SSD &amp; HDD</v>
      </c>
      <c r="Y1186" s="1" t="s">
        <v>483</v>
      </c>
    </row>
    <row r="1187" spans="1:25" x14ac:dyDescent="0.25">
      <c r="A1187" s="1" t="s">
        <v>55</v>
      </c>
      <c r="B1187" s="1" t="s">
        <v>843</v>
      </c>
      <c r="C1187" s="1" t="s">
        <v>83</v>
      </c>
      <c r="D1187">
        <v>15.6</v>
      </c>
      <c r="E1187">
        <v>8</v>
      </c>
      <c r="F1187" s="1" t="s">
        <v>48</v>
      </c>
      <c r="G1187">
        <v>2.5910000000000002</v>
      </c>
      <c r="H1187">
        <v>909</v>
      </c>
      <c r="I1187" s="1" t="s">
        <v>40</v>
      </c>
      <c r="J1187">
        <v>1920</v>
      </c>
      <c r="K1187">
        <v>1080</v>
      </c>
      <c r="L1187" s="1" t="s">
        <v>27</v>
      </c>
      <c r="M1187" s="1" t="s">
        <v>28</v>
      </c>
      <c r="N1187" s="1" t="s">
        <v>27</v>
      </c>
      <c r="O1187" s="1" t="s">
        <v>29</v>
      </c>
      <c r="P1187">
        <v>2.6</v>
      </c>
      <c r="Q1187" s="1" t="s">
        <v>447</v>
      </c>
      <c r="R1187" s="1" t="str">
        <f>_xlfn.CONCAT(laptop[[#This Row],[CPU_company]]," ",laptop[[#This Row],[CPU_model]])</f>
        <v>Intel Core i7 6700HQ</v>
      </c>
      <c r="S1187">
        <v>256</v>
      </c>
      <c r="T1187">
        <v>1024</v>
      </c>
      <c r="U1187">
        <f>laptop[[#This Row],[PrimaryStorage]]+laptop[[#This Row],[SecondaryStorage]]</f>
        <v>1280</v>
      </c>
      <c r="V1187" s="1" t="s">
        <v>31</v>
      </c>
      <c r="W1187" s="1" t="s">
        <v>51</v>
      </c>
      <c r="X1187" s="1" t="str">
        <f>IF(laptop[[#This Row],[PrimaryStorageType]]=laptop[[#This Row],[SecondaryStorageType]],laptop[[#This Row],[PrimaryStorageType]],"SSD &amp; HDD")</f>
        <v>SSD &amp; HDD</v>
      </c>
      <c r="Y1187" s="1" t="s">
        <v>483</v>
      </c>
    </row>
    <row r="1188" spans="1:25" x14ac:dyDescent="0.25">
      <c r="A1188" s="1" t="s">
        <v>65</v>
      </c>
      <c r="B1188" s="1" t="s">
        <v>775</v>
      </c>
      <c r="C1188" s="1" t="s">
        <v>90</v>
      </c>
      <c r="D1188">
        <v>15.6</v>
      </c>
      <c r="E1188">
        <v>16</v>
      </c>
      <c r="F1188" s="1" t="s">
        <v>48</v>
      </c>
      <c r="G1188">
        <v>2.09</v>
      </c>
      <c r="H1188">
        <v>1179</v>
      </c>
      <c r="I1188" s="1" t="s">
        <v>40</v>
      </c>
      <c r="J1188">
        <v>1920</v>
      </c>
      <c r="K1188">
        <v>1080</v>
      </c>
      <c r="L1188" s="1" t="s">
        <v>28</v>
      </c>
      <c r="M1188" s="1" t="s">
        <v>27</v>
      </c>
      <c r="N1188" s="1" t="s">
        <v>27</v>
      </c>
      <c r="O1188" s="1" t="s">
        <v>29</v>
      </c>
      <c r="P1188">
        <v>2.7</v>
      </c>
      <c r="Q1188" s="1" t="s">
        <v>71</v>
      </c>
      <c r="R1188" s="1" t="str">
        <f>_xlfn.CONCAT(laptop[[#This Row],[CPU_company]]," ",laptop[[#This Row],[CPU_model]])</f>
        <v>Intel Core i7 7500U</v>
      </c>
      <c r="S1188">
        <v>512</v>
      </c>
      <c r="T1188">
        <v>0</v>
      </c>
      <c r="U1188">
        <f>laptop[[#This Row],[PrimaryStorage]]+laptop[[#This Row],[SecondaryStorage]]</f>
        <v>512</v>
      </c>
      <c r="V1188" s="1" t="s">
        <v>31</v>
      </c>
      <c r="W1188" s="1" t="s">
        <v>27</v>
      </c>
      <c r="X1188" s="1" t="str">
        <f>IF(laptop[[#This Row],[PrimaryStorageType]]=laptop[[#This Row],[SecondaryStorageType]],laptop[[#This Row],[PrimaryStorageType]],"SSD &amp; HDD")</f>
        <v>SSD &amp; HDD</v>
      </c>
      <c r="Y1188" s="1" t="s">
        <v>42</v>
      </c>
    </row>
    <row r="1189" spans="1:25" x14ac:dyDescent="0.25">
      <c r="A1189" s="1" t="s">
        <v>46</v>
      </c>
      <c r="B1189" s="1" t="s">
        <v>262</v>
      </c>
      <c r="C1189" s="1" t="s">
        <v>38</v>
      </c>
      <c r="D1189">
        <v>15.6</v>
      </c>
      <c r="E1189">
        <v>4</v>
      </c>
      <c r="F1189" s="1" t="s">
        <v>48</v>
      </c>
      <c r="G1189">
        <v>2.23</v>
      </c>
      <c r="H1189">
        <v>691</v>
      </c>
      <c r="I1189" s="1" t="s">
        <v>40</v>
      </c>
      <c r="J1189">
        <v>1920</v>
      </c>
      <c r="K1189">
        <v>1080</v>
      </c>
      <c r="L1189" s="1" t="s">
        <v>27</v>
      </c>
      <c r="M1189" s="1" t="s">
        <v>27</v>
      </c>
      <c r="N1189" s="1" t="s">
        <v>27</v>
      </c>
      <c r="O1189" s="1" t="s">
        <v>29</v>
      </c>
      <c r="P1189">
        <v>2.5</v>
      </c>
      <c r="Q1189" s="1" t="s">
        <v>41</v>
      </c>
      <c r="R1189" s="1" t="str">
        <f>_xlfn.CONCAT(laptop[[#This Row],[CPU_company]]," ",laptop[[#This Row],[CPU_model]])</f>
        <v>Intel Core i5 7200U</v>
      </c>
      <c r="S1189">
        <v>256</v>
      </c>
      <c r="T1189">
        <v>0</v>
      </c>
      <c r="U1189">
        <f>laptop[[#This Row],[PrimaryStorage]]+laptop[[#This Row],[SecondaryStorage]]</f>
        <v>256</v>
      </c>
      <c r="V1189" s="1" t="s">
        <v>31</v>
      </c>
      <c r="W1189" s="1" t="s">
        <v>27</v>
      </c>
      <c r="X1189" s="1" t="str">
        <f>IF(laptop[[#This Row],[PrimaryStorageType]]=laptop[[#This Row],[SecondaryStorageType]],laptop[[#This Row],[PrimaryStorageType]],"SSD &amp; HDD")</f>
        <v>SSD &amp; HDD</v>
      </c>
      <c r="Y1189" s="1" t="s">
        <v>76</v>
      </c>
    </row>
    <row r="1190" spans="1:25" x14ac:dyDescent="0.25">
      <c r="A1190" s="1" t="s">
        <v>65</v>
      </c>
      <c r="B1190" s="1" t="s">
        <v>77</v>
      </c>
      <c r="C1190" s="1" t="s">
        <v>24</v>
      </c>
      <c r="D1190">
        <v>13.3</v>
      </c>
      <c r="E1190">
        <v>8</v>
      </c>
      <c r="F1190" s="1" t="s">
        <v>111</v>
      </c>
      <c r="G1190">
        <v>1.23</v>
      </c>
      <c r="H1190">
        <v>1099</v>
      </c>
      <c r="I1190" s="1" t="s">
        <v>107</v>
      </c>
      <c r="J1190">
        <v>3200</v>
      </c>
      <c r="K1190">
        <v>1800</v>
      </c>
      <c r="L1190" s="1" t="s">
        <v>28</v>
      </c>
      <c r="M1190" s="1" t="s">
        <v>27</v>
      </c>
      <c r="N1190" s="1" t="s">
        <v>27</v>
      </c>
      <c r="O1190" s="1" t="s">
        <v>29</v>
      </c>
      <c r="P1190">
        <v>2.4</v>
      </c>
      <c r="Q1190" s="1" t="s">
        <v>562</v>
      </c>
      <c r="R1190" s="1" t="str">
        <f>_xlfn.CONCAT(laptop[[#This Row],[CPU_company]]," ",laptop[[#This Row],[CPU_model]])</f>
        <v>Intel Core i5 6300U</v>
      </c>
      <c r="S1190">
        <v>256</v>
      </c>
      <c r="T1190">
        <v>0</v>
      </c>
      <c r="U1190">
        <f>laptop[[#This Row],[PrimaryStorage]]+laptop[[#This Row],[SecondaryStorage]]</f>
        <v>256</v>
      </c>
      <c r="V1190" s="1" t="s">
        <v>31</v>
      </c>
      <c r="W1190" s="1" t="s">
        <v>27</v>
      </c>
      <c r="X1190" s="1" t="str">
        <f>IF(laptop[[#This Row],[PrimaryStorageType]]=laptop[[#This Row],[SecondaryStorageType]],laptop[[#This Row],[PrimaryStorageType]],"SSD &amp; HDD")</f>
        <v>SSD &amp; HDD</v>
      </c>
      <c r="Y1190" s="1" t="s">
        <v>63</v>
      </c>
    </row>
    <row r="1191" spans="1:25" x14ac:dyDescent="0.25">
      <c r="A1191" s="1" t="s">
        <v>46</v>
      </c>
      <c r="B1191" s="1" t="s">
        <v>651</v>
      </c>
      <c r="C1191" s="1" t="s">
        <v>83</v>
      </c>
      <c r="D1191">
        <v>17.3</v>
      </c>
      <c r="E1191">
        <v>16</v>
      </c>
      <c r="F1191" s="1" t="s">
        <v>48</v>
      </c>
      <c r="G1191">
        <v>4.2</v>
      </c>
      <c r="H1191">
        <v>2599</v>
      </c>
      <c r="I1191" s="1" t="s">
        <v>40</v>
      </c>
      <c r="J1191">
        <v>1920</v>
      </c>
      <c r="K1191">
        <v>1080</v>
      </c>
      <c r="L1191" s="1" t="s">
        <v>27</v>
      </c>
      <c r="M1191" s="1" t="s">
        <v>28</v>
      </c>
      <c r="N1191" s="1" t="s">
        <v>27</v>
      </c>
      <c r="O1191" s="1" t="s">
        <v>29</v>
      </c>
      <c r="P1191">
        <v>2.8</v>
      </c>
      <c r="Q1191" s="1" t="s">
        <v>118</v>
      </c>
      <c r="R1191" s="1" t="str">
        <f>_xlfn.CONCAT(laptop[[#This Row],[CPU_company]]," ",laptop[[#This Row],[CPU_model]])</f>
        <v>Intel Core i7 7700HQ</v>
      </c>
      <c r="S1191">
        <v>256</v>
      </c>
      <c r="T1191">
        <v>1024</v>
      </c>
      <c r="U1191">
        <f>laptop[[#This Row],[PrimaryStorage]]+laptop[[#This Row],[SecondaryStorage]]</f>
        <v>1280</v>
      </c>
      <c r="V1191" s="1" t="s">
        <v>31</v>
      </c>
      <c r="W1191" s="1" t="s">
        <v>51</v>
      </c>
      <c r="X1191" s="1" t="str">
        <f>IF(laptop[[#This Row],[PrimaryStorageType]]=laptop[[#This Row],[SecondaryStorageType]],laptop[[#This Row],[PrimaryStorageType]],"SSD &amp; HDD")</f>
        <v>SSD &amp; HDD</v>
      </c>
      <c r="Y1191" s="1" t="s">
        <v>143</v>
      </c>
    </row>
    <row r="1192" spans="1:25" x14ac:dyDescent="0.25">
      <c r="A1192" s="1" t="s">
        <v>73</v>
      </c>
      <c r="B1192" s="1" t="s">
        <v>82</v>
      </c>
      <c r="C1192" s="1" t="s">
        <v>83</v>
      </c>
      <c r="D1192">
        <v>15.6</v>
      </c>
      <c r="E1192">
        <v>8</v>
      </c>
      <c r="F1192" s="1" t="s">
        <v>48</v>
      </c>
      <c r="G1192">
        <v>2.4</v>
      </c>
      <c r="H1192">
        <v>819</v>
      </c>
      <c r="I1192" s="1" t="s">
        <v>40</v>
      </c>
      <c r="J1192">
        <v>1920</v>
      </c>
      <c r="K1192">
        <v>1080</v>
      </c>
      <c r="L1192" s="1" t="s">
        <v>27</v>
      </c>
      <c r="M1192" s="1" t="s">
        <v>28</v>
      </c>
      <c r="N1192" s="1" t="s">
        <v>27</v>
      </c>
      <c r="O1192" s="1" t="s">
        <v>29</v>
      </c>
      <c r="P1192">
        <v>2.5</v>
      </c>
      <c r="Q1192" s="1" t="s">
        <v>84</v>
      </c>
      <c r="R1192" s="1" t="str">
        <f>_xlfn.CONCAT(laptop[[#This Row],[CPU_company]]," ",laptop[[#This Row],[CPU_model]])</f>
        <v>Intel Core i5 7300HQ</v>
      </c>
      <c r="S1192">
        <v>1024</v>
      </c>
      <c r="T1192">
        <v>0</v>
      </c>
      <c r="U1192">
        <f>laptop[[#This Row],[PrimaryStorage]]+laptop[[#This Row],[SecondaryStorage]]</f>
        <v>1024</v>
      </c>
      <c r="V1192" s="1" t="s">
        <v>51</v>
      </c>
      <c r="W1192" s="1" t="s">
        <v>27</v>
      </c>
      <c r="X1192" s="1" t="str">
        <f>IF(laptop[[#This Row],[PrimaryStorageType]]=laptop[[#This Row],[SecondaryStorageType]],laptop[[#This Row],[PrimaryStorageType]],"SSD &amp; HDD")</f>
        <v>SSD &amp; HDD</v>
      </c>
      <c r="Y1192" s="1" t="s">
        <v>85</v>
      </c>
    </row>
    <row r="1193" spans="1:25" x14ac:dyDescent="0.25">
      <c r="A1193" s="1" t="s">
        <v>413</v>
      </c>
      <c r="B1193" s="1" t="s">
        <v>844</v>
      </c>
      <c r="C1193" s="1" t="s">
        <v>90</v>
      </c>
      <c r="D1193">
        <v>12.3</v>
      </c>
      <c r="E1193">
        <v>4</v>
      </c>
      <c r="F1193" s="1" t="s">
        <v>317</v>
      </c>
      <c r="G1193">
        <v>1.1499999999999999</v>
      </c>
      <c r="H1193">
        <v>659</v>
      </c>
      <c r="I1193" s="1" t="s">
        <v>26</v>
      </c>
      <c r="J1193">
        <v>2400</v>
      </c>
      <c r="K1193">
        <v>1600</v>
      </c>
      <c r="L1193" s="1" t="s">
        <v>28</v>
      </c>
      <c r="M1193" s="1" t="s">
        <v>28</v>
      </c>
      <c r="N1193" s="1" t="s">
        <v>27</v>
      </c>
      <c r="O1193" s="1" t="s">
        <v>413</v>
      </c>
      <c r="P1193">
        <v>2</v>
      </c>
      <c r="Q1193" s="1" t="s">
        <v>845</v>
      </c>
      <c r="R1193" s="1" t="str">
        <f>_xlfn.CONCAT(laptop[[#This Row],[CPU_company]]," ",laptop[[#This Row],[CPU_model]])</f>
        <v>Samsung Cortex A72&amp;A53</v>
      </c>
      <c r="S1193">
        <v>32</v>
      </c>
      <c r="T1193">
        <v>0</v>
      </c>
      <c r="U1193">
        <f>laptop[[#This Row],[PrimaryStorage]]+laptop[[#This Row],[SecondaryStorage]]</f>
        <v>32</v>
      </c>
      <c r="V1193" s="1" t="s">
        <v>34</v>
      </c>
      <c r="W1193" s="1" t="s">
        <v>27</v>
      </c>
      <c r="X1193" s="1" t="str">
        <f>IF(laptop[[#This Row],[PrimaryStorageType]]=laptop[[#This Row],[SecondaryStorageType]],laptop[[#This Row],[PrimaryStorageType]],"SSD &amp; HDD")</f>
        <v>SSD &amp; HDD</v>
      </c>
      <c r="Y1193" s="1" t="s">
        <v>846</v>
      </c>
    </row>
    <row r="1194" spans="1:25" x14ac:dyDescent="0.25">
      <c r="A1194" s="1" t="s">
        <v>36</v>
      </c>
      <c r="B1194" s="1" t="s">
        <v>37</v>
      </c>
      <c r="C1194" s="1" t="s">
        <v>38</v>
      </c>
      <c r="D1194">
        <v>15.6</v>
      </c>
      <c r="E1194">
        <v>4</v>
      </c>
      <c r="F1194" s="1" t="s">
        <v>48</v>
      </c>
      <c r="G1194">
        <v>1.86</v>
      </c>
      <c r="H1194">
        <v>485</v>
      </c>
      <c r="I1194" s="1" t="s">
        <v>26</v>
      </c>
      <c r="J1194">
        <v>1366</v>
      </c>
      <c r="K1194">
        <v>768</v>
      </c>
      <c r="L1194" s="1" t="s">
        <v>27</v>
      </c>
      <c r="M1194" s="1" t="s">
        <v>27</v>
      </c>
      <c r="N1194" s="1" t="s">
        <v>27</v>
      </c>
      <c r="O1194" s="1" t="s">
        <v>29</v>
      </c>
      <c r="P1194">
        <v>2.5</v>
      </c>
      <c r="Q1194" s="1" t="s">
        <v>41</v>
      </c>
      <c r="R1194" s="1" t="str">
        <f>_xlfn.CONCAT(laptop[[#This Row],[CPU_company]]," ",laptop[[#This Row],[CPU_model]])</f>
        <v>Intel Core i5 7200U</v>
      </c>
      <c r="S1194">
        <v>500</v>
      </c>
      <c r="T1194">
        <v>0</v>
      </c>
      <c r="U1194">
        <f>laptop[[#This Row],[PrimaryStorage]]+laptop[[#This Row],[SecondaryStorage]]</f>
        <v>500</v>
      </c>
      <c r="V1194" s="1" t="s">
        <v>51</v>
      </c>
      <c r="W1194" s="1" t="s">
        <v>27</v>
      </c>
      <c r="X1194" s="1" t="str">
        <f>IF(laptop[[#This Row],[PrimaryStorageType]]=laptop[[#This Row],[SecondaryStorageType]],laptop[[#This Row],[PrimaryStorageType]],"SSD &amp; HDD")</f>
        <v>SSD &amp; HDD</v>
      </c>
      <c r="Y1194" s="1" t="s">
        <v>42</v>
      </c>
    </row>
    <row r="1195" spans="1:25" x14ac:dyDescent="0.25">
      <c r="A1195" s="1" t="s">
        <v>22</v>
      </c>
      <c r="B1195" s="1" t="s">
        <v>68</v>
      </c>
      <c r="C1195" s="1" t="s">
        <v>24</v>
      </c>
      <c r="D1195">
        <v>12</v>
      </c>
      <c r="E1195">
        <v>8</v>
      </c>
      <c r="F1195" s="1" t="s">
        <v>53</v>
      </c>
      <c r="G1195">
        <v>0.92</v>
      </c>
      <c r="H1195">
        <v>1163</v>
      </c>
      <c r="I1195" s="1" t="s">
        <v>26</v>
      </c>
      <c r="J1195">
        <v>2304</v>
      </c>
      <c r="K1195">
        <v>1440</v>
      </c>
      <c r="L1195" s="1" t="s">
        <v>27</v>
      </c>
      <c r="M1195" s="1" t="s">
        <v>28</v>
      </c>
      <c r="N1195" s="1" t="s">
        <v>28</v>
      </c>
      <c r="O1195" s="1" t="s">
        <v>29</v>
      </c>
      <c r="P1195">
        <v>1.1000000000000001</v>
      </c>
      <c r="Q1195" s="1" t="s">
        <v>656</v>
      </c>
      <c r="R1195" s="1" t="str">
        <f>_xlfn.CONCAT(laptop[[#This Row],[CPU_company]]," ",laptop[[#This Row],[CPU_model]])</f>
        <v>Intel Core M</v>
      </c>
      <c r="S1195">
        <v>256</v>
      </c>
      <c r="T1195">
        <v>0</v>
      </c>
      <c r="U1195">
        <f>laptop[[#This Row],[PrimaryStorage]]+laptop[[#This Row],[SecondaryStorage]]</f>
        <v>256</v>
      </c>
      <c r="V1195" s="1" t="s">
        <v>34</v>
      </c>
      <c r="W1195" s="1" t="s">
        <v>27</v>
      </c>
      <c r="X1195" s="1" t="str">
        <f>IF(laptop[[#This Row],[PrimaryStorageType]]=laptop[[#This Row],[SecondaryStorageType]],laptop[[#This Row],[PrimaryStorageType]],"SSD &amp; HDD")</f>
        <v>SSD &amp; HDD</v>
      </c>
      <c r="Y1195" s="1" t="s">
        <v>657</v>
      </c>
    </row>
    <row r="1196" spans="1:25" x14ac:dyDescent="0.25">
      <c r="A1196" s="1" t="s">
        <v>65</v>
      </c>
      <c r="B1196" s="1" t="s">
        <v>778</v>
      </c>
      <c r="C1196" s="1" t="s">
        <v>90</v>
      </c>
      <c r="D1196">
        <v>13.3</v>
      </c>
      <c r="E1196">
        <v>8</v>
      </c>
      <c r="F1196" s="1" t="s">
        <v>48</v>
      </c>
      <c r="G1196">
        <v>1.6</v>
      </c>
      <c r="H1196">
        <v>1199</v>
      </c>
      <c r="I1196" s="1" t="s">
        <v>40</v>
      </c>
      <c r="J1196">
        <v>1920</v>
      </c>
      <c r="K1196">
        <v>1080</v>
      </c>
      <c r="L1196" s="1" t="s">
        <v>28</v>
      </c>
      <c r="M1196" s="1" t="s">
        <v>28</v>
      </c>
      <c r="N1196" s="1" t="s">
        <v>27</v>
      </c>
      <c r="O1196" s="1" t="s">
        <v>29</v>
      </c>
      <c r="P1196">
        <v>2.5</v>
      </c>
      <c r="Q1196" s="1" t="s">
        <v>41</v>
      </c>
      <c r="R1196" s="1" t="str">
        <f>_xlfn.CONCAT(laptop[[#This Row],[CPU_company]]," ",laptop[[#This Row],[CPU_model]])</f>
        <v>Intel Core i5 7200U</v>
      </c>
      <c r="S1196">
        <v>256</v>
      </c>
      <c r="T1196">
        <v>0</v>
      </c>
      <c r="U1196">
        <f>laptop[[#This Row],[PrimaryStorage]]+laptop[[#This Row],[SecondaryStorage]]</f>
        <v>256</v>
      </c>
      <c r="V1196" s="1" t="s">
        <v>31</v>
      </c>
      <c r="W1196" s="1" t="s">
        <v>27</v>
      </c>
      <c r="X1196" s="1" t="str">
        <f>IF(laptop[[#This Row],[PrimaryStorageType]]=laptop[[#This Row],[SecondaryStorageType]],laptop[[#This Row],[PrimaryStorageType]],"SSD &amp; HDD")</f>
        <v>SSD &amp; HDD</v>
      </c>
      <c r="Y1196" s="1" t="s">
        <v>42</v>
      </c>
    </row>
    <row r="1197" spans="1:25" x14ac:dyDescent="0.25">
      <c r="A1197" s="1" t="s">
        <v>36</v>
      </c>
      <c r="B1197" s="1" t="s">
        <v>847</v>
      </c>
      <c r="C1197" s="1" t="s">
        <v>38</v>
      </c>
      <c r="D1197">
        <v>15.6</v>
      </c>
      <c r="E1197">
        <v>12</v>
      </c>
      <c r="F1197" s="1" t="s">
        <v>48</v>
      </c>
      <c r="G1197">
        <v>2.21</v>
      </c>
      <c r="H1197">
        <v>1327</v>
      </c>
      <c r="I1197" s="1" t="s">
        <v>40</v>
      </c>
      <c r="J1197">
        <v>1920</v>
      </c>
      <c r="K1197">
        <v>1080</v>
      </c>
      <c r="L1197" s="1" t="s">
        <v>27</v>
      </c>
      <c r="M1197" s="1" t="s">
        <v>28</v>
      </c>
      <c r="N1197" s="1" t="s">
        <v>27</v>
      </c>
      <c r="O1197" s="1" t="s">
        <v>29</v>
      </c>
      <c r="P1197">
        <v>2.8</v>
      </c>
      <c r="Q1197" s="1" t="s">
        <v>118</v>
      </c>
      <c r="R1197" s="1" t="str">
        <f>_xlfn.CONCAT(laptop[[#This Row],[CPU_company]]," ",laptop[[#This Row],[CPU_model]])</f>
        <v>Intel Core i7 7700HQ</v>
      </c>
      <c r="S1197">
        <v>128</v>
      </c>
      <c r="T1197">
        <v>1024</v>
      </c>
      <c r="U1197">
        <f>laptop[[#This Row],[PrimaryStorage]]+laptop[[#This Row],[SecondaryStorage]]</f>
        <v>1152</v>
      </c>
      <c r="V1197" s="1" t="s">
        <v>31</v>
      </c>
      <c r="W1197" s="1" t="s">
        <v>51</v>
      </c>
      <c r="X1197" s="1" t="str">
        <f>IF(laptop[[#This Row],[PrimaryStorageType]]=laptop[[#This Row],[SecondaryStorageType]],laptop[[#This Row],[PrimaryStorageType]],"SSD &amp; HDD")</f>
        <v>SSD &amp; HDD</v>
      </c>
      <c r="Y1197" s="1" t="s">
        <v>85</v>
      </c>
    </row>
    <row r="1198" spans="1:25" x14ac:dyDescent="0.25">
      <c r="A1198" s="1" t="s">
        <v>73</v>
      </c>
      <c r="B1198" s="1" t="s">
        <v>848</v>
      </c>
      <c r="C1198" s="1" t="s">
        <v>38</v>
      </c>
      <c r="D1198">
        <v>15.6</v>
      </c>
      <c r="E1198">
        <v>4</v>
      </c>
      <c r="F1198" s="1" t="s">
        <v>39</v>
      </c>
      <c r="G1198">
        <v>1.9</v>
      </c>
      <c r="H1198">
        <v>368</v>
      </c>
      <c r="I1198" s="1" t="s">
        <v>26</v>
      </c>
      <c r="J1198">
        <v>1366</v>
      </c>
      <c r="K1198">
        <v>768</v>
      </c>
      <c r="L1198" s="1" t="s">
        <v>27</v>
      </c>
      <c r="M1198" s="1" t="s">
        <v>27</v>
      </c>
      <c r="N1198" s="1" t="s">
        <v>27</v>
      </c>
      <c r="O1198" s="1" t="s">
        <v>29</v>
      </c>
      <c r="P1198">
        <v>2</v>
      </c>
      <c r="Q1198" s="1" t="s">
        <v>62</v>
      </c>
      <c r="R1198" s="1" t="str">
        <f>_xlfn.CONCAT(laptop[[#This Row],[CPU_company]]," ",laptop[[#This Row],[CPU_model]])</f>
        <v>Intel Core i3 6006U</v>
      </c>
      <c r="S1198">
        <v>1024</v>
      </c>
      <c r="T1198">
        <v>0</v>
      </c>
      <c r="U1198">
        <f>laptop[[#This Row],[PrimaryStorage]]+laptop[[#This Row],[SecondaryStorage]]</f>
        <v>1024</v>
      </c>
      <c r="V1198" s="1" t="s">
        <v>51</v>
      </c>
      <c r="W1198" s="1" t="s">
        <v>27</v>
      </c>
      <c r="X1198" s="1" t="str">
        <f>IF(laptop[[#This Row],[PrimaryStorageType]]=laptop[[#This Row],[SecondaryStorageType]],laptop[[#This Row],[PrimaryStorageType]],"SSD &amp; HDD")</f>
        <v>SSD &amp; HDD</v>
      </c>
      <c r="Y1198" s="1" t="s">
        <v>67</v>
      </c>
    </row>
    <row r="1199" spans="1:25" x14ac:dyDescent="0.25">
      <c r="A1199" s="1" t="s">
        <v>55</v>
      </c>
      <c r="B1199" s="1" t="s">
        <v>849</v>
      </c>
      <c r="C1199" s="1" t="s">
        <v>83</v>
      </c>
      <c r="D1199">
        <v>17.3</v>
      </c>
      <c r="E1199">
        <v>16</v>
      </c>
      <c r="F1199" s="1" t="s">
        <v>48</v>
      </c>
      <c r="G1199">
        <v>4.3</v>
      </c>
      <c r="H1199">
        <v>2150</v>
      </c>
      <c r="I1199" s="1" t="s">
        <v>40</v>
      </c>
      <c r="J1199">
        <v>1920</v>
      </c>
      <c r="K1199">
        <v>1080</v>
      </c>
      <c r="L1199" s="1" t="s">
        <v>27</v>
      </c>
      <c r="M1199" s="1" t="s">
        <v>28</v>
      </c>
      <c r="N1199" s="1" t="s">
        <v>27</v>
      </c>
      <c r="O1199" s="1" t="s">
        <v>29</v>
      </c>
      <c r="P1199">
        <v>2.6</v>
      </c>
      <c r="Q1199" s="1" t="s">
        <v>447</v>
      </c>
      <c r="R1199" s="1" t="str">
        <f>_xlfn.CONCAT(laptop[[#This Row],[CPU_company]]," ",laptop[[#This Row],[CPU_model]])</f>
        <v>Intel Core i7 6700HQ</v>
      </c>
      <c r="S1199">
        <v>512</v>
      </c>
      <c r="T1199">
        <v>1024</v>
      </c>
      <c r="U1199">
        <f>laptop[[#This Row],[PrimaryStorage]]+laptop[[#This Row],[SecondaryStorage]]</f>
        <v>1536</v>
      </c>
      <c r="V1199" s="1" t="s">
        <v>31</v>
      </c>
      <c r="W1199" s="1" t="s">
        <v>51</v>
      </c>
      <c r="X1199" s="1" t="str">
        <f>IF(laptop[[#This Row],[PrimaryStorageType]]=laptop[[#This Row],[SecondaryStorageType]],laptop[[#This Row],[PrimaryStorageType]],"SSD &amp; HDD")</f>
        <v>SSD &amp; HDD</v>
      </c>
      <c r="Y1199" s="1" t="s">
        <v>297</v>
      </c>
    </row>
    <row r="1200" spans="1:25" x14ac:dyDescent="0.25">
      <c r="A1200" s="1" t="s">
        <v>46</v>
      </c>
      <c r="B1200" s="1" t="s">
        <v>47</v>
      </c>
      <c r="C1200" s="1" t="s">
        <v>38</v>
      </c>
      <c r="D1200">
        <v>15.6</v>
      </c>
      <c r="E1200">
        <v>4</v>
      </c>
      <c r="F1200" s="1" t="s">
        <v>111</v>
      </c>
      <c r="G1200">
        <v>2.1</v>
      </c>
      <c r="H1200">
        <v>272</v>
      </c>
      <c r="I1200" s="1" t="s">
        <v>26</v>
      </c>
      <c r="J1200">
        <v>1366</v>
      </c>
      <c r="K1200">
        <v>768</v>
      </c>
      <c r="L1200" s="1" t="s">
        <v>27</v>
      </c>
      <c r="M1200" s="1" t="s">
        <v>27</v>
      </c>
      <c r="N1200" s="1" t="s">
        <v>27</v>
      </c>
      <c r="O1200" s="1" t="s">
        <v>29</v>
      </c>
      <c r="P1200">
        <v>2</v>
      </c>
      <c r="Q1200" s="1" t="s">
        <v>109</v>
      </c>
      <c r="R1200" s="1" t="str">
        <f>_xlfn.CONCAT(laptop[[#This Row],[CPU_company]]," ",laptop[[#This Row],[CPU_model]])</f>
        <v>Intel Celeron Dual Core N3350</v>
      </c>
      <c r="S1200">
        <v>1024</v>
      </c>
      <c r="T1200">
        <v>0</v>
      </c>
      <c r="U1200">
        <f>laptop[[#This Row],[PrimaryStorage]]+laptop[[#This Row],[SecondaryStorage]]</f>
        <v>1024</v>
      </c>
      <c r="V1200" s="1" t="s">
        <v>51</v>
      </c>
      <c r="W1200" s="1" t="s">
        <v>27</v>
      </c>
      <c r="X1200" s="1" t="str">
        <f>IF(laptop[[#This Row],[PrimaryStorageType]]=laptop[[#This Row],[SecondaryStorageType]],laptop[[#This Row],[PrimaryStorageType]],"SSD &amp; HDD")</f>
        <v>SSD &amp; HDD</v>
      </c>
      <c r="Y1200" s="1" t="s">
        <v>110</v>
      </c>
    </row>
    <row r="1201" spans="1:25" x14ac:dyDescent="0.25">
      <c r="A1201" s="1" t="s">
        <v>141</v>
      </c>
      <c r="B1201" s="1" t="s">
        <v>850</v>
      </c>
      <c r="C1201" s="1" t="s">
        <v>83</v>
      </c>
      <c r="D1201">
        <v>17.3</v>
      </c>
      <c r="E1201">
        <v>16</v>
      </c>
      <c r="F1201" s="1" t="s">
        <v>48</v>
      </c>
      <c r="G1201">
        <v>2.4300000000000002</v>
      </c>
      <c r="H1201">
        <v>2048.9</v>
      </c>
      <c r="I1201" s="1" t="s">
        <v>40</v>
      </c>
      <c r="J1201">
        <v>1920</v>
      </c>
      <c r="K1201">
        <v>1080</v>
      </c>
      <c r="L1201" s="1" t="s">
        <v>27</v>
      </c>
      <c r="M1201" s="1" t="s">
        <v>27</v>
      </c>
      <c r="N1201" s="1" t="s">
        <v>27</v>
      </c>
      <c r="O1201" s="1" t="s">
        <v>29</v>
      </c>
      <c r="P1201">
        <v>2.8</v>
      </c>
      <c r="Q1201" s="1" t="s">
        <v>118</v>
      </c>
      <c r="R1201" s="1" t="str">
        <f>_xlfn.CONCAT(laptop[[#This Row],[CPU_company]]," ",laptop[[#This Row],[CPU_model]])</f>
        <v>Intel Core i7 7700HQ</v>
      </c>
      <c r="S1201">
        <v>256</v>
      </c>
      <c r="T1201">
        <v>1024</v>
      </c>
      <c r="U1201">
        <f>laptop[[#This Row],[PrimaryStorage]]+laptop[[#This Row],[SecondaryStorage]]</f>
        <v>1280</v>
      </c>
      <c r="V1201" s="1" t="s">
        <v>31</v>
      </c>
      <c r="W1201" s="1" t="s">
        <v>51</v>
      </c>
      <c r="X1201" s="1" t="str">
        <f>IF(laptop[[#This Row],[PrimaryStorageType]]=laptop[[#This Row],[SecondaryStorageType]],laptop[[#This Row],[PrimaryStorageType]],"SSD &amp; HDD")</f>
        <v>SSD &amp; HDD</v>
      </c>
      <c r="Y1201" s="1" t="s">
        <v>119</v>
      </c>
    </row>
    <row r="1202" spans="1:25" x14ac:dyDescent="0.25">
      <c r="A1202" s="1" t="s">
        <v>65</v>
      </c>
      <c r="B1202" s="1" t="s">
        <v>200</v>
      </c>
      <c r="C1202" s="1" t="s">
        <v>38</v>
      </c>
      <c r="D1202">
        <v>15.6</v>
      </c>
      <c r="E1202">
        <v>4</v>
      </c>
      <c r="F1202" s="1" t="s">
        <v>48</v>
      </c>
      <c r="G1202">
        <v>2.2999999999999998</v>
      </c>
      <c r="H1202">
        <v>499</v>
      </c>
      <c r="I1202" s="1" t="s">
        <v>26</v>
      </c>
      <c r="J1202">
        <v>1366</v>
      </c>
      <c r="K1202">
        <v>768</v>
      </c>
      <c r="L1202" s="1" t="s">
        <v>27</v>
      </c>
      <c r="M1202" s="1" t="s">
        <v>27</v>
      </c>
      <c r="N1202" s="1" t="s">
        <v>27</v>
      </c>
      <c r="O1202" s="1" t="s">
        <v>29</v>
      </c>
      <c r="P1202">
        <v>2</v>
      </c>
      <c r="Q1202" s="1" t="s">
        <v>62</v>
      </c>
      <c r="R1202" s="1" t="str">
        <f>_xlfn.CONCAT(laptop[[#This Row],[CPU_company]]," ",laptop[[#This Row],[CPU_model]])</f>
        <v>Intel Core i3 6006U</v>
      </c>
      <c r="S1202">
        <v>128</v>
      </c>
      <c r="T1202">
        <v>0</v>
      </c>
      <c r="U1202">
        <f>laptop[[#This Row],[PrimaryStorage]]+laptop[[#This Row],[SecondaryStorage]]</f>
        <v>128</v>
      </c>
      <c r="V1202" s="1" t="s">
        <v>31</v>
      </c>
      <c r="W1202" s="1" t="s">
        <v>27</v>
      </c>
      <c r="X1202" s="1" t="str">
        <f>IF(laptop[[#This Row],[PrimaryStorageType]]=laptop[[#This Row],[SecondaryStorageType]],laptop[[#This Row],[PrimaryStorageType]],"SSD &amp; HDD")</f>
        <v>SSD &amp; HDD</v>
      </c>
      <c r="Y1202" s="1" t="s">
        <v>585</v>
      </c>
    </row>
    <row r="1203" spans="1:25" x14ac:dyDescent="0.25">
      <c r="A1203" s="1" t="s">
        <v>73</v>
      </c>
      <c r="B1203" s="1" t="s">
        <v>832</v>
      </c>
      <c r="C1203" s="1" t="s">
        <v>38</v>
      </c>
      <c r="D1203">
        <v>15.6</v>
      </c>
      <c r="E1203">
        <v>8</v>
      </c>
      <c r="F1203" s="1" t="s">
        <v>39</v>
      </c>
      <c r="G1203">
        <v>2.2000000000000002</v>
      </c>
      <c r="H1203">
        <v>629</v>
      </c>
      <c r="I1203" s="1" t="s">
        <v>26</v>
      </c>
      <c r="J1203">
        <v>1366</v>
      </c>
      <c r="K1203">
        <v>768</v>
      </c>
      <c r="L1203" s="1" t="s">
        <v>27</v>
      </c>
      <c r="M1203" s="1" t="s">
        <v>27</v>
      </c>
      <c r="N1203" s="1" t="s">
        <v>27</v>
      </c>
      <c r="O1203" s="1" t="s">
        <v>29</v>
      </c>
      <c r="P1203">
        <v>2.5</v>
      </c>
      <c r="Q1203" s="1" t="s">
        <v>274</v>
      </c>
      <c r="R1203" s="1" t="str">
        <f>_xlfn.CONCAT(laptop[[#This Row],[CPU_company]]," ",laptop[[#This Row],[CPU_model]])</f>
        <v>Intel Core i7 6500U</v>
      </c>
      <c r="S1203">
        <v>500</v>
      </c>
      <c r="T1203">
        <v>0</v>
      </c>
      <c r="U1203">
        <f>laptop[[#This Row],[PrimaryStorage]]+laptop[[#This Row],[SecondaryStorage]]</f>
        <v>500</v>
      </c>
      <c r="V1203" s="1" t="s">
        <v>51</v>
      </c>
      <c r="W1203" s="1" t="s">
        <v>27</v>
      </c>
      <c r="X1203" s="1" t="str">
        <f>IF(laptop[[#This Row],[PrimaryStorageType]]=laptop[[#This Row],[SecondaryStorageType]],laptop[[#This Row],[PrimaryStorageType]],"SSD &amp; HDD")</f>
        <v>SSD &amp; HDD</v>
      </c>
      <c r="Y1203" s="1" t="s">
        <v>131</v>
      </c>
    </row>
    <row r="1204" spans="1:25" x14ac:dyDescent="0.25">
      <c r="A1204" s="1" t="s">
        <v>65</v>
      </c>
      <c r="B1204" s="1" t="s">
        <v>231</v>
      </c>
      <c r="C1204" s="1" t="s">
        <v>90</v>
      </c>
      <c r="D1204">
        <v>15.6</v>
      </c>
      <c r="E1204">
        <v>16</v>
      </c>
      <c r="F1204" s="1" t="s">
        <v>48</v>
      </c>
      <c r="G1204">
        <v>2</v>
      </c>
      <c r="H1204">
        <v>1285</v>
      </c>
      <c r="I1204" s="1" t="s">
        <v>40</v>
      </c>
      <c r="J1204">
        <v>1920</v>
      </c>
      <c r="K1204">
        <v>1080</v>
      </c>
      <c r="L1204" s="1" t="s">
        <v>28</v>
      </c>
      <c r="M1204" s="1" t="s">
        <v>27</v>
      </c>
      <c r="N1204" s="1" t="s">
        <v>27</v>
      </c>
      <c r="O1204" s="1" t="s">
        <v>29</v>
      </c>
      <c r="P1204">
        <v>1.8</v>
      </c>
      <c r="Q1204" s="1" t="s">
        <v>57</v>
      </c>
      <c r="R1204" s="1" t="str">
        <f>_xlfn.CONCAT(laptop[[#This Row],[CPU_company]]," ",laptop[[#This Row],[CPU_model]])</f>
        <v>Intel Core i7 8550U</v>
      </c>
      <c r="S1204">
        <v>512</v>
      </c>
      <c r="T1204">
        <v>0</v>
      </c>
      <c r="U1204">
        <f>laptop[[#This Row],[PrimaryStorage]]+laptop[[#This Row],[SecondaryStorage]]</f>
        <v>512</v>
      </c>
      <c r="V1204" s="1" t="s">
        <v>31</v>
      </c>
      <c r="W1204" s="1" t="s">
        <v>27</v>
      </c>
      <c r="X1204" s="1" t="str">
        <f>IF(laptop[[#This Row],[PrimaryStorageType]]=laptop[[#This Row],[SecondaryStorageType]],laptop[[#This Row],[PrimaryStorageType]],"SSD &amp; HDD")</f>
        <v>SSD &amp; HDD</v>
      </c>
      <c r="Y1204" s="1" t="s">
        <v>61</v>
      </c>
    </row>
    <row r="1205" spans="1:25" x14ac:dyDescent="0.25">
      <c r="A1205" s="1" t="s">
        <v>65</v>
      </c>
      <c r="B1205" s="1" t="s">
        <v>77</v>
      </c>
      <c r="C1205" s="1" t="s">
        <v>24</v>
      </c>
      <c r="D1205">
        <v>13.3</v>
      </c>
      <c r="E1205">
        <v>16</v>
      </c>
      <c r="F1205" s="1" t="s">
        <v>48</v>
      </c>
      <c r="G1205">
        <v>1.2</v>
      </c>
      <c r="H1205">
        <v>2680</v>
      </c>
      <c r="I1205" s="1" t="s">
        <v>107</v>
      </c>
      <c r="J1205">
        <v>3200</v>
      </c>
      <c r="K1205">
        <v>1800</v>
      </c>
      <c r="L1205" s="1" t="s">
        <v>28</v>
      </c>
      <c r="M1205" s="1" t="s">
        <v>27</v>
      </c>
      <c r="N1205" s="1" t="s">
        <v>27</v>
      </c>
      <c r="O1205" s="1" t="s">
        <v>29</v>
      </c>
      <c r="P1205">
        <v>2.7</v>
      </c>
      <c r="Q1205" s="1" t="s">
        <v>71</v>
      </c>
      <c r="R1205" s="1" t="str">
        <f>_xlfn.CONCAT(laptop[[#This Row],[CPU_company]]," ",laptop[[#This Row],[CPU_model]])</f>
        <v>Intel Core i7 7500U</v>
      </c>
      <c r="S1205">
        <v>512</v>
      </c>
      <c r="T1205">
        <v>0</v>
      </c>
      <c r="U1205">
        <f>laptop[[#This Row],[PrimaryStorage]]+laptop[[#This Row],[SecondaryStorage]]</f>
        <v>512</v>
      </c>
      <c r="V1205" s="1" t="s">
        <v>31</v>
      </c>
      <c r="W1205" s="1" t="s">
        <v>27</v>
      </c>
      <c r="X1205" s="1" t="str">
        <f>IF(laptop[[#This Row],[PrimaryStorageType]]=laptop[[#This Row],[SecondaryStorageType]],laptop[[#This Row],[PrimaryStorageType]],"SSD &amp; HDD")</f>
        <v>SSD &amp; HDD</v>
      </c>
      <c r="Y1205" s="1" t="s">
        <v>42</v>
      </c>
    </row>
    <row r="1206" spans="1:25" x14ac:dyDescent="0.25">
      <c r="A1206" s="1" t="s">
        <v>55</v>
      </c>
      <c r="B1206" s="1" t="s">
        <v>851</v>
      </c>
      <c r="C1206" s="1" t="s">
        <v>83</v>
      </c>
      <c r="D1206">
        <v>15.6</v>
      </c>
      <c r="E1206">
        <v>8</v>
      </c>
      <c r="F1206" s="1" t="s">
        <v>48</v>
      </c>
      <c r="G1206">
        <v>2.2000000000000002</v>
      </c>
      <c r="H1206">
        <v>1169</v>
      </c>
      <c r="I1206" s="1" t="s">
        <v>40</v>
      </c>
      <c r="J1206">
        <v>1920</v>
      </c>
      <c r="K1206">
        <v>1080</v>
      </c>
      <c r="L1206" s="1" t="s">
        <v>27</v>
      </c>
      <c r="M1206" s="1" t="s">
        <v>27</v>
      </c>
      <c r="N1206" s="1" t="s">
        <v>27</v>
      </c>
      <c r="O1206" s="1" t="s">
        <v>29</v>
      </c>
      <c r="P1206">
        <v>2.6</v>
      </c>
      <c r="Q1206" s="1" t="s">
        <v>447</v>
      </c>
      <c r="R1206" s="1" t="str">
        <f>_xlfn.CONCAT(laptop[[#This Row],[CPU_company]]," ",laptop[[#This Row],[CPU_model]])</f>
        <v>Intel Core i7 6700HQ</v>
      </c>
      <c r="S1206">
        <v>1024</v>
      </c>
      <c r="T1206">
        <v>0</v>
      </c>
      <c r="U1206">
        <f>laptop[[#This Row],[PrimaryStorage]]+laptop[[#This Row],[SecondaryStorage]]</f>
        <v>1024</v>
      </c>
      <c r="V1206" s="1" t="s">
        <v>51</v>
      </c>
      <c r="W1206" s="1" t="s">
        <v>27</v>
      </c>
      <c r="X1206" s="1" t="str">
        <f>IF(laptop[[#This Row],[PrimaryStorageType]]=laptop[[#This Row],[SecondaryStorageType]],laptop[[#This Row],[PrimaryStorageType]],"SSD &amp; HDD")</f>
        <v>SSD &amp; HDD</v>
      </c>
      <c r="Y1206" s="1" t="s">
        <v>119</v>
      </c>
    </row>
    <row r="1207" spans="1:25" x14ac:dyDescent="0.25">
      <c r="A1207" s="1" t="s">
        <v>65</v>
      </c>
      <c r="B1207" s="1" t="s">
        <v>200</v>
      </c>
      <c r="C1207" s="1" t="s">
        <v>38</v>
      </c>
      <c r="D1207">
        <v>15.6</v>
      </c>
      <c r="E1207">
        <v>8</v>
      </c>
      <c r="F1207" s="1" t="s">
        <v>48</v>
      </c>
      <c r="G1207">
        <v>2.36</v>
      </c>
      <c r="H1207">
        <v>889</v>
      </c>
      <c r="I1207" s="1" t="s">
        <v>40</v>
      </c>
      <c r="J1207">
        <v>1920</v>
      </c>
      <c r="K1207">
        <v>1080</v>
      </c>
      <c r="L1207" s="1" t="s">
        <v>27</v>
      </c>
      <c r="M1207" s="1" t="s">
        <v>27</v>
      </c>
      <c r="N1207" s="1" t="s">
        <v>27</v>
      </c>
      <c r="O1207" s="1" t="s">
        <v>29</v>
      </c>
      <c r="P1207">
        <v>2.5</v>
      </c>
      <c r="Q1207" s="1" t="s">
        <v>41</v>
      </c>
      <c r="R1207" s="1" t="str">
        <f>_xlfn.CONCAT(laptop[[#This Row],[CPU_company]]," ",laptop[[#This Row],[CPU_model]])</f>
        <v>Intel Core i5 7200U</v>
      </c>
      <c r="S1207">
        <v>256</v>
      </c>
      <c r="T1207">
        <v>0</v>
      </c>
      <c r="U1207">
        <f>laptop[[#This Row],[PrimaryStorage]]+laptop[[#This Row],[SecondaryStorage]]</f>
        <v>256</v>
      </c>
      <c r="V1207" s="1" t="s">
        <v>31</v>
      </c>
      <c r="W1207" s="1" t="s">
        <v>27</v>
      </c>
      <c r="X1207" s="1" t="str">
        <f>IF(laptop[[#This Row],[PrimaryStorageType]]=laptop[[#This Row],[SecondaryStorageType]],laptop[[#This Row],[PrimaryStorageType]],"SSD &amp; HDD")</f>
        <v>SSD &amp; HDD</v>
      </c>
      <c r="Y1207" s="1" t="s">
        <v>201</v>
      </c>
    </row>
    <row r="1208" spans="1:25" x14ac:dyDescent="0.25">
      <c r="A1208" s="1" t="s">
        <v>36</v>
      </c>
      <c r="B1208" s="1" t="s">
        <v>852</v>
      </c>
      <c r="C1208" s="1" t="s">
        <v>38</v>
      </c>
      <c r="D1208">
        <v>15.6</v>
      </c>
      <c r="E1208">
        <v>8</v>
      </c>
      <c r="F1208" s="1" t="s">
        <v>48</v>
      </c>
      <c r="G1208">
        <v>1.91</v>
      </c>
      <c r="H1208">
        <v>579</v>
      </c>
      <c r="I1208" s="1" t="s">
        <v>26</v>
      </c>
      <c r="J1208">
        <v>1366</v>
      </c>
      <c r="K1208">
        <v>768</v>
      </c>
      <c r="L1208" s="1" t="s">
        <v>27</v>
      </c>
      <c r="M1208" s="1" t="s">
        <v>27</v>
      </c>
      <c r="N1208" s="1" t="s">
        <v>27</v>
      </c>
      <c r="O1208" s="1" t="s">
        <v>29</v>
      </c>
      <c r="P1208">
        <v>2.5</v>
      </c>
      <c r="Q1208" s="1" t="s">
        <v>41</v>
      </c>
      <c r="R1208" s="1" t="str">
        <f>_xlfn.CONCAT(laptop[[#This Row],[CPU_company]]," ",laptop[[#This Row],[CPU_model]])</f>
        <v>Intel Core i5 7200U</v>
      </c>
      <c r="S1208">
        <v>256</v>
      </c>
      <c r="T1208">
        <v>0</v>
      </c>
      <c r="U1208">
        <f>laptop[[#This Row],[PrimaryStorage]]+laptop[[#This Row],[SecondaryStorage]]</f>
        <v>256</v>
      </c>
      <c r="V1208" s="1" t="s">
        <v>31</v>
      </c>
      <c r="W1208" s="1" t="s">
        <v>27</v>
      </c>
      <c r="X1208" s="1" t="str">
        <f>IF(laptop[[#This Row],[PrimaryStorageType]]=laptop[[#This Row],[SecondaryStorageType]],laptop[[#This Row],[PrimaryStorageType]],"SSD &amp; HDD")</f>
        <v>SSD &amp; HDD</v>
      </c>
      <c r="Y1208" s="1" t="s">
        <v>42</v>
      </c>
    </row>
    <row r="1209" spans="1:25" x14ac:dyDescent="0.25">
      <c r="A1209" s="1" t="s">
        <v>73</v>
      </c>
      <c r="B1209" s="1" t="s">
        <v>165</v>
      </c>
      <c r="C1209" s="1" t="s">
        <v>38</v>
      </c>
      <c r="D1209">
        <v>15.6</v>
      </c>
      <c r="E1209">
        <v>4</v>
      </c>
      <c r="F1209" s="1" t="s">
        <v>48</v>
      </c>
      <c r="G1209">
        <v>2.2000000000000002</v>
      </c>
      <c r="H1209">
        <v>299</v>
      </c>
      <c r="I1209" s="1" t="s">
        <v>26</v>
      </c>
      <c r="J1209">
        <v>1366</v>
      </c>
      <c r="K1209">
        <v>768</v>
      </c>
      <c r="L1209" s="1" t="s">
        <v>27</v>
      </c>
      <c r="M1209" s="1" t="s">
        <v>27</v>
      </c>
      <c r="N1209" s="1" t="s">
        <v>27</v>
      </c>
      <c r="O1209" s="1" t="s">
        <v>49</v>
      </c>
      <c r="P1209">
        <v>2.2000000000000002</v>
      </c>
      <c r="Q1209" s="1" t="s">
        <v>853</v>
      </c>
      <c r="R1209" s="1" t="str">
        <f>_xlfn.CONCAT(laptop[[#This Row],[CPU_company]]," ",laptop[[#This Row],[CPU_model]])</f>
        <v>AMD E-Series 9000</v>
      </c>
      <c r="S1209">
        <v>500</v>
      </c>
      <c r="T1209">
        <v>0</v>
      </c>
      <c r="U1209">
        <f>laptop[[#This Row],[PrimaryStorage]]+laptop[[#This Row],[SecondaryStorage]]</f>
        <v>500</v>
      </c>
      <c r="V1209" s="1" t="s">
        <v>51</v>
      </c>
      <c r="W1209" s="1" t="s">
        <v>27</v>
      </c>
      <c r="X1209" s="1" t="str">
        <f>IF(laptop[[#This Row],[PrimaryStorageType]]=laptop[[#This Row],[SecondaryStorageType]],laptop[[#This Row],[PrimaryStorageType]],"SSD &amp; HDD")</f>
        <v>SSD &amp; HDD</v>
      </c>
      <c r="Y1209" s="1" t="s">
        <v>490</v>
      </c>
    </row>
    <row r="1210" spans="1:25" x14ac:dyDescent="0.25">
      <c r="A1210" s="1" t="s">
        <v>46</v>
      </c>
      <c r="B1210" s="1" t="s">
        <v>854</v>
      </c>
      <c r="C1210" s="1" t="s">
        <v>38</v>
      </c>
      <c r="D1210">
        <v>17.3</v>
      </c>
      <c r="E1210">
        <v>8</v>
      </c>
      <c r="F1210" s="1" t="s">
        <v>48</v>
      </c>
      <c r="G1210">
        <v>3.3</v>
      </c>
      <c r="H1210">
        <v>629</v>
      </c>
      <c r="I1210" s="1" t="s">
        <v>26</v>
      </c>
      <c r="J1210">
        <v>1600</v>
      </c>
      <c r="K1210">
        <v>900</v>
      </c>
      <c r="L1210" s="1" t="s">
        <v>27</v>
      </c>
      <c r="M1210" s="1" t="s">
        <v>27</v>
      </c>
      <c r="N1210" s="1" t="s">
        <v>27</v>
      </c>
      <c r="O1210" s="1" t="s">
        <v>29</v>
      </c>
      <c r="P1210">
        <v>2</v>
      </c>
      <c r="Q1210" s="1" t="s">
        <v>62</v>
      </c>
      <c r="R1210" s="1" t="str">
        <f>_xlfn.CONCAT(laptop[[#This Row],[CPU_company]]," ",laptop[[#This Row],[CPU_model]])</f>
        <v>Intel Core i3 6006U</v>
      </c>
      <c r="S1210">
        <v>1024</v>
      </c>
      <c r="T1210">
        <v>0</v>
      </c>
      <c r="U1210">
        <f>laptop[[#This Row],[PrimaryStorage]]+laptop[[#This Row],[SecondaryStorage]]</f>
        <v>1024</v>
      </c>
      <c r="V1210" s="1" t="s">
        <v>51</v>
      </c>
      <c r="W1210" s="1" t="s">
        <v>27</v>
      </c>
      <c r="X1210" s="1" t="str">
        <f>IF(laptop[[#This Row],[PrimaryStorageType]]=laptop[[#This Row],[SecondaryStorageType]],laptop[[#This Row],[PrimaryStorageType]],"SSD &amp; HDD")</f>
        <v>SSD &amp; HDD</v>
      </c>
      <c r="Y1210" s="1" t="s">
        <v>76</v>
      </c>
    </row>
    <row r="1211" spans="1:25" x14ac:dyDescent="0.25">
      <c r="A1211" s="1" t="s">
        <v>55</v>
      </c>
      <c r="B1211" s="1" t="s">
        <v>126</v>
      </c>
      <c r="C1211" s="1" t="s">
        <v>83</v>
      </c>
      <c r="D1211">
        <v>15.6</v>
      </c>
      <c r="E1211">
        <v>16</v>
      </c>
      <c r="F1211" s="1" t="s">
        <v>48</v>
      </c>
      <c r="G1211">
        <v>2.2000000000000002</v>
      </c>
      <c r="H1211">
        <v>2449</v>
      </c>
      <c r="I1211" s="1" t="s">
        <v>40</v>
      </c>
      <c r="J1211">
        <v>1920</v>
      </c>
      <c r="K1211">
        <v>1080</v>
      </c>
      <c r="L1211" s="1" t="s">
        <v>27</v>
      </c>
      <c r="M1211" s="1" t="s">
        <v>27</v>
      </c>
      <c r="N1211" s="1" t="s">
        <v>27</v>
      </c>
      <c r="O1211" s="1" t="s">
        <v>29</v>
      </c>
      <c r="P1211">
        <v>2.8</v>
      </c>
      <c r="Q1211" s="1" t="s">
        <v>118</v>
      </c>
      <c r="R1211" s="1" t="str">
        <f>_xlfn.CONCAT(laptop[[#This Row],[CPU_company]]," ",laptop[[#This Row],[CPU_model]])</f>
        <v>Intel Core i7 7700HQ</v>
      </c>
      <c r="S1211">
        <v>256</v>
      </c>
      <c r="T1211">
        <v>1024</v>
      </c>
      <c r="U1211">
        <f>laptop[[#This Row],[PrimaryStorage]]+laptop[[#This Row],[SecondaryStorage]]</f>
        <v>1280</v>
      </c>
      <c r="V1211" s="1" t="s">
        <v>31</v>
      </c>
      <c r="W1211" s="1" t="s">
        <v>51</v>
      </c>
      <c r="X1211" s="1" t="str">
        <f>IF(laptop[[#This Row],[PrimaryStorageType]]=laptop[[#This Row],[SecondaryStorageType]],laptop[[#This Row],[PrimaryStorageType]],"SSD &amp; HDD")</f>
        <v>SSD &amp; HDD</v>
      </c>
      <c r="Y1211" s="1" t="s">
        <v>143</v>
      </c>
    </row>
    <row r="1212" spans="1:25" x14ac:dyDescent="0.25">
      <c r="A1212" s="1" t="s">
        <v>22</v>
      </c>
      <c r="B1212" s="1" t="s">
        <v>68</v>
      </c>
      <c r="C1212" s="1" t="s">
        <v>24</v>
      </c>
      <c r="D1212">
        <v>12</v>
      </c>
      <c r="E1212">
        <v>8</v>
      </c>
      <c r="F1212" s="1" t="s">
        <v>53</v>
      </c>
      <c r="G1212">
        <v>0.92</v>
      </c>
      <c r="H1212">
        <v>1279</v>
      </c>
      <c r="I1212" s="1" t="s">
        <v>26</v>
      </c>
      <c r="J1212">
        <v>2304</v>
      </c>
      <c r="K1212">
        <v>1440</v>
      </c>
      <c r="L1212" s="1" t="s">
        <v>27</v>
      </c>
      <c r="M1212" s="1" t="s">
        <v>28</v>
      </c>
      <c r="N1212" s="1" t="s">
        <v>28</v>
      </c>
      <c r="O1212" s="1" t="s">
        <v>29</v>
      </c>
      <c r="P1212">
        <v>1.2</v>
      </c>
      <c r="Q1212" s="1" t="s">
        <v>656</v>
      </c>
      <c r="R1212" s="1" t="str">
        <f>_xlfn.CONCAT(laptop[[#This Row],[CPU_company]]," ",laptop[[#This Row],[CPU_model]])</f>
        <v>Intel Core M</v>
      </c>
      <c r="S1212">
        <v>512</v>
      </c>
      <c r="T1212">
        <v>0</v>
      </c>
      <c r="U1212">
        <f>laptop[[#This Row],[PrimaryStorage]]+laptop[[#This Row],[SecondaryStorage]]</f>
        <v>512</v>
      </c>
      <c r="V1212" s="1" t="s">
        <v>34</v>
      </c>
      <c r="W1212" s="1" t="s">
        <v>27</v>
      </c>
      <c r="X1212" s="1" t="str">
        <f>IF(laptop[[#This Row],[PrimaryStorageType]]=laptop[[#This Row],[SecondaryStorageType]],laptop[[#This Row],[PrimaryStorageType]],"SSD &amp; HDD")</f>
        <v>SSD &amp; HDD</v>
      </c>
      <c r="Y1212" s="1" t="s">
        <v>217</v>
      </c>
    </row>
    <row r="1213" spans="1:25" x14ac:dyDescent="0.25">
      <c r="A1213" s="1" t="s">
        <v>55</v>
      </c>
      <c r="B1213" s="1" t="s">
        <v>855</v>
      </c>
      <c r="C1213" s="1" t="s">
        <v>38</v>
      </c>
      <c r="D1213">
        <v>15.6</v>
      </c>
      <c r="E1213">
        <v>16</v>
      </c>
      <c r="F1213" s="1" t="s">
        <v>48</v>
      </c>
      <c r="G1213">
        <v>2.2000000000000002</v>
      </c>
      <c r="H1213">
        <v>1749</v>
      </c>
      <c r="I1213" s="1" t="s">
        <v>40</v>
      </c>
      <c r="J1213">
        <v>1920</v>
      </c>
      <c r="K1213">
        <v>1080</v>
      </c>
      <c r="L1213" s="1" t="s">
        <v>27</v>
      </c>
      <c r="M1213" s="1" t="s">
        <v>27</v>
      </c>
      <c r="N1213" s="1" t="s">
        <v>27</v>
      </c>
      <c r="O1213" s="1" t="s">
        <v>29</v>
      </c>
      <c r="P1213">
        <v>2.8</v>
      </c>
      <c r="Q1213" s="1" t="s">
        <v>118</v>
      </c>
      <c r="R1213" s="1" t="str">
        <f>_xlfn.CONCAT(laptop[[#This Row],[CPU_company]]," ",laptop[[#This Row],[CPU_model]])</f>
        <v>Intel Core i7 7700HQ</v>
      </c>
      <c r="S1213">
        <v>128</v>
      </c>
      <c r="T1213">
        <v>1024</v>
      </c>
      <c r="U1213">
        <f>laptop[[#This Row],[PrimaryStorage]]+laptop[[#This Row],[SecondaryStorage]]</f>
        <v>1152</v>
      </c>
      <c r="V1213" s="1" t="s">
        <v>31</v>
      </c>
      <c r="W1213" s="1" t="s">
        <v>51</v>
      </c>
      <c r="X1213" s="1" t="str">
        <f>IF(laptop[[#This Row],[PrimaryStorageType]]=laptop[[#This Row],[SecondaryStorageType]],laptop[[#This Row],[PrimaryStorageType]],"SSD &amp; HDD")</f>
        <v>SSD &amp; HDD</v>
      </c>
      <c r="Y1213" s="1" t="s">
        <v>119</v>
      </c>
    </row>
    <row r="1214" spans="1:25" x14ac:dyDescent="0.25">
      <c r="A1214" s="1" t="s">
        <v>141</v>
      </c>
      <c r="B1214" s="1" t="s">
        <v>702</v>
      </c>
      <c r="C1214" s="1" t="s">
        <v>83</v>
      </c>
      <c r="D1214">
        <v>17.3</v>
      </c>
      <c r="E1214">
        <v>16</v>
      </c>
      <c r="F1214" s="1" t="s">
        <v>48</v>
      </c>
      <c r="G1214">
        <v>2.4300000000000002</v>
      </c>
      <c r="H1214">
        <v>1948.99</v>
      </c>
      <c r="I1214" s="1" t="s">
        <v>40</v>
      </c>
      <c r="J1214">
        <v>1920</v>
      </c>
      <c r="K1214">
        <v>1080</v>
      </c>
      <c r="L1214" s="1" t="s">
        <v>27</v>
      </c>
      <c r="M1214" s="1" t="s">
        <v>28</v>
      </c>
      <c r="N1214" s="1" t="s">
        <v>27</v>
      </c>
      <c r="O1214" s="1" t="s">
        <v>29</v>
      </c>
      <c r="P1214">
        <v>2.6</v>
      </c>
      <c r="Q1214" s="1" t="s">
        <v>447</v>
      </c>
      <c r="R1214" s="1" t="str">
        <f>_xlfn.CONCAT(laptop[[#This Row],[CPU_company]]," ",laptop[[#This Row],[CPU_model]])</f>
        <v>Intel Core i7 6700HQ</v>
      </c>
      <c r="S1214">
        <v>256</v>
      </c>
      <c r="T1214">
        <v>1024</v>
      </c>
      <c r="U1214">
        <f>laptop[[#This Row],[PrimaryStorage]]+laptop[[#This Row],[SecondaryStorage]]</f>
        <v>1280</v>
      </c>
      <c r="V1214" s="1" t="s">
        <v>31</v>
      </c>
      <c r="W1214" s="1" t="s">
        <v>51</v>
      </c>
      <c r="X1214" s="1" t="str">
        <f>IF(laptop[[#This Row],[PrimaryStorageType]]=laptop[[#This Row],[SecondaryStorageType]],laptop[[#This Row],[PrimaryStorageType]],"SSD &amp; HDD")</f>
        <v>SSD &amp; HDD</v>
      </c>
      <c r="Y1214" s="1" t="s">
        <v>119</v>
      </c>
    </row>
    <row r="1215" spans="1:25" x14ac:dyDescent="0.25">
      <c r="A1215" s="1" t="s">
        <v>65</v>
      </c>
      <c r="B1215" s="1" t="s">
        <v>742</v>
      </c>
      <c r="C1215" s="1" t="s">
        <v>90</v>
      </c>
      <c r="D1215">
        <v>15.6</v>
      </c>
      <c r="E1215">
        <v>8</v>
      </c>
      <c r="F1215" s="1" t="s">
        <v>48</v>
      </c>
      <c r="G1215">
        <v>2.1909999999999998</v>
      </c>
      <c r="H1215">
        <v>999</v>
      </c>
      <c r="I1215" s="1" t="s">
        <v>40</v>
      </c>
      <c r="J1215">
        <v>1920</v>
      </c>
      <c r="K1215">
        <v>1080</v>
      </c>
      <c r="L1215" s="1" t="s">
        <v>28</v>
      </c>
      <c r="M1215" s="1" t="s">
        <v>28</v>
      </c>
      <c r="N1215" s="1" t="s">
        <v>27</v>
      </c>
      <c r="O1215" s="1" t="s">
        <v>29</v>
      </c>
      <c r="P1215">
        <v>2.5</v>
      </c>
      <c r="Q1215" s="1" t="s">
        <v>41</v>
      </c>
      <c r="R1215" s="1" t="str">
        <f>_xlfn.CONCAT(laptop[[#This Row],[CPU_company]]," ",laptop[[#This Row],[CPU_model]])</f>
        <v>Intel Core i5 7200U</v>
      </c>
      <c r="S1215">
        <v>256</v>
      </c>
      <c r="T1215">
        <v>0</v>
      </c>
      <c r="U1215">
        <f>laptop[[#This Row],[PrimaryStorage]]+laptop[[#This Row],[SecondaryStorage]]</f>
        <v>256</v>
      </c>
      <c r="V1215" s="1" t="s">
        <v>31</v>
      </c>
      <c r="W1215" s="1" t="s">
        <v>27</v>
      </c>
      <c r="X1215" s="1" t="str">
        <f>IF(laptop[[#This Row],[PrimaryStorageType]]=laptop[[#This Row],[SecondaryStorageType]],laptop[[#This Row],[PrimaryStorageType]],"SSD &amp; HDD")</f>
        <v>SSD &amp; HDD</v>
      </c>
      <c r="Y1215" s="1" t="s">
        <v>42</v>
      </c>
    </row>
    <row r="1216" spans="1:25" x14ac:dyDescent="0.25">
      <c r="A1216" s="1" t="s">
        <v>55</v>
      </c>
      <c r="B1216" s="1" t="s">
        <v>379</v>
      </c>
      <c r="C1216" s="1" t="s">
        <v>83</v>
      </c>
      <c r="D1216">
        <v>17.3</v>
      </c>
      <c r="E1216">
        <v>16</v>
      </c>
      <c r="F1216" s="1" t="s">
        <v>48</v>
      </c>
      <c r="G1216">
        <v>2.9</v>
      </c>
      <c r="H1216">
        <v>1949</v>
      </c>
      <c r="I1216" s="1" t="s">
        <v>40</v>
      </c>
      <c r="J1216">
        <v>1920</v>
      </c>
      <c r="K1216">
        <v>1080</v>
      </c>
      <c r="L1216" s="1" t="s">
        <v>27</v>
      </c>
      <c r="M1216" s="1" t="s">
        <v>27</v>
      </c>
      <c r="N1216" s="1" t="s">
        <v>27</v>
      </c>
      <c r="O1216" s="1" t="s">
        <v>29</v>
      </c>
      <c r="P1216">
        <v>2.8</v>
      </c>
      <c r="Q1216" s="1" t="s">
        <v>118</v>
      </c>
      <c r="R1216" s="1" t="str">
        <f>_xlfn.CONCAT(laptop[[#This Row],[CPU_company]]," ",laptop[[#This Row],[CPU_model]])</f>
        <v>Intel Core i7 7700HQ</v>
      </c>
      <c r="S1216">
        <v>256</v>
      </c>
      <c r="T1216">
        <v>1024</v>
      </c>
      <c r="U1216">
        <f>laptop[[#This Row],[PrimaryStorage]]+laptop[[#This Row],[SecondaryStorage]]</f>
        <v>1280</v>
      </c>
      <c r="V1216" s="1" t="s">
        <v>31</v>
      </c>
      <c r="W1216" s="1" t="s">
        <v>51</v>
      </c>
      <c r="X1216" s="1" t="str">
        <f>IF(laptop[[#This Row],[PrimaryStorageType]]=laptop[[#This Row],[SecondaryStorageType]],laptop[[#This Row],[PrimaryStorageType]],"SSD &amp; HDD")</f>
        <v>SSD &amp; HDD</v>
      </c>
      <c r="Y1216" s="1" t="s">
        <v>119</v>
      </c>
    </row>
    <row r="1217" spans="1:25" x14ac:dyDescent="0.25">
      <c r="A1217" s="1" t="s">
        <v>46</v>
      </c>
      <c r="B1217" s="1" t="s">
        <v>856</v>
      </c>
      <c r="C1217" s="1" t="s">
        <v>79</v>
      </c>
      <c r="D1217">
        <v>11.6</v>
      </c>
      <c r="E1217">
        <v>2</v>
      </c>
      <c r="F1217" s="1" t="s">
        <v>317</v>
      </c>
      <c r="G1217">
        <v>1.3</v>
      </c>
      <c r="H1217">
        <v>174</v>
      </c>
      <c r="I1217" s="1" t="s">
        <v>26</v>
      </c>
      <c r="J1217">
        <v>1366</v>
      </c>
      <c r="K1217">
        <v>768</v>
      </c>
      <c r="L1217" s="1" t="s">
        <v>27</v>
      </c>
      <c r="M1217" s="1" t="s">
        <v>27</v>
      </c>
      <c r="N1217" s="1" t="s">
        <v>27</v>
      </c>
      <c r="O1217" s="1" t="s">
        <v>29</v>
      </c>
      <c r="P1217">
        <v>1.5</v>
      </c>
      <c r="Q1217" s="1" t="s">
        <v>318</v>
      </c>
      <c r="R1217" s="1" t="str">
        <f>_xlfn.CONCAT(laptop[[#This Row],[CPU_company]]," ",laptop[[#This Row],[CPU_model]])</f>
        <v>Intel Celeron Dual Core 3205U</v>
      </c>
      <c r="S1217">
        <v>32</v>
      </c>
      <c r="T1217">
        <v>0</v>
      </c>
      <c r="U1217">
        <f>laptop[[#This Row],[PrimaryStorage]]+laptop[[#This Row],[SecondaryStorage]]</f>
        <v>32</v>
      </c>
      <c r="V1217" s="1" t="s">
        <v>31</v>
      </c>
      <c r="W1217" s="1" t="s">
        <v>27</v>
      </c>
      <c r="X1217" s="1" t="str">
        <f>IF(laptop[[#This Row],[PrimaryStorageType]]=laptop[[#This Row],[SecondaryStorageType]],laptop[[#This Row],[PrimaryStorageType]],"SSD &amp; HDD")</f>
        <v>SSD &amp; HDD</v>
      </c>
      <c r="Y1217" s="1" t="s">
        <v>102</v>
      </c>
    </row>
    <row r="1218" spans="1:25" x14ac:dyDescent="0.25">
      <c r="A1218" s="1" t="s">
        <v>46</v>
      </c>
      <c r="B1218" s="1" t="s">
        <v>857</v>
      </c>
      <c r="C1218" s="1" t="s">
        <v>38</v>
      </c>
      <c r="D1218">
        <v>17.3</v>
      </c>
      <c r="E1218">
        <v>4</v>
      </c>
      <c r="F1218" s="1" t="s">
        <v>48</v>
      </c>
      <c r="G1218">
        <v>3.3</v>
      </c>
      <c r="H1218">
        <v>598</v>
      </c>
      <c r="I1218" s="1" t="s">
        <v>26</v>
      </c>
      <c r="J1218">
        <v>1600</v>
      </c>
      <c r="K1218">
        <v>900</v>
      </c>
      <c r="L1218" s="1" t="s">
        <v>27</v>
      </c>
      <c r="M1218" s="1" t="s">
        <v>27</v>
      </c>
      <c r="N1218" s="1" t="s">
        <v>27</v>
      </c>
      <c r="O1218" s="1" t="s">
        <v>29</v>
      </c>
      <c r="P1218">
        <v>2</v>
      </c>
      <c r="Q1218" s="1" t="s">
        <v>62</v>
      </c>
      <c r="R1218" s="1" t="str">
        <f>_xlfn.CONCAT(laptop[[#This Row],[CPU_company]]," ",laptop[[#This Row],[CPU_model]])</f>
        <v>Intel Core i3 6006U</v>
      </c>
      <c r="S1218">
        <v>1024</v>
      </c>
      <c r="T1218">
        <v>0</v>
      </c>
      <c r="U1218">
        <f>laptop[[#This Row],[PrimaryStorage]]+laptop[[#This Row],[SecondaryStorage]]</f>
        <v>1024</v>
      </c>
      <c r="V1218" s="1" t="s">
        <v>51</v>
      </c>
      <c r="W1218" s="1" t="s">
        <v>27</v>
      </c>
      <c r="X1218" s="1" t="str">
        <f>IF(laptop[[#This Row],[PrimaryStorageType]]=laptop[[#This Row],[SecondaryStorageType]],laptop[[#This Row],[PrimaryStorageType]],"SSD &amp; HDD")</f>
        <v>SSD &amp; HDD</v>
      </c>
      <c r="Y1218" s="1" t="s">
        <v>76</v>
      </c>
    </row>
    <row r="1219" spans="1:25" x14ac:dyDescent="0.25">
      <c r="A1219" s="1" t="s">
        <v>73</v>
      </c>
      <c r="B1219" s="1" t="s">
        <v>271</v>
      </c>
      <c r="C1219" s="1" t="s">
        <v>38</v>
      </c>
      <c r="D1219">
        <v>17.3</v>
      </c>
      <c r="E1219">
        <v>8</v>
      </c>
      <c r="F1219" s="1" t="s">
        <v>39</v>
      </c>
      <c r="G1219">
        <v>2.8</v>
      </c>
      <c r="H1219">
        <v>539</v>
      </c>
      <c r="I1219" s="1" t="s">
        <v>26</v>
      </c>
      <c r="J1219">
        <v>1600</v>
      </c>
      <c r="K1219">
        <v>900</v>
      </c>
      <c r="L1219" s="1" t="s">
        <v>27</v>
      </c>
      <c r="M1219" s="1" t="s">
        <v>27</v>
      </c>
      <c r="N1219" s="1" t="s">
        <v>27</v>
      </c>
      <c r="O1219" s="1" t="s">
        <v>29</v>
      </c>
      <c r="P1219">
        <v>2.5</v>
      </c>
      <c r="Q1219" s="1" t="s">
        <v>41</v>
      </c>
      <c r="R1219" s="1" t="str">
        <f>_xlfn.CONCAT(laptop[[#This Row],[CPU_company]]," ",laptop[[#This Row],[CPU_model]])</f>
        <v>Intel Core i5 7200U</v>
      </c>
      <c r="S1219">
        <v>1024</v>
      </c>
      <c r="T1219">
        <v>0</v>
      </c>
      <c r="U1219">
        <f>laptop[[#This Row],[PrimaryStorage]]+laptop[[#This Row],[SecondaryStorage]]</f>
        <v>1024</v>
      </c>
      <c r="V1219" s="1" t="s">
        <v>51</v>
      </c>
      <c r="W1219" s="1" t="s">
        <v>27</v>
      </c>
      <c r="X1219" s="1" t="str">
        <f>IF(laptop[[#This Row],[PrimaryStorageType]]=laptop[[#This Row],[SecondaryStorageType]],laptop[[#This Row],[PrimaryStorageType]],"SSD &amp; HDD")</f>
        <v>SSD &amp; HDD</v>
      </c>
      <c r="Y1219" s="1" t="s">
        <v>42</v>
      </c>
    </row>
    <row r="1220" spans="1:25" x14ac:dyDescent="0.25">
      <c r="A1220" s="1" t="s">
        <v>73</v>
      </c>
      <c r="B1220" s="1" t="s">
        <v>559</v>
      </c>
      <c r="C1220" s="1" t="s">
        <v>83</v>
      </c>
      <c r="D1220">
        <v>15.6</v>
      </c>
      <c r="E1220">
        <v>8</v>
      </c>
      <c r="F1220" s="1" t="s">
        <v>48</v>
      </c>
      <c r="G1220">
        <v>2.6</v>
      </c>
      <c r="H1220">
        <v>1272</v>
      </c>
      <c r="I1220" s="1" t="s">
        <v>40</v>
      </c>
      <c r="J1220">
        <v>1920</v>
      </c>
      <c r="K1220">
        <v>1080</v>
      </c>
      <c r="L1220" s="1" t="s">
        <v>27</v>
      </c>
      <c r="M1220" s="1" t="s">
        <v>28</v>
      </c>
      <c r="N1220" s="1" t="s">
        <v>27</v>
      </c>
      <c r="O1220" s="1" t="s">
        <v>29</v>
      </c>
      <c r="P1220">
        <v>2.6</v>
      </c>
      <c r="Q1220" s="1" t="s">
        <v>447</v>
      </c>
      <c r="R1220" s="1" t="str">
        <f>_xlfn.CONCAT(laptop[[#This Row],[CPU_company]]," ",laptop[[#This Row],[CPU_model]])</f>
        <v>Intel Core i7 6700HQ</v>
      </c>
      <c r="S1220">
        <v>128</v>
      </c>
      <c r="T1220">
        <v>1024</v>
      </c>
      <c r="U1220">
        <f>laptop[[#This Row],[PrimaryStorage]]+laptop[[#This Row],[SecondaryStorage]]</f>
        <v>1152</v>
      </c>
      <c r="V1220" s="1" t="s">
        <v>31</v>
      </c>
      <c r="W1220" s="1" t="s">
        <v>51</v>
      </c>
      <c r="X1220" s="1" t="str">
        <f>IF(laptop[[#This Row],[PrimaryStorageType]]=laptop[[#This Row],[SecondaryStorageType]],laptop[[#This Row],[PrimaryStorageType]],"SSD &amp; HDD")</f>
        <v>SSD &amp; HDD</v>
      </c>
      <c r="Y1220" s="1" t="s">
        <v>537</v>
      </c>
    </row>
    <row r="1221" spans="1:25" x14ac:dyDescent="0.25">
      <c r="A1221" s="1" t="s">
        <v>46</v>
      </c>
      <c r="B1221" s="1" t="s">
        <v>858</v>
      </c>
      <c r="C1221" s="1" t="s">
        <v>90</v>
      </c>
      <c r="D1221">
        <v>14</v>
      </c>
      <c r="E1221">
        <v>8</v>
      </c>
      <c r="F1221" s="1" t="s">
        <v>48</v>
      </c>
      <c r="G1221">
        <v>1.2</v>
      </c>
      <c r="H1221">
        <v>1149</v>
      </c>
      <c r="I1221" s="1" t="s">
        <v>40</v>
      </c>
      <c r="J1221">
        <v>1920</v>
      </c>
      <c r="K1221">
        <v>1080</v>
      </c>
      <c r="L1221" s="1" t="s">
        <v>28</v>
      </c>
      <c r="M1221" s="1" t="s">
        <v>28</v>
      </c>
      <c r="N1221" s="1" t="s">
        <v>27</v>
      </c>
      <c r="O1221" s="1" t="s">
        <v>29</v>
      </c>
      <c r="P1221">
        <v>1.3</v>
      </c>
      <c r="Q1221" s="1" t="s">
        <v>423</v>
      </c>
      <c r="R1221" s="1" t="str">
        <f>_xlfn.CONCAT(laptop[[#This Row],[CPU_company]]," ",laptop[[#This Row],[CPU_model]])</f>
        <v>Intel Core i7 7Y75</v>
      </c>
      <c r="S1221">
        <v>256</v>
      </c>
      <c r="T1221">
        <v>0</v>
      </c>
      <c r="U1221">
        <f>laptop[[#This Row],[PrimaryStorage]]+laptop[[#This Row],[SecondaryStorage]]</f>
        <v>256</v>
      </c>
      <c r="V1221" s="1" t="s">
        <v>31</v>
      </c>
      <c r="W1221" s="1" t="s">
        <v>27</v>
      </c>
      <c r="X1221" s="1" t="str">
        <f>IF(laptop[[#This Row],[PrimaryStorageType]]=laptop[[#This Row],[SecondaryStorageType]],laptop[[#This Row],[PrimaryStorageType]],"SSD &amp; HDD")</f>
        <v>SSD &amp; HDD</v>
      </c>
      <c r="Y1221" s="1" t="s">
        <v>70</v>
      </c>
    </row>
    <row r="1222" spans="1:25" x14ac:dyDescent="0.25">
      <c r="A1222" s="1" t="s">
        <v>73</v>
      </c>
      <c r="B1222" s="1" t="s">
        <v>859</v>
      </c>
      <c r="C1222" s="1" t="s">
        <v>38</v>
      </c>
      <c r="D1222">
        <v>15.6</v>
      </c>
      <c r="E1222">
        <v>8</v>
      </c>
      <c r="F1222" s="1" t="s">
        <v>48</v>
      </c>
      <c r="G1222">
        <v>2.2999999999999998</v>
      </c>
      <c r="H1222">
        <v>1529</v>
      </c>
      <c r="I1222" s="1" t="s">
        <v>40</v>
      </c>
      <c r="J1222">
        <v>1920</v>
      </c>
      <c r="K1222">
        <v>1080</v>
      </c>
      <c r="L1222" s="1" t="s">
        <v>27</v>
      </c>
      <c r="M1222" s="1" t="s">
        <v>28</v>
      </c>
      <c r="N1222" s="1" t="s">
        <v>27</v>
      </c>
      <c r="O1222" s="1" t="s">
        <v>29</v>
      </c>
      <c r="P1222">
        <v>2.6</v>
      </c>
      <c r="Q1222" s="1" t="s">
        <v>309</v>
      </c>
      <c r="R1222" s="1" t="str">
        <f>_xlfn.CONCAT(laptop[[#This Row],[CPU_company]]," ",laptop[[#This Row],[CPU_model]])</f>
        <v>Intel Core i7 6600U</v>
      </c>
      <c r="S1222">
        <v>256</v>
      </c>
      <c r="T1222">
        <v>0</v>
      </c>
      <c r="U1222">
        <f>laptop[[#This Row],[PrimaryStorage]]+laptop[[#This Row],[SecondaryStorage]]</f>
        <v>256</v>
      </c>
      <c r="V1222" s="1" t="s">
        <v>31</v>
      </c>
      <c r="W1222" s="1" t="s">
        <v>27</v>
      </c>
      <c r="X1222" s="1" t="str">
        <f>IF(laptop[[#This Row],[PrimaryStorageType]]=laptop[[#This Row],[SecondaryStorageType]],laptop[[#This Row],[PrimaryStorageType]],"SSD &amp; HDD")</f>
        <v>SSD &amp; HDD</v>
      </c>
      <c r="Y1222" s="1" t="s">
        <v>63</v>
      </c>
    </row>
    <row r="1223" spans="1:25" x14ac:dyDescent="0.25">
      <c r="A1223" s="1" t="s">
        <v>141</v>
      </c>
      <c r="B1223" s="1" t="s">
        <v>860</v>
      </c>
      <c r="C1223" s="1" t="s">
        <v>83</v>
      </c>
      <c r="D1223">
        <v>15.6</v>
      </c>
      <c r="E1223">
        <v>8</v>
      </c>
      <c r="F1223" s="1" t="s">
        <v>48</v>
      </c>
      <c r="G1223">
        <v>2.2000000000000002</v>
      </c>
      <c r="H1223">
        <v>1476.11</v>
      </c>
      <c r="I1223" s="1" t="s">
        <v>40</v>
      </c>
      <c r="J1223">
        <v>1920</v>
      </c>
      <c r="K1223">
        <v>1080</v>
      </c>
      <c r="L1223" s="1" t="s">
        <v>27</v>
      </c>
      <c r="M1223" s="1" t="s">
        <v>27</v>
      </c>
      <c r="N1223" s="1" t="s">
        <v>27</v>
      </c>
      <c r="O1223" s="1" t="s">
        <v>29</v>
      </c>
      <c r="P1223">
        <v>2.6</v>
      </c>
      <c r="Q1223" s="1" t="s">
        <v>447</v>
      </c>
      <c r="R1223" s="1" t="str">
        <f>_xlfn.CONCAT(laptop[[#This Row],[CPU_company]]," ",laptop[[#This Row],[CPU_model]])</f>
        <v>Intel Core i7 6700HQ</v>
      </c>
      <c r="S1223">
        <v>128</v>
      </c>
      <c r="T1223">
        <v>1024</v>
      </c>
      <c r="U1223">
        <f>laptop[[#This Row],[PrimaryStorage]]+laptop[[#This Row],[SecondaryStorage]]</f>
        <v>1152</v>
      </c>
      <c r="V1223" s="1" t="s">
        <v>31</v>
      </c>
      <c r="W1223" s="1" t="s">
        <v>51</v>
      </c>
      <c r="X1223" s="1" t="str">
        <f>IF(laptop[[#This Row],[PrimaryStorageType]]=laptop[[#This Row],[SecondaryStorageType]],laptop[[#This Row],[PrimaryStorageType]],"SSD &amp; HDD")</f>
        <v>SSD &amp; HDD</v>
      </c>
      <c r="Y1223" s="1" t="s">
        <v>119</v>
      </c>
    </row>
    <row r="1224" spans="1:25" x14ac:dyDescent="0.25">
      <c r="A1224" s="1" t="s">
        <v>36</v>
      </c>
      <c r="B1224" s="1" t="s">
        <v>861</v>
      </c>
      <c r="C1224" s="1" t="s">
        <v>38</v>
      </c>
      <c r="D1224">
        <v>15.6</v>
      </c>
      <c r="E1224">
        <v>6</v>
      </c>
      <c r="F1224" s="1" t="s">
        <v>48</v>
      </c>
      <c r="G1224">
        <v>2.1</v>
      </c>
      <c r="H1224">
        <v>529</v>
      </c>
      <c r="I1224" s="1" t="s">
        <v>40</v>
      </c>
      <c r="J1224">
        <v>1920</v>
      </c>
      <c r="K1224">
        <v>1080</v>
      </c>
      <c r="L1224" s="1" t="s">
        <v>27</v>
      </c>
      <c r="M1224" s="1" t="s">
        <v>27</v>
      </c>
      <c r="N1224" s="1" t="s">
        <v>27</v>
      </c>
      <c r="O1224" s="1" t="s">
        <v>49</v>
      </c>
      <c r="P1224">
        <v>2.7</v>
      </c>
      <c r="Q1224" s="1" t="s">
        <v>350</v>
      </c>
      <c r="R1224" s="1" t="str">
        <f>_xlfn.CONCAT(laptop[[#This Row],[CPU_company]]," ",laptop[[#This Row],[CPU_model]])</f>
        <v>AMD A12-Series 9720P</v>
      </c>
      <c r="S1224">
        <v>1024</v>
      </c>
      <c r="T1224">
        <v>0</v>
      </c>
      <c r="U1224">
        <f>laptop[[#This Row],[PrimaryStorage]]+laptop[[#This Row],[SecondaryStorage]]</f>
        <v>1024</v>
      </c>
      <c r="V1224" s="1" t="s">
        <v>51</v>
      </c>
      <c r="W1224" s="1" t="s">
        <v>27</v>
      </c>
      <c r="X1224" s="1" t="str">
        <f>IF(laptop[[#This Row],[PrimaryStorageType]]=laptop[[#This Row],[SecondaryStorageType]],laptop[[#This Row],[PrimaryStorageType]],"SSD &amp; HDD")</f>
        <v>SSD &amp; HDD</v>
      </c>
      <c r="Y1224" s="1" t="s">
        <v>94</v>
      </c>
    </row>
    <row r="1225" spans="1:25" x14ac:dyDescent="0.25">
      <c r="A1225" s="1" t="s">
        <v>65</v>
      </c>
      <c r="B1225" s="1" t="s">
        <v>862</v>
      </c>
      <c r="C1225" s="1" t="s">
        <v>24</v>
      </c>
      <c r="D1225">
        <v>12.5</v>
      </c>
      <c r="E1225">
        <v>8</v>
      </c>
      <c r="F1225" s="1" t="s">
        <v>480</v>
      </c>
      <c r="G1225">
        <v>1.26</v>
      </c>
      <c r="H1225">
        <v>1713.37</v>
      </c>
      <c r="I1225" s="1" t="s">
        <v>40</v>
      </c>
      <c r="J1225">
        <v>1920</v>
      </c>
      <c r="K1225">
        <v>1080</v>
      </c>
      <c r="L1225" s="1" t="s">
        <v>28</v>
      </c>
      <c r="M1225" s="1" t="s">
        <v>27</v>
      </c>
      <c r="N1225" s="1" t="s">
        <v>27</v>
      </c>
      <c r="O1225" s="1" t="s">
        <v>29</v>
      </c>
      <c r="P1225">
        <v>2.4</v>
      </c>
      <c r="Q1225" s="1" t="s">
        <v>562</v>
      </c>
      <c r="R1225" s="1" t="str">
        <f>_xlfn.CONCAT(laptop[[#This Row],[CPU_company]]," ",laptop[[#This Row],[CPU_model]])</f>
        <v>Intel Core i5 6300U</v>
      </c>
      <c r="S1225">
        <v>256</v>
      </c>
      <c r="T1225">
        <v>0</v>
      </c>
      <c r="U1225">
        <f>laptop[[#This Row],[PrimaryStorage]]+laptop[[#This Row],[SecondaryStorage]]</f>
        <v>256</v>
      </c>
      <c r="V1225" s="1" t="s">
        <v>31</v>
      </c>
      <c r="W1225" s="1" t="s">
        <v>27</v>
      </c>
      <c r="X1225" s="1" t="str">
        <f>IF(laptop[[#This Row],[PrimaryStorageType]]=laptop[[#This Row],[SecondaryStorageType]],laptop[[#This Row],[PrimaryStorageType]],"SSD &amp; HDD")</f>
        <v>SSD &amp; HDD</v>
      </c>
      <c r="Y1225" s="1" t="s">
        <v>63</v>
      </c>
    </row>
    <row r="1226" spans="1:25" x14ac:dyDescent="0.25">
      <c r="A1226" s="1" t="s">
        <v>65</v>
      </c>
      <c r="B1226" s="1" t="s">
        <v>775</v>
      </c>
      <c r="C1226" s="1" t="s">
        <v>90</v>
      </c>
      <c r="D1226">
        <v>15</v>
      </c>
      <c r="E1226">
        <v>4</v>
      </c>
      <c r="F1226" s="1" t="s">
        <v>48</v>
      </c>
      <c r="G1226">
        <v>2.08</v>
      </c>
      <c r="H1226">
        <v>509</v>
      </c>
      <c r="I1226" s="1" t="s">
        <v>40</v>
      </c>
      <c r="J1226">
        <v>1920</v>
      </c>
      <c r="K1226">
        <v>1080</v>
      </c>
      <c r="L1226" s="1" t="s">
        <v>28</v>
      </c>
      <c r="M1226" s="1" t="s">
        <v>27</v>
      </c>
      <c r="N1226" s="1" t="s">
        <v>27</v>
      </c>
      <c r="O1226" s="1" t="s">
        <v>29</v>
      </c>
      <c r="P1226">
        <v>2.4</v>
      </c>
      <c r="Q1226" s="1" t="s">
        <v>75</v>
      </c>
      <c r="R1226" s="1" t="str">
        <f>_xlfn.CONCAT(laptop[[#This Row],[CPU_company]]," ",laptop[[#This Row],[CPU_model]])</f>
        <v>Intel Core i3 7100U</v>
      </c>
      <c r="S1226">
        <v>500</v>
      </c>
      <c r="T1226">
        <v>0</v>
      </c>
      <c r="U1226">
        <f>laptop[[#This Row],[PrimaryStorage]]+laptop[[#This Row],[SecondaryStorage]]</f>
        <v>500</v>
      </c>
      <c r="V1226" s="1" t="s">
        <v>51</v>
      </c>
      <c r="W1226" s="1" t="s">
        <v>27</v>
      </c>
      <c r="X1226" s="1" t="str">
        <f>IF(laptop[[#This Row],[PrimaryStorageType]]=laptop[[#This Row],[SecondaryStorageType]],laptop[[#This Row],[PrimaryStorageType]],"SSD &amp; HDD")</f>
        <v>SSD &amp; HDD</v>
      </c>
      <c r="Y1226" s="1" t="s">
        <v>42</v>
      </c>
    </row>
    <row r="1227" spans="1:25" x14ac:dyDescent="0.25">
      <c r="A1227" s="1" t="s">
        <v>55</v>
      </c>
      <c r="B1227" s="1" t="s">
        <v>863</v>
      </c>
      <c r="C1227" s="1" t="s">
        <v>38</v>
      </c>
      <c r="D1227">
        <v>15.6</v>
      </c>
      <c r="E1227">
        <v>4</v>
      </c>
      <c r="F1227" s="1" t="s">
        <v>48</v>
      </c>
      <c r="G1227">
        <v>2.65</v>
      </c>
      <c r="H1227">
        <v>309</v>
      </c>
      <c r="I1227" s="1" t="s">
        <v>26</v>
      </c>
      <c r="J1227">
        <v>1366</v>
      </c>
      <c r="K1227">
        <v>768</v>
      </c>
      <c r="L1227" s="1" t="s">
        <v>27</v>
      </c>
      <c r="M1227" s="1" t="s">
        <v>27</v>
      </c>
      <c r="N1227" s="1" t="s">
        <v>27</v>
      </c>
      <c r="O1227" s="1" t="s">
        <v>29</v>
      </c>
      <c r="P1227">
        <v>1.6</v>
      </c>
      <c r="Q1227" s="1" t="s">
        <v>346</v>
      </c>
      <c r="R1227" s="1" t="str">
        <f>_xlfn.CONCAT(laptop[[#This Row],[CPU_company]]," ",laptop[[#This Row],[CPU_model]])</f>
        <v>Intel Pentium Quad Core N3710</v>
      </c>
      <c r="S1227">
        <v>1024</v>
      </c>
      <c r="T1227">
        <v>0</v>
      </c>
      <c r="U1227">
        <f>laptop[[#This Row],[PrimaryStorage]]+laptop[[#This Row],[SecondaryStorage]]</f>
        <v>1024</v>
      </c>
      <c r="V1227" s="1" t="s">
        <v>51</v>
      </c>
      <c r="W1227" s="1" t="s">
        <v>27</v>
      </c>
      <c r="X1227" s="1" t="str">
        <f>IF(laptop[[#This Row],[PrimaryStorageType]]=laptop[[#This Row],[SecondaryStorageType]],laptop[[#This Row],[PrimaryStorageType]],"SSD &amp; HDD")</f>
        <v>SSD &amp; HDD</v>
      </c>
      <c r="Y1227" s="1" t="s">
        <v>347</v>
      </c>
    </row>
    <row r="1228" spans="1:25" x14ac:dyDescent="0.25">
      <c r="A1228" s="1" t="s">
        <v>65</v>
      </c>
      <c r="B1228" s="1" t="s">
        <v>77</v>
      </c>
      <c r="C1228" s="1" t="s">
        <v>24</v>
      </c>
      <c r="D1228">
        <v>13.3</v>
      </c>
      <c r="E1228">
        <v>8</v>
      </c>
      <c r="F1228" s="1" t="s">
        <v>48</v>
      </c>
      <c r="G1228">
        <v>1.29</v>
      </c>
      <c r="H1228">
        <v>1477</v>
      </c>
      <c r="I1228" s="1" t="s">
        <v>107</v>
      </c>
      <c r="J1228">
        <v>3200</v>
      </c>
      <c r="K1228">
        <v>1800</v>
      </c>
      <c r="L1228" s="1" t="s">
        <v>28</v>
      </c>
      <c r="M1228" s="1" t="s">
        <v>27</v>
      </c>
      <c r="N1228" s="1" t="s">
        <v>27</v>
      </c>
      <c r="O1228" s="1" t="s">
        <v>29</v>
      </c>
      <c r="P1228">
        <v>2.7</v>
      </c>
      <c r="Q1228" s="1" t="s">
        <v>71</v>
      </c>
      <c r="R1228" s="1" t="str">
        <f>_xlfn.CONCAT(laptop[[#This Row],[CPU_company]]," ",laptop[[#This Row],[CPU_model]])</f>
        <v>Intel Core i7 7500U</v>
      </c>
      <c r="S1228">
        <v>256</v>
      </c>
      <c r="T1228">
        <v>0</v>
      </c>
      <c r="U1228">
        <f>laptop[[#This Row],[PrimaryStorage]]+laptop[[#This Row],[SecondaryStorage]]</f>
        <v>256</v>
      </c>
      <c r="V1228" s="1" t="s">
        <v>31</v>
      </c>
      <c r="W1228" s="1" t="s">
        <v>27</v>
      </c>
      <c r="X1228" s="1" t="str">
        <f>IF(laptop[[#This Row],[PrimaryStorageType]]=laptop[[#This Row],[SecondaryStorageType]],laptop[[#This Row],[PrimaryStorageType]],"SSD &amp; HDD")</f>
        <v>SSD &amp; HDD</v>
      </c>
      <c r="Y1228" s="1" t="s">
        <v>42</v>
      </c>
    </row>
    <row r="1229" spans="1:25" x14ac:dyDescent="0.25">
      <c r="A1229" s="1" t="s">
        <v>65</v>
      </c>
      <c r="B1229" s="1" t="s">
        <v>305</v>
      </c>
      <c r="C1229" s="1" t="s">
        <v>38</v>
      </c>
      <c r="D1229">
        <v>15.6</v>
      </c>
      <c r="E1229">
        <v>4</v>
      </c>
      <c r="F1229" s="1" t="s">
        <v>111</v>
      </c>
      <c r="G1229">
        <v>2.1800000000000002</v>
      </c>
      <c r="H1229">
        <v>521.86</v>
      </c>
      <c r="I1229" s="1" t="s">
        <v>26</v>
      </c>
      <c r="J1229">
        <v>1366</v>
      </c>
      <c r="K1229">
        <v>768</v>
      </c>
      <c r="L1229" s="1" t="s">
        <v>27</v>
      </c>
      <c r="M1229" s="1" t="s">
        <v>27</v>
      </c>
      <c r="N1229" s="1" t="s">
        <v>27</v>
      </c>
      <c r="O1229" s="1" t="s">
        <v>29</v>
      </c>
      <c r="P1229">
        <v>2.5</v>
      </c>
      <c r="Q1229" s="1" t="s">
        <v>41</v>
      </c>
      <c r="R1229" s="1" t="str">
        <f>_xlfn.CONCAT(laptop[[#This Row],[CPU_company]]," ",laptop[[#This Row],[CPU_model]])</f>
        <v>Intel Core i5 7200U</v>
      </c>
      <c r="S1229">
        <v>1024</v>
      </c>
      <c r="T1229">
        <v>0</v>
      </c>
      <c r="U1229">
        <f>laptop[[#This Row],[PrimaryStorage]]+laptop[[#This Row],[SecondaryStorage]]</f>
        <v>1024</v>
      </c>
      <c r="V1229" s="1" t="s">
        <v>51</v>
      </c>
      <c r="W1229" s="1" t="s">
        <v>27</v>
      </c>
      <c r="X1229" s="1" t="str">
        <f>IF(laptop[[#This Row],[PrimaryStorageType]]=laptop[[#This Row],[SecondaryStorageType]],laptop[[#This Row],[PrimaryStorageType]],"SSD &amp; HDD")</f>
        <v>SSD &amp; HDD</v>
      </c>
      <c r="Y1229" s="1" t="s">
        <v>63</v>
      </c>
    </row>
    <row r="1230" spans="1:25" x14ac:dyDescent="0.25">
      <c r="A1230" s="1" t="s">
        <v>73</v>
      </c>
      <c r="B1230" s="1" t="s">
        <v>559</v>
      </c>
      <c r="C1230" s="1" t="s">
        <v>83</v>
      </c>
      <c r="D1230">
        <v>15.6</v>
      </c>
      <c r="E1230">
        <v>16</v>
      </c>
      <c r="F1230" s="1" t="s">
        <v>48</v>
      </c>
      <c r="G1230">
        <v>2.6</v>
      </c>
      <c r="H1230">
        <v>1029</v>
      </c>
      <c r="I1230" s="1" t="s">
        <v>40</v>
      </c>
      <c r="J1230">
        <v>1920</v>
      </c>
      <c r="K1230">
        <v>1080</v>
      </c>
      <c r="L1230" s="1" t="s">
        <v>28</v>
      </c>
      <c r="M1230" s="1" t="s">
        <v>28</v>
      </c>
      <c r="N1230" s="1" t="s">
        <v>27</v>
      </c>
      <c r="O1230" s="1" t="s">
        <v>29</v>
      </c>
      <c r="P1230">
        <v>2.6</v>
      </c>
      <c r="Q1230" s="1" t="s">
        <v>447</v>
      </c>
      <c r="R1230" s="1" t="str">
        <f>_xlfn.CONCAT(laptop[[#This Row],[CPU_company]]," ",laptop[[#This Row],[CPU_model]])</f>
        <v>Intel Core i7 6700HQ</v>
      </c>
      <c r="S1230">
        <v>128</v>
      </c>
      <c r="T1230">
        <v>1024</v>
      </c>
      <c r="U1230">
        <f>laptop[[#This Row],[PrimaryStorage]]+laptop[[#This Row],[SecondaryStorage]]</f>
        <v>1152</v>
      </c>
      <c r="V1230" s="1" t="s">
        <v>31</v>
      </c>
      <c r="W1230" s="1" t="s">
        <v>51</v>
      </c>
      <c r="X1230" s="1" t="str">
        <f>IF(laptop[[#This Row],[PrimaryStorageType]]=laptop[[#This Row],[SecondaryStorageType]],laptop[[#This Row],[PrimaryStorageType]],"SSD &amp; HDD")</f>
        <v>SSD &amp; HDD</v>
      </c>
      <c r="Y1230" s="1" t="s">
        <v>483</v>
      </c>
    </row>
    <row r="1231" spans="1:25" x14ac:dyDescent="0.25">
      <c r="A1231" s="1" t="s">
        <v>141</v>
      </c>
      <c r="B1231" s="1" t="s">
        <v>864</v>
      </c>
      <c r="C1231" s="1" t="s">
        <v>83</v>
      </c>
      <c r="D1231">
        <v>15.6</v>
      </c>
      <c r="E1231">
        <v>8</v>
      </c>
      <c r="F1231" s="1" t="s">
        <v>48</v>
      </c>
      <c r="G1231">
        <v>2.2000000000000002</v>
      </c>
      <c r="H1231">
        <v>1149</v>
      </c>
      <c r="I1231" s="1" t="s">
        <v>40</v>
      </c>
      <c r="J1231">
        <v>1920</v>
      </c>
      <c r="K1231">
        <v>1080</v>
      </c>
      <c r="L1231" s="1" t="s">
        <v>27</v>
      </c>
      <c r="M1231" s="1" t="s">
        <v>27</v>
      </c>
      <c r="N1231" s="1" t="s">
        <v>27</v>
      </c>
      <c r="O1231" s="1" t="s">
        <v>29</v>
      </c>
      <c r="P1231">
        <v>2.8</v>
      </c>
      <c r="Q1231" s="1" t="s">
        <v>118</v>
      </c>
      <c r="R1231" s="1" t="str">
        <f>_xlfn.CONCAT(laptop[[#This Row],[CPU_company]]," ",laptop[[#This Row],[CPU_model]])</f>
        <v>Intel Core i7 7700HQ</v>
      </c>
      <c r="S1231">
        <v>128</v>
      </c>
      <c r="T1231">
        <v>1024</v>
      </c>
      <c r="U1231">
        <f>laptop[[#This Row],[PrimaryStorage]]+laptop[[#This Row],[SecondaryStorage]]</f>
        <v>1152</v>
      </c>
      <c r="V1231" s="1" t="s">
        <v>31</v>
      </c>
      <c r="W1231" s="1" t="s">
        <v>51</v>
      </c>
      <c r="X1231" s="1" t="str">
        <f>IF(laptop[[#This Row],[PrimaryStorageType]]=laptop[[#This Row],[SecondaryStorageType]],laptop[[#This Row],[PrimaryStorageType]],"SSD &amp; HDD")</f>
        <v>SSD &amp; HDD</v>
      </c>
      <c r="Y1231" s="1" t="s">
        <v>85</v>
      </c>
    </row>
    <row r="1232" spans="1:25" x14ac:dyDescent="0.25">
      <c r="A1232" s="1" t="s">
        <v>73</v>
      </c>
      <c r="B1232" s="1" t="s">
        <v>190</v>
      </c>
      <c r="C1232" s="1" t="s">
        <v>79</v>
      </c>
      <c r="D1232">
        <v>12.5</v>
      </c>
      <c r="E1232">
        <v>16</v>
      </c>
      <c r="F1232" s="1" t="s">
        <v>48</v>
      </c>
      <c r="G1232">
        <v>1.3</v>
      </c>
      <c r="H1232">
        <v>1650</v>
      </c>
      <c r="I1232" s="1" t="s">
        <v>40</v>
      </c>
      <c r="J1232">
        <v>1920</v>
      </c>
      <c r="K1232">
        <v>1080</v>
      </c>
      <c r="L1232" s="1" t="s">
        <v>28</v>
      </c>
      <c r="M1232" s="1" t="s">
        <v>28</v>
      </c>
      <c r="N1232" s="1" t="s">
        <v>27</v>
      </c>
      <c r="O1232" s="1" t="s">
        <v>29</v>
      </c>
      <c r="P1232">
        <v>2.5</v>
      </c>
      <c r="Q1232" s="1" t="s">
        <v>274</v>
      </c>
      <c r="R1232" s="1" t="str">
        <f>_xlfn.CONCAT(laptop[[#This Row],[CPU_company]]," ",laptop[[#This Row],[CPU_model]])</f>
        <v>Intel Core i7 6500U</v>
      </c>
      <c r="S1232">
        <v>512</v>
      </c>
      <c r="T1232">
        <v>0</v>
      </c>
      <c r="U1232">
        <f>laptop[[#This Row],[PrimaryStorage]]+laptop[[#This Row],[SecondaryStorage]]</f>
        <v>512</v>
      </c>
      <c r="V1232" s="1" t="s">
        <v>31</v>
      </c>
      <c r="W1232" s="1" t="s">
        <v>27</v>
      </c>
      <c r="X1232" s="1" t="str">
        <f>IF(laptop[[#This Row],[PrimaryStorageType]]=laptop[[#This Row],[SecondaryStorageType]],laptop[[#This Row],[PrimaryStorageType]],"SSD &amp; HDD")</f>
        <v>SSD &amp; HDD</v>
      </c>
      <c r="Y1232" s="1" t="s">
        <v>63</v>
      </c>
    </row>
    <row r="1233" spans="1:25" x14ac:dyDescent="0.25">
      <c r="A1233" s="1" t="s">
        <v>256</v>
      </c>
      <c r="B1233" s="1" t="s">
        <v>257</v>
      </c>
      <c r="C1233" s="1" t="s">
        <v>83</v>
      </c>
      <c r="D1233">
        <v>14</v>
      </c>
      <c r="E1233">
        <v>16</v>
      </c>
      <c r="F1233" s="1" t="s">
        <v>48</v>
      </c>
      <c r="G1233">
        <v>1.95</v>
      </c>
      <c r="H1233">
        <v>3499</v>
      </c>
      <c r="I1233" s="1" t="s">
        <v>40</v>
      </c>
      <c r="J1233">
        <v>1920</v>
      </c>
      <c r="K1233">
        <v>1080</v>
      </c>
      <c r="L1233" s="1" t="s">
        <v>27</v>
      </c>
      <c r="M1233" s="1" t="s">
        <v>27</v>
      </c>
      <c r="N1233" s="1" t="s">
        <v>27</v>
      </c>
      <c r="O1233" s="1" t="s">
        <v>29</v>
      </c>
      <c r="P1233">
        <v>2.8</v>
      </c>
      <c r="Q1233" s="1" t="s">
        <v>118</v>
      </c>
      <c r="R1233" s="1" t="str">
        <f>_xlfn.CONCAT(laptop[[#This Row],[CPU_company]]," ",laptop[[#This Row],[CPU_model]])</f>
        <v>Intel Core i7 7700HQ</v>
      </c>
      <c r="S1233">
        <v>1024</v>
      </c>
      <c r="T1233">
        <v>0</v>
      </c>
      <c r="U1233">
        <f>laptop[[#This Row],[PrimaryStorage]]+laptop[[#This Row],[SecondaryStorage]]</f>
        <v>1024</v>
      </c>
      <c r="V1233" s="1" t="s">
        <v>31</v>
      </c>
      <c r="W1233" s="1" t="s">
        <v>27</v>
      </c>
      <c r="X1233" s="1" t="str">
        <f>IF(laptop[[#This Row],[PrimaryStorageType]]=laptop[[#This Row],[SecondaryStorageType]],laptop[[#This Row],[PrimaryStorageType]],"SSD &amp; HDD")</f>
        <v>SSD &amp; HDD</v>
      </c>
      <c r="Y1233" s="1" t="s">
        <v>119</v>
      </c>
    </row>
    <row r="1234" spans="1:25" x14ac:dyDescent="0.25">
      <c r="A1234" s="1" t="s">
        <v>65</v>
      </c>
      <c r="B1234" s="1" t="s">
        <v>66</v>
      </c>
      <c r="C1234" s="1" t="s">
        <v>38</v>
      </c>
      <c r="D1234">
        <v>15.6</v>
      </c>
      <c r="E1234">
        <v>8</v>
      </c>
      <c r="F1234" s="1" t="s">
        <v>48</v>
      </c>
      <c r="G1234">
        <v>2.2999999999999998</v>
      </c>
      <c r="H1234">
        <v>469.01</v>
      </c>
      <c r="I1234" s="1" t="s">
        <v>26</v>
      </c>
      <c r="J1234">
        <v>1366</v>
      </c>
      <c r="K1234">
        <v>768</v>
      </c>
      <c r="L1234" s="1" t="s">
        <v>28</v>
      </c>
      <c r="M1234" s="1" t="s">
        <v>27</v>
      </c>
      <c r="N1234" s="1" t="s">
        <v>27</v>
      </c>
      <c r="O1234" s="1" t="s">
        <v>29</v>
      </c>
      <c r="P1234">
        <v>2.4</v>
      </c>
      <c r="Q1234" s="1" t="s">
        <v>75</v>
      </c>
      <c r="R1234" s="1" t="str">
        <f>_xlfn.CONCAT(laptop[[#This Row],[CPU_company]]," ",laptop[[#This Row],[CPU_model]])</f>
        <v>Intel Core i3 7100U</v>
      </c>
      <c r="S1234">
        <v>1024</v>
      </c>
      <c r="T1234">
        <v>0</v>
      </c>
      <c r="U1234">
        <f>laptop[[#This Row],[PrimaryStorage]]+laptop[[#This Row],[SecondaryStorage]]</f>
        <v>1024</v>
      </c>
      <c r="V1234" s="1" t="s">
        <v>51</v>
      </c>
      <c r="W1234" s="1" t="s">
        <v>27</v>
      </c>
      <c r="X1234" s="1" t="str">
        <f>IF(laptop[[#This Row],[PrimaryStorageType]]=laptop[[#This Row],[SecondaryStorageType]],laptop[[#This Row],[PrimaryStorageType]],"SSD &amp; HDD")</f>
        <v>SSD &amp; HDD</v>
      </c>
      <c r="Y1234" s="1" t="s">
        <v>42</v>
      </c>
    </row>
    <row r="1235" spans="1:25" x14ac:dyDescent="0.25">
      <c r="A1235" s="1" t="s">
        <v>141</v>
      </c>
      <c r="B1235" s="1" t="s">
        <v>865</v>
      </c>
      <c r="C1235" s="1" t="s">
        <v>83</v>
      </c>
      <c r="D1235">
        <v>17.3</v>
      </c>
      <c r="E1235">
        <v>16</v>
      </c>
      <c r="F1235" s="1" t="s">
        <v>48</v>
      </c>
      <c r="G1235">
        <v>2.7</v>
      </c>
      <c r="H1235">
        <v>1598</v>
      </c>
      <c r="I1235" s="1" t="s">
        <v>40</v>
      </c>
      <c r="J1235">
        <v>1920</v>
      </c>
      <c r="K1235">
        <v>1080</v>
      </c>
      <c r="L1235" s="1" t="s">
        <v>27</v>
      </c>
      <c r="M1235" s="1" t="s">
        <v>27</v>
      </c>
      <c r="N1235" s="1" t="s">
        <v>27</v>
      </c>
      <c r="O1235" s="1" t="s">
        <v>29</v>
      </c>
      <c r="P1235">
        <v>2.8</v>
      </c>
      <c r="Q1235" s="1" t="s">
        <v>118</v>
      </c>
      <c r="R1235" s="1" t="str">
        <f>_xlfn.CONCAT(laptop[[#This Row],[CPU_company]]," ",laptop[[#This Row],[CPU_model]])</f>
        <v>Intel Core i7 7700HQ</v>
      </c>
      <c r="S1235">
        <v>256</v>
      </c>
      <c r="T1235">
        <v>1024</v>
      </c>
      <c r="U1235">
        <f>laptop[[#This Row],[PrimaryStorage]]+laptop[[#This Row],[SecondaryStorage]]</f>
        <v>1280</v>
      </c>
      <c r="V1235" s="1" t="s">
        <v>31</v>
      </c>
      <c r="W1235" s="1" t="s">
        <v>51</v>
      </c>
      <c r="X1235" s="1" t="str">
        <f>IF(laptop[[#This Row],[PrimaryStorageType]]=laptop[[#This Row],[SecondaryStorageType]],laptop[[#This Row],[PrimaryStorageType]],"SSD &amp; HDD")</f>
        <v>SSD &amp; HDD</v>
      </c>
      <c r="Y1235" s="1" t="s">
        <v>119</v>
      </c>
    </row>
    <row r="1236" spans="1:25" x14ac:dyDescent="0.25">
      <c r="A1236" s="1" t="s">
        <v>22</v>
      </c>
      <c r="B1236" s="1" t="s">
        <v>92</v>
      </c>
      <c r="C1236" s="1" t="s">
        <v>24</v>
      </c>
      <c r="D1236">
        <v>11.6</v>
      </c>
      <c r="E1236">
        <v>4</v>
      </c>
      <c r="F1236" s="1" t="s">
        <v>53</v>
      </c>
      <c r="G1236">
        <v>1.08</v>
      </c>
      <c r="H1236">
        <v>959</v>
      </c>
      <c r="I1236" s="1" t="s">
        <v>26</v>
      </c>
      <c r="J1236">
        <v>1366</v>
      </c>
      <c r="K1236">
        <v>768</v>
      </c>
      <c r="L1236" s="1" t="s">
        <v>27</v>
      </c>
      <c r="M1236" s="1" t="s">
        <v>27</v>
      </c>
      <c r="N1236" s="1" t="s">
        <v>27</v>
      </c>
      <c r="O1236" s="1" t="s">
        <v>29</v>
      </c>
      <c r="P1236">
        <v>1.6</v>
      </c>
      <c r="Q1236" s="1" t="s">
        <v>30</v>
      </c>
      <c r="R1236" s="1" t="str">
        <f>_xlfn.CONCAT(laptop[[#This Row],[CPU_company]]," ",laptop[[#This Row],[CPU_model]])</f>
        <v>Intel Core i5</v>
      </c>
      <c r="S1236">
        <v>256</v>
      </c>
      <c r="T1236">
        <v>0</v>
      </c>
      <c r="U1236">
        <f>laptop[[#This Row],[PrimaryStorage]]+laptop[[#This Row],[SecondaryStorage]]</f>
        <v>256</v>
      </c>
      <c r="V1236" s="1" t="s">
        <v>34</v>
      </c>
      <c r="W1236" s="1" t="s">
        <v>27</v>
      </c>
      <c r="X1236" s="1" t="str">
        <f>IF(laptop[[#This Row],[PrimaryStorageType]]=laptop[[#This Row],[SecondaryStorageType]],laptop[[#This Row],[PrimaryStorageType]],"SSD &amp; HDD")</f>
        <v>SSD &amp; HDD</v>
      </c>
      <c r="Y1236" s="1" t="s">
        <v>35</v>
      </c>
    </row>
    <row r="1237" spans="1:25" x14ac:dyDescent="0.25">
      <c r="A1237" s="1" t="s">
        <v>36</v>
      </c>
      <c r="B1237" s="1" t="s">
        <v>866</v>
      </c>
      <c r="C1237" s="1" t="s">
        <v>38</v>
      </c>
      <c r="D1237">
        <v>15.6</v>
      </c>
      <c r="E1237">
        <v>4</v>
      </c>
      <c r="F1237" s="1" t="s">
        <v>48</v>
      </c>
      <c r="G1237">
        <v>2.1</v>
      </c>
      <c r="H1237">
        <v>478</v>
      </c>
      <c r="I1237" s="1" t="s">
        <v>40</v>
      </c>
      <c r="J1237">
        <v>1920</v>
      </c>
      <c r="K1237">
        <v>1080</v>
      </c>
      <c r="L1237" s="1" t="s">
        <v>27</v>
      </c>
      <c r="M1237" s="1" t="s">
        <v>27</v>
      </c>
      <c r="N1237" s="1" t="s">
        <v>27</v>
      </c>
      <c r="O1237" s="1" t="s">
        <v>29</v>
      </c>
      <c r="P1237">
        <v>2</v>
      </c>
      <c r="Q1237" s="1" t="s">
        <v>62</v>
      </c>
      <c r="R1237" s="1" t="str">
        <f>_xlfn.CONCAT(laptop[[#This Row],[CPU_company]]," ",laptop[[#This Row],[CPU_model]])</f>
        <v>Intel Core i3 6006U</v>
      </c>
      <c r="S1237">
        <v>1024</v>
      </c>
      <c r="T1237">
        <v>0</v>
      </c>
      <c r="U1237">
        <f>laptop[[#This Row],[PrimaryStorage]]+laptop[[#This Row],[SecondaryStorage]]</f>
        <v>1024</v>
      </c>
      <c r="V1237" s="1" t="s">
        <v>51</v>
      </c>
      <c r="W1237" s="1" t="s">
        <v>27</v>
      </c>
      <c r="X1237" s="1" t="str">
        <f>IF(laptop[[#This Row],[PrimaryStorageType]]=laptop[[#This Row],[SecondaryStorageType]],laptop[[#This Row],[PrimaryStorageType]],"SSD &amp; HDD")</f>
        <v>SSD &amp; HDD</v>
      </c>
      <c r="Y1237" s="1" t="s">
        <v>63</v>
      </c>
    </row>
    <row r="1238" spans="1:25" x14ac:dyDescent="0.25">
      <c r="A1238" s="1" t="s">
        <v>36</v>
      </c>
      <c r="B1238" s="1" t="s">
        <v>226</v>
      </c>
      <c r="C1238" s="1" t="s">
        <v>24</v>
      </c>
      <c r="D1238">
        <v>14</v>
      </c>
      <c r="E1238">
        <v>8</v>
      </c>
      <c r="F1238" s="1" t="s">
        <v>480</v>
      </c>
      <c r="G1238">
        <v>1.54</v>
      </c>
      <c r="H1238">
        <v>2198.19</v>
      </c>
      <c r="I1238" s="1" t="s">
        <v>26</v>
      </c>
      <c r="J1238">
        <v>2560</v>
      </c>
      <c r="K1238">
        <v>1440</v>
      </c>
      <c r="L1238" s="1" t="s">
        <v>27</v>
      </c>
      <c r="M1238" s="1" t="s">
        <v>27</v>
      </c>
      <c r="N1238" s="1" t="s">
        <v>27</v>
      </c>
      <c r="O1238" s="1" t="s">
        <v>29</v>
      </c>
      <c r="P1238">
        <v>2.5</v>
      </c>
      <c r="Q1238" s="1" t="s">
        <v>274</v>
      </c>
      <c r="R1238" s="1" t="str">
        <f>_xlfn.CONCAT(laptop[[#This Row],[CPU_company]]," ",laptop[[#This Row],[CPU_model]])</f>
        <v>Intel Core i7 6500U</v>
      </c>
      <c r="S1238">
        <v>256</v>
      </c>
      <c r="T1238">
        <v>0</v>
      </c>
      <c r="U1238">
        <f>laptop[[#This Row],[PrimaryStorage]]+laptop[[#This Row],[SecondaryStorage]]</f>
        <v>256</v>
      </c>
      <c r="V1238" s="1" t="s">
        <v>31</v>
      </c>
      <c r="W1238" s="1" t="s">
        <v>27</v>
      </c>
      <c r="X1238" s="1" t="str">
        <f>IF(laptop[[#This Row],[PrimaryStorageType]]=laptop[[#This Row],[SecondaryStorageType]],laptop[[#This Row],[PrimaryStorageType]],"SSD &amp; HDD")</f>
        <v>SSD &amp; HDD</v>
      </c>
      <c r="Y1238" s="1" t="s">
        <v>63</v>
      </c>
    </row>
    <row r="1239" spans="1:25" x14ac:dyDescent="0.25">
      <c r="A1239" s="1" t="s">
        <v>65</v>
      </c>
      <c r="B1239" s="1" t="s">
        <v>806</v>
      </c>
      <c r="C1239" s="1" t="s">
        <v>38</v>
      </c>
      <c r="D1239">
        <v>15.6</v>
      </c>
      <c r="E1239">
        <v>4</v>
      </c>
      <c r="F1239" s="1" t="s">
        <v>480</v>
      </c>
      <c r="G1239">
        <v>2.2400000000000002</v>
      </c>
      <c r="H1239">
        <v>737</v>
      </c>
      <c r="I1239" s="1" t="s">
        <v>26</v>
      </c>
      <c r="J1239">
        <v>1366</v>
      </c>
      <c r="K1239">
        <v>768</v>
      </c>
      <c r="L1239" s="1" t="s">
        <v>27</v>
      </c>
      <c r="M1239" s="1" t="s">
        <v>27</v>
      </c>
      <c r="N1239" s="1" t="s">
        <v>27</v>
      </c>
      <c r="O1239" s="1" t="s">
        <v>29</v>
      </c>
      <c r="P1239">
        <v>2.2999999999999998</v>
      </c>
      <c r="Q1239" s="1" t="s">
        <v>212</v>
      </c>
      <c r="R1239" s="1" t="str">
        <f>_xlfn.CONCAT(laptop[[#This Row],[CPU_company]]," ",laptop[[#This Row],[CPU_model]])</f>
        <v>Intel Core i5 6200U</v>
      </c>
      <c r="S1239">
        <v>500</v>
      </c>
      <c r="T1239">
        <v>0</v>
      </c>
      <c r="U1239">
        <f>laptop[[#This Row],[PrimaryStorage]]+laptop[[#This Row],[SecondaryStorage]]</f>
        <v>500</v>
      </c>
      <c r="V1239" s="1" t="s">
        <v>51</v>
      </c>
      <c r="W1239" s="1" t="s">
        <v>27</v>
      </c>
      <c r="X1239" s="1" t="str">
        <f>IF(laptop[[#This Row],[PrimaryStorageType]]=laptop[[#This Row],[SecondaryStorageType]],laptop[[#This Row],[PrimaryStorageType]],"SSD &amp; HDD")</f>
        <v>SSD &amp; HDD</v>
      </c>
      <c r="Y1239" s="1" t="s">
        <v>63</v>
      </c>
    </row>
    <row r="1240" spans="1:25" x14ac:dyDescent="0.25">
      <c r="A1240" s="1" t="s">
        <v>141</v>
      </c>
      <c r="B1240" s="1" t="s">
        <v>867</v>
      </c>
      <c r="C1240" s="1" t="s">
        <v>83</v>
      </c>
      <c r="D1240">
        <v>15.6</v>
      </c>
      <c r="E1240">
        <v>8</v>
      </c>
      <c r="F1240" s="1" t="s">
        <v>48</v>
      </c>
      <c r="G1240">
        <v>2.2999999999999998</v>
      </c>
      <c r="H1240">
        <v>1169</v>
      </c>
      <c r="I1240" s="1" t="s">
        <v>40</v>
      </c>
      <c r="J1240">
        <v>1920</v>
      </c>
      <c r="K1240">
        <v>1080</v>
      </c>
      <c r="L1240" s="1" t="s">
        <v>27</v>
      </c>
      <c r="M1240" s="1" t="s">
        <v>27</v>
      </c>
      <c r="N1240" s="1" t="s">
        <v>27</v>
      </c>
      <c r="O1240" s="1" t="s">
        <v>29</v>
      </c>
      <c r="P1240">
        <v>2.6</v>
      </c>
      <c r="Q1240" s="1" t="s">
        <v>447</v>
      </c>
      <c r="R1240" s="1" t="str">
        <f>_xlfn.CONCAT(laptop[[#This Row],[CPU_company]]," ",laptop[[#This Row],[CPU_model]])</f>
        <v>Intel Core i7 6700HQ</v>
      </c>
      <c r="S1240">
        <v>128</v>
      </c>
      <c r="T1240">
        <v>1024</v>
      </c>
      <c r="U1240">
        <f>laptop[[#This Row],[PrimaryStorage]]+laptop[[#This Row],[SecondaryStorage]]</f>
        <v>1152</v>
      </c>
      <c r="V1240" s="1" t="s">
        <v>31</v>
      </c>
      <c r="W1240" s="1" t="s">
        <v>51</v>
      </c>
      <c r="X1240" s="1" t="str">
        <f>IF(laptop[[#This Row],[PrimaryStorageType]]=laptop[[#This Row],[SecondaryStorageType]],laptop[[#This Row],[PrimaryStorageType]],"SSD &amp; HDD")</f>
        <v>SSD &amp; HDD</v>
      </c>
      <c r="Y1240" s="1" t="s">
        <v>483</v>
      </c>
    </row>
    <row r="1241" spans="1:25" x14ac:dyDescent="0.25">
      <c r="A1241" s="1" t="s">
        <v>73</v>
      </c>
      <c r="B1241" s="1" t="s">
        <v>341</v>
      </c>
      <c r="C1241" s="1" t="s">
        <v>38</v>
      </c>
      <c r="D1241">
        <v>13.3</v>
      </c>
      <c r="E1241">
        <v>16</v>
      </c>
      <c r="F1241" s="1" t="s">
        <v>48</v>
      </c>
      <c r="G1241">
        <v>1.4</v>
      </c>
      <c r="H1241">
        <v>1499</v>
      </c>
      <c r="I1241" s="1" t="s">
        <v>40</v>
      </c>
      <c r="J1241">
        <v>1920</v>
      </c>
      <c r="K1241">
        <v>1080</v>
      </c>
      <c r="L1241" s="1" t="s">
        <v>27</v>
      </c>
      <c r="M1241" s="1" t="s">
        <v>28</v>
      </c>
      <c r="N1241" s="1" t="s">
        <v>27</v>
      </c>
      <c r="O1241" s="1" t="s">
        <v>29</v>
      </c>
      <c r="P1241">
        <v>2.7</v>
      </c>
      <c r="Q1241" s="1" t="s">
        <v>71</v>
      </c>
      <c r="R1241" s="1" t="str">
        <f>_xlfn.CONCAT(laptop[[#This Row],[CPU_company]]," ",laptop[[#This Row],[CPU_model]])</f>
        <v>Intel Core i7 7500U</v>
      </c>
      <c r="S1241">
        <v>512</v>
      </c>
      <c r="T1241">
        <v>0</v>
      </c>
      <c r="U1241">
        <f>laptop[[#This Row],[PrimaryStorage]]+laptop[[#This Row],[SecondaryStorage]]</f>
        <v>512</v>
      </c>
      <c r="V1241" s="1" t="s">
        <v>31</v>
      </c>
      <c r="W1241" s="1" t="s">
        <v>27</v>
      </c>
      <c r="X1241" s="1" t="str">
        <f>IF(laptop[[#This Row],[PrimaryStorageType]]=laptop[[#This Row],[SecondaryStorageType]],laptop[[#This Row],[PrimaryStorageType]],"SSD &amp; HDD")</f>
        <v>SSD &amp; HDD</v>
      </c>
      <c r="Y1241" s="1" t="s">
        <v>42</v>
      </c>
    </row>
    <row r="1242" spans="1:25" x14ac:dyDescent="0.25">
      <c r="A1242" s="1" t="s">
        <v>73</v>
      </c>
      <c r="B1242" s="1" t="s">
        <v>362</v>
      </c>
      <c r="C1242" s="1" t="s">
        <v>38</v>
      </c>
      <c r="D1242">
        <v>15.6</v>
      </c>
      <c r="E1242">
        <v>6</v>
      </c>
      <c r="F1242" s="1" t="s">
        <v>48</v>
      </c>
      <c r="G1242">
        <v>2.2000000000000002</v>
      </c>
      <c r="H1242">
        <v>597.57000000000005</v>
      </c>
      <c r="I1242" s="1" t="s">
        <v>40</v>
      </c>
      <c r="J1242">
        <v>1920</v>
      </c>
      <c r="K1242">
        <v>1080</v>
      </c>
      <c r="L1242" s="1" t="s">
        <v>27</v>
      </c>
      <c r="M1242" s="1" t="s">
        <v>27</v>
      </c>
      <c r="N1242" s="1" t="s">
        <v>27</v>
      </c>
      <c r="O1242" s="1" t="s">
        <v>49</v>
      </c>
      <c r="P1242">
        <v>3.6</v>
      </c>
      <c r="Q1242" s="1" t="s">
        <v>350</v>
      </c>
      <c r="R1242" s="1" t="str">
        <f>_xlfn.CONCAT(laptop[[#This Row],[CPU_company]]," ",laptop[[#This Row],[CPU_model]])</f>
        <v>AMD A12-Series 9720P</v>
      </c>
      <c r="S1242">
        <v>256</v>
      </c>
      <c r="T1242">
        <v>0</v>
      </c>
      <c r="U1242">
        <f>laptop[[#This Row],[PrimaryStorage]]+laptop[[#This Row],[SecondaryStorage]]</f>
        <v>256</v>
      </c>
      <c r="V1242" s="1" t="s">
        <v>31</v>
      </c>
      <c r="W1242" s="1" t="s">
        <v>27</v>
      </c>
      <c r="X1242" s="1" t="str">
        <f>IF(laptop[[#This Row],[PrimaryStorageType]]=laptop[[#This Row],[SecondaryStorageType]],laptop[[#This Row],[PrimaryStorageType]],"SSD &amp; HDD")</f>
        <v>SSD &amp; HDD</v>
      </c>
      <c r="Y1242" s="1" t="s">
        <v>94</v>
      </c>
    </row>
    <row r="1243" spans="1:25" x14ac:dyDescent="0.25">
      <c r="A1243" s="1" t="s">
        <v>55</v>
      </c>
      <c r="B1243" s="1" t="s">
        <v>868</v>
      </c>
      <c r="C1243" s="1" t="s">
        <v>24</v>
      </c>
      <c r="D1243">
        <v>13.3</v>
      </c>
      <c r="E1243">
        <v>8</v>
      </c>
      <c r="F1243" s="1" t="s">
        <v>48</v>
      </c>
      <c r="G1243">
        <v>1.45</v>
      </c>
      <c r="H1243">
        <v>1280</v>
      </c>
      <c r="I1243" s="1" t="s">
        <v>40</v>
      </c>
      <c r="J1243">
        <v>1920</v>
      </c>
      <c r="K1243">
        <v>1080</v>
      </c>
      <c r="L1243" s="1" t="s">
        <v>27</v>
      </c>
      <c r="M1243" s="1" t="s">
        <v>27</v>
      </c>
      <c r="N1243" s="1" t="s">
        <v>27</v>
      </c>
      <c r="O1243" s="1" t="s">
        <v>29</v>
      </c>
      <c r="P1243">
        <v>2.5</v>
      </c>
      <c r="Q1243" s="1" t="s">
        <v>274</v>
      </c>
      <c r="R1243" s="1" t="str">
        <f>_xlfn.CONCAT(laptop[[#This Row],[CPU_company]]," ",laptop[[#This Row],[CPU_model]])</f>
        <v>Intel Core i7 6500U</v>
      </c>
      <c r="S1243">
        <v>256</v>
      </c>
      <c r="T1243">
        <v>0</v>
      </c>
      <c r="U1243">
        <f>laptop[[#This Row],[PrimaryStorage]]+laptop[[#This Row],[SecondaryStorage]]</f>
        <v>256</v>
      </c>
      <c r="V1243" s="1" t="s">
        <v>31</v>
      </c>
      <c r="W1243" s="1" t="s">
        <v>27</v>
      </c>
      <c r="X1243" s="1" t="str">
        <f>IF(laptop[[#This Row],[PrimaryStorageType]]=laptop[[#This Row],[SecondaryStorageType]],laptop[[#This Row],[PrimaryStorageType]],"SSD &amp; HDD")</f>
        <v>SSD &amp; HDD</v>
      </c>
      <c r="Y1243" s="1" t="s">
        <v>63</v>
      </c>
    </row>
    <row r="1244" spans="1:25" x14ac:dyDescent="0.25">
      <c r="A1244" s="1" t="s">
        <v>46</v>
      </c>
      <c r="B1244" s="1" t="s">
        <v>429</v>
      </c>
      <c r="C1244" s="1" t="s">
        <v>38</v>
      </c>
      <c r="D1244">
        <v>15.6</v>
      </c>
      <c r="E1244">
        <v>4</v>
      </c>
      <c r="F1244" s="1" t="s">
        <v>111</v>
      </c>
      <c r="G1244">
        <v>2.4</v>
      </c>
      <c r="H1244">
        <v>361.8</v>
      </c>
      <c r="I1244" s="1" t="s">
        <v>26</v>
      </c>
      <c r="J1244">
        <v>1366</v>
      </c>
      <c r="K1244">
        <v>768</v>
      </c>
      <c r="L1244" s="1" t="s">
        <v>27</v>
      </c>
      <c r="M1244" s="1" t="s">
        <v>27</v>
      </c>
      <c r="N1244" s="1" t="s">
        <v>27</v>
      </c>
      <c r="O1244" s="1" t="s">
        <v>29</v>
      </c>
      <c r="P1244">
        <v>2</v>
      </c>
      <c r="Q1244" s="1" t="s">
        <v>62</v>
      </c>
      <c r="R1244" s="1" t="str">
        <f>_xlfn.CONCAT(laptop[[#This Row],[CPU_company]]," ",laptop[[#This Row],[CPU_model]])</f>
        <v>Intel Core i3 6006U</v>
      </c>
      <c r="S1244">
        <v>500</v>
      </c>
      <c r="T1244">
        <v>0</v>
      </c>
      <c r="U1244">
        <f>laptop[[#This Row],[PrimaryStorage]]+laptop[[#This Row],[SecondaryStorage]]</f>
        <v>500</v>
      </c>
      <c r="V1244" s="1" t="s">
        <v>51</v>
      </c>
      <c r="W1244" s="1" t="s">
        <v>27</v>
      </c>
      <c r="X1244" s="1" t="str">
        <f>IF(laptop[[#This Row],[PrimaryStorageType]]=laptop[[#This Row],[SecondaryStorageType]],laptop[[#This Row],[PrimaryStorageType]],"SSD &amp; HDD")</f>
        <v>SSD &amp; HDD</v>
      </c>
      <c r="Y1244" s="1" t="s">
        <v>63</v>
      </c>
    </row>
    <row r="1245" spans="1:25" x14ac:dyDescent="0.25">
      <c r="A1245" s="1" t="s">
        <v>65</v>
      </c>
      <c r="B1245" s="1" t="s">
        <v>869</v>
      </c>
      <c r="C1245" s="1" t="s">
        <v>90</v>
      </c>
      <c r="D1245">
        <v>17.3</v>
      </c>
      <c r="E1245">
        <v>16</v>
      </c>
      <c r="F1245" s="1" t="s">
        <v>48</v>
      </c>
      <c r="G1245">
        <v>2.77</v>
      </c>
      <c r="H1245">
        <v>1799</v>
      </c>
      <c r="I1245" s="1" t="s">
        <v>40</v>
      </c>
      <c r="J1245">
        <v>1920</v>
      </c>
      <c r="K1245">
        <v>1080</v>
      </c>
      <c r="L1245" s="1" t="s">
        <v>28</v>
      </c>
      <c r="M1245" s="1" t="s">
        <v>27</v>
      </c>
      <c r="N1245" s="1" t="s">
        <v>27</v>
      </c>
      <c r="O1245" s="1" t="s">
        <v>29</v>
      </c>
      <c r="P1245">
        <v>2.7</v>
      </c>
      <c r="Q1245" s="1" t="s">
        <v>71</v>
      </c>
      <c r="R1245" s="1" t="str">
        <f>_xlfn.CONCAT(laptop[[#This Row],[CPU_company]]," ",laptop[[#This Row],[CPU_model]])</f>
        <v>Intel Core i7 7500U</v>
      </c>
      <c r="S1245">
        <v>512</v>
      </c>
      <c r="T1245">
        <v>0</v>
      </c>
      <c r="U1245">
        <f>laptop[[#This Row],[PrimaryStorage]]+laptop[[#This Row],[SecondaryStorage]]</f>
        <v>512</v>
      </c>
      <c r="V1245" s="1" t="s">
        <v>31</v>
      </c>
      <c r="W1245" s="1" t="s">
        <v>27</v>
      </c>
      <c r="X1245" s="1" t="str">
        <f>IF(laptop[[#This Row],[PrimaryStorageType]]=laptop[[#This Row],[SecondaryStorageType]],laptop[[#This Row],[PrimaryStorageType]],"SSD &amp; HDD")</f>
        <v>SSD &amp; HDD</v>
      </c>
      <c r="Y1245" s="1" t="s">
        <v>76</v>
      </c>
    </row>
    <row r="1246" spans="1:25" x14ac:dyDescent="0.25">
      <c r="A1246" s="1" t="s">
        <v>36</v>
      </c>
      <c r="B1246" s="1" t="s">
        <v>226</v>
      </c>
      <c r="C1246" s="1" t="s">
        <v>38</v>
      </c>
      <c r="D1246">
        <v>14</v>
      </c>
      <c r="E1246">
        <v>4</v>
      </c>
      <c r="F1246" s="1" t="s">
        <v>480</v>
      </c>
      <c r="G1246">
        <v>1.54</v>
      </c>
      <c r="H1246">
        <v>1099.99</v>
      </c>
      <c r="I1246" s="1" t="s">
        <v>40</v>
      </c>
      <c r="J1246">
        <v>1920</v>
      </c>
      <c r="K1246">
        <v>1080</v>
      </c>
      <c r="L1246" s="1" t="s">
        <v>27</v>
      </c>
      <c r="M1246" s="1" t="s">
        <v>27</v>
      </c>
      <c r="N1246" s="1" t="s">
        <v>27</v>
      </c>
      <c r="O1246" s="1" t="s">
        <v>29</v>
      </c>
      <c r="P1246">
        <v>2.2999999999999998</v>
      </c>
      <c r="Q1246" s="1" t="s">
        <v>212</v>
      </c>
      <c r="R1246" s="1" t="str">
        <f>_xlfn.CONCAT(laptop[[#This Row],[CPU_company]]," ",laptop[[#This Row],[CPU_model]])</f>
        <v>Intel Core i5 6200U</v>
      </c>
      <c r="S1246">
        <v>256</v>
      </c>
      <c r="T1246">
        <v>0</v>
      </c>
      <c r="U1246">
        <f>laptop[[#This Row],[PrimaryStorage]]+laptop[[#This Row],[SecondaryStorage]]</f>
        <v>256</v>
      </c>
      <c r="V1246" s="1" t="s">
        <v>31</v>
      </c>
      <c r="W1246" s="1" t="s">
        <v>27</v>
      </c>
      <c r="X1246" s="1" t="str">
        <f>IF(laptop[[#This Row],[PrimaryStorageType]]=laptop[[#This Row],[SecondaryStorageType]],laptop[[#This Row],[PrimaryStorageType]],"SSD &amp; HDD")</f>
        <v>SSD &amp; HDD</v>
      </c>
      <c r="Y1246" s="1" t="s">
        <v>63</v>
      </c>
    </row>
    <row r="1247" spans="1:25" x14ac:dyDescent="0.25">
      <c r="A1247" s="1" t="s">
        <v>55</v>
      </c>
      <c r="B1247" s="1" t="s">
        <v>870</v>
      </c>
      <c r="C1247" s="1" t="s">
        <v>83</v>
      </c>
      <c r="D1247">
        <v>15.6</v>
      </c>
      <c r="E1247">
        <v>16</v>
      </c>
      <c r="F1247" s="1" t="s">
        <v>48</v>
      </c>
      <c r="G1247">
        <v>2.5</v>
      </c>
      <c r="H1247">
        <v>1600</v>
      </c>
      <c r="I1247" s="1" t="s">
        <v>40</v>
      </c>
      <c r="J1247">
        <v>1920</v>
      </c>
      <c r="K1247">
        <v>1080</v>
      </c>
      <c r="L1247" s="1" t="s">
        <v>27</v>
      </c>
      <c r="M1247" s="1" t="s">
        <v>28</v>
      </c>
      <c r="N1247" s="1" t="s">
        <v>27</v>
      </c>
      <c r="O1247" s="1" t="s">
        <v>29</v>
      </c>
      <c r="P1247">
        <v>2.8</v>
      </c>
      <c r="Q1247" s="1" t="s">
        <v>118</v>
      </c>
      <c r="R1247" s="1" t="str">
        <f>_xlfn.CONCAT(laptop[[#This Row],[CPU_company]]," ",laptop[[#This Row],[CPU_model]])</f>
        <v>Intel Core i7 7700HQ</v>
      </c>
      <c r="S1247">
        <v>256</v>
      </c>
      <c r="T1247">
        <v>1024</v>
      </c>
      <c r="U1247">
        <f>laptop[[#This Row],[PrimaryStorage]]+laptop[[#This Row],[SecondaryStorage]]</f>
        <v>1280</v>
      </c>
      <c r="V1247" s="1" t="s">
        <v>31</v>
      </c>
      <c r="W1247" s="1" t="s">
        <v>51</v>
      </c>
      <c r="X1247" s="1" t="str">
        <f>IF(laptop[[#This Row],[PrimaryStorageType]]=laptop[[#This Row],[SecondaryStorageType]],laptop[[#This Row],[PrimaryStorageType]],"SSD &amp; HDD")</f>
        <v>SSD &amp; HDD</v>
      </c>
      <c r="Y1247" s="1" t="s">
        <v>149</v>
      </c>
    </row>
    <row r="1248" spans="1:25" x14ac:dyDescent="0.25">
      <c r="A1248" s="1" t="s">
        <v>65</v>
      </c>
      <c r="B1248" s="1" t="s">
        <v>409</v>
      </c>
      <c r="C1248" s="1" t="s">
        <v>38</v>
      </c>
      <c r="D1248">
        <v>14</v>
      </c>
      <c r="E1248">
        <v>4</v>
      </c>
      <c r="F1248" s="1" t="s">
        <v>48</v>
      </c>
      <c r="G1248">
        <v>1.6</v>
      </c>
      <c r="H1248">
        <v>875</v>
      </c>
      <c r="I1248" s="1" t="s">
        <v>26</v>
      </c>
      <c r="J1248">
        <v>1366</v>
      </c>
      <c r="K1248">
        <v>768</v>
      </c>
      <c r="L1248" s="1" t="s">
        <v>27</v>
      </c>
      <c r="M1248" s="1" t="s">
        <v>27</v>
      </c>
      <c r="N1248" s="1" t="s">
        <v>27</v>
      </c>
      <c r="O1248" s="1" t="s">
        <v>29</v>
      </c>
      <c r="P1248">
        <v>2.5</v>
      </c>
      <c r="Q1248" s="1" t="s">
        <v>41</v>
      </c>
      <c r="R1248" s="1" t="str">
        <f>_xlfn.CONCAT(laptop[[#This Row],[CPU_company]]," ",laptop[[#This Row],[CPU_model]])</f>
        <v>Intel Core i5 7200U</v>
      </c>
      <c r="S1248">
        <v>500</v>
      </c>
      <c r="T1248">
        <v>0</v>
      </c>
      <c r="U1248">
        <f>laptop[[#This Row],[PrimaryStorage]]+laptop[[#This Row],[SecondaryStorage]]</f>
        <v>500</v>
      </c>
      <c r="V1248" s="1" t="s">
        <v>51</v>
      </c>
      <c r="W1248" s="1" t="s">
        <v>27</v>
      </c>
      <c r="X1248" s="1" t="str">
        <f>IF(laptop[[#This Row],[PrimaryStorageType]]=laptop[[#This Row],[SecondaryStorageType]],laptop[[#This Row],[PrimaryStorageType]],"SSD &amp; HDD")</f>
        <v>SSD &amp; HDD</v>
      </c>
      <c r="Y1248" s="1" t="s">
        <v>42</v>
      </c>
    </row>
    <row r="1249" spans="1:25" x14ac:dyDescent="0.25">
      <c r="A1249" s="1" t="s">
        <v>55</v>
      </c>
      <c r="B1249" s="1" t="s">
        <v>871</v>
      </c>
      <c r="C1249" s="1" t="s">
        <v>83</v>
      </c>
      <c r="D1249">
        <v>15.6</v>
      </c>
      <c r="E1249">
        <v>16</v>
      </c>
      <c r="F1249" s="1" t="s">
        <v>48</v>
      </c>
      <c r="G1249">
        <v>2.34</v>
      </c>
      <c r="H1249">
        <v>2325</v>
      </c>
      <c r="I1249" s="1" t="s">
        <v>40</v>
      </c>
      <c r="J1249">
        <v>1920</v>
      </c>
      <c r="K1249">
        <v>1080</v>
      </c>
      <c r="L1249" s="1" t="s">
        <v>27</v>
      </c>
      <c r="M1249" s="1" t="s">
        <v>28</v>
      </c>
      <c r="N1249" s="1" t="s">
        <v>27</v>
      </c>
      <c r="O1249" s="1" t="s">
        <v>29</v>
      </c>
      <c r="P1249">
        <v>2.6</v>
      </c>
      <c r="Q1249" s="1" t="s">
        <v>447</v>
      </c>
      <c r="R1249" s="1" t="str">
        <f>_xlfn.CONCAT(laptop[[#This Row],[CPU_company]]," ",laptop[[#This Row],[CPU_model]])</f>
        <v>Intel Core i7 6700HQ</v>
      </c>
      <c r="S1249">
        <v>256</v>
      </c>
      <c r="T1249">
        <v>1024</v>
      </c>
      <c r="U1249">
        <f>laptop[[#This Row],[PrimaryStorage]]+laptop[[#This Row],[SecondaryStorage]]</f>
        <v>1280</v>
      </c>
      <c r="V1249" s="1" t="s">
        <v>31</v>
      </c>
      <c r="W1249" s="1" t="s">
        <v>51</v>
      </c>
      <c r="X1249" s="1" t="str">
        <f>IF(laptop[[#This Row],[PrimaryStorageType]]=laptop[[#This Row],[SecondaryStorageType]],laptop[[#This Row],[PrimaryStorageType]],"SSD &amp; HDD")</f>
        <v>SSD &amp; HDD</v>
      </c>
      <c r="Y1249" s="1" t="s">
        <v>143</v>
      </c>
    </row>
    <row r="1250" spans="1:25" x14ac:dyDescent="0.25">
      <c r="A1250" s="1" t="s">
        <v>73</v>
      </c>
      <c r="B1250" s="1" t="s">
        <v>872</v>
      </c>
      <c r="C1250" s="1" t="s">
        <v>38</v>
      </c>
      <c r="D1250">
        <v>15.6</v>
      </c>
      <c r="E1250">
        <v>8</v>
      </c>
      <c r="F1250" s="1" t="s">
        <v>39</v>
      </c>
      <c r="G1250">
        <v>2.2999999999999998</v>
      </c>
      <c r="H1250">
        <v>573</v>
      </c>
      <c r="I1250" s="1" t="s">
        <v>40</v>
      </c>
      <c r="J1250">
        <v>1920</v>
      </c>
      <c r="K1250">
        <v>1080</v>
      </c>
      <c r="L1250" s="1" t="s">
        <v>27</v>
      </c>
      <c r="M1250" s="1" t="s">
        <v>28</v>
      </c>
      <c r="N1250" s="1" t="s">
        <v>27</v>
      </c>
      <c r="O1250" s="1" t="s">
        <v>29</v>
      </c>
      <c r="P1250">
        <v>2.5</v>
      </c>
      <c r="Q1250" s="1" t="s">
        <v>41</v>
      </c>
      <c r="R1250" s="1" t="str">
        <f>_xlfn.CONCAT(laptop[[#This Row],[CPU_company]]," ",laptop[[#This Row],[CPU_model]])</f>
        <v>Intel Core i5 7200U</v>
      </c>
      <c r="S1250">
        <v>256</v>
      </c>
      <c r="T1250">
        <v>0</v>
      </c>
      <c r="U1250">
        <f>laptop[[#This Row],[PrimaryStorage]]+laptop[[#This Row],[SecondaryStorage]]</f>
        <v>256</v>
      </c>
      <c r="V1250" s="1" t="s">
        <v>31</v>
      </c>
      <c r="W1250" s="1" t="s">
        <v>27</v>
      </c>
      <c r="X1250" s="1" t="str">
        <f>IF(laptop[[#This Row],[PrimaryStorageType]]=laptop[[#This Row],[SecondaryStorageType]],laptop[[#This Row],[PrimaryStorageType]],"SSD &amp; HDD")</f>
        <v>SSD &amp; HDD</v>
      </c>
      <c r="Y1250" s="1" t="s">
        <v>42</v>
      </c>
    </row>
    <row r="1251" spans="1:25" x14ac:dyDescent="0.25">
      <c r="A1251" s="1" t="s">
        <v>65</v>
      </c>
      <c r="B1251" s="1" t="s">
        <v>77</v>
      </c>
      <c r="C1251" s="1" t="s">
        <v>90</v>
      </c>
      <c r="D1251">
        <v>13.3</v>
      </c>
      <c r="E1251">
        <v>8</v>
      </c>
      <c r="F1251" s="1" t="s">
        <v>48</v>
      </c>
      <c r="G1251">
        <v>1.24</v>
      </c>
      <c r="H1251">
        <v>1813</v>
      </c>
      <c r="I1251" s="1" t="s">
        <v>107</v>
      </c>
      <c r="J1251">
        <v>3200</v>
      </c>
      <c r="K1251">
        <v>1800</v>
      </c>
      <c r="L1251" s="1" t="s">
        <v>28</v>
      </c>
      <c r="M1251" s="1" t="s">
        <v>27</v>
      </c>
      <c r="N1251" s="1" t="s">
        <v>27</v>
      </c>
      <c r="O1251" s="1" t="s">
        <v>29</v>
      </c>
      <c r="P1251">
        <v>1.2</v>
      </c>
      <c r="Q1251" s="1" t="s">
        <v>251</v>
      </c>
      <c r="R1251" s="1" t="str">
        <f>_xlfn.CONCAT(laptop[[#This Row],[CPU_company]]," ",laptop[[#This Row],[CPU_model]])</f>
        <v>Intel Core i5 7Y54</v>
      </c>
      <c r="S1251">
        <v>256</v>
      </c>
      <c r="T1251">
        <v>0</v>
      </c>
      <c r="U1251">
        <f>laptop[[#This Row],[PrimaryStorage]]+laptop[[#This Row],[SecondaryStorage]]</f>
        <v>256</v>
      </c>
      <c r="V1251" s="1" t="s">
        <v>31</v>
      </c>
      <c r="W1251" s="1" t="s">
        <v>27</v>
      </c>
      <c r="X1251" s="1" t="str">
        <f>IF(laptop[[#This Row],[PrimaryStorageType]]=laptop[[#This Row],[SecondaryStorageType]],laptop[[#This Row],[PrimaryStorageType]],"SSD &amp; HDD")</f>
        <v>SSD &amp; HDD</v>
      </c>
      <c r="Y1251" s="1" t="s">
        <v>70</v>
      </c>
    </row>
    <row r="1252" spans="1:25" x14ac:dyDescent="0.25">
      <c r="A1252" s="1" t="s">
        <v>65</v>
      </c>
      <c r="B1252" s="1" t="s">
        <v>361</v>
      </c>
      <c r="C1252" s="1" t="s">
        <v>38</v>
      </c>
      <c r="D1252">
        <v>15.6</v>
      </c>
      <c r="E1252">
        <v>4</v>
      </c>
      <c r="F1252" s="1" t="s">
        <v>111</v>
      </c>
      <c r="G1252">
        <v>2.2000000000000002</v>
      </c>
      <c r="H1252">
        <v>324</v>
      </c>
      <c r="I1252" s="1" t="s">
        <v>26</v>
      </c>
      <c r="J1252">
        <v>1366</v>
      </c>
      <c r="K1252">
        <v>768</v>
      </c>
      <c r="L1252" s="1" t="s">
        <v>27</v>
      </c>
      <c r="M1252" s="1" t="s">
        <v>27</v>
      </c>
      <c r="N1252" s="1" t="s">
        <v>27</v>
      </c>
      <c r="O1252" s="1" t="s">
        <v>29</v>
      </c>
      <c r="P1252">
        <v>1.6</v>
      </c>
      <c r="Q1252" s="1" t="s">
        <v>346</v>
      </c>
      <c r="R1252" s="1" t="str">
        <f>_xlfn.CONCAT(laptop[[#This Row],[CPU_company]]," ",laptop[[#This Row],[CPU_model]])</f>
        <v>Intel Pentium Quad Core N3710</v>
      </c>
      <c r="S1252">
        <v>500</v>
      </c>
      <c r="T1252">
        <v>0</v>
      </c>
      <c r="U1252">
        <f>laptop[[#This Row],[PrimaryStorage]]+laptop[[#This Row],[SecondaryStorage]]</f>
        <v>500</v>
      </c>
      <c r="V1252" s="1" t="s">
        <v>51</v>
      </c>
      <c r="W1252" s="1" t="s">
        <v>27</v>
      </c>
      <c r="X1252" s="1" t="str">
        <f>IF(laptop[[#This Row],[PrimaryStorageType]]=laptop[[#This Row],[SecondaryStorageType]],laptop[[#This Row],[PrimaryStorageType]],"SSD &amp; HDD")</f>
        <v>SSD &amp; HDD</v>
      </c>
      <c r="Y1252" s="1" t="s">
        <v>102</v>
      </c>
    </row>
    <row r="1253" spans="1:25" x14ac:dyDescent="0.25">
      <c r="A1253" s="1" t="s">
        <v>36</v>
      </c>
      <c r="B1253" s="1" t="s">
        <v>86</v>
      </c>
      <c r="C1253" s="1" t="s">
        <v>38</v>
      </c>
      <c r="D1253">
        <v>15.6</v>
      </c>
      <c r="E1253">
        <v>4</v>
      </c>
      <c r="F1253" s="1" t="s">
        <v>48</v>
      </c>
      <c r="G1253">
        <v>1.86</v>
      </c>
      <c r="H1253">
        <v>399</v>
      </c>
      <c r="I1253" s="1" t="s">
        <v>26</v>
      </c>
      <c r="J1253">
        <v>1366</v>
      </c>
      <c r="K1253">
        <v>768</v>
      </c>
      <c r="L1253" s="1" t="s">
        <v>27</v>
      </c>
      <c r="M1253" s="1" t="s">
        <v>27</v>
      </c>
      <c r="N1253" s="1" t="s">
        <v>27</v>
      </c>
      <c r="O1253" s="1" t="s">
        <v>49</v>
      </c>
      <c r="P1253">
        <v>2.5</v>
      </c>
      <c r="Q1253" s="1" t="s">
        <v>106</v>
      </c>
      <c r="R1253" s="1" t="str">
        <f>_xlfn.CONCAT(laptop[[#This Row],[CPU_company]]," ",laptop[[#This Row],[CPU_model]])</f>
        <v>AMD A6-Series 9220</v>
      </c>
      <c r="S1253">
        <v>500</v>
      </c>
      <c r="T1253">
        <v>0</v>
      </c>
      <c r="U1253">
        <f>laptop[[#This Row],[PrimaryStorage]]+laptop[[#This Row],[SecondaryStorage]]</f>
        <v>500</v>
      </c>
      <c r="V1253" s="1" t="s">
        <v>51</v>
      </c>
      <c r="W1253" s="1" t="s">
        <v>27</v>
      </c>
      <c r="X1253" s="1" t="str">
        <f>IF(laptop[[#This Row],[PrimaryStorageType]]=laptop[[#This Row],[SecondaryStorageType]],laptop[[#This Row],[PrimaryStorageType]],"SSD &amp; HDD")</f>
        <v>SSD &amp; HDD</v>
      </c>
      <c r="Y1253" s="1" t="s">
        <v>135</v>
      </c>
    </row>
    <row r="1254" spans="1:25" x14ac:dyDescent="0.25">
      <c r="A1254" s="1" t="s">
        <v>73</v>
      </c>
      <c r="B1254" s="1" t="s">
        <v>832</v>
      </c>
      <c r="C1254" s="1" t="s">
        <v>38</v>
      </c>
      <c r="D1254">
        <v>15.6</v>
      </c>
      <c r="E1254">
        <v>6</v>
      </c>
      <c r="F1254" s="1" t="s">
        <v>48</v>
      </c>
      <c r="G1254">
        <v>2.4</v>
      </c>
      <c r="H1254">
        <v>569</v>
      </c>
      <c r="I1254" s="1" t="s">
        <v>40</v>
      </c>
      <c r="J1254">
        <v>1920</v>
      </c>
      <c r="K1254">
        <v>1080</v>
      </c>
      <c r="L1254" s="1" t="s">
        <v>27</v>
      </c>
      <c r="M1254" s="1" t="s">
        <v>27</v>
      </c>
      <c r="N1254" s="1" t="s">
        <v>27</v>
      </c>
      <c r="O1254" s="1" t="s">
        <v>29</v>
      </c>
      <c r="P1254">
        <v>2.2999999999999998</v>
      </c>
      <c r="Q1254" s="1" t="s">
        <v>450</v>
      </c>
      <c r="R1254" s="1" t="str">
        <f>_xlfn.CONCAT(laptop[[#This Row],[CPU_company]]," ",laptop[[#This Row],[CPU_model]])</f>
        <v>Intel Core i3 6100U</v>
      </c>
      <c r="S1254">
        <v>128</v>
      </c>
      <c r="T1254">
        <v>0</v>
      </c>
      <c r="U1254">
        <f>laptop[[#This Row],[PrimaryStorage]]+laptop[[#This Row],[SecondaryStorage]]</f>
        <v>128</v>
      </c>
      <c r="V1254" s="1" t="s">
        <v>31</v>
      </c>
      <c r="W1254" s="1" t="s">
        <v>27</v>
      </c>
      <c r="X1254" s="1" t="str">
        <f>IF(laptop[[#This Row],[PrimaryStorageType]]=laptop[[#This Row],[SecondaryStorageType]],laptop[[#This Row],[PrimaryStorageType]],"SSD &amp; HDD")</f>
        <v>SSD &amp; HDD</v>
      </c>
      <c r="Y1254" s="1" t="s">
        <v>131</v>
      </c>
    </row>
    <row r="1255" spans="1:25" x14ac:dyDescent="0.25">
      <c r="A1255" s="1" t="s">
        <v>73</v>
      </c>
      <c r="B1255" s="1" t="s">
        <v>873</v>
      </c>
      <c r="C1255" s="1" t="s">
        <v>38</v>
      </c>
      <c r="D1255">
        <v>14</v>
      </c>
      <c r="E1255">
        <v>8</v>
      </c>
      <c r="F1255" s="1" t="s">
        <v>48</v>
      </c>
      <c r="G1255">
        <v>1.9</v>
      </c>
      <c r="H1255">
        <v>1072</v>
      </c>
      <c r="I1255" s="1" t="s">
        <v>40</v>
      </c>
      <c r="J1255">
        <v>1920</v>
      </c>
      <c r="K1255">
        <v>1080</v>
      </c>
      <c r="L1255" s="1" t="s">
        <v>27</v>
      </c>
      <c r="M1255" s="1" t="s">
        <v>28</v>
      </c>
      <c r="N1255" s="1" t="s">
        <v>27</v>
      </c>
      <c r="O1255" s="1" t="s">
        <v>29</v>
      </c>
      <c r="P1255">
        <v>2.2999999999999998</v>
      </c>
      <c r="Q1255" s="1" t="s">
        <v>212</v>
      </c>
      <c r="R1255" s="1" t="str">
        <f>_xlfn.CONCAT(laptop[[#This Row],[CPU_company]]," ",laptop[[#This Row],[CPU_model]])</f>
        <v>Intel Core i5 6200U</v>
      </c>
      <c r="S1255">
        <v>256</v>
      </c>
      <c r="T1255">
        <v>0</v>
      </c>
      <c r="U1255">
        <f>laptop[[#This Row],[PrimaryStorage]]+laptop[[#This Row],[SecondaryStorage]]</f>
        <v>256</v>
      </c>
      <c r="V1255" s="1" t="s">
        <v>31</v>
      </c>
      <c r="W1255" s="1" t="s">
        <v>27</v>
      </c>
      <c r="X1255" s="1" t="str">
        <f>IF(laptop[[#This Row],[PrimaryStorageType]]=laptop[[#This Row],[SecondaryStorageType]],laptop[[#This Row],[PrimaryStorageType]],"SSD &amp; HDD")</f>
        <v>SSD &amp; HDD</v>
      </c>
      <c r="Y1255" s="1" t="s">
        <v>63</v>
      </c>
    </row>
    <row r="1256" spans="1:25" x14ac:dyDescent="0.25">
      <c r="A1256" s="1" t="s">
        <v>65</v>
      </c>
      <c r="B1256" s="1" t="s">
        <v>361</v>
      </c>
      <c r="C1256" s="1" t="s">
        <v>38</v>
      </c>
      <c r="D1256">
        <v>15.6</v>
      </c>
      <c r="E1256">
        <v>4</v>
      </c>
      <c r="F1256" s="1" t="s">
        <v>48</v>
      </c>
      <c r="G1256">
        <v>2.2000000000000002</v>
      </c>
      <c r="H1256">
        <v>443.99</v>
      </c>
      <c r="I1256" s="1" t="s">
        <v>26</v>
      </c>
      <c r="J1256">
        <v>1366</v>
      </c>
      <c r="K1256">
        <v>768</v>
      </c>
      <c r="L1256" s="1" t="s">
        <v>27</v>
      </c>
      <c r="M1256" s="1" t="s">
        <v>27</v>
      </c>
      <c r="N1256" s="1" t="s">
        <v>27</v>
      </c>
      <c r="O1256" s="1" t="s">
        <v>29</v>
      </c>
      <c r="P1256">
        <v>1.6</v>
      </c>
      <c r="Q1256" s="1" t="s">
        <v>794</v>
      </c>
      <c r="R1256" s="1" t="str">
        <f>_xlfn.CONCAT(laptop[[#This Row],[CPU_company]]," ",laptop[[#This Row],[CPU_model]])</f>
        <v>Intel Pentium Quad Core N3700</v>
      </c>
      <c r="S1256">
        <v>500</v>
      </c>
      <c r="T1256">
        <v>0</v>
      </c>
      <c r="U1256">
        <f>laptop[[#This Row],[PrimaryStorage]]+laptop[[#This Row],[SecondaryStorage]]</f>
        <v>500</v>
      </c>
      <c r="V1256" s="1" t="s">
        <v>51</v>
      </c>
      <c r="W1256" s="1" t="s">
        <v>27</v>
      </c>
      <c r="X1256" s="1" t="str">
        <f>IF(laptop[[#This Row],[PrimaryStorageType]]=laptop[[#This Row],[SecondaryStorageType]],laptop[[#This Row],[PrimaryStorageType]],"SSD &amp; HDD")</f>
        <v>SSD &amp; HDD</v>
      </c>
      <c r="Y1256" s="1" t="s">
        <v>102</v>
      </c>
    </row>
    <row r="1257" spans="1:25" x14ac:dyDescent="0.25">
      <c r="A1257" s="1" t="s">
        <v>55</v>
      </c>
      <c r="B1257" s="1" t="s">
        <v>874</v>
      </c>
      <c r="C1257" s="1" t="s">
        <v>38</v>
      </c>
      <c r="D1257">
        <v>15.6</v>
      </c>
      <c r="E1257">
        <v>4</v>
      </c>
      <c r="F1257" s="1" t="s">
        <v>48</v>
      </c>
      <c r="G1257">
        <v>2</v>
      </c>
      <c r="H1257">
        <v>339</v>
      </c>
      <c r="I1257" s="1" t="s">
        <v>26</v>
      </c>
      <c r="J1257">
        <v>1366</v>
      </c>
      <c r="K1257">
        <v>768</v>
      </c>
      <c r="L1257" s="1" t="s">
        <v>27</v>
      </c>
      <c r="M1257" s="1" t="s">
        <v>27</v>
      </c>
      <c r="N1257" s="1" t="s">
        <v>27</v>
      </c>
      <c r="O1257" s="1" t="s">
        <v>29</v>
      </c>
      <c r="P1257">
        <v>1.1000000000000001</v>
      </c>
      <c r="Q1257" s="1" t="s">
        <v>109</v>
      </c>
      <c r="R1257" s="1" t="str">
        <f>_xlfn.CONCAT(laptop[[#This Row],[CPU_company]]," ",laptop[[#This Row],[CPU_model]])</f>
        <v>Intel Celeron Dual Core N3350</v>
      </c>
      <c r="S1257">
        <v>1024</v>
      </c>
      <c r="T1257">
        <v>0</v>
      </c>
      <c r="U1257">
        <f>laptop[[#This Row],[PrimaryStorage]]+laptop[[#This Row],[SecondaryStorage]]</f>
        <v>1024</v>
      </c>
      <c r="V1257" s="1" t="s">
        <v>51</v>
      </c>
      <c r="W1257" s="1" t="s">
        <v>27</v>
      </c>
      <c r="X1257" s="1" t="str">
        <f>IF(laptop[[#This Row],[PrimaryStorageType]]=laptop[[#This Row],[SecondaryStorageType]],laptop[[#This Row],[PrimaryStorageType]],"SSD &amp; HDD")</f>
        <v>SSD &amp; HDD</v>
      </c>
      <c r="Y1257" s="1" t="s">
        <v>110</v>
      </c>
    </row>
    <row r="1258" spans="1:25" x14ac:dyDescent="0.25">
      <c r="A1258" s="1" t="s">
        <v>55</v>
      </c>
      <c r="B1258" s="1" t="s">
        <v>875</v>
      </c>
      <c r="C1258" s="1" t="s">
        <v>83</v>
      </c>
      <c r="D1258">
        <v>17.3</v>
      </c>
      <c r="E1258">
        <v>16</v>
      </c>
      <c r="F1258" s="1" t="s">
        <v>48</v>
      </c>
      <c r="G1258">
        <v>4</v>
      </c>
      <c r="H1258">
        <v>1900</v>
      </c>
      <c r="I1258" s="1" t="s">
        <v>40</v>
      </c>
      <c r="J1258">
        <v>1920</v>
      </c>
      <c r="K1258">
        <v>1080</v>
      </c>
      <c r="L1258" s="1" t="s">
        <v>27</v>
      </c>
      <c r="M1258" s="1" t="s">
        <v>28</v>
      </c>
      <c r="N1258" s="1" t="s">
        <v>27</v>
      </c>
      <c r="O1258" s="1" t="s">
        <v>29</v>
      </c>
      <c r="P1258">
        <v>2.6</v>
      </c>
      <c r="Q1258" s="1" t="s">
        <v>447</v>
      </c>
      <c r="R1258" s="1" t="str">
        <f>_xlfn.CONCAT(laptop[[#This Row],[CPU_company]]," ",laptop[[#This Row],[CPU_model]])</f>
        <v>Intel Core i7 6700HQ</v>
      </c>
      <c r="S1258">
        <v>128</v>
      </c>
      <c r="T1258">
        <v>1024</v>
      </c>
      <c r="U1258">
        <f>laptop[[#This Row],[PrimaryStorage]]+laptop[[#This Row],[SecondaryStorage]]</f>
        <v>1152</v>
      </c>
      <c r="V1258" s="1" t="s">
        <v>31</v>
      </c>
      <c r="W1258" s="1" t="s">
        <v>51</v>
      </c>
      <c r="X1258" s="1" t="str">
        <f>IF(laptop[[#This Row],[PrimaryStorageType]]=laptop[[#This Row],[SecondaryStorageType]],laptop[[#This Row],[PrimaryStorageType]],"SSD &amp; HDD")</f>
        <v>SSD &amp; HDD</v>
      </c>
      <c r="Y1258" s="1" t="s">
        <v>530</v>
      </c>
    </row>
    <row r="1259" spans="1:25" x14ac:dyDescent="0.25">
      <c r="A1259" s="1" t="s">
        <v>65</v>
      </c>
      <c r="B1259" s="1" t="s">
        <v>305</v>
      </c>
      <c r="C1259" s="1" t="s">
        <v>38</v>
      </c>
      <c r="D1259">
        <v>15.6</v>
      </c>
      <c r="E1259">
        <v>4</v>
      </c>
      <c r="F1259" s="1" t="s">
        <v>48</v>
      </c>
      <c r="G1259">
        <v>2.29</v>
      </c>
      <c r="H1259">
        <v>490</v>
      </c>
      <c r="I1259" s="1" t="s">
        <v>26</v>
      </c>
      <c r="J1259">
        <v>1366</v>
      </c>
      <c r="K1259">
        <v>768</v>
      </c>
      <c r="L1259" s="1" t="s">
        <v>27</v>
      </c>
      <c r="M1259" s="1" t="s">
        <v>27</v>
      </c>
      <c r="N1259" s="1" t="s">
        <v>27</v>
      </c>
      <c r="O1259" s="1" t="s">
        <v>29</v>
      </c>
      <c r="P1259">
        <v>2</v>
      </c>
      <c r="Q1259" s="1" t="s">
        <v>62</v>
      </c>
      <c r="R1259" s="1" t="str">
        <f>_xlfn.CONCAT(laptop[[#This Row],[CPU_company]]," ",laptop[[#This Row],[CPU_model]])</f>
        <v>Intel Core i3 6006U</v>
      </c>
      <c r="S1259">
        <v>500</v>
      </c>
      <c r="T1259">
        <v>0</v>
      </c>
      <c r="U1259">
        <f>laptop[[#This Row],[PrimaryStorage]]+laptop[[#This Row],[SecondaryStorage]]</f>
        <v>500</v>
      </c>
      <c r="V1259" s="1" t="s">
        <v>51</v>
      </c>
      <c r="W1259" s="1" t="s">
        <v>27</v>
      </c>
      <c r="X1259" s="1" t="str">
        <f>IF(laptop[[#This Row],[PrimaryStorageType]]=laptop[[#This Row],[SecondaryStorageType]],laptop[[#This Row],[PrimaryStorageType]],"SSD &amp; HDD")</f>
        <v>SSD &amp; HDD</v>
      </c>
      <c r="Y1259" s="1" t="s">
        <v>63</v>
      </c>
    </row>
    <row r="1260" spans="1:25" x14ac:dyDescent="0.25">
      <c r="A1260" s="1" t="s">
        <v>73</v>
      </c>
      <c r="B1260" s="1" t="s">
        <v>876</v>
      </c>
      <c r="C1260" s="1" t="s">
        <v>38</v>
      </c>
      <c r="D1260">
        <v>15.6</v>
      </c>
      <c r="E1260">
        <v>8</v>
      </c>
      <c r="F1260" s="1" t="s">
        <v>480</v>
      </c>
      <c r="G1260">
        <v>2.3199999999999998</v>
      </c>
      <c r="H1260">
        <v>895</v>
      </c>
      <c r="I1260" s="1" t="s">
        <v>40</v>
      </c>
      <c r="J1260">
        <v>1920</v>
      </c>
      <c r="K1260">
        <v>1080</v>
      </c>
      <c r="L1260" s="1" t="s">
        <v>27</v>
      </c>
      <c r="M1260" s="1" t="s">
        <v>27</v>
      </c>
      <c r="N1260" s="1" t="s">
        <v>27</v>
      </c>
      <c r="O1260" s="1" t="s">
        <v>29</v>
      </c>
      <c r="P1260">
        <v>2.5</v>
      </c>
      <c r="Q1260" s="1" t="s">
        <v>274</v>
      </c>
      <c r="R1260" s="1" t="str">
        <f>_xlfn.CONCAT(laptop[[#This Row],[CPU_company]]," ",laptop[[#This Row],[CPU_model]])</f>
        <v>Intel Core i7 6500U</v>
      </c>
      <c r="S1260">
        <v>1024</v>
      </c>
      <c r="T1260">
        <v>0</v>
      </c>
      <c r="U1260">
        <f>laptop[[#This Row],[PrimaryStorage]]+laptop[[#This Row],[SecondaryStorage]]</f>
        <v>1024</v>
      </c>
      <c r="V1260" s="1" t="s">
        <v>223</v>
      </c>
      <c r="W1260" s="1" t="s">
        <v>27</v>
      </c>
      <c r="X1260" s="1" t="str">
        <f>IF(laptop[[#This Row],[PrimaryStorageType]]=laptop[[#This Row],[SecondaryStorageType]],laptop[[#This Row],[PrimaryStorageType]],"SSD &amp; HDD")</f>
        <v>SSD &amp; HDD</v>
      </c>
      <c r="Y1260" s="1" t="s">
        <v>786</v>
      </c>
    </row>
    <row r="1261" spans="1:25" x14ac:dyDescent="0.25">
      <c r="A1261" s="1" t="s">
        <v>141</v>
      </c>
      <c r="B1261" s="1" t="s">
        <v>877</v>
      </c>
      <c r="C1261" s="1" t="s">
        <v>83</v>
      </c>
      <c r="D1261">
        <v>15.6</v>
      </c>
      <c r="E1261">
        <v>8</v>
      </c>
      <c r="F1261" s="1" t="s">
        <v>48</v>
      </c>
      <c r="G1261">
        <v>2.4</v>
      </c>
      <c r="H1261">
        <v>1229</v>
      </c>
      <c r="I1261" s="1" t="s">
        <v>40</v>
      </c>
      <c r="J1261">
        <v>1920</v>
      </c>
      <c r="K1261">
        <v>1080</v>
      </c>
      <c r="L1261" s="1" t="s">
        <v>27</v>
      </c>
      <c r="M1261" s="1" t="s">
        <v>27</v>
      </c>
      <c r="N1261" s="1" t="s">
        <v>27</v>
      </c>
      <c r="O1261" s="1" t="s">
        <v>29</v>
      </c>
      <c r="P1261">
        <v>2.6</v>
      </c>
      <c r="Q1261" s="1" t="s">
        <v>447</v>
      </c>
      <c r="R1261" s="1" t="str">
        <f>_xlfn.CONCAT(laptop[[#This Row],[CPU_company]]," ",laptop[[#This Row],[CPU_model]])</f>
        <v>Intel Core i7 6700HQ</v>
      </c>
      <c r="S1261">
        <v>128</v>
      </c>
      <c r="T1261">
        <v>1024</v>
      </c>
      <c r="U1261">
        <f>laptop[[#This Row],[PrimaryStorage]]+laptop[[#This Row],[SecondaryStorage]]</f>
        <v>1152</v>
      </c>
      <c r="V1261" s="1" t="s">
        <v>31</v>
      </c>
      <c r="W1261" s="1" t="s">
        <v>51</v>
      </c>
      <c r="X1261" s="1" t="str">
        <f>IF(laptop[[#This Row],[PrimaryStorageType]]=laptop[[#This Row],[SecondaryStorageType]],laptop[[#This Row],[PrimaryStorageType]],"SSD &amp; HDD")</f>
        <v>SSD &amp; HDD</v>
      </c>
      <c r="Y1261" s="1" t="s">
        <v>483</v>
      </c>
    </row>
    <row r="1262" spans="1:25" x14ac:dyDescent="0.25">
      <c r="A1262" s="1" t="s">
        <v>73</v>
      </c>
      <c r="B1262" s="1" t="s">
        <v>878</v>
      </c>
      <c r="C1262" s="1" t="s">
        <v>90</v>
      </c>
      <c r="D1262">
        <v>14</v>
      </c>
      <c r="E1262">
        <v>4</v>
      </c>
      <c r="F1262" s="1" t="s">
        <v>48</v>
      </c>
      <c r="G1262">
        <v>1.8</v>
      </c>
      <c r="H1262">
        <v>833.01</v>
      </c>
      <c r="I1262" s="1" t="s">
        <v>40</v>
      </c>
      <c r="J1262">
        <v>1920</v>
      </c>
      <c r="K1262">
        <v>1080</v>
      </c>
      <c r="L1262" s="1" t="s">
        <v>28</v>
      </c>
      <c r="M1262" s="1" t="s">
        <v>27</v>
      </c>
      <c r="N1262" s="1" t="s">
        <v>27</v>
      </c>
      <c r="O1262" s="1" t="s">
        <v>29</v>
      </c>
      <c r="P1262">
        <v>2.2999999999999998</v>
      </c>
      <c r="Q1262" s="1" t="s">
        <v>212</v>
      </c>
      <c r="R1262" s="1" t="str">
        <f>_xlfn.CONCAT(laptop[[#This Row],[CPU_company]]," ",laptop[[#This Row],[CPU_model]])</f>
        <v>Intel Core i5 6200U</v>
      </c>
      <c r="S1262">
        <v>128</v>
      </c>
      <c r="T1262">
        <v>0</v>
      </c>
      <c r="U1262">
        <f>laptop[[#This Row],[PrimaryStorage]]+laptop[[#This Row],[SecondaryStorage]]</f>
        <v>128</v>
      </c>
      <c r="V1262" s="1" t="s">
        <v>31</v>
      </c>
      <c r="W1262" s="1" t="s">
        <v>27</v>
      </c>
      <c r="X1262" s="1" t="str">
        <f>IF(laptop[[#This Row],[PrimaryStorageType]]=laptop[[#This Row],[SecondaryStorageType]],laptop[[#This Row],[PrimaryStorageType]],"SSD &amp; HDD")</f>
        <v>SSD &amp; HDD</v>
      </c>
      <c r="Y1262" s="1" t="s">
        <v>63</v>
      </c>
    </row>
    <row r="1263" spans="1:25" x14ac:dyDescent="0.25">
      <c r="A1263" s="1" t="s">
        <v>55</v>
      </c>
      <c r="B1263" s="1" t="s">
        <v>879</v>
      </c>
      <c r="C1263" s="1" t="s">
        <v>24</v>
      </c>
      <c r="D1263">
        <v>13.3</v>
      </c>
      <c r="E1263">
        <v>8</v>
      </c>
      <c r="F1263" s="1" t="s">
        <v>48</v>
      </c>
      <c r="G1263">
        <v>1.2</v>
      </c>
      <c r="H1263">
        <v>729</v>
      </c>
      <c r="I1263" s="1" t="s">
        <v>40</v>
      </c>
      <c r="J1263">
        <v>1920</v>
      </c>
      <c r="K1263">
        <v>1080</v>
      </c>
      <c r="L1263" s="1" t="s">
        <v>27</v>
      </c>
      <c r="M1263" s="1" t="s">
        <v>28</v>
      </c>
      <c r="N1263" s="1" t="s">
        <v>27</v>
      </c>
      <c r="O1263" s="1" t="s">
        <v>29</v>
      </c>
      <c r="P1263">
        <v>0.9</v>
      </c>
      <c r="Q1263" s="1" t="s">
        <v>880</v>
      </c>
      <c r="R1263" s="1" t="str">
        <f>_xlfn.CONCAT(laptop[[#This Row],[CPU_company]]," ",laptop[[#This Row],[CPU_model]])</f>
        <v>Intel Core M 6Y30</v>
      </c>
      <c r="S1263">
        <v>512</v>
      </c>
      <c r="T1263">
        <v>0</v>
      </c>
      <c r="U1263">
        <f>laptop[[#This Row],[PrimaryStorage]]+laptop[[#This Row],[SecondaryStorage]]</f>
        <v>512</v>
      </c>
      <c r="V1263" s="1" t="s">
        <v>31</v>
      </c>
      <c r="W1263" s="1" t="s">
        <v>27</v>
      </c>
      <c r="X1263" s="1" t="str">
        <f>IF(laptop[[#This Row],[PrimaryStorageType]]=laptop[[#This Row],[SecondaryStorageType]],laptop[[#This Row],[PrimaryStorageType]],"SSD &amp; HDD")</f>
        <v>SSD &amp; HDD</v>
      </c>
      <c r="Y1263" s="1" t="s">
        <v>217</v>
      </c>
    </row>
    <row r="1264" spans="1:25" x14ac:dyDescent="0.25">
      <c r="A1264" s="1" t="s">
        <v>65</v>
      </c>
      <c r="B1264" s="1" t="s">
        <v>66</v>
      </c>
      <c r="C1264" s="1" t="s">
        <v>38</v>
      </c>
      <c r="D1264">
        <v>15.6</v>
      </c>
      <c r="E1264">
        <v>6</v>
      </c>
      <c r="F1264" s="1" t="s">
        <v>48</v>
      </c>
      <c r="G1264">
        <v>2.2999999999999998</v>
      </c>
      <c r="H1264">
        <v>459</v>
      </c>
      <c r="I1264" s="1" t="s">
        <v>26</v>
      </c>
      <c r="J1264">
        <v>1366</v>
      </c>
      <c r="K1264">
        <v>768</v>
      </c>
      <c r="L1264" s="1" t="s">
        <v>27</v>
      </c>
      <c r="M1264" s="1" t="s">
        <v>27</v>
      </c>
      <c r="N1264" s="1" t="s">
        <v>27</v>
      </c>
      <c r="O1264" s="1" t="s">
        <v>29</v>
      </c>
      <c r="P1264">
        <v>2.4</v>
      </c>
      <c r="Q1264" s="1" t="s">
        <v>75</v>
      </c>
      <c r="R1264" s="1" t="str">
        <f>_xlfn.CONCAT(laptop[[#This Row],[CPU_company]]," ",laptop[[#This Row],[CPU_model]])</f>
        <v>Intel Core i3 7100U</v>
      </c>
      <c r="S1264">
        <v>1024</v>
      </c>
      <c r="T1264">
        <v>0</v>
      </c>
      <c r="U1264">
        <f>laptop[[#This Row],[PrimaryStorage]]+laptop[[#This Row],[SecondaryStorage]]</f>
        <v>1024</v>
      </c>
      <c r="V1264" s="1" t="s">
        <v>51</v>
      </c>
      <c r="W1264" s="1" t="s">
        <v>27</v>
      </c>
      <c r="X1264" s="1" t="str">
        <f>IF(laptop[[#This Row],[PrimaryStorageType]]=laptop[[#This Row],[SecondaryStorageType]],laptop[[#This Row],[PrimaryStorageType]],"SSD &amp; HDD")</f>
        <v>SSD &amp; HDD</v>
      </c>
      <c r="Y1264" s="1" t="s">
        <v>42</v>
      </c>
    </row>
    <row r="1265" spans="1:25" x14ac:dyDescent="0.25">
      <c r="A1265" s="1" t="s">
        <v>46</v>
      </c>
      <c r="B1265" s="1" t="s">
        <v>881</v>
      </c>
      <c r="C1265" s="1" t="s">
        <v>38</v>
      </c>
      <c r="D1265">
        <v>15.6</v>
      </c>
      <c r="E1265">
        <v>4</v>
      </c>
      <c r="F1265" s="1" t="s">
        <v>111</v>
      </c>
      <c r="G1265">
        <v>2.4</v>
      </c>
      <c r="H1265">
        <v>289</v>
      </c>
      <c r="I1265" s="1" t="s">
        <v>26</v>
      </c>
      <c r="J1265">
        <v>1366</v>
      </c>
      <c r="K1265">
        <v>768</v>
      </c>
      <c r="L1265" s="1" t="s">
        <v>27</v>
      </c>
      <c r="M1265" s="1" t="s">
        <v>27</v>
      </c>
      <c r="N1265" s="1" t="s">
        <v>27</v>
      </c>
      <c r="O1265" s="1" t="s">
        <v>29</v>
      </c>
      <c r="P1265">
        <v>1.6</v>
      </c>
      <c r="Q1265" s="1" t="s">
        <v>151</v>
      </c>
      <c r="R1265" s="1" t="str">
        <f>_xlfn.CONCAT(laptop[[#This Row],[CPU_company]]," ",laptop[[#This Row],[CPU_model]])</f>
        <v>Intel Celeron Dual Core N3060</v>
      </c>
      <c r="S1265">
        <v>500</v>
      </c>
      <c r="T1265">
        <v>0</v>
      </c>
      <c r="U1265">
        <f>laptop[[#This Row],[PrimaryStorage]]+laptop[[#This Row],[SecondaryStorage]]</f>
        <v>500</v>
      </c>
      <c r="V1265" s="1" t="s">
        <v>51</v>
      </c>
      <c r="W1265" s="1" t="s">
        <v>27</v>
      </c>
      <c r="X1265" s="1" t="str">
        <f>IF(laptop[[#This Row],[PrimaryStorageType]]=laptop[[#This Row],[SecondaryStorageType]],laptop[[#This Row],[PrimaryStorageType]],"SSD &amp; HDD")</f>
        <v>SSD &amp; HDD</v>
      </c>
      <c r="Y1265" s="1" t="s">
        <v>81</v>
      </c>
    </row>
    <row r="1266" spans="1:25" x14ac:dyDescent="0.25">
      <c r="A1266" s="1" t="s">
        <v>65</v>
      </c>
      <c r="B1266" s="1" t="s">
        <v>361</v>
      </c>
      <c r="C1266" s="1" t="s">
        <v>38</v>
      </c>
      <c r="D1266">
        <v>15.6</v>
      </c>
      <c r="E1266">
        <v>2</v>
      </c>
      <c r="F1266" s="1" t="s">
        <v>48</v>
      </c>
      <c r="G1266">
        <v>2.2000000000000002</v>
      </c>
      <c r="H1266">
        <v>379</v>
      </c>
      <c r="I1266" s="1" t="s">
        <v>26</v>
      </c>
      <c r="J1266">
        <v>1366</v>
      </c>
      <c r="K1266">
        <v>768</v>
      </c>
      <c r="L1266" s="1" t="s">
        <v>27</v>
      </c>
      <c r="M1266" s="1" t="s">
        <v>27</v>
      </c>
      <c r="N1266" s="1" t="s">
        <v>27</v>
      </c>
      <c r="O1266" s="1" t="s">
        <v>29</v>
      </c>
      <c r="P1266">
        <v>1.6</v>
      </c>
      <c r="Q1266" s="1" t="s">
        <v>590</v>
      </c>
      <c r="R1266" s="1" t="str">
        <f>_xlfn.CONCAT(laptop[[#This Row],[CPU_company]]," ",laptop[[#This Row],[CPU_model]])</f>
        <v>Intel Celeron Dual Core N3050</v>
      </c>
      <c r="S1266">
        <v>500</v>
      </c>
      <c r="T1266">
        <v>0</v>
      </c>
      <c r="U1266">
        <f>laptop[[#This Row],[PrimaryStorage]]+laptop[[#This Row],[SecondaryStorage]]</f>
        <v>500</v>
      </c>
      <c r="V1266" s="1" t="s">
        <v>51</v>
      </c>
      <c r="W1266" s="1" t="s">
        <v>27</v>
      </c>
      <c r="X1266" s="1" t="str">
        <f>IF(laptop[[#This Row],[PrimaryStorageType]]=laptop[[#This Row],[SecondaryStorageType]],laptop[[#This Row],[PrimaryStorageType]],"SSD &amp; HDD")</f>
        <v>SSD &amp; HDD</v>
      </c>
      <c r="Y1266" s="1" t="s">
        <v>102</v>
      </c>
    </row>
    <row r="1267" spans="1:25" x14ac:dyDescent="0.25">
      <c r="A1267" s="1" t="s">
        <v>73</v>
      </c>
      <c r="B1267" s="1" t="s">
        <v>559</v>
      </c>
      <c r="C1267" s="1" t="s">
        <v>38</v>
      </c>
      <c r="D1267">
        <v>15.6</v>
      </c>
      <c r="E1267">
        <v>8</v>
      </c>
      <c r="F1267" s="1" t="s">
        <v>48</v>
      </c>
      <c r="G1267">
        <v>2.6</v>
      </c>
      <c r="H1267">
        <v>899</v>
      </c>
      <c r="I1267" s="1" t="s">
        <v>40</v>
      </c>
      <c r="J1267">
        <v>1920</v>
      </c>
      <c r="K1267">
        <v>1080</v>
      </c>
      <c r="L1267" s="1" t="s">
        <v>27</v>
      </c>
      <c r="M1267" s="1" t="s">
        <v>28</v>
      </c>
      <c r="N1267" s="1" t="s">
        <v>27</v>
      </c>
      <c r="O1267" s="1" t="s">
        <v>29</v>
      </c>
      <c r="P1267">
        <v>2.6</v>
      </c>
      <c r="Q1267" s="1" t="s">
        <v>447</v>
      </c>
      <c r="R1267" s="1" t="str">
        <f>_xlfn.CONCAT(laptop[[#This Row],[CPU_company]]," ",laptop[[#This Row],[CPU_model]])</f>
        <v>Intel Core i7 6700HQ</v>
      </c>
      <c r="S1267">
        <v>1024</v>
      </c>
      <c r="T1267">
        <v>0</v>
      </c>
      <c r="U1267">
        <f>laptop[[#This Row],[PrimaryStorage]]+laptop[[#This Row],[SecondaryStorage]]</f>
        <v>1024</v>
      </c>
      <c r="V1267" s="1" t="s">
        <v>51</v>
      </c>
      <c r="W1267" s="1" t="s">
        <v>27</v>
      </c>
      <c r="X1267" s="1" t="str">
        <f>IF(laptop[[#This Row],[PrimaryStorageType]]=laptop[[#This Row],[SecondaryStorageType]],laptop[[#This Row],[PrimaryStorageType]],"SSD &amp; HDD")</f>
        <v>SSD &amp; HDD</v>
      </c>
      <c r="Y1267" s="1" t="s">
        <v>483</v>
      </c>
    </row>
    <row r="1268" spans="1:25" x14ac:dyDescent="0.25">
      <c r="A1268" s="1" t="s">
        <v>36</v>
      </c>
      <c r="B1268" s="1" t="s">
        <v>882</v>
      </c>
      <c r="C1268" s="1" t="s">
        <v>38</v>
      </c>
      <c r="D1268">
        <v>15.6</v>
      </c>
      <c r="E1268">
        <v>6</v>
      </c>
      <c r="F1268" s="1" t="s">
        <v>48</v>
      </c>
      <c r="G1268">
        <v>2.04</v>
      </c>
      <c r="H1268">
        <v>549.99</v>
      </c>
      <c r="I1268" s="1" t="s">
        <v>40</v>
      </c>
      <c r="J1268">
        <v>1920</v>
      </c>
      <c r="K1268">
        <v>1080</v>
      </c>
      <c r="L1268" s="1" t="s">
        <v>27</v>
      </c>
      <c r="M1268" s="1" t="s">
        <v>27</v>
      </c>
      <c r="N1268" s="1" t="s">
        <v>27</v>
      </c>
      <c r="O1268" s="1" t="s">
        <v>49</v>
      </c>
      <c r="P1268">
        <v>2.9</v>
      </c>
      <c r="Q1268" s="1" t="s">
        <v>883</v>
      </c>
      <c r="R1268" s="1" t="str">
        <f>_xlfn.CONCAT(laptop[[#This Row],[CPU_company]]," ",laptop[[#This Row],[CPU_model]])</f>
        <v>AMD A9-Series 9410</v>
      </c>
      <c r="S1268">
        <v>1024</v>
      </c>
      <c r="T1268">
        <v>0</v>
      </c>
      <c r="U1268">
        <f>laptop[[#This Row],[PrimaryStorage]]+laptop[[#This Row],[SecondaryStorage]]</f>
        <v>1024</v>
      </c>
      <c r="V1268" s="1" t="s">
        <v>223</v>
      </c>
      <c r="W1268" s="1" t="s">
        <v>27</v>
      </c>
      <c r="X1268" s="1" t="str">
        <f>IF(laptop[[#This Row],[PrimaryStorageType]]=laptop[[#This Row],[SecondaryStorageType]],laptop[[#This Row],[PrimaryStorageType]],"SSD &amp; HDD")</f>
        <v>SSD &amp; HDD</v>
      </c>
      <c r="Y1268" s="1" t="s">
        <v>585</v>
      </c>
    </row>
    <row r="1269" spans="1:25" x14ac:dyDescent="0.25">
      <c r="A1269" s="1" t="s">
        <v>65</v>
      </c>
      <c r="B1269" s="1" t="s">
        <v>66</v>
      </c>
      <c r="C1269" s="1" t="s">
        <v>38</v>
      </c>
      <c r="D1269">
        <v>15.6</v>
      </c>
      <c r="E1269">
        <v>8</v>
      </c>
      <c r="F1269" s="1" t="s">
        <v>111</v>
      </c>
      <c r="G1269">
        <v>2.2999999999999998</v>
      </c>
      <c r="H1269">
        <v>805.99</v>
      </c>
      <c r="I1269" s="1" t="s">
        <v>26</v>
      </c>
      <c r="J1269">
        <v>1366</v>
      </c>
      <c r="K1269">
        <v>768</v>
      </c>
      <c r="L1269" s="1" t="s">
        <v>27</v>
      </c>
      <c r="M1269" s="1" t="s">
        <v>27</v>
      </c>
      <c r="N1269" s="1" t="s">
        <v>27</v>
      </c>
      <c r="O1269" s="1" t="s">
        <v>29</v>
      </c>
      <c r="P1269">
        <v>2.7</v>
      </c>
      <c r="Q1269" s="1" t="s">
        <v>71</v>
      </c>
      <c r="R1269" s="1" t="str">
        <f>_xlfn.CONCAT(laptop[[#This Row],[CPU_company]]," ",laptop[[#This Row],[CPU_model]])</f>
        <v>Intel Core i7 7500U</v>
      </c>
      <c r="S1269">
        <v>1024</v>
      </c>
      <c r="T1269">
        <v>0</v>
      </c>
      <c r="U1269">
        <f>laptop[[#This Row],[PrimaryStorage]]+laptop[[#This Row],[SecondaryStorage]]</f>
        <v>1024</v>
      </c>
      <c r="V1269" s="1" t="s">
        <v>51</v>
      </c>
      <c r="W1269" s="1" t="s">
        <v>27</v>
      </c>
      <c r="X1269" s="1" t="str">
        <f>IF(laptop[[#This Row],[PrimaryStorageType]]=laptop[[#This Row],[SecondaryStorageType]],laptop[[#This Row],[PrimaryStorageType]],"SSD &amp; HDD")</f>
        <v>SSD &amp; HDD</v>
      </c>
      <c r="Y1269" s="1" t="s">
        <v>67</v>
      </c>
    </row>
    <row r="1270" spans="1:25" x14ac:dyDescent="0.25">
      <c r="A1270" s="1" t="s">
        <v>36</v>
      </c>
      <c r="B1270" s="1" t="s">
        <v>884</v>
      </c>
      <c r="C1270" s="1" t="s">
        <v>79</v>
      </c>
      <c r="D1270">
        <v>11.6</v>
      </c>
      <c r="E1270">
        <v>2</v>
      </c>
      <c r="F1270" s="1" t="s">
        <v>48</v>
      </c>
      <c r="G1270">
        <v>1.17</v>
      </c>
      <c r="H1270">
        <v>209</v>
      </c>
      <c r="I1270" s="1" t="s">
        <v>26</v>
      </c>
      <c r="J1270">
        <v>1366</v>
      </c>
      <c r="K1270">
        <v>768</v>
      </c>
      <c r="L1270" s="1" t="s">
        <v>27</v>
      </c>
      <c r="M1270" s="1" t="s">
        <v>27</v>
      </c>
      <c r="N1270" s="1" t="s">
        <v>27</v>
      </c>
      <c r="O1270" s="1" t="s">
        <v>29</v>
      </c>
      <c r="P1270">
        <v>1.6</v>
      </c>
      <c r="Q1270" s="1" t="s">
        <v>151</v>
      </c>
      <c r="R1270" s="1" t="str">
        <f>_xlfn.CONCAT(laptop[[#This Row],[CPU_company]]," ",laptop[[#This Row],[CPU_model]])</f>
        <v>Intel Celeron Dual Core N3060</v>
      </c>
      <c r="S1270">
        <v>32</v>
      </c>
      <c r="T1270">
        <v>0</v>
      </c>
      <c r="U1270">
        <f>laptop[[#This Row],[PrimaryStorage]]+laptop[[#This Row],[SecondaryStorage]]</f>
        <v>32</v>
      </c>
      <c r="V1270" s="1" t="s">
        <v>34</v>
      </c>
      <c r="W1270" s="1" t="s">
        <v>27</v>
      </c>
      <c r="X1270" s="1" t="str">
        <f>IF(laptop[[#This Row],[PrimaryStorageType]]=laptop[[#This Row],[SecondaryStorageType]],laptop[[#This Row],[PrimaryStorageType]],"SSD &amp; HDD")</f>
        <v>SSD &amp; HDD</v>
      </c>
      <c r="Y1270" s="1" t="s">
        <v>81</v>
      </c>
    </row>
    <row r="1271" spans="1:25" x14ac:dyDescent="0.25">
      <c r="A1271" s="1" t="s">
        <v>55</v>
      </c>
      <c r="B1271" s="1" t="s">
        <v>885</v>
      </c>
      <c r="C1271" s="1" t="s">
        <v>38</v>
      </c>
      <c r="D1271">
        <v>15.6</v>
      </c>
      <c r="E1271">
        <v>4</v>
      </c>
      <c r="F1271" s="1" t="s">
        <v>48</v>
      </c>
      <c r="G1271">
        <v>2.2000000000000002</v>
      </c>
      <c r="H1271">
        <v>720.32</v>
      </c>
      <c r="I1271" s="1" t="s">
        <v>26</v>
      </c>
      <c r="J1271">
        <v>1366</v>
      </c>
      <c r="K1271">
        <v>768</v>
      </c>
      <c r="L1271" s="1" t="s">
        <v>27</v>
      </c>
      <c r="M1271" s="1" t="s">
        <v>27</v>
      </c>
      <c r="N1271" s="1" t="s">
        <v>27</v>
      </c>
      <c r="O1271" s="1" t="s">
        <v>29</v>
      </c>
      <c r="P1271">
        <v>2.5</v>
      </c>
      <c r="Q1271" s="1" t="s">
        <v>274</v>
      </c>
      <c r="R1271" s="1" t="str">
        <f>_xlfn.CONCAT(laptop[[#This Row],[CPU_company]]," ",laptop[[#This Row],[CPU_model]])</f>
        <v>Intel Core i7 6500U</v>
      </c>
      <c r="S1271">
        <v>500</v>
      </c>
      <c r="T1271">
        <v>0</v>
      </c>
      <c r="U1271">
        <f>laptop[[#This Row],[PrimaryStorage]]+laptop[[#This Row],[SecondaryStorage]]</f>
        <v>500</v>
      </c>
      <c r="V1271" s="1" t="s">
        <v>51</v>
      </c>
      <c r="W1271" s="1" t="s">
        <v>27</v>
      </c>
      <c r="X1271" s="1" t="str">
        <f>IF(laptop[[#This Row],[PrimaryStorageType]]=laptop[[#This Row],[SecondaryStorageType]],laptop[[#This Row],[PrimaryStorageType]],"SSD &amp; HDD")</f>
        <v>SSD &amp; HDD</v>
      </c>
      <c r="Y1271" s="1" t="s">
        <v>178</v>
      </c>
    </row>
    <row r="1272" spans="1:25" x14ac:dyDescent="0.25">
      <c r="A1272" s="1" t="s">
        <v>73</v>
      </c>
      <c r="B1272" s="1" t="s">
        <v>886</v>
      </c>
      <c r="C1272" s="1" t="s">
        <v>90</v>
      </c>
      <c r="D1272">
        <v>14</v>
      </c>
      <c r="E1272">
        <v>4</v>
      </c>
      <c r="F1272" s="1" t="s">
        <v>48</v>
      </c>
      <c r="G1272">
        <v>1.8</v>
      </c>
      <c r="H1272">
        <v>638</v>
      </c>
      <c r="I1272" s="1" t="s">
        <v>40</v>
      </c>
      <c r="J1272">
        <v>1920</v>
      </c>
      <c r="K1272">
        <v>1080</v>
      </c>
      <c r="L1272" s="1" t="s">
        <v>28</v>
      </c>
      <c r="M1272" s="1" t="s">
        <v>28</v>
      </c>
      <c r="N1272" s="1" t="s">
        <v>27</v>
      </c>
      <c r="O1272" s="1" t="s">
        <v>29</v>
      </c>
      <c r="P1272">
        <v>2.5</v>
      </c>
      <c r="Q1272" s="1" t="s">
        <v>274</v>
      </c>
      <c r="R1272" s="1" t="str">
        <f>_xlfn.CONCAT(laptop[[#This Row],[CPU_company]]," ",laptop[[#This Row],[CPU_model]])</f>
        <v>Intel Core i7 6500U</v>
      </c>
      <c r="S1272">
        <v>128</v>
      </c>
      <c r="T1272">
        <v>0</v>
      </c>
      <c r="U1272">
        <f>laptop[[#This Row],[PrimaryStorage]]+laptop[[#This Row],[SecondaryStorage]]</f>
        <v>128</v>
      </c>
      <c r="V1272" s="1" t="s">
        <v>31</v>
      </c>
      <c r="W1272" s="1" t="s">
        <v>27</v>
      </c>
      <c r="X1272" s="1" t="str">
        <f>IF(laptop[[#This Row],[PrimaryStorageType]]=laptop[[#This Row],[SecondaryStorageType]],laptop[[#This Row],[PrimaryStorageType]],"SSD &amp; HDD")</f>
        <v>SSD &amp; HDD</v>
      </c>
      <c r="Y1272" s="1" t="s">
        <v>63</v>
      </c>
    </row>
    <row r="1273" spans="1:25" x14ac:dyDescent="0.25">
      <c r="A1273" s="1" t="s">
        <v>73</v>
      </c>
      <c r="B1273" s="1" t="s">
        <v>628</v>
      </c>
      <c r="C1273" s="1" t="s">
        <v>90</v>
      </c>
      <c r="D1273">
        <v>13.3</v>
      </c>
      <c r="E1273">
        <v>16</v>
      </c>
      <c r="F1273" s="1" t="s">
        <v>48</v>
      </c>
      <c r="G1273">
        <v>1.3</v>
      </c>
      <c r="H1273">
        <v>1499</v>
      </c>
      <c r="I1273" s="1" t="s">
        <v>107</v>
      </c>
      <c r="J1273">
        <v>3200</v>
      </c>
      <c r="K1273">
        <v>1800</v>
      </c>
      <c r="L1273" s="1" t="s">
        <v>28</v>
      </c>
      <c r="M1273" s="1" t="s">
        <v>28</v>
      </c>
      <c r="N1273" s="1" t="s">
        <v>27</v>
      </c>
      <c r="O1273" s="1" t="s">
        <v>29</v>
      </c>
      <c r="P1273">
        <v>2.5</v>
      </c>
      <c r="Q1273" s="1" t="s">
        <v>274</v>
      </c>
      <c r="R1273" s="1" t="str">
        <f>_xlfn.CONCAT(laptop[[#This Row],[CPU_company]]," ",laptop[[#This Row],[CPU_model]])</f>
        <v>Intel Core i7 6500U</v>
      </c>
      <c r="S1273">
        <v>512</v>
      </c>
      <c r="T1273">
        <v>0</v>
      </c>
      <c r="U1273">
        <f>laptop[[#This Row],[PrimaryStorage]]+laptop[[#This Row],[SecondaryStorage]]</f>
        <v>512</v>
      </c>
      <c r="V1273" s="1" t="s">
        <v>31</v>
      </c>
      <c r="W1273" s="1" t="s">
        <v>27</v>
      </c>
      <c r="X1273" s="1" t="str">
        <f>IF(laptop[[#This Row],[PrimaryStorageType]]=laptop[[#This Row],[SecondaryStorageType]],laptop[[#This Row],[PrimaryStorageType]],"SSD &amp; HDD")</f>
        <v>SSD &amp; HDD</v>
      </c>
      <c r="Y1273" s="1" t="s">
        <v>63</v>
      </c>
    </row>
    <row r="1274" spans="1:25" x14ac:dyDescent="0.25">
      <c r="A1274" s="1" t="s">
        <v>73</v>
      </c>
      <c r="B1274" s="1" t="s">
        <v>549</v>
      </c>
      <c r="C1274" s="1" t="s">
        <v>38</v>
      </c>
      <c r="D1274">
        <v>14</v>
      </c>
      <c r="E1274">
        <v>2</v>
      </c>
      <c r="F1274" s="1" t="s">
        <v>48</v>
      </c>
      <c r="G1274">
        <v>1.5</v>
      </c>
      <c r="H1274">
        <v>229</v>
      </c>
      <c r="I1274" s="1" t="s">
        <v>26</v>
      </c>
      <c r="J1274">
        <v>1366</v>
      </c>
      <c r="K1274">
        <v>768</v>
      </c>
      <c r="L1274" s="1" t="s">
        <v>27</v>
      </c>
      <c r="M1274" s="1" t="s">
        <v>27</v>
      </c>
      <c r="N1274" s="1" t="s">
        <v>27</v>
      </c>
      <c r="O1274" s="1" t="s">
        <v>29</v>
      </c>
      <c r="P1274">
        <v>1.6</v>
      </c>
      <c r="Q1274" s="1" t="s">
        <v>590</v>
      </c>
      <c r="R1274" s="1" t="str">
        <f>_xlfn.CONCAT(laptop[[#This Row],[CPU_company]]," ",laptop[[#This Row],[CPU_model]])</f>
        <v>Intel Celeron Dual Core N3050</v>
      </c>
      <c r="S1274">
        <v>64</v>
      </c>
      <c r="T1274">
        <v>0</v>
      </c>
      <c r="U1274">
        <f>laptop[[#This Row],[PrimaryStorage]]+laptop[[#This Row],[SecondaryStorage]]</f>
        <v>64</v>
      </c>
      <c r="V1274" s="1" t="s">
        <v>34</v>
      </c>
      <c r="W1274" s="1" t="s">
        <v>27</v>
      </c>
      <c r="X1274" s="1" t="str">
        <f>IF(laptop[[#This Row],[PrimaryStorageType]]=laptop[[#This Row],[SecondaryStorageType]],laptop[[#This Row],[PrimaryStorageType]],"SSD &amp; HDD")</f>
        <v>SSD &amp; HDD</v>
      </c>
      <c r="Y1274" s="1" t="s">
        <v>102</v>
      </c>
    </row>
    <row r="1275" spans="1:25" x14ac:dyDescent="0.25">
      <c r="A1275" s="1" t="s">
        <v>36</v>
      </c>
      <c r="B1275" s="1" t="s">
        <v>887</v>
      </c>
      <c r="C1275" s="1" t="s">
        <v>38</v>
      </c>
      <c r="D1275">
        <v>15.6</v>
      </c>
      <c r="E1275">
        <v>6</v>
      </c>
      <c r="F1275" s="1" t="s">
        <v>48</v>
      </c>
      <c r="G1275">
        <v>2.19</v>
      </c>
      <c r="H1275">
        <v>764</v>
      </c>
      <c r="I1275" s="1" t="s">
        <v>26</v>
      </c>
      <c r="J1275">
        <v>1366</v>
      </c>
      <c r="K1275">
        <v>768</v>
      </c>
      <c r="L1275" s="1" t="s">
        <v>27</v>
      </c>
      <c r="M1275" s="1" t="s">
        <v>27</v>
      </c>
      <c r="N1275" s="1" t="s">
        <v>27</v>
      </c>
      <c r="O1275" s="1" t="s">
        <v>29</v>
      </c>
      <c r="P1275">
        <v>2.5</v>
      </c>
      <c r="Q1275" s="1" t="s">
        <v>274</v>
      </c>
      <c r="R1275" s="1" t="str">
        <f>_xlfn.CONCAT(laptop[[#This Row],[CPU_company]]," ",laptop[[#This Row],[CPU_model]])</f>
        <v>Intel Core i7 6500U</v>
      </c>
      <c r="S1275">
        <v>1024</v>
      </c>
      <c r="T1275">
        <v>0</v>
      </c>
      <c r="U1275">
        <f>laptop[[#This Row],[PrimaryStorage]]+laptop[[#This Row],[SecondaryStorage]]</f>
        <v>1024</v>
      </c>
      <c r="V1275" s="1" t="s">
        <v>51</v>
      </c>
      <c r="W1275" s="1" t="s">
        <v>27</v>
      </c>
      <c r="X1275" s="1" t="str">
        <f>IF(laptop[[#This Row],[PrimaryStorageType]]=laptop[[#This Row],[SecondaryStorageType]],laptop[[#This Row],[PrimaryStorageType]],"SSD &amp; HDD")</f>
        <v>SSD &amp; HDD</v>
      </c>
      <c r="Y1275" s="1" t="s">
        <v>786</v>
      </c>
    </row>
    <row r="1276" spans="1:25" x14ac:dyDescent="0.25">
      <c r="A1276" s="1" t="s">
        <v>55</v>
      </c>
      <c r="B1276" s="1" t="s">
        <v>888</v>
      </c>
      <c r="C1276" s="1" t="s">
        <v>38</v>
      </c>
      <c r="D1276">
        <v>15.6</v>
      </c>
      <c r="E1276">
        <v>4</v>
      </c>
      <c r="F1276" s="1" t="s">
        <v>48</v>
      </c>
      <c r="G1276">
        <v>2.2000000000000002</v>
      </c>
      <c r="H1276">
        <v>369</v>
      </c>
      <c r="I1276" s="1" t="s">
        <v>26</v>
      </c>
      <c r="J1276">
        <v>1366</v>
      </c>
      <c r="K1276">
        <v>768</v>
      </c>
      <c r="L1276" s="1" t="s">
        <v>27</v>
      </c>
      <c r="M1276" s="1" t="s">
        <v>27</v>
      </c>
      <c r="N1276" s="1" t="s">
        <v>27</v>
      </c>
      <c r="O1276" s="1" t="s">
        <v>29</v>
      </c>
      <c r="P1276">
        <v>1.6</v>
      </c>
      <c r="Q1276" s="1" t="s">
        <v>590</v>
      </c>
      <c r="R1276" s="1" t="str">
        <f>_xlfn.CONCAT(laptop[[#This Row],[CPU_company]]," ",laptop[[#This Row],[CPU_model]])</f>
        <v>Intel Celeron Dual Core N3050</v>
      </c>
      <c r="S1276">
        <v>500</v>
      </c>
      <c r="T1276">
        <v>0</v>
      </c>
      <c r="U1276">
        <f>laptop[[#This Row],[PrimaryStorage]]+laptop[[#This Row],[SecondaryStorage]]</f>
        <v>500</v>
      </c>
      <c r="V1276" s="1" t="s">
        <v>51</v>
      </c>
      <c r="W1276" s="1" t="s">
        <v>27</v>
      </c>
      <c r="X1276" s="1" t="str">
        <f>IF(laptop[[#This Row],[PrimaryStorageType]]=laptop[[#This Row],[SecondaryStorageType]],laptop[[#This Row],[PrimaryStorageType]],"SSD &amp; HDD")</f>
        <v>SSD &amp; HDD</v>
      </c>
      <c r="Y1276" s="1" t="s">
        <v>102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BB36D-F46F-473A-875D-7DAC5FAD349C}">
  <dimension ref="A1:B21"/>
  <sheetViews>
    <sheetView tabSelected="1" workbookViewId="0">
      <selection activeCell="F24" sqref="F24"/>
    </sheetView>
  </sheetViews>
  <sheetFormatPr defaultRowHeight="15" x14ac:dyDescent="0.25"/>
  <cols>
    <col min="1" max="1" width="13.140625" bestFit="1" customWidth="1"/>
    <col min="2" max="2" width="12.7109375" bestFit="1" customWidth="1"/>
  </cols>
  <sheetData>
    <row r="1" spans="1:2" x14ac:dyDescent="0.25">
      <c r="A1" s="2" t="s">
        <v>892</v>
      </c>
      <c r="B1" t="s">
        <v>896</v>
      </c>
    </row>
    <row r="2" spans="1:2" x14ac:dyDescent="0.25">
      <c r="A2" s="3" t="s">
        <v>253</v>
      </c>
      <c r="B2" s="4">
        <v>206.85000000000002</v>
      </c>
    </row>
    <row r="3" spans="1:2" x14ac:dyDescent="0.25">
      <c r="A3" s="3" t="s">
        <v>99</v>
      </c>
      <c r="B3" s="4">
        <v>248.9</v>
      </c>
    </row>
    <row r="4" spans="1:2" x14ac:dyDescent="0.25">
      <c r="A4" s="3" t="s">
        <v>411</v>
      </c>
      <c r="B4" s="4">
        <v>265</v>
      </c>
    </row>
    <row r="5" spans="1:2" x14ac:dyDescent="0.25">
      <c r="A5" s="3" t="s">
        <v>46</v>
      </c>
      <c r="B5" s="4">
        <v>572</v>
      </c>
    </row>
    <row r="6" spans="1:2" x14ac:dyDescent="0.25">
      <c r="A6" s="3" t="s">
        <v>504</v>
      </c>
      <c r="B6" s="4">
        <v>739</v>
      </c>
    </row>
    <row r="7" spans="1:2" x14ac:dyDescent="0.25">
      <c r="A7" s="3" t="s">
        <v>73</v>
      </c>
      <c r="B7" s="4">
        <v>899</v>
      </c>
    </row>
    <row r="8" spans="1:2" x14ac:dyDescent="0.25">
      <c r="A8" s="3" t="s">
        <v>36</v>
      </c>
      <c r="B8" s="4">
        <v>979</v>
      </c>
    </row>
    <row r="9" spans="1:2" x14ac:dyDescent="0.25">
      <c r="A9" s="3" t="s">
        <v>65</v>
      </c>
      <c r="B9" s="4">
        <v>999</v>
      </c>
    </row>
    <row r="10" spans="1:2" x14ac:dyDescent="0.25">
      <c r="A10" s="3" t="s">
        <v>55</v>
      </c>
      <c r="B10" s="4">
        <v>1049.45</v>
      </c>
    </row>
    <row r="11" spans="1:2" x14ac:dyDescent="0.25">
      <c r="A11" s="3" t="s">
        <v>247</v>
      </c>
      <c r="B11" s="4">
        <v>1099.45</v>
      </c>
    </row>
    <row r="12" spans="1:2" x14ac:dyDescent="0.25">
      <c r="A12" s="3" t="s">
        <v>210</v>
      </c>
      <c r="B12" s="4">
        <v>1211.5</v>
      </c>
    </row>
    <row r="13" spans="1:2" x14ac:dyDescent="0.25">
      <c r="A13" s="3" t="s">
        <v>22</v>
      </c>
      <c r="B13" s="4">
        <v>1339.69</v>
      </c>
    </row>
    <row r="14" spans="1:2" x14ac:dyDescent="0.25">
      <c r="A14" s="3" t="s">
        <v>238</v>
      </c>
      <c r="B14" s="4">
        <v>1424</v>
      </c>
    </row>
    <row r="15" spans="1:2" x14ac:dyDescent="0.25">
      <c r="A15" s="3" t="s">
        <v>421</v>
      </c>
      <c r="B15" s="4">
        <v>1559</v>
      </c>
    </row>
    <row r="16" spans="1:2" x14ac:dyDescent="0.25">
      <c r="A16" s="3" t="s">
        <v>154</v>
      </c>
      <c r="B16" s="4">
        <v>1569.5</v>
      </c>
    </row>
    <row r="17" spans="1:2" x14ac:dyDescent="0.25">
      <c r="A17" s="3" t="s">
        <v>141</v>
      </c>
      <c r="B17" s="4">
        <v>1599</v>
      </c>
    </row>
    <row r="18" spans="1:2" x14ac:dyDescent="0.25">
      <c r="A18" s="3" t="s">
        <v>413</v>
      </c>
      <c r="B18" s="4">
        <v>1649</v>
      </c>
    </row>
    <row r="19" spans="1:2" x14ac:dyDescent="0.25">
      <c r="A19" s="3" t="s">
        <v>575</v>
      </c>
      <c r="B19" s="4">
        <v>2099</v>
      </c>
    </row>
    <row r="20" spans="1:2" x14ac:dyDescent="0.25">
      <c r="A20" s="3" t="s">
        <v>256</v>
      </c>
      <c r="B20" s="4">
        <v>2899</v>
      </c>
    </row>
    <row r="21" spans="1:2" x14ac:dyDescent="0.25">
      <c r="A21" s="3" t="s">
        <v>893</v>
      </c>
      <c r="B21" s="4">
        <v>989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8386C4-2934-48B2-8C9D-5656B00DD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laptop_prices</vt:lpstr>
      <vt:lpstr>Median_Price_Analysis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Chin, KhaiX Foong</dc:creator>
  <cp:lastModifiedBy>Chin, KhaiX Foong</cp:lastModifiedBy>
  <dcterms:created xsi:type="dcterms:W3CDTF">2015-06-05T18:17:20Z</dcterms:created>
  <dcterms:modified xsi:type="dcterms:W3CDTF">2026-01-23T08:19:16Z</dcterms:modified>
</cp:coreProperties>
</file>