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Khai Foong\Desktop\Data Analyst Project\4th Project (Laptop Price Analaysis)\"/>
    </mc:Choice>
  </mc:AlternateContent>
  <xr:revisionPtr revIDLastSave="0" documentId="13_ncr:1_{2FE28460-D100-46F7-8DA3-B696B7BE9DD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ashboard" sheetId="4" r:id="rId1"/>
    <sheet name="laptop_prices_table" sheetId="2" r:id="rId2"/>
    <sheet name="Data Validation" sheetId="14" r:id="rId3"/>
    <sheet name="Filtering" sheetId="11" r:id="rId4"/>
    <sheet name="Median_Price_Analysis" sheetId="5" r:id="rId5"/>
  </sheets>
  <definedNames>
    <definedName name="_xlcn.WorksheetConnection_laptop_analysis.xlsxlaptop1" hidden="1">laptop[]</definedName>
    <definedName name="brand">Dashboard!$B$6</definedName>
    <definedName name="cpu">Dashboard!$F$6</definedName>
    <definedName name="ExternalData_1" localSheetId="1" hidden="1">laptop_prices_table!$A$1:$Y$1276</definedName>
    <definedName name="gpu">Dashboard!$J$6</definedName>
  </definedNames>
  <calcPr calcId="191029"/>
  <pivotCaches>
    <pivotCache cacheId="286" r:id="rId6"/>
    <pivotCache cacheId="655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laptop" name="laptop" connection="WorksheetConnection_laptop_analysis.xlsx!laptop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4" l="1" a="1"/>
  <c r="A1" i="14" s="1"/>
  <c r="F2" i="11" a="1"/>
  <c r="C1217" i="14" s="1"/>
  <c r="D1217" i="14" s="1"/>
  <c r="M2" i="14"/>
  <c r="J55" i="14" s="1"/>
  <c r="G1" i="14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R1202" i="2"/>
  <c r="R1203" i="2"/>
  <c r="R1204" i="2"/>
  <c r="R1205" i="2"/>
  <c r="R1206" i="2"/>
  <c r="R1207" i="2"/>
  <c r="R1208" i="2"/>
  <c r="R1209" i="2"/>
  <c r="R1210" i="2"/>
  <c r="R1211" i="2"/>
  <c r="R1212" i="2"/>
  <c r="R1213" i="2"/>
  <c r="R1214" i="2"/>
  <c r="R1215" i="2"/>
  <c r="R1216" i="2"/>
  <c r="R1217" i="2"/>
  <c r="R1218" i="2"/>
  <c r="R1219" i="2"/>
  <c r="R1220" i="2"/>
  <c r="R1221" i="2"/>
  <c r="R1222" i="2"/>
  <c r="R1223" i="2"/>
  <c r="R1224" i="2"/>
  <c r="R1225" i="2"/>
  <c r="R1226" i="2"/>
  <c r="R1227" i="2"/>
  <c r="R1228" i="2"/>
  <c r="R1229" i="2"/>
  <c r="R1230" i="2"/>
  <c r="R1231" i="2"/>
  <c r="R1232" i="2"/>
  <c r="R1233" i="2"/>
  <c r="R1234" i="2"/>
  <c r="R1235" i="2"/>
  <c r="R1236" i="2"/>
  <c r="R1237" i="2"/>
  <c r="R1238" i="2"/>
  <c r="R1239" i="2"/>
  <c r="R1240" i="2"/>
  <c r="R1241" i="2"/>
  <c r="R1242" i="2"/>
  <c r="R1243" i="2"/>
  <c r="R1244" i="2"/>
  <c r="R1245" i="2"/>
  <c r="R1246" i="2"/>
  <c r="R1247" i="2"/>
  <c r="R1248" i="2"/>
  <c r="R1249" i="2"/>
  <c r="R1250" i="2"/>
  <c r="R1251" i="2"/>
  <c r="R1252" i="2"/>
  <c r="R1253" i="2"/>
  <c r="R1254" i="2"/>
  <c r="R1255" i="2"/>
  <c r="R1256" i="2"/>
  <c r="R1257" i="2"/>
  <c r="R1258" i="2"/>
  <c r="R1259" i="2"/>
  <c r="R1260" i="2"/>
  <c r="R1261" i="2"/>
  <c r="R1262" i="2"/>
  <c r="R1263" i="2"/>
  <c r="R1264" i="2"/>
  <c r="R1265" i="2"/>
  <c r="R1266" i="2"/>
  <c r="R1267" i="2"/>
  <c r="R1268" i="2"/>
  <c r="R1269" i="2"/>
  <c r="R1270" i="2"/>
  <c r="R1271" i="2"/>
  <c r="R1272" i="2"/>
  <c r="R1273" i="2"/>
  <c r="R1274" i="2"/>
  <c r="R1275" i="2"/>
  <c r="R1276" i="2"/>
  <c r="U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80" i="2"/>
  <c r="U781" i="2"/>
  <c r="U782" i="2"/>
  <c r="U783" i="2"/>
  <c r="U784" i="2"/>
  <c r="U785" i="2"/>
  <c r="U786" i="2"/>
  <c r="U787" i="2"/>
  <c r="U788" i="2"/>
  <c r="U789" i="2"/>
  <c r="U790" i="2"/>
  <c r="U791" i="2"/>
  <c r="U792" i="2"/>
  <c r="U793" i="2"/>
  <c r="U794" i="2"/>
  <c r="U795" i="2"/>
  <c r="U796" i="2"/>
  <c r="U797" i="2"/>
  <c r="U798" i="2"/>
  <c r="U799" i="2"/>
  <c r="U800" i="2"/>
  <c r="U801" i="2"/>
  <c r="U802" i="2"/>
  <c r="U803" i="2"/>
  <c r="U804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820" i="2"/>
  <c r="U821" i="2"/>
  <c r="U822" i="2"/>
  <c r="U82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836" i="2"/>
  <c r="U837" i="2"/>
  <c r="U838" i="2"/>
  <c r="U839" i="2"/>
  <c r="U840" i="2"/>
  <c r="U841" i="2"/>
  <c r="U842" i="2"/>
  <c r="U843" i="2"/>
  <c r="U844" i="2"/>
  <c r="U845" i="2"/>
  <c r="U84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U861" i="2"/>
  <c r="U862" i="2"/>
  <c r="U863" i="2"/>
  <c r="U864" i="2"/>
  <c r="U865" i="2"/>
  <c r="U866" i="2"/>
  <c r="U867" i="2"/>
  <c r="U868" i="2"/>
  <c r="U869" i="2"/>
  <c r="U870" i="2"/>
  <c r="U871" i="2"/>
  <c r="U872" i="2"/>
  <c r="U873" i="2"/>
  <c r="U874" i="2"/>
  <c r="U875" i="2"/>
  <c r="U876" i="2"/>
  <c r="U877" i="2"/>
  <c r="U878" i="2"/>
  <c r="U879" i="2"/>
  <c r="U880" i="2"/>
  <c r="U881" i="2"/>
  <c r="U882" i="2"/>
  <c r="U883" i="2"/>
  <c r="U884" i="2"/>
  <c r="U885" i="2"/>
  <c r="U886" i="2"/>
  <c r="U887" i="2"/>
  <c r="U888" i="2"/>
  <c r="U889" i="2"/>
  <c r="U890" i="2"/>
  <c r="U891" i="2"/>
  <c r="U892" i="2"/>
  <c r="U893" i="2"/>
  <c r="U894" i="2"/>
  <c r="U895" i="2"/>
  <c r="U896" i="2"/>
  <c r="U897" i="2"/>
  <c r="U898" i="2"/>
  <c r="U899" i="2"/>
  <c r="U900" i="2"/>
  <c r="U901" i="2"/>
  <c r="U902" i="2"/>
  <c r="U903" i="2"/>
  <c r="U904" i="2"/>
  <c r="U905" i="2"/>
  <c r="U906" i="2"/>
  <c r="U907" i="2"/>
  <c r="U908" i="2"/>
  <c r="U909" i="2"/>
  <c r="U910" i="2"/>
  <c r="U911" i="2"/>
  <c r="U912" i="2"/>
  <c r="U913" i="2"/>
  <c r="U914" i="2"/>
  <c r="U915" i="2"/>
  <c r="U916" i="2"/>
  <c r="U917" i="2"/>
  <c r="U918" i="2"/>
  <c r="U919" i="2"/>
  <c r="U920" i="2"/>
  <c r="U921" i="2"/>
  <c r="U922" i="2"/>
  <c r="U923" i="2"/>
  <c r="U924" i="2"/>
  <c r="U925" i="2"/>
  <c r="U926" i="2"/>
  <c r="U927" i="2"/>
  <c r="U928" i="2"/>
  <c r="U929" i="2"/>
  <c r="U930" i="2"/>
  <c r="U931" i="2"/>
  <c r="U932" i="2"/>
  <c r="U933" i="2"/>
  <c r="U934" i="2"/>
  <c r="U935" i="2"/>
  <c r="U936" i="2"/>
  <c r="U937" i="2"/>
  <c r="U938" i="2"/>
  <c r="U939" i="2"/>
  <c r="U940" i="2"/>
  <c r="U941" i="2"/>
  <c r="U942" i="2"/>
  <c r="U943" i="2"/>
  <c r="U944" i="2"/>
  <c r="U945" i="2"/>
  <c r="U946" i="2"/>
  <c r="U947" i="2"/>
  <c r="U948" i="2"/>
  <c r="U949" i="2"/>
  <c r="U950" i="2"/>
  <c r="U951" i="2"/>
  <c r="U952" i="2"/>
  <c r="U953" i="2"/>
  <c r="U954" i="2"/>
  <c r="U955" i="2"/>
  <c r="U956" i="2"/>
  <c r="U957" i="2"/>
  <c r="U958" i="2"/>
  <c r="U959" i="2"/>
  <c r="U960" i="2"/>
  <c r="U961" i="2"/>
  <c r="U962" i="2"/>
  <c r="U963" i="2"/>
  <c r="U964" i="2"/>
  <c r="U965" i="2"/>
  <c r="U966" i="2"/>
  <c r="U967" i="2"/>
  <c r="U968" i="2"/>
  <c r="U969" i="2"/>
  <c r="U970" i="2"/>
  <c r="U971" i="2"/>
  <c r="U972" i="2"/>
  <c r="U973" i="2"/>
  <c r="U974" i="2"/>
  <c r="U975" i="2"/>
  <c r="U976" i="2"/>
  <c r="U977" i="2"/>
  <c r="U978" i="2"/>
  <c r="U979" i="2"/>
  <c r="U980" i="2"/>
  <c r="U981" i="2"/>
  <c r="U982" i="2"/>
  <c r="U983" i="2"/>
  <c r="U984" i="2"/>
  <c r="U985" i="2"/>
  <c r="U986" i="2"/>
  <c r="U987" i="2"/>
  <c r="U988" i="2"/>
  <c r="U989" i="2"/>
  <c r="U990" i="2"/>
  <c r="U991" i="2"/>
  <c r="U992" i="2"/>
  <c r="U993" i="2"/>
  <c r="U994" i="2"/>
  <c r="U995" i="2"/>
  <c r="U996" i="2"/>
  <c r="U997" i="2"/>
  <c r="U998" i="2"/>
  <c r="U999" i="2"/>
  <c r="U1000" i="2"/>
  <c r="U1001" i="2"/>
  <c r="U1002" i="2"/>
  <c r="U1003" i="2"/>
  <c r="U1004" i="2"/>
  <c r="U1005" i="2"/>
  <c r="U1006" i="2"/>
  <c r="U1007" i="2"/>
  <c r="U1008" i="2"/>
  <c r="U1009" i="2"/>
  <c r="U1010" i="2"/>
  <c r="U1011" i="2"/>
  <c r="U1012" i="2"/>
  <c r="U1013" i="2"/>
  <c r="U1014" i="2"/>
  <c r="U1015" i="2"/>
  <c r="U1016" i="2"/>
  <c r="U1017" i="2"/>
  <c r="U1018" i="2"/>
  <c r="U1019" i="2"/>
  <c r="U1020" i="2"/>
  <c r="U1021" i="2"/>
  <c r="U1022" i="2"/>
  <c r="U1023" i="2"/>
  <c r="U1024" i="2"/>
  <c r="U1025" i="2"/>
  <c r="U1026" i="2"/>
  <c r="U1027" i="2"/>
  <c r="U1028" i="2"/>
  <c r="U1029" i="2"/>
  <c r="U1030" i="2"/>
  <c r="U1031" i="2"/>
  <c r="U1032" i="2"/>
  <c r="U1033" i="2"/>
  <c r="U1034" i="2"/>
  <c r="U1035" i="2"/>
  <c r="U1036" i="2"/>
  <c r="U1037" i="2"/>
  <c r="U1038" i="2"/>
  <c r="U1039" i="2"/>
  <c r="U1040" i="2"/>
  <c r="U1041" i="2"/>
  <c r="U1042" i="2"/>
  <c r="U1043" i="2"/>
  <c r="U1044" i="2"/>
  <c r="U1045" i="2"/>
  <c r="U1046" i="2"/>
  <c r="U1047" i="2"/>
  <c r="U1048" i="2"/>
  <c r="U1049" i="2"/>
  <c r="U1050" i="2"/>
  <c r="U1051" i="2"/>
  <c r="U1052" i="2"/>
  <c r="U1053" i="2"/>
  <c r="U1054" i="2"/>
  <c r="U1055" i="2"/>
  <c r="U1056" i="2"/>
  <c r="U1057" i="2"/>
  <c r="U1058" i="2"/>
  <c r="U1059" i="2"/>
  <c r="U1060" i="2"/>
  <c r="U1061" i="2"/>
  <c r="U1062" i="2"/>
  <c r="U1063" i="2"/>
  <c r="U1064" i="2"/>
  <c r="U1065" i="2"/>
  <c r="U1066" i="2"/>
  <c r="U1067" i="2"/>
  <c r="U1068" i="2"/>
  <c r="U1069" i="2"/>
  <c r="U1070" i="2"/>
  <c r="U1071" i="2"/>
  <c r="U1072" i="2"/>
  <c r="U1073" i="2"/>
  <c r="U1074" i="2"/>
  <c r="U1075" i="2"/>
  <c r="U1076" i="2"/>
  <c r="U1077" i="2"/>
  <c r="U1078" i="2"/>
  <c r="U1079" i="2"/>
  <c r="U1080" i="2"/>
  <c r="U1081" i="2"/>
  <c r="U1082" i="2"/>
  <c r="U1083" i="2"/>
  <c r="U1084" i="2"/>
  <c r="U1085" i="2"/>
  <c r="U1086" i="2"/>
  <c r="U1087" i="2"/>
  <c r="U1088" i="2"/>
  <c r="U1089" i="2"/>
  <c r="U1090" i="2"/>
  <c r="U1091" i="2"/>
  <c r="U1092" i="2"/>
  <c r="U1093" i="2"/>
  <c r="U1094" i="2"/>
  <c r="U1095" i="2"/>
  <c r="U1096" i="2"/>
  <c r="U1097" i="2"/>
  <c r="U1098" i="2"/>
  <c r="U1099" i="2"/>
  <c r="U1100" i="2"/>
  <c r="U1101" i="2"/>
  <c r="U1102" i="2"/>
  <c r="U1103" i="2"/>
  <c r="U1104" i="2"/>
  <c r="U1105" i="2"/>
  <c r="U1106" i="2"/>
  <c r="U1107" i="2"/>
  <c r="U1108" i="2"/>
  <c r="U1109" i="2"/>
  <c r="U1110" i="2"/>
  <c r="U1111" i="2"/>
  <c r="U1112" i="2"/>
  <c r="U1113" i="2"/>
  <c r="U1114" i="2"/>
  <c r="U1115" i="2"/>
  <c r="U1116" i="2"/>
  <c r="U1117" i="2"/>
  <c r="U1118" i="2"/>
  <c r="U1119" i="2"/>
  <c r="U1120" i="2"/>
  <c r="U1121" i="2"/>
  <c r="U1122" i="2"/>
  <c r="U1123" i="2"/>
  <c r="U1124" i="2"/>
  <c r="U1125" i="2"/>
  <c r="U1126" i="2"/>
  <c r="U1127" i="2"/>
  <c r="U1128" i="2"/>
  <c r="U1129" i="2"/>
  <c r="U1130" i="2"/>
  <c r="U1131" i="2"/>
  <c r="U1132" i="2"/>
  <c r="U1133" i="2"/>
  <c r="U1134" i="2"/>
  <c r="U1135" i="2"/>
  <c r="U1136" i="2"/>
  <c r="U1137" i="2"/>
  <c r="U1138" i="2"/>
  <c r="U1139" i="2"/>
  <c r="U1140" i="2"/>
  <c r="U1141" i="2"/>
  <c r="U1142" i="2"/>
  <c r="U1143" i="2"/>
  <c r="U1144" i="2"/>
  <c r="U1145" i="2"/>
  <c r="U1146" i="2"/>
  <c r="U1147" i="2"/>
  <c r="U1148" i="2"/>
  <c r="U1149" i="2"/>
  <c r="U1150" i="2"/>
  <c r="U1151" i="2"/>
  <c r="U1152" i="2"/>
  <c r="U1153" i="2"/>
  <c r="U1154" i="2"/>
  <c r="U1155" i="2"/>
  <c r="U1156" i="2"/>
  <c r="U1157" i="2"/>
  <c r="U1158" i="2"/>
  <c r="U1159" i="2"/>
  <c r="U1160" i="2"/>
  <c r="U1161" i="2"/>
  <c r="U1162" i="2"/>
  <c r="U1163" i="2"/>
  <c r="U1164" i="2"/>
  <c r="U1165" i="2"/>
  <c r="U1166" i="2"/>
  <c r="U1167" i="2"/>
  <c r="U1168" i="2"/>
  <c r="U1169" i="2"/>
  <c r="U1170" i="2"/>
  <c r="U1171" i="2"/>
  <c r="U1172" i="2"/>
  <c r="U1173" i="2"/>
  <c r="U1174" i="2"/>
  <c r="U1175" i="2"/>
  <c r="U1176" i="2"/>
  <c r="U1177" i="2"/>
  <c r="U1178" i="2"/>
  <c r="U1179" i="2"/>
  <c r="U1180" i="2"/>
  <c r="U1181" i="2"/>
  <c r="U1182" i="2"/>
  <c r="U1183" i="2"/>
  <c r="U1184" i="2"/>
  <c r="U1185" i="2"/>
  <c r="U1186" i="2"/>
  <c r="U1187" i="2"/>
  <c r="U1188" i="2"/>
  <c r="U1189" i="2"/>
  <c r="U1190" i="2"/>
  <c r="U1191" i="2"/>
  <c r="U1192" i="2"/>
  <c r="U1193" i="2"/>
  <c r="U1194" i="2"/>
  <c r="U1195" i="2"/>
  <c r="U1196" i="2"/>
  <c r="U1197" i="2"/>
  <c r="U1198" i="2"/>
  <c r="U1199" i="2"/>
  <c r="U1200" i="2"/>
  <c r="U1201" i="2"/>
  <c r="U1202" i="2"/>
  <c r="U1203" i="2"/>
  <c r="U1204" i="2"/>
  <c r="U1205" i="2"/>
  <c r="U1206" i="2"/>
  <c r="U1207" i="2"/>
  <c r="U1208" i="2"/>
  <c r="U1209" i="2"/>
  <c r="U1210" i="2"/>
  <c r="U1211" i="2"/>
  <c r="U1212" i="2"/>
  <c r="U1213" i="2"/>
  <c r="U1214" i="2"/>
  <c r="U1215" i="2"/>
  <c r="U1216" i="2"/>
  <c r="U1217" i="2"/>
  <c r="U1218" i="2"/>
  <c r="U1219" i="2"/>
  <c r="U1220" i="2"/>
  <c r="U1221" i="2"/>
  <c r="U1222" i="2"/>
  <c r="U1223" i="2"/>
  <c r="U1224" i="2"/>
  <c r="U1225" i="2"/>
  <c r="U1226" i="2"/>
  <c r="U1227" i="2"/>
  <c r="U1228" i="2"/>
  <c r="U1229" i="2"/>
  <c r="U1230" i="2"/>
  <c r="U1231" i="2"/>
  <c r="U1232" i="2"/>
  <c r="U1233" i="2"/>
  <c r="U1234" i="2"/>
  <c r="U1235" i="2"/>
  <c r="U1236" i="2"/>
  <c r="U1237" i="2"/>
  <c r="U1238" i="2"/>
  <c r="U1239" i="2"/>
  <c r="U1240" i="2"/>
  <c r="U1241" i="2"/>
  <c r="U1242" i="2"/>
  <c r="U1243" i="2"/>
  <c r="U1244" i="2"/>
  <c r="U1245" i="2"/>
  <c r="U1246" i="2"/>
  <c r="U1247" i="2"/>
  <c r="U1248" i="2"/>
  <c r="U1249" i="2"/>
  <c r="U1250" i="2"/>
  <c r="U1251" i="2"/>
  <c r="U1252" i="2"/>
  <c r="U1253" i="2"/>
  <c r="U1254" i="2"/>
  <c r="U1255" i="2"/>
  <c r="U1256" i="2"/>
  <c r="U1257" i="2"/>
  <c r="U1258" i="2"/>
  <c r="U1259" i="2"/>
  <c r="U1260" i="2"/>
  <c r="U1261" i="2"/>
  <c r="U1262" i="2"/>
  <c r="U1263" i="2"/>
  <c r="U1264" i="2"/>
  <c r="U1265" i="2"/>
  <c r="U1266" i="2"/>
  <c r="U1267" i="2"/>
  <c r="U1268" i="2"/>
  <c r="U1269" i="2"/>
  <c r="U1270" i="2"/>
  <c r="U1271" i="2"/>
  <c r="U1272" i="2"/>
  <c r="U1273" i="2"/>
  <c r="U1274" i="2"/>
  <c r="U1275" i="2"/>
  <c r="U1276" i="2"/>
  <c r="X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57" i="2"/>
  <c r="X258" i="2"/>
  <c r="X259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273" i="2"/>
  <c r="X274" i="2"/>
  <c r="X275" i="2"/>
  <c r="X276" i="2"/>
  <c r="X277" i="2"/>
  <c r="X278" i="2"/>
  <c r="X279" i="2"/>
  <c r="X280" i="2"/>
  <c r="X281" i="2"/>
  <c r="X282" i="2"/>
  <c r="X283" i="2"/>
  <c r="X284" i="2"/>
  <c r="X285" i="2"/>
  <c r="X286" i="2"/>
  <c r="X287" i="2"/>
  <c r="X288" i="2"/>
  <c r="X289" i="2"/>
  <c r="X290" i="2"/>
  <c r="X291" i="2"/>
  <c r="X292" i="2"/>
  <c r="X293" i="2"/>
  <c r="X294" i="2"/>
  <c r="X295" i="2"/>
  <c r="X296" i="2"/>
  <c r="X297" i="2"/>
  <c r="X298" i="2"/>
  <c r="X299" i="2"/>
  <c r="X300" i="2"/>
  <c r="X301" i="2"/>
  <c r="X302" i="2"/>
  <c r="X303" i="2"/>
  <c r="X304" i="2"/>
  <c r="X305" i="2"/>
  <c r="X306" i="2"/>
  <c r="X307" i="2"/>
  <c r="X308" i="2"/>
  <c r="X309" i="2"/>
  <c r="X310" i="2"/>
  <c r="X311" i="2"/>
  <c r="X312" i="2"/>
  <c r="X313" i="2"/>
  <c r="X314" i="2"/>
  <c r="X315" i="2"/>
  <c r="X316" i="2"/>
  <c r="X317" i="2"/>
  <c r="X318" i="2"/>
  <c r="X319" i="2"/>
  <c r="X320" i="2"/>
  <c r="X321" i="2"/>
  <c r="X322" i="2"/>
  <c r="X323" i="2"/>
  <c r="X324" i="2"/>
  <c r="X325" i="2"/>
  <c r="X326" i="2"/>
  <c r="X327" i="2"/>
  <c r="X328" i="2"/>
  <c r="X329" i="2"/>
  <c r="X330" i="2"/>
  <c r="X331" i="2"/>
  <c r="X332" i="2"/>
  <c r="X333" i="2"/>
  <c r="X334" i="2"/>
  <c r="X335" i="2"/>
  <c r="X336" i="2"/>
  <c r="X337" i="2"/>
  <c r="X338" i="2"/>
  <c r="X339" i="2"/>
  <c r="X340" i="2"/>
  <c r="X341" i="2"/>
  <c r="X342" i="2"/>
  <c r="X343" i="2"/>
  <c r="X344" i="2"/>
  <c r="X345" i="2"/>
  <c r="X346" i="2"/>
  <c r="X347" i="2"/>
  <c r="X348" i="2"/>
  <c r="X349" i="2"/>
  <c r="X350" i="2"/>
  <c r="X351" i="2"/>
  <c r="X352" i="2"/>
  <c r="X353" i="2"/>
  <c r="X354" i="2"/>
  <c r="X355" i="2"/>
  <c r="X356" i="2"/>
  <c r="X357" i="2"/>
  <c r="X358" i="2"/>
  <c r="X359" i="2"/>
  <c r="X360" i="2"/>
  <c r="X361" i="2"/>
  <c r="X362" i="2"/>
  <c r="X363" i="2"/>
  <c r="X364" i="2"/>
  <c r="X365" i="2"/>
  <c r="X366" i="2"/>
  <c r="X367" i="2"/>
  <c r="X368" i="2"/>
  <c r="X369" i="2"/>
  <c r="X370" i="2"/>
  <c r="X371" i="2"/>
  <c r="X372" i="2"/>
  <c r="X373" i="2"/>
  <c r="X374" i="2"/>
  <c r="X375" i="2"/>
  <c r="X376" i="2"/>
  <c r="X377" i="2"/>
  <c r="X378" i="2"/>
  <c r="X379" i="2"/>
  <c r="X380" i="2"/>
  <c r="X381" i="2"/>
  <c r="X382" i="2"/>
  <c r="X383" i="2"/>
  <c r="X384" i="2"/>
  <c r="X385" i="2"/>
  <c r="X386" i="2"/>
  <c r="X387" i="2"/>
  <c r="X388" i="2"/>
  <c r="X389" i="2"/>
  <c r="X390" i="2"/>
  <c r="X391" i="2"/>
  <c r="X392" i="2"/>
  <c r="X393" i="2"/>
  <c r="X394" i="2"/>
  <c r="X395" i="2"/>
  <c r="X396" i="2"/>
  <c r="X397" i="2"/>
  <c r="X398" i="2"/>
  <c r="X399" i="2"/>
  <c r="X400" i="2"/>
  <c r="X401" i="2"/>
  <c r="X402" i="2"/>
  <c r="X403" i="2"/>
  <c r="X404" i="2"/>
  <c r="X405" i="2"/>
  <c r="X406" i="2"/>
  <c r="X407" i="2"/>
  <c r="X408" i="2"/>
  <c r="X409" i="2"/>
  <c r="X410" i="2"/>
  <c r="X411" i="2"/>
  <c r="X412" i="2"/>
  <c r="X413" i="2"/>
  <c r="X414" i="2"/>
  <c r="X415" i="2"/>
  <c r="X416" i="2"/>
  <c r="X417" i="2"/>
  <c r="X418" i="2"/>
  <c r="X419" i="2"/>
  <c r="X420" i="2"/>
  <c r="X421" i="2"/>
  <c r="X422" i="2"/>
  <c r="X423" i="2"/>
  <c r="X424" i="2"/>
  <c r="X425" i="2"/>
  <c r="X426" i="2"/>
  <c r="X427" i="2"/>
  <c r="X428" i="2"/>
  <c r="X429" i="2"/>
  <c r="X430" i="2"/>
  <c r="X431" i="2"/>
  <c r="X432" i="2"/>
  <c r="X433" i="2"/>
  <c r="X434" i="2"/>
  <c r="X435" i="2"/>
  <c r="X436" i="2"/>
  <c r="X437" i="2"/>
  <c r="X438" i="2"/>
  <c r="X439" i="2"/>
  <c r="X440" i="2"/>
  <c r="X441" i="2"/>
  <c r="X442" i="2"/>
  <c r="X443" i="2"/>
  <c r="X444" i="2"/>
  <c r="X445" i="2"/>
  <c r="X446" i="2"/>
  <c r="X447" i="2"/>
  <c r="X448" i="2"/>
  <c r="X449" i="2"/>
  <c r="X450" i="2"/>
  <c r="X451" i="2"/>
  <c r="X452" i="2"/>
  <c r="X453" i="2"/>
  <c r="X454" i="2"/>
  <c r="X455" i="2"/>
  <c r="X456" i="2"/>
  <c r="X457" i="2"/>
  <c r="X458" i="2"/>
  <c r="X459" i="2"/>
  <c r="X460" i="2"/>
  <c r="X461" i="2"/>
  <c r="X462" i="2"/>
  <c r="X463" i="2"/>
  <c r="X464" i="2"/>
  <c r="X465" i="2"/>
  <c r="X466" i="2"/>
  <c r="X467" i="2"/>
  <c r="X468" i="2"/>
  <c r="X469" i="2"/>
  <c r="X470" i="2"/>
  <c r="X471" i="2"/>
  <c r="X472" i="2"/>
  <c r="X473" i="2"/>
  <c r="X474" i="2"/>
  <c r="X475" i="2"/>
  <c r="X476" i="2"/>
  <c r="X477" i="2"/>
  <c r="X478" i="2"/>
  <c r="X479" i="2"/>
  <c r="X480" i="2"/>
  <c r="X481" i="2"/>
  <c r="X482" i="2"/>
  <c r="X483" i="2"/>
  <c r="X484" i="2"/>
  <c r="X485" i="2"/>
  <c r="X486" i="2"/>
  <c r="X487" i="2"/>
  <c r="X488" i="2"/>
  <c r="X489" i="2"/>
  <c r="X490" i="2"/>
  <c r="X491" i="2"/>
  <c r="X492" i="2"/>
  <c r="X493" i="2"/>
  <c r="X494" i="2"/>
  <c r="X495" i="2"/>
  <c r="X496" i="2"/>
  <c r="X497" i="2"/>
  <c r="X498" i="2"/>
  <c r="X499" i="2"/>
  <c r="X500" i="2"/>
  <c r="X501" i="2"/>
  <c r="X502" i="2"/>
  <c r="X503" i="2"/>
  <c r="X504" i="2"/>
  <c r="X505" i="2"/>
  <c r="X506" i="2"/>
  <c r="X507" i="2"/>
  <c r="X508" i="2"/>
  <c r="X509" i="2"/>
  <c r="X510" i="2"/>
  <c r="X511" i="2"/>
  <c r="X512" i="2"/>
  <c r="X513" i="2"/>
  <c r="X514" i="2"/>
  <c r="X515" i="2"/>
  <c r="X516" i="2"/>
  <c r="X517" i="2"/>
  <c r="X518" i="2"/>
  <c r="X519" i="2"/>
  <c r="X520" i="2"/>
  <c r="X521" i="2"/>
  <c r="X522" i="2"/>
  <c r="X523" i="2"/>
  <c r="X524" i="2"/>
  <c r="X525" i="2"/>
  <c r="X526" i="2"/>
  <c r="X527" i="2"/>
  <c r="X528" i="2"/>
  <c r="X529" i="2"/>
  <c r="X530" i="2"/>
  <c r="X531" i="2"/>
  <c r="X532" i="2"/>
  <c r="X533" i="2"/>
  <c r="X534" i="2"/>
  <c r="X535" i="2"/>
  <c r="X536" i="2"/>
  <c r="X537" i="2"/>
  <c r="X538" i="2"/>
  <c r="X539" i="2"/>
  <c r="X540" i="2"/>
  <c r="X541" i="2"/>
  <c r="X542" i="2"/>
  <c r="X543" i="2"/>
  <c r="X544" i="2"/>
  <c r="X545" i="2"/>
  <c r="X546" i="2"/>
  <c r="X547" i="2"/>
  <c r="X548" i="2"/>
  <c r="X549" i="2"/>
  <c r="X550" i="2"/>
  <c r="X551" i="2"/>
  <c r="X552" i="2"/>
  <c r="X553" i="2"/>
  <c r="X554" i="2"/>
  <c r="X555" i="2"/>
  <c r="X556" i="2"/>
  <c r="X557" i="2"/>
  <c r="X558" i="2"/>
  <c r="X559" i="2"/>
  <c r="X560" i="2"/>
  <c r="X561" i="2"/>
  <c r="X562" i="2"/>
  <c r="X563" i="2"/>
  <c r="X564" i="2"/>
  <c r="X565" i="2"/>
  <c r="X566" i="2"/>
  <c r="X567" i="2"/>
  <c r="X568" i="2"/>
  <c r="X569" i="2"/>
  <c r="X570" i="2"/>
  <c r="X571" i="2"/>
  <c r="X572" i="2"/>
  <c r="X573" i="2"/>
  <c r="X574" i="2"/>
  <c r="X575" i="2"/>
  <c r="X576" i="2"/>
  <c r="X577" i="2"/>
  <c r="X578" i="2"/>
  <c r="X579" i="2"/>
  <c r="X580" i="2"/>
  <c r="X581" i="2"/>
  <c r="X582" i="2"/>
  <c r="X583" i="2"/>
  <c r="X584" i="2"/>
  <c r="X585" i="2"/>
  <c r="X586" i="2"/>
  <c r="X587" i="2"/>
  <c r="X588" i="2"/>
  <c r="X589" i="2"/>
  <c r="X590" i="2"/>
  <c r="X591" i="2"/>
  <c r="X592" i="2"/>
  <c r="X593" i="2"/>
  <c r="X594" i="2"/>
  <c r="X595" i="2"/>
  <c r="X596" i="2"/>
  <c r="X597" i="2"/>
  <c r="X598" i="2"/>
  <c r="X599" i="2"/>
  <c r="X600" i="2"/>
  <c r="X601" i="2"/>
  <c r="X602" i="2"/>
  <c r="X603" i="2"/>
  <c r="X604" i="2"/>
  <c r="X605" i="2"/>
  <c r="X606" i="2"/>
  <c r="X607" i="2"/>
  <c r="X608" i="2"/>
  <c r="X609" i="2"/>
  <c r="X610" i="2"/>
  <c r="X611" i="2"/>
  <c r="X612" i="2"/>
  <c r="X613" i="2"/>
  <c r="X614" i="2"/>
  <c r="X615" i="2"/>
  <c r="X616" i="2"/>
  <c r="X617" i="2"/>
  <c r="X618" i="2"/>
  <c r="X619" i="2"/>
  <c r="X620" i="2"/>
  <c r="X621" i="2"/>
  <c r="X622" i="2"/>
  <c r="X623" i="2"/>
  <c r="X624" i="2"/>
  <c r="X625" i="2"/>
  <c r="X626" i="2"/>
  <c r="X627" i="2"/>
  <c r="X628" i="2"/>
  <c r="X629" i="2"/>
  <c r="X630" i="2"/>
  <c r="X631" i="2"/>
  <c r="X632" i="2"/>
  <c r="X633" i="2"/>
  <c r="X634" i="2"/>
  <c r="X635" i="2"/>
  <c r="X636" i="2"/>
  <c r="X637" i="2"/>
  <c r="X638" i="2"/>
  <c r="X639" i="2"/>
  <c r="X640" i="2"/>
  <c r="X641" i="2"/>
  <c r="X642" i="2"/>
  <c r="X643" i="2"/>
  <c r="X644" i="2"/>
  <c r="X645" i="2"/>
  <c r="X646" i="2"/>
  <c r="X647" i="2"/>
  <c r="X648" i="2"/>
  <c r="X649" i="2"/>
  <c r="X650" i="2"/>
  <c r="X651" i="2"/>
  <c r="X652" i="2"/>
  <c r="X653" i="2"/>
  <c r="X654" i="2"/>
  <c r="X655" i="2"/>
  <c r="X656" i="2"/>
  <c r="X657" i="2"/>
  <c r="X658" i="2"/>
  <c r="X659" i="2"/>
  <c r="X660" i="2"/>
  <c r="X661" i="2"/>
  <c r="X662" i="2"/>
  <c r="X663" i="2"/>
  <c r="X664" i="2"/>
  <c r="X665" i="2"/>
  <c r="X666" i="2"/>
  <c r="X667" i="2"/>
  <c r="X668" i="2"/>
  <c r="X669" i="2"/>
  <c r="X670" i="2"/>
  <c r="X671" i="2"/>
  <c r="X672" i="2"/>
  <c r="X673" i="2"/>
  <c r="X674" i="2"/>
  <c r="X675" i="2"/>
  <c r="X676" i="2"/>
  <c r="X677" i="2"/>
  <c r="X678" i="2"/>
  <c r="X679" i="2"/>
  <c r="X680" i="2"/>
  <c r="X681" i="2"/>
  <c r="X682" i="2"/>
  <c r="X683" i="2"/>
  <c r="X684" i="2"/>
  <c r="X685" i="2"/>
  <c r="X686" i="2"/>
  <c r="X687" i="2"/>
  <c r="X688" i="2"/>
  <c r="X689" i="2"/>
  <c r="X690" i="2"/>
  <c r="X691" i="2"/>
  <c r="X692" i="2"/>
  <c r="X693" i="2"/>
  <c r="X694" i="2"/>
  <c r="X695" i="2"/>
  <c r="X696" i="2"/>
  <c r="X697" i="2"/>
  <c r="X698" i="2"/>
  <c r="X699" i="2"/>
  <c r="X700" i="2"/>
  <c r="X701" i="2"/>
  <c r="X702" i="2"/>
  <c r="X703" i="2"/>
  <c r="X704" i="2"/>
  <c r="X705" i="2"/>
  <c r="X706" i="2"/>
  <c r="X707" i="2"/>
  <c r="X708" i="2"/>
  <c r="X709" i="2"/>
  <c r="X710" i="2"/>
  <c r="X711" i="2"/>
  <c r="X712" i="2"/>
  <c r="X713" i="2"/>
  <c r="X714" i="2"/>
  <c r="X715" i="2"/>
  <c r="X716" i="2"/>
  <c r="X717" i="2"/>
  <c r="X718" i="2"/>
  <c r="X719" i="2"/>
  <c r="X720" i="2"/>
  <c r="X721" i="2"/>
  <c r="X722" i="2"/>
  <c r="X723" i="2"/>
  <c r="X724" i="2"/>
  <c r="X725" i="2"/>
  <c r="X726" i="2"/>
  <c r="X727" i="2"/>
  <c r="X728" i="2"/>
  <c r="X729" i="2"/>
  <c r="X730" i="2"/>
  <c r="X731" i="2"/>
  <c r="X732" i="2"/>
  <c r="X733" i="2"/>
  <c r="X734" i="2"/>
  <c r="X735" i="2"/>
  <c r="X736" i="2"/>
  <c r="X737" i="2"/>
  <c r="X738" i="2"/>
  <c r="X739" i="2"/>
  <c r="X740" i="2"/>
  <c r="X741" i="2"/>
  <c r="X742" i="2"/>
  <c r="X743" i="2"/>
  <c r="X744" i="2"/>
  <c r="X745" i="2"/>
  <c r="X746" i="2"/>
  <c r="X747" i="2"/>
  <c r="X748" i="2"/>
  <c r="X749" i="2"/>
  <c r="X750" i="2"/>
  <c r="X751" i="2"/>
  <c r="X752" i="2"/>
  <c r="X753" i="2"/>
  <c r="X754" i="2"/>
  <c r="X755" i="2"/>
  <c r="X756" i="2"/>
  <c r="X757" i="2"/>
  <c r="X758" i="2"/>
  <c r="X759" i="2"/>
  <c r="X760" i="2"/>
  <c r="X761" i="2"/>
  <c r="X762" i="2"/>
  <c r="X763" i="2"/>
  <c r="X764" i="2"/>
  <c r="X765" i="2"/>
  <c r="X766" i="2"/>
  <c r="X767" i="2"/>
  <c r="X768" i="2"/>
  <c r="X769" i="2"/>
  <c r="X770" i="2"/>
  <c r="X771" i="2"/>
  <c r="X772" i="2"/>
  <c r="X773" i="2"/>
  <c r="X774" i="2"/>
  <c r="X775" i="2"/>
  <c r="X776" i="2"/>
  <c r="X777" i="2"/>
  <c r="X778" i="2"/>
  <c r="X779" i="2"/>
  <c r="X780" i="2"/>
  <c r="X781" i="2"/>
  <c r="X782" i="2"/>
  <c r="X783" i="2"/>
  <c r="X784" i="2"/>
  <c r="X785" i="2"/>
  <c r="X786" i="2"/>
  <c r="X787" i="2"/>
  <c r="X788" i="2"/>
  <c r="X789" i="2"/>
  <c r="X790" i="2"/>
  <c r="X791" i="2"/>
  <c r="X792" i="2"/>
  <c r="X793" i="2"/>
  <c r="X794" i="2"/>
  <c r="X795" i="2"/>
  <c r="X796" i="2"/>
  <c r="X797" i="2"/>
  <c r="X798" i="2"/>
  <c r="X799" i="2"/>
  <c r="X800" i="2"/>
  <c r="X801" i="2"/>
  <c r="X802" i="2"/>
  <c r="X803" i="2"/>
  <c r="X804" i="2"/>
  <c r="X805" i="2"/>
  <c r="X806" i="2"/>
  <c r="X807" i="2"/>
  <c r="X808" i="2"/>
  <c r="X809" i="2"/>
  <c r="X810" i="2"/>
  <c r="X811" i="2"/>
  <c r="X812" i="2"/>
  <c r="X813" i="2"/>
  <c r="X814" i="2"/>
  <c r="X815" i="2"/>
  <c r="X816" i="2"/>
  <c r="X817" i="2"/>
  <c r="X818" i="2"/>
  <c r="X819" i="2"/>
  <c r="X820" i="2"/>
  <c r="X821" i="2"/>
  <c r="X822" i="2"/>
  <c r="X823" i="2"/>
  <c r="X824" i="2"/>
  <c r="X825" i="2"/>
  <c r="X826" i="2"/>
  <c r="X827" i="2"/>
  <c r="X828" i="2"/>
  <c r="X829" i="2"/>
  <c r="X830" i="2"/>
  <c r="X831" i="2"/>
  <c r="X832" i="2"/>
  <c r="X833" i="2"/>
  <c r="X834" i="2"/>
  <c r="X835" i="2"/>
  <c r="X836" i="2"/>
  <c r="X837" i="2"/>
  <c r="X838" i="2"/>
  <c r="X839" i="2"/>
  <c r="X840" i="2"/>
  <c r="X841" i="2"/>
  <c r="X842" i="2"/>
  <c r="X843" i="2"/>
  <c r="X844" i="2"/>
  <c r="X845" i="2"/>
  <c r="X846" i="2"/>
  <c r="X847" i="2"/>
  <c r="X848" i="2"/>
  <c r="X849" i="2"/>
  <c r="X850" i="2"/>
  <c r="X851" i="2"/>
  <c r="X852" i="2"/>
  <c r="X853" i="2"/>
  <c r="X854" i="2"/>
  <c r="X855" i="2"/>
  <c r="X856" i="2"/>
  <c r="X857" i="2"/>
  <c r="X858" i="2"/>
  <c r="X859" i="2"/>
  <c r="X860" i="2"/>
  <c r="X861" i="2"/>
  <c r="X862" i="2"/>
  <c r="X863" i="2"/>
  <c r="X864" i="2"/>
  <c r="X865" i="2"/>
  <c r="X866" i="2"/>
  <c r="X867" i="2"/>
  <c r="X868" i="2"/>
  <c r="X869" i="2"/>
  <c r="X870" i="2"/>
  <c r="X871" i="2"/>
  <c r="X872" i="2"/>
  <c r="X873" i="2"/>
  <c r="X874" i="2"/>
  <c r="X875" i="2"/>
  <c r="X876" i="2"/>
  <c r="X877" i="2"/>
  <c r="X878" i="2"/>
  <c r="X879" i="2"/>
  <c r="X880" i="2"/>
  <c r="X881" i="2"/>
  <c r="X882" i="2"/>
  <c r="X883" i="2"/>
  <c r="X884" i="2"/>
  <c r="X885" i="2"/>
  <c r="X886" i="2"/>
  <c r="X887" i="2"/>
  <c r="X888" i="2"/>
  <c r="X889" i="2"/>
  <c r="X890" i="2"/>
  <c r="X891" i="2"/>
  <c r="X892" i="2"/>
  <c r="X893" i="2"/>
  <c r="X894" i="2"/>
  <c r="X895" i="2"/>
  <c r="X896" i="2"/>
  <c r="X897" i="2"/>
  <c r="X898" i="2"/>
  <c r="X899" i="2"/>
  <c r="X900" i="2"/>
  <c r="X901" i="2"/>
  <c r="X902" i="2"/>
  <c r="X903" i="2"/>
  <c r="X904" i="2"/>
  <c r="X905" i="2"/>
  <c r="X906" i="2"/>
  <c r="X907" i="2"/>
  <c r="X908" i="2"/>
  <c r="X909" i="2"/>
  <c r="X910" i="2"/>
  <c r="X911" i="2"/>
  <c r="X912" i="2"/>
  <c r="X913" i="2"/>
  <c r="X914" i="2"/>
  <c r="X915" i="2"/>
  <c r="X916" i="2"/>
  <c r="X917" i="2"/>
  <c r="X918" i="2"/>
  <c r="X919" i="2"/>
  <c r="X920" i="2"/>
  <c r="X921" i="2"/>
  <c r="X922" i="2"/>
  <c r="X923" i="2"/>
  <c r="X924" i="2"/>
  <c r="X925" i="2"/>
  <c r="X926" i="2"/>
  <c r="X927" i="2"/>
  <c r="X928" i="2"/>
  <c r="X929" i="2"/>
  <c r="X930" i="2"/>
  <c r="X931" i="2"/>
  <c r="X932" i="2"/>
  <c r="X933" i="2"/>
  <c r="X934" i="2"/>
  <c r="X935" i="2"/>
  <c r="X936" i="2"/>
  <c r="X937" i="2"/>
  <c r="X938" i="2"/>
  <c r="X939" i="2"/>
  <c r="X940" i="2"/>
  <c r="X941" i="2"/>
  <c r="X942" i="2"/>
  <c r="X943" i="2"/>
  <c r="X944" i="2"/>
  <c r="X945" i="2"/>
  <c r="X946" i="2"/>
  <c r="X947" i="2"/>
  <c r="X948" i="2"/>
  <c r="X949" i="2"/>
  <c r="X950" i="2"/>
  <c r="X951" i="2"/>
  <c r="X952" i="2"/>
  <c r="X953" i="2"/>
  <c r="X954" i="2"/>
  <c r="X955" i="2"/>
  <c r="X956" i="2"/>
  <c r="X957" i="2"/>
  <c r="X958" i="2"/>
  <c r="X959" i="2"/>
  <c r="X960" i="2"/>
  <c r="X961" i="2"/>
  <c r="X962" i="2"/>
  <c r="X963" i="2"/>
  <c r="X964" i="2"/>
  <c r="X965" i="2"/>
  <c r="X966" i="2"/>
  <c r="X967" i="2"/>
  <c r="X968" i="2"/>
  <c r="X969" i="2"/>
  <c r="X970" i="2"/>
  <c r="X971" i="2"/>
  <c r="X972" i="2"/>
  <c r="X973" i="2"/>
  <c r="X974" i="2"/>
  <c r="X975" i="2"/>
  <c r="X976" i="2"/>
  <c r="X977" i="2"/>
  <c r="X978" i="2"/>
  <c r="X979" i="2"/>
  <c r="X980" i="2"/>
  <c r="X981" i="2"/>
  <c r="X982" i="2"/>
  <c r="X983" i="2"/>
  <c r="X984" i="2"/>
  <c r="X985" i="2"/>
  <c r="X986" i="2"/>
  <c r="X987" i="2"/>
  <c r="X988" i="2"/>
  <c r="X989" i="2"/>
  <c r="X990" i="2"/>
  <c r="X991" i="2"/>
  <c r="X992" i="2"/>
  <c r="X993" i="2"/>
  <c r="X994" i="2"/>
  <c r="X995" i="2"/>
  <c r="X996" i="2"/>
  <c r="X997" i="2"/>
  <c r="X998" i="2"/>
  <c r="X999" i="2"/>
  <c r="X1000" i="2"/>
  <c r="X1001" i="2"/>
  <c r="X1002" i="2"/>
  <c r="X1003" i="2"/>
  <c r="X1004" i="2"/>
  <c r="X1005" i="2"/>
  <c r="X1006" i="2"/>
  <c r="X1007" i="2"/>
  <c r="X1008" i="2"/>
  <c r="X1009" i="2"/>
  <c r="X1010" i="2"/>
  <c r="X1011" i="2"/>
  <c r="X1012" i="2"/>
  <c r="X1013" i="2"/>
  <c r="X1014" i="2"/>
  <c r="X1015" i="2"/>
  <c r="X1016" i="2"/>
  <c r="X1017" i="2"/>
  <c r="X1018" i="2"/>
  <c r="X1019" i="2"/>
  <c r="X1020" i="2"/>
  <c r="X1021" i="2"/>
  <c r="X1022" i="2"/>
  <c r="X1023" i="2"/>
  <c r="X1024" i="2"/>
  <c r="X1025" i="2"/>
  <c r="X1026" i="2"/>
  <c r="X1027" i="2"/>
  <c r="X1028" i="2"/>
  <c r="X1029" i="2"/>
  <c r="X1030" i="2"/>
  <c r="X1031" i="2"/>
  <c r="X1032" i="2"/>
  <c r="X1033" i="2"/>
  <c r="X1034" i="2"/>
  <c r="X1035" i="2"/>
  <c r="X1036" i="2"/>
  <c r="X1037" i="2"/>
  <c r="X1038" i="2"/>
  <c r="X1039" i="2"/>
  <c r="X1040" i="2"/>
  <c r="X1041" i="2"/>
  <c r="X1042" i="2"/>
  <c r="X1043" i="2"/>
  <c r="X1044" i="2"/>
  <c r="X1045" i="2"/>
  <c r="X1046" i="2"/>
  <c r="X1047" i="2"/>
  <c r="X1048" i="2"/>
  <c r="X1049" i="2"/>
  <c r="X1050" i="2"/>
  <c r="X1051" i="2"/>
  <c r="X1052" i="2"/>
  <c r="X1053" i="2"/>
  <c r="X1054" i="2"/>
  <c r="X1055" i="2"/>
  <c r="X1056" i="2"/>
  <c r="X1057" i="2"/>
  <c r="X1058" i="2"/>
  <c r="X1059" i="2"/>
  <c r="X1060" i="2"/>
  <c r="X1061" i="2"/>
  <c r="X1062" i="2"/>
  <c r="X1063" i="2"/>
  <c r="X1064" i="2"/>
  <c r="X1065" i="2"/>
  <c r="X1066" i="2"/>
  <c r="X1067" i="2"/>
  <c r="X1068" i="2"/>
  <c r="X1069" i="2"/>
  <c r="X1070" i="2"/>
  <c r="X1071" i="2"/>
  <c r="X1072" i="2"/>
  <c r="X1073" i="2"/>
  <c r="X1074" i="2"/>
  <c r="X1075" i="2"/>
  <c r="X1076" i="2"/>
  <c r="X1077" i="2"/>
  <c r="X1078" i="2"/>
  <c r="X1079" i="2"/>
  <c r="X1080" i="2"/>
  <c r="X1081" i="2"/>
  <c r="X1082" i="2"/>
  <c r="X1083" i="2"/>
  <c r="X1084" i="2"/>
  <c r="X1085" i="2"/>
  <c r="X1086" i="2"/>
  <c r="X1087" i="2"/>
  <c r="X1088" i="2"/>
  <c r="X1089" i="2"/>
  <c r="X1090" i="2"/>
  <c r="X1091" i="2"/>
  <c r="X1092" i="2"/>
  <c r="X1093" i="2"/>
  <c r="X1094" i="2"/>
  <c r="X1095" i="2"/>
  <c r="X1096" i="2"/>
  <c r="X1097" i="2"/>
  <c r="X1098" i="2"/>
  <c r="X1099" i="2"/>
  <c r="X1100" i="2"/>
  <c r="X1101" i="2"/>
  <c r="X1102" i="2"/>
  <c r="X1103" i="2"/>
  <c r="X1104" i="2"/>
  <c r="X1105" i="2"/>
  <c r="X1106" i="2"/>
  <c r="X1107" i="2"/>
  <c r="X1108" i="2"/>
  <c r="X1109" i="2"/>
  <c r="X1110" i="2"/>
  <c r="X1111" i="2"/>
  <c r="X1112" i="2"/>
  <c r="X1113" i="2"/>
  <c r="X1114" i="2"/>
  <c r="X1115" i="2"/>
  <c r="X1116" i="2"/>
  <c r="X1117" i="2"/>
  <c r="X1118" i="2"/>
  <c r="X1119" i="2"/>
  <c r="X1120" i="2"/>
  <c r="X1121" i="2"/>
  <c r="X1122" i="2"/>
  <c r="X1123" i="2"/>
  <c r="X1124" i="2"/>
  <c r="X1125" i="2"/>
  <c r="X1126" i="2"/>
  <c r="X1127" i="2"/>
  <c r="X1128" i="2"/>
  <c r="X1129" i="2"/>
  <c r="X1130" i="2"/>
  <c r="X1131" i="2"/>
  <c r="X1132" i="2"/>
  <c r="X1133" i="2"/>
  <c r="X1134" i="2"/>
  <c r="X1135" i="2"/>
  <c r="X1136" i="2"/>
  <c r="X1137" i="2"/>
  <c r="X1138" i="2"/>
  <c r="X1139" i="2"/>
  <c r="X1140" i="2"/>
  <c r="X1141" i="2"/>
  <c r="X1142" i="2"/>
  <c r="X1143" i="2"/>
  <c r="X1144" i="2"/>
  <c r="X1145" i="2"/>
  <c r="X1146" i="2"/>
  <c r="X1147" i="2"/>
  <c r="X1148" i="2"/>
  <c r="X1149" i="2"/>
  <c r="X1150" i="2"/>
  <c r="X1151" i="2"/>
  <c r="X1152" i="2"/>
  <c r="X1153" i="2"/>
  <c r="X1154" i="2"/>
  <c r="X1155" i="2"/>
  <c r="X1156" i="2"/>
  <c r="X1157" i="2"/>
  <c r="X1158" i="2"/>
  <c r="X1159" i="2"/>
  <c r="X1160" i="2"/>
  <c r="X1161" i="2"/>
  <c r="X1162" i="2"/>
  <c r="X1163" i="2"/>
  <c r="X1164" i="2"/>
  <c r="X1165" i="2"/>
  <c r="X1166" i="2"/>
  <c r="X1167" i="2"/>
  <c r="X1168" i="2"/>
  <c r="X1169" i="2"/>
  <c r="X1170" i="2"/>
  <c r="X1171" i="2"/>
  <c r="X1172" i="2"/>
  <c r="X1173" i="2"/>
  <c r="X1174" i="2"/>
  <c r="X1175" i="2"/>
  <c r="X1176" i="2"/>
  <c r="X1177" i="2"/>
  <c r="X1178" i="2"/>
  <c r="X1179" i="2"/>
  <c r="X1180" i="2"/>
  <c r="X1181" i="2"/>
  <c r="X1182" i="2"/>
  <c r="X1183" i="2"/>
  <c r="X1184" i="2"/>
  <c r="X1185" i="2"/>
  <c r="X1186" i="2"/>
  <c r="X1187" i="2"/>
  <c r="X1188" i="2"/>
  <c r="X1189" i="2"/>
  <c r="X1190" i="2"/>
  <c r="X1191" i="2"/>
  <c r="X1192" i="2"/>
  <c r="X1193" i="2"/>
  <c r="X1194" i="2"/>
  <c r="X1195" i="2"/>
  <c r="X1196" i="2"/>
  <c r="X1197" i="2"/>
  <c r="X1198" i="2"/>
  <c r="X1199" i="2"/>
  <c r="X1200" i="2"/>
  <c r="X1201" i="2"/>
  <c r="X1202" i="2"/>
  <c r="X1203" i="2"/>
  <c r="X1204" i="2"/>
  <c r="X1205" i="2"/>
  <c r="X1206" i="2"/>
  <c r="X1207" i="2"/>
  <c r="X1208" i="2"/>
  <c r="X1209" i="2"/>
  <c r="X1210" i="2"/>
  <c r="X1211" i="2"/>
  <c r="X1212" i="2"/>
  <c r="X1213" i="2"/>
  <c r="X1214" i="2"/>
  <c r="X1215" i="2"/>
  <c r="X1216" i="2"/>
  <c r="X1217" i="2"/>
  <c r="X1218" i="2"/>
  <c r="X1219" i="2"/>
  <c r="X1220" i="2"/>
  <c r="X1221" i="2"/>
  <c r="X1222" i="2"/>
  <c r="X1223" i="2"/>
  <c r="X1224" i="2"/>
  <c r="X1225" i="2"/>
  <c r="X1226" i="2"/>
  <c r="X1227" i="2"/>
  <c r="X1228" i="2"/>
  <c r="X1229" i="2"/>
  <c r="X1230" i="2"/>
  <c r="X1231" i="2"/>
  <c r="X1232" i="2"/>
  <c r="X1233" i="2"/>
  <c r="X1234" i="2"/>
  <c r="X1235" i="2"/>
  <c r="X1236" i="2"/>
  <c r="X1237" i="2"/>
  <c r="X1238" i="2"/>
  <c r="X1239" i="2"/>
  <c r="X1240" i="2"/>
  <c r="X1241" i="2"/>
  <c r="X1242" i="2"/>
  <c r="X1243" i="2"/>
  <c r="X1244" i="2"/>
  <c r="X1245" i="2"/>
  <c r="X1246" i="2"/>
  <c r="X1247" i="2"/>
  <c r="X1248" i="2"/>
  <c r="X1249" i="2"/>
  <c r="X1250" i="2"/>
  <c r="X1251" i="2"/>
  <c r="X1252" i="2"/>
  <c r="X1253" i="2"/>
  <c r="X1254" i="2"/>
  <c r="X1255" i="2"/>
  <c r="X1256" i="2"/>
  <c r="X1257" i="2"/>
  <c r="X1258" i="2"/>
  <c r="X1259" i="2"/>
  <c r="X1260" i="2"/>
  <c r="X1261" i="2"/>
  <c r="X1262" i="2"/>
  <c r="X1263" i="2"/>
  <c r="X1264" i="2"/>
  <c r="X1265" i="2"/>
  <c r="X1266" i="2"/>
  <c r="X1267" i="2"/>
  <c r="X1268" i="2"/>
  <c r="X1269" i="2"/>
  <c r="X1270" i="2"/>
  <c r="X1271" i="2"/>
  <c r="X1272" i="2"/>
  <c r="X1273" i="2"/>
  <c r="X1274" i="2"/>
  <c r="X1275" i="2"/>
  <c r="X1276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6" i="2"/>
  <c r="Z227" i="2"/>
  <c r="Z228" i="2"/>
  <c r="Z229" i="2"/>
  <c r="Z230" i="2"/>
  <c r="Z231" i="2"/>
  <c r="Z232" i="2"/>
  <c r="Z233" i="2"/>
  <c r="Z234" i="2"/>
  <c r="Z235" i="2"/>
  <c r="Z236" i="2"/>
  <c r="Z237" i="2"/>
  <c r="Z238" i="2"/>
  <c r="Z239" i="2"/>
  <c r="Z240" i="2"/>
  <c r="Z241" i="2"/>
  <c r="Z242" i="2"/>
  <c r="Z243" i="2"/>
  <c r="Z244" i="2"/>
  <c r="Z245" i="2"/>
  <c r="Z246" i="2"/>
  <c r="Z247" i="2"/>
  <c r="Z248" i="2"/>
  <c r="Z249" i="2"/>
  <c r="Z250" i="2"/>
  <c r="Z251" i="2"/>
  <c r="Z252" i="2"/>
  <c r="Z253" i="2"/>
  <c r="Z254" i="2"/>
  <c r="Z255" i="2"/>
  <c r="Z256" i="2"/>
  <c r="Z257" i="2"/>
  <c r="Z258" i="2"/>
  <c r="Z259" i="2"/>
  <c r="Z260" i="2"/>
  <c r="Z261" i="2"/>
  <c r="Z262" i="2"/>
  <c r="Z263" i="2"/>
  <c r="Z264" i="2"/>
  <c r="Z265" i="2"/>
  <c r="Z266" i="2"/>
  <c r="Z267" i="2"/>
  <c r="Z268" i="2"/>
  <c r="Z269" i="2"/>
  <c r="Z270" i="2"/>
  <c r="Z271" i="2"/>
  <c r="Z272" i="2"/>
  <c r="Z273" i="2"/>
  <c r="Z274" i="2"/>
  <c r="Z275" i="2"/>
  <c r="Z276" i="2"/>
  <c r="Z277" i="2"/>
  <c r="Z278" i="2"/>
  <c r="Z279" i="2"/>
  <c r="Z280" i="2"/>
  <c r="Z281" i="2"/>
  <c r="Z282" i="2"/>
  <c r="Z283" i="2"/>
  <c r="Z284" i="2"/>
  <c r="Z285" i="2"/>
  <c r="Z286" i="2"/>
  <c r="Z287" i="2"/>
  <c r="Z288" i="2"/>
  <c r="Z289" i="2"/>
  <c r="Z290" i="2"/>
  <c r="Z291" i="2"/>
  <c r="Z292" i="2"/>
  <c r="Z293" i="2"/>
  <c r="Z294" i="2"/>
  <c r="Z295" i="2"/>
  <c r="Z296" i="2"/>
  <c r="Z297" i="2"/>
  <c r="Z298" i="2"/>
  <c r="Z299" i="2"/>
  <c r="Z300" i="2"/>
  <c r="Z301" i="2"/>
  <c r="Z302" i="2"/>
  <c r="Z303" i="2"/>
  <c r="Z304" i="2"/>
  <c r="Z305" i="2"/>
  <c r="Z306" i="2"/>
  <c r="Z307" i="2"/>
  <c r="Z308" i="2"/>
  <c r="Z309" i="2"/>
  <c r="Z310" i="2"/>
  <c r="Z311" i="2"/>
  <c r="Z312" i="2"/>
  <c r="Z313" i="2"/>
  <c r="Z314" i="2"/>
  <c r="Z315" i="2"/>
  <c r="Z316" i="2"/>
  <c r="Z317" i="2"/>
  <c r="Z318" i="2"/>
  <c r="Z319" i="2"/>
  <c r="Z320" i="2"/>
  <c r="Z321" i="2"/>
  <c r="Z322" i="2"/>
  <c r="Z323" i="2"/>
  <c r="Z324" i="2"/>
  <c r="Z325" i="2"/>
  <c r="Z326" i="2"/>
  <c r="Z327" i="2"/>
  <c r="Z328" i="2"/>
  <c r="Z329" i="2"/>
  <c r="Z330" i="2"/>
  <c r="Z331" i="2"/>
  <c r="Z332" i="2"/>
  <c r="Z333" i="2"/>
  <c r="Z334" i="2"/>
  <c r="Z335" i="2"/>
  <c r="Z336" i="2"/>
  <c r="Z337" i="2"/>
  <c r="Z338" i="2"/>
  <c r="Z339" i="2"/>
  <c r="Z340" i="2"/>
  <c r="Z341" i="2"/>
  <c r="Z342" i="2"/>
  <c r="Z343" i="2"/>
  <c r="Z344" i="2"/>
  <c r="Z345" i="2"/>
  <c r="Z346" i="2"/>
  <c r="Z347" i="2"/>
  <c r="Z348" i="2"/>
  <c r="Z349" i="2"/>
  <c r="Z350" i="2"/>
  <c r="Z351" i="2"/>
  <c r="Z352" i="2"/>
  <c r="Z353" i="2"/>
  <c r="Z354" i="2"/>
  <c r="Z355" i="2"/>
  <c r="Z356" i="2"/>
  <c r="Z357" i="2"/>
  <c r="Z358" i="2"/>
  <c r="Z359" i="2"/>
  <c r="Z360" i="2"/>
  <c r="Z361" i="2"/>
  <c r="Z362" i="2"/>
  <c r="Z363" i="2"/>
  <c r="Z364" i="2"/>
  <c r="Z365" i="2"/>
  <c r="Z366" i="2"/>
  <c r="Z367" i="2"/>
  <c r="Z368" i="2"/>
  <c r="Z369" i="2"/>
  <c r="Z370" i="2"/>
  <c r="Z371" i="2"/>
  <c r="Z372" i="2"/>
  <c r="Z373" i="2"/>
  <c r="Z374" i="2"/>
  <c r="Z375" i="2"/>
  <c r="Z376" i="2"/>
  <c r="Z377" i="2"/>
  <c r="Z378" i="2"/>
  <c r="Z379" i="2"/>
  <c r="Z380" i="2"/>
  <c r="Z381" i="2"/>
  <c r="Z382" i="2"/>
  <c r="Z383" i="2"/>
  <c r="Z384" i="2"/>
  <c r="Z385" i="2"/>
  <c r="Z386" i="2"/>
  <c r="Z387" i="2"/>
  <c r="Z388" i="2"/>
  <c r="Z389" i="2"/>
  <c r="Z390" i="2"/>
  <c r="Z391" i="2"/>
  <c r="Z392" i="2"/>
  <c r="Z393" i="2"/>
  <c r="Z394" i="2"/>
  <c r="Z395" i="2"/>
  <c r="Z396" i="2"/>
  <c r="Z397" i="2"/>
  <c r="Z398" i="2"/>
  <c r="Z399" i="2"/>
  <c r="Z400" i="2"/>
  <c r="Z401" i="2"/>
  <c r="Z402" i="2"/>
  <c r="Z403" i="2"/>
  <c r="Z404" i="2"/>
  <c r="Z405" i="2"/>
  <c r="Z406" i="2"/>
  <c r="Z407" i="2"/>
  <c r="Z408" i="2"/>
  <c r="Z409" i="2"/>
  <c r="Z410" i="2"/>
  <c r="Z411" i="2"/>
  <c r="Z412" i="2"/>
  <c r="Z413" i="2"/>
  <c r="Z414" i="2"/>
  <c r="Z415" i="2"/>
  <c r="Z416" i="2"/>
  <c r="Z417" i="2"/>
  <c r="Z418" i="2"/>
  <c r="Z419" i="2"/>
  <c r="Z420" i="2"/>
  <c r="Z421" i="2"/>
  <c r="Z422" i="2"/>
  <c r="Z423" i="2"/>
  <c r="Z424" i="2"/>
  <c r="Z425" i="2"/>
  <c r="Z426" i="2"/>
  <c r="Z427" i="2"/>
  <c r="Z428" i="2"/>
  <c r="Z429" i="2"/>
  <c r="Z430" i="2"/>
  <c r="Z431" i="2"/>
  <c r="Z432" i="2"/>
  <c r="Z433" i="2"/>
  <c r="Z434" i="2"/>
  <c r="Z435" i="2"/>
  <c r="Z436" i="2"/>
  <c r="Z437" i="2"/>
  <c r="Z438" i="2"/>
  <c r="Z439" i="2"/>
  <c r="Z440" i="2"/>
  <c r="Z441" i="2"/>
  <c r="Z442" i="2"/>
  <c r="Z443" i="2"/>
  <c r="Z444" i="2"/>
  <c r="Z445" i="2"/>
  <c r="Z446" i="2"/>
  <c r="Z447" i="2"/>
  <c r="Z448" i="2"/>
  <c r="Z449" i="2"/>
  <c r="Z450" i="2"/>
  <c r="Z451" i="2"/>
  <c r="Z452" i="2"/>
  <c r="Z453" i="2"/>
  <c r="Z454" i="2"/>
  <c r="Z455" i="2"/>
  <c r="Z456" i="2"/>
  <c r="Z457" i="2"/>
  <c r="Z458" i="2"/>
  <c r="Z459" i="2"/>
  <c r="Z460" i="2"/>
  <c r="Z461" i="2"/>
  <c r="Z462" i="2"/>
  <c r="Z463" i="2"/>
  <c r="Z464" i="2"/>
  <c r="Z465" i="2"/>
  <c r="Z466" i="2"/>
  <c r="Z467" i="2"/>
  <c r="Z468" i="2"/>
  <c r="Z469" i="2"/>
  <c r="Z470" i="2"/>
  <c r="Z471" i="2"/>
  <c r="Z472" i="2"/>
  <c r="Z473" i="2"/>
  <c r="Z474" i="2"/>
  <c r="Z475" i="2"/>
  <c r="Z476" i="2"/>
  <c r="Z477" i="2"/>
  <c r="Z478" i="2"/>
  <c r="Z479" i="2"/>
  <c r="Z480" i="2"/>
  <c r="Z481" i="2"/>
  <c r="Z482" i="2"/>
  <c r="Z483" i="2"/>
  <c r="Z484" i="2"/>
  <c r="Z485" i="2"/>
  <c r="Z486" i="2"/>
  <c r="Z487" i="2"/>
  <c r="Z488" i="2"/>
  <c r="Z489" i="2"/>
  <c r="Z490" i="2"/>
  <c r="Z491" i="2"/>
  <c r="Z492" i="2"/>
  <c r="Z493" i="2"/>
  <c r="Z494" i="2"/>
  <c r="Z495" i="2"/>
  <c r="Z496" i="2"/>
  <c r="Z497" i="2"/>
  <c r="Z498" i="2"/>
  <c r="Z499" i="2"/>
  <c r="Z500" i="2"/>
  <c r="Z501" i="2"/>
  <c r="Z502" i="2"/>
  <c r="Z503" i="2"/>
  <c r="Z504" i="2"/>
  <c r="Z505" i="2"/>
  <c r="Z506" i="2"/>
  <c r="Z507" i="2"/>
  <c r="Z508" i="2"/>
  <c r="Z509" i="2"/>
  <c r="Z510" i="2"/>
  <c r="Z511" i="2"/>
  <c r="Z512" i="2"/>
  <c r="Z513" i="2"/>
  <c r="Z514" i="2"/>
  <c r="Z515" i="2"/>
  <c r="Z516" i="2"/>
  <c r="Z517" i="2"/>
  <c r="Z518" i="2"/>
  <c r="Z519" i="2"/>
  <c r="Z520" i="2"/>
  <c r="Z521" i="2"/>
  <c r="Z522" i="2"/>
  <c r="Z523" i="2"/>
  <c r="Z524" i="2"/>
  <c r="Z525" i="2"/>
  <c r="Z526" i="2"/>
  <c r="Z527" i="2"/>
  <c r="Z528" i="2"/>
  <c r="Z529" i="2"/>
  <c r="Z530" i="2"/>
  <c r="Z531" i="2"/>
  <c r="Z532" i="2"/>
  <c r="Z533" i="2"/>
  <c r="Z534" i="2"/>
  <c r="Z535" i="2"/>
  <c r="Z536" i="2"/>
  <c r="Z537" i="2"/>
  <c r="Z538" i="2"/>
  <c r="Z539" i="2"/>
  <c r="Z540" i="2"/>
  <c r="Z541" i="2"/>
  <c r="Z542" i="2"/>
  <c r="Z543" i="2"/>
  <c r="Z544" i="2"/>
  <c r="Z545" i="2"/>
  <c r="Z546" i="2"/>
  <c r="Z547" i="2"/>
  <c r="Z548" i="2"/>
  <c r="Z549" i="2"/>
  <c r="Z550" i="2"/>
  <c r="Z551" i="2"/>
  <c r="Z552" i="2"/>
  <c r="Z553" i="2"/>
  <c r="Z554" i="2"/>
  <c r="Z555" i="2"/>
  <c r="Z556" i="2"/>
  <c r="Z557" i="2"/>
  <c r="Z558" i="2"/>
  <c r="Z559" i="2"/>
  <c r="Z560" i="2"/>
  <c r="Z561" i="2"/>
  <c r="Z562" i="2"/>
  <c r="Z563" i="2"/>
  <c r="Z564" i="2"/>
  <c r="Z565" i="2"/>
  <c r="Z566" i="2"/>
  <c r="Z567" i="2"/>
  <c r="Z568" i="2"/>
  <c r="Z569" i="2"/>
  <c r="Z570" i="2"/>
  <c r="Z571" i="2"/>
  <c r="Z572" i="2"/>
  <c r="Z573" i="2"/>
  <c r="Z574" i="2"/>
  <c r="Z575" i="2"/>
  <c r="Z576" i="2"/>
  <c r="Z577" i="2"/>
  <c r="Z578" i="2"/>
  <c r="Z579" i="2"/>
  <c r="Z580" i="2"/>
  <c r="Z581" i="2"/>
  <c r="Z582" i="2"/>
  <c r="Z583" i="2"/>
  <c r="Z584" i="2"/>
  <c r="Z585" i="2"/>
  <c r="Z586" i="2"/>
  <c r="Z587" i="2"/>
  <c r="Z588" i="2"/>
  <c r="Z589" i="2"/>
  <c r="Z590" i="2"/>
  <c r="Z591" i="2"/>
  <c r="Z592" i="2"/>
  <c r="Z593" i="2"/>
  <c r="Z594" i="2"/>
  <c r="Z595" i="2"/>
  <c r="Z596" i="2"/>
  <c r="Z597" i="2"/>
  <c r="Z598" i="2"/>
  <c r="Z599" i="2"/>
  <c r="Z600" i="2"/>
  <c r="Z601" i="2"/>
  <c r="Z602" i="2"/>
  <c r="Z603" i="2"/>
  <c r="Z604" i="2"/>
  <c r="Z605" i="2"/>
  <c r="Z606" i="2"/>
  <c r="Z607" i="2"/>
  <c r="Z608" i="2"/>
  <c r="Z609" i="2"/>
  <c r="Z610" i="2"/>
  <c r="Z611" i="2"/>
  <c r="Z612" i="2"/>
  <c r="Z613" i="2"/>
  <c r="Z614" i="2"/>
  <c r="Z615" i="2"/>
  <c r="Z616" i="2"/>
  <c r="Z617" i="2"/>
  <c r="Z618" i="2"/>
  <c r="Z619" i="2"/>
  <c r="Z620" i="2"/>
  <c r="Z621" i="2"/>
  <c r="Z622" i="2"/>
  <c r="Z623" i="2"/>
  <c r="Z624" i="2"/>
  <c r="Z625" i="2"/>
  <c r="Z626" i="2"/>
  <c r="Z627" i="2"/>
  <c r="Z628" i="2"/>
  <c r="Z629" i="2"/>
  <c r="Z630" i="2"/>
  <c r="Z631" i="2"/>
  <c r="Z632" i="2"/>
  <c r="Z633" i="2"/>
  <c r="Z634" i="2"/>
  <c r="Z635" i="2"/>
  <c r="Z636" i="2"/>
  <c r="Z637" i="2"/>
  <c r="Z638" i="2"/>
  <c r="Z639" i="2"/>
  <c r="Z640" i="2"/>
  <c r="Z641" i="2"/>
  <c r="Z642" i="2"/>
  <c r="Z643" i="2"/>
  <c r="Z644" i="2"/>
  <c r="Z645" i="2"/>
  <c r="Z646" i="2"/>
  <c r="Z647" i="2"/>
  <c r="Z648" i="2"/>
  <c r="Z649" i="2"/>
  <c r="Z650" i="2"/>
  <c r="Z651" i="2"/>
  <c r="Z652" i="2"/>
  <c r="Z653" i="2"/>
  <c r="Z654" i="2"/>
  <c r="Z655" i="2"/>
  <c r="Z656" i="2"/>
  <c r="Z657" i="2"/>
  <c r="Z658" i="2"/>
  <c r="Z659" i="2"/>
  <c r="Z660" i="2"/>
  <c r="Z661" i="2"/>
  <c r="Z662" i="2"/>
  <c r="Z663" i="2"/>
  <c r="Z664" i="2"/>
  <c r="Z665" i="2"/>
  <c r="Z666" i="2"/>
  <c r="Z667" i="2"/>
  <c r="Z668" i="2"/>
  <c r="Z669" i="2"/>
  <c r="Z670" i="2"/>
  <c r="Z671" i="2"/>
  <c r="Z672" i="2"/>
  <c r="Z673" i="2"/>
  <c r="Z674" i="2"/>
  <c r="Z675" i="2"/>
  <c r="Z676" i="2"/>
  <c r="Z677" i="2"/>
  <c r="Z678" i="2"/>
  <c r="Z679" i="2"/>
  <c r="Z680" i="2"/>
  <c r="Z681" i="2"/>
  <c r="Z682" i="2"/>
  <c r="Z683" i="2"/>
  <c r="Z684" i="2"/>
  <c r="Z685" i="2"/>
  <c r="Z686" i="2"/>
  <c r="Z687" i="2"/>
  <c r="Z688" i="2"/>
  <c r="Z689" i="2"/>
  <c r="Z690" i="2"/>
  <c r="Z691" i="2"/>
  <c r="Z692" i="2"/>
  <c r="Z693" i="2"/>
  <c r="Z694" i="2"/>
  <c r="Z695" i="2"/>
  <c r="Z696" i="2"/>
  <c r="Z697" i="2"/>
  <c r="Z698" i="2"/>
  <c r="Z699" i="2"/>
  <c r="Z700" i="2"/>
  <c r="Z701" i="2"/>
  <c r="Z702" i="2"/>
  <c r="Z703" i="2"/>
  <c r="Z704" i="2"/>
  <c r="Z705" i="2"/>
  <c r="Z706" i="2"/>
  <c r="Z707" i="2"/>
  <c r="Z708" i="2"/>
  <c r="Z709" i="2"/>
  <c r="Z710" i="2"/>
  <c r="Z711" i="2"/>
  <c r="Z712" i="2"/>
  <c r="Z713" i="2"/>
  <c r="Z714" i="2"/>
  <c r="Z715" i="2"/>
  <c r="Z716" i="2"/>
  <c r="Z717" i="2"/>
  <c r="Z718" i="2"/>
  <c r="Z719" i="2"/>
  <c r="Z720" i="2"/>
  <c r="Z721" i="2"/>
  <c r="Z722" i="2"/>
  <c r="Z723" i="2"/>
  <c r="Z724" i="2"/>
  <c r="Z725" i="2"/>
  <c r="Z726" i="2"/>
  <c r="Z727" i="2"/>
  <c r="Z728" i="2"/>
  <c r="Z729" i="2"/>
  <c r="Z730" i="2"/>
  <c r="Z731" i="2"/>
  <c r="Z732" i="2"/>
  <c r="Z733" i="2"/>
  <c r="Z734" i="2"/>
  <c r="Z735" i="2"/>
  <c r="Z736" i="2"/>
  <c r="Z737" i="2"/>
  <c r="Z738" i="2"/>
  <c r="Z739" i="2"/>
  <c r="Z740" i="2"/>
  <c r="Z741" i="2"/>
  <c r="Z742" i="2"/>
  <c r="Z743" i="2"/>
  <c r="Z744" i="2"/>
  <c r="Z745" i="2"/>
  <c r="Z746" i="2"/>
  <c r="Z747" i="2"/>
  <c r="Z748" i="2"/>
  <c r="Z749" i="2"/>
  <c r="Z750" i="2"/>
  <c r="Z751" i="2"/>
  <c r="Z752" i="2"/>
  <c r="Z753" i="2"/>
  <c r="Z754" i="2"/>
  <c r="Z755" i="2"/>
  <c r="Z756" i="2"/>
  <c r="Z757" i="2"/>
  <c r="Z758" i="2"/>
  <c r="Z759" i="2"/>
  <c r="Z760" i="2"/>
  <c r="Z761" i="2"/>
  <c r="Z762" i="2"/>
  <c r="Z763" i="2"/>
  <c r="Z764" i="2"/>
  <c r="Z765" i="2"/>
  <c r="Z766" i="2"/>
  <c r="Z767" i="2"/>
  <c r="Z768" i="2"/>
  <c r="Z769" i="2"/>
  <c r="Z770" i="2"/>
  <c r="Z771" i="2"/>
  <c r="Z772" i="2"/>
  <c r="Z773" i="2"/>
  <c r="Z774" i="2"/>
  <c r="Z775" i="2"/>
  <c r="Z776" i="2"/>
  <c r="Z777" i="2"/>
  <c r="Z778" i="2"/>
  <c r="Z779" i="2"/>
  <c r="Z780" i="2"/>
  <c r="Z781" i="2"/>
  <c r="Z782" i="2"/>
  <c r="Z783" i="2"/>
  <c r="Z784" i="2"/>
  <c r="Z785" i="2"/>
  <c r="Z786" i="2"/>
  <c r="Z787" i="2"/>
  <c r="Z788" i="2"/>
  <c r="Z789" i="2"/>
  <c r="Z790" i="2"/>
  <c r="Z791" i="2"/>
  <c r="Z792" i="2"/>
  <c r="Z793" i="2"/>
  <c r="Z794" i="2"/>
  <c r="Z795" i="2"/>
  <c r="Z796" i="2"/>
  <c r="Z797" i="2"/>
  <c r="Z798" i="2"/>
  <c r="Z799" i="2"/>
  <c r="Z800" i="2"/>
  <c r="Z801" i="2"/>
  <c r="Z802" i="2"/>
  <c r="Z803" i="2"/>
  <c r="Z804" i="2"/>
  <c r="Z805" i="2"/>
  <c r="Z806" i="2"/>
  <c r="Z807" i="2"/>
  <c r="Z808" i="2"/>
  <c r="Z809" i="2"/>
  <c r="Z810" i="2"/>
  <c r="Z811" i="2"/>
  <c r="Z812" i="2"/>
  <c r="Z813" i="2"/>
  <c r="Z814" i="2"/>
  <c r="Z815" i="2"/>
  <c r="Z816" i="2"/>
  <c r="Z817" i="2"/>
  <c r="Z818" i="2"/>
  <c r="Z819" i="2"/>
  <c r="Z820" i="2"/>
  <c r="Z821" i="2"/>
  <c r="Z822" i="2"/>
  <c r="Z823" i="2"/>
  <c r="Z824" i="2"/>
  <c r="Z825" i="2"/>
  <c r="Z826" i="2"/>
  <c r="Z827" i="2"/>
  <c r="Z828" i="2"/>
  <c r="Z829" i="2"/>
  <c r="Z830" i="2"/>
  <c r="Z831" i="2"/>
  <c r="Z832" i="2"/>
  <c r="Z833" i="2"/>
  <c r="Z834" i="2"/>
  <c r="Z835" i="2"/>
  <c r="Z836" i="2"/>
  <c r="Z837" i="2"/>
  <c r="Z838" i="2"/>
  <c r="Z839" i="2"/>
  <c r="Z840" i="2"/>
  <c r="Z841" i="2"/>
  <c r="Z842" i="2"/>
  <c r="Z843" i="2"/>
  <c r="Z844" i="2"/>
  <c r="Z845" i="2"/>
  <c r="Z846" i="2"/>
  <c r="Z847" i="2"/>
  <c r="Z848" i="2"/>
  <c r="Z849" i="2"/>
  <c r="Z850" i="2"/>
  <c r="Z851" i="2"/>
  <c r="Z852" i="2"/>
  <c r="Z853" i="2"/>
  <c r="Z854" i="2"/>
  <c r="Z855" i="2"/>
  <c r="Z856" i="2"/>
  <c r="Z857" i="2"/>
  <c r="Z858" i="2"/>
  <c r="Z859" i="2"/>
  <c r="Z860" i="2"/>
  <c r="Z861" i="2"/>
  <c r="Z862" i="2"/>
  <c r="Z863" i="2"/>
  <c r="Z864" i="2"/>
  <c r="Z865" i="2"/>
  <c r="Z866" i="2"/>
  <c r="Z867" i="2"/>
  <c r="Z868" i="2"/>
  <c r="Z869" i="2"/>
  <c r="Z870" i="2"/>
  <c r="Z871" i="2"/>
  <c r="Z872" i="2"/>
  <c r="Z873" i="2"/>
  <c r="Z874" i="2"/>
  <c r="Z875" i="2"/>
  <c r="Z876" i="2"/>
  <c r="Z877" i="2"/>
  <c r="Z878" i="2"/>
  <c r="Z879" i="2"/>
  <c r="Z880" i="2"/>
  <c r="Z881" i="2"/>
  <c r="Z882" i="2"/>
  <c r="Z883" i="2"/>
  <c r="Z884" i="2"/>
  <c r="Z885" i="2"/>
  <c r="Z886" i="2"/>
  <c r="Z887" i="2"/>
  <c r="Z888" i="2"/>
  <c r="Z889" i="2"/>
  <c r="Z890" i="2"/>
  <c r="Z891" i="2"/>
  <c r="Z892" i="2"/>
  <c r="Z893" i="2"/>
  <c r="Z894" i="2"/>
  <c r="Z895" i="2"/>
  <c r="Z896" i="2"/>
  <c r="Z897" i="2"/>
  <c r="Z898" i="2"/>
  <c r="Z899" i="2"/>
  <c r="Z900" i="2"/>
  <c r="Z901" i="2"/>
  <c r="Z902" i="2"/>
  <c r="Z903" i="2"/>
  <c r="Z904" i="2"/>
  <c r="Z905" i="2"/>
  <c r="Z906" i="2"/>
  <c r="Z907" i="2"/>
  <c r="Z908" i="2"/>
  <c r="Z909" i="2"/>
  <c r="Z910" i="2"/>
  <c r="Z911" i="2"/>
  <c r="Z912" i="2"/>
  <c r="Z913" i="2"/>
  <c r="Z914" i="2"/>
  <c r="Z915" i="2"/>
  <c r="Z916" i="2"/>
  <c r="Z917" i="2"/>
  <c r="Z918" i="2"/>
  <c r="Z919" i="2"/>
  <c r="Z920" i="2"/>
  <c r="Z921" i="2"/>
  <c r="Z922" i="2"/>
  <c r="Z923" i="2"/>
  <c r="Z924" i="2"/>
  <c r="Z925" i="2"/>
  <c r="Z926" i="2"/>
  <c r="Z927" i="2"/>
  <c r="Z928" i="2"/>
  <c r="Z929" i="2"/>
  <c r="Z930" i="2"/>
  <c r="Z931" i="2"/>
  <c r="Z932" i="2"/>
  <c r="Z933" i="2"/>
  <c r="Z934" i="2"/>
  <c r="Z935" i="2"/>
  <c r="Z936" i="2"/>
  <c r="Z937" i="2"/>
  <c r="Z938" i="2"/>
  <c r="Z939" i="2"/>
  <c r="Z940" i="2"/>
  <c r="Z941" i="2"/>
  <c r="Z942" i="2"/>
  <c r="Z943" i="2"/>
  <c r="Z944" i="2"/>
  <c r="Z945" i="2"/>
  <c r="Z946" i="2"/>
  <c r="Z947" i="2"/>
  <c r="Z948" i="2"/>
  <c r="Z949" i="2"/>
  <c r="Z950" i="2"/>
  <c r="Z951" i="2"/>
  <c r="Z952" i="2"/>
  <c r="Z953" i="2"/>
  <c r="Z954" i="2"/>
  <c r="Z955" i="2"/>
  <c r="Z956" i="2"/>
  <c r="Z957" i="2"/>
  <c r="Z958" i="2"/>
  <c r="Z959" i="2"/>
  <c r="Z960" i="2"/>
  <c r="Z961" i="2"/>
  <c r="Z962" i="2"/>
  <c r="Z963" i="2"/>
  <c r="Z964" i="2"/>
  <c r="Z965" i="2"/>
  <c r="Z966" i="2"/>
  <c r="Z967" i="2"/>
  <c r="Z968" i="2"/>
  <c r="Z969" i="2"/>
  <c r="Z970" i="2"/>
  <c r="Z971" i="2"/>
  <c r="Z972" i="2"/>
  <c r="Z973" i="2"/>
  <c r="Z974" i="2"/>
  <c r="Z975" i="2"/>
  <c r="Z976" i="2"/>
  <c r="Z977" i="2"/>
  <c r="Z978" i="2"/>
  <c r="Z979" i="2"/>
  <c r="Z980" i="2"/>
  <c r="Z981" i="2"/>
  <c r="Z982" i="2"/>
  <c r="Z983" i="2"/>
  <c r="Z984" i="2"/>
  <c r="Z985" i="2"/>
  <c r="Z986" i="2"/>
  <c r="Z987" i="2"/>
  <c r="Z988" i="2"/>
  <c r="Z989" i="2"/>
  <c r="Z990" i="2"/>
  <c r="Z991" i="2"/>
  <c r="Z992" i="2"/>
  <c r="Z993" i="2"/>
  <c r="Z994" i="2"/>
  <c r="Z995" i="2"/>
  <c r="Z996" i="2"/>
  <c r="Z997" i="2"/>
  <c r="Z998" i="2"/>
  <c r="Z999" i="2"/>
  <c r="Z1000" i="2"/>
  <c r="Z1001" i="2"/>
  <c r="Z1002" i="2"/>
  <c r="Z1003" i="2"/>
  <c r="Z1004" i="2"/>
  <c r="Z1005" i="2"/>
  <c r="Z1006" i="2"/>
  <c r="Z1007" i="2"/>
  <c r="Z1008" i="2"/>
  <c r="Z1009" i="2"/>
  <c r="Z1010" i="2"/>
  <c r="Z1011" i="2"/>
  <c r="Z1012" i="2"/>
  <c r="Z1013" i="2"/>
  <c r="Z1014" i="2"/>
  <c r="Z1015" i="2"/>
  <c r="Z1016" i="2"/>
  <c r="Z1017" i="2"/>
  <c r="Z1018" i="2"/>
  <c r="Z1019" i="2"/>
  <c r="Z1020" i="2"/>
  <c r="Z1021" i="2"/>
  <c r="Z1022" i="2"/>
  <c r="Z1023" i="2"/>
  <c r="Z1024" i="2"/>
  <c r="Z1025" i="2"/>
  <c r="Z1026" i="2"/>
  <c r="Z1027" i="2"/>
  <c r="Z1028" i="2"/>
  <c r="Z1029" i="2"/>
  <c r="Z1030" i="2"/>
  <c r="Z1031" i="2"/>
  <c r="Z1032" i="2"/>
  <c r="Z1033" i="2"/>
  <c r="Z1034" i="2"/>
  <c r="Z1035" i="2"/>
  <c r="Z1036" i="2"/>
  <c r="Z1037" i="2"/>
  <c r="Z1038" i="2"/>
  <c r="Z1039" i="2"/>
  <c r="Z1040" i="2"/>
  <c r="Z1041" i="2"/>
  <c r="Z1042" i="2"/>
  <c r="Z1043" i="2"/>
  <c r="Z1044" i="2"/>
  <c r="Z1045" i="2"/>
  <c r="Z1046" i="2"/>
  <c r="Z1047" i="2"/>
  <c r="Z1048" i="2"/>
  <c r="Z1049" i="2"/>
  <c r="Z1050" i="2"/>
  <c r="Z1051" i="2"/>
  <c r="Z1052" i="2"/>
  <c r="Z1053" i="2"/>
  <c r="Z1054" i="2"/>
  <c r="Z1055" i="2"/>
  <c r="Z1056" i="2"/>
  <c r="Z1057" i="2"/>
  <c r="Z1058" i="2"/>
  <c r="Z1059" i="2"/>
  <c r="Z1060" i="2"/>
  <c r="Z1061" i="2"/>
  <c r="Z1062" i="2"/>
  <c r="Z1063" i="2"/>
  <c r="Z1064" i="2"/>
  <c r="Z1065" i="2"/>
  <c r="Z1066" i="2"/>
  <c r="Z1067" i="2"/>
  <c r="Z1068" i="2"/>
  <c r="Z1069" i="2"/>
  <c r="Z1070" i="2"/>
  <c r="Z1071" i="2"/>
  <c r="Z1072" i="2"/>
  <c r="Z1073" i="2"/>
  <c r="Z1074" i="2"/>
  <c r="Z1075" i="2"/>
  <c r="Z1076" i="2"/>
  <c r="Z1077" i="2"/>
  <c r="Z1078" i="2"/>
  <c r="Z1079" i="2"/>
  <c r="Z1080" i="2"/>
  <c r="Z1081" i="2"/>
  <c r="Z1082" i="2"/>
  <c r="Z1083" i="2"/>
  <c r="Z1084" i="2"/>
  <c r="Z1085" i="2"/>
  <c r="Z1086" i="2"/>
  <c r="Z1087" i="2"/>
  <c r="Z1088" i="2"/>
  <c r="Z1089" i="2"/>
  <c r="Z1090" i="2"/>
  <c r="Z1091" i="2"/>
  <c r="Z1092" i="2"/>
  <c r="Z1093" i="2"/>
  <c r="Z1094" i="2"/>
  <c r="Z1095" i="2"/>
  <c r="Z1096" i="2"/>
  <c r="Z1097" i="2"/>
  <c r="Z1098" i="2"/>
  <c r="Z1099" i="2"/>
  <c r="Z1100" i="2"/>
  <c r="Z1101" i="2"/>
  <c r="Z1102" i="2"/>
  <c r="Z1103" i="2"/>
  <c r="Z1104" i="2"/>
  <c r="Z1105" i="2"/>
  <c r="Z1106" i="2"/>
  <c r="Z1107" i="2"/>
  <c r="Z1108" i="2"/>
  <c r="Z1109" i="2"/>
  <c r="Z1110" i="2"/>
  <c r="Z1111" i="2"/>
  <c r="Z1112" i="2"/>
  <c r="Z1113" i="2"/>
  <c r="Z1114" i="2"/>
  <c r="Z1115" i="2"/>
  <c r="Z1116" i="2"/>
  <c r="Z1117" i="2"/>
  <c r="Z1118" i="2"/>
  <c r="Z1119" i="2"/>
  <c r="Z1120" i="2"/>
  <c r="Z1121" i="2"/>
  <c r="Z1122" i="2"/>
  <c r="Z1123" i="2"/>
  <c r="Z1124" i="2"/>
  <c r="Z1125" i="2"/>
  <c r="Z1126" i="2"/>
  <c r="Z1127" i="2"/>
  <c r="Z1128" i="2"/>
  <c r="Z1129" i="2"/>
  <c r="Z1130" i="2"/>
  <c r="Z1131" i="2"/>
  <c r="Z1132" i="2"/>
  <c r="Z1133" i="2"/>
  <c r="Z1134" i="2"/>
  <c r="Z1135" i="2"/>
  <c r="Z1136" i="2"/>
  <c r="Z1137" i="2"/>
  <c r="Z1138" i="2"/>
  <c r="Z1139" i="2"/>
  <c r="Z1140" i="2"/>
  <c r="Z1141" i="2"/>
  <c r="Z1142" i="2"/>
  <c r="Z1143" i="2"/>
  <c r="Z1144" i="2"/>
  <c r="Z1145" i="2"/>
  <c r="Z1146" i="2"/>
  <c r="Z1147" i="2"/>
  <c r="Z1148" i="2"/>
  <c r="Z1149" i="2"/>
  <c r="Z1150" i="2"/>
  <c r="Z1151" i="2"/>
  <c r="Z1152" i="2"/>
  <c r="Z1153" i="2"/>
  <c r="Z1154" i="2"/>
  <c r="Z1155" i="2"/>
  <c r="Z1156" i="2"/>
  <c r="Z1157" i="2"/>
  <c r="Z1158" i="2"/>
  <c r="Z1159" i="2"/>
  <c r="Z1160" i="2"/>
  <c r="Z1161" i="2"/>
  <c r="Z1162" i="2"/>
  <c r="Z1163" i="2"/>
  <c r="Z1164" i="2"/>
  <c r="Z1165" i="2"/>
  <c r="Z1166" i="2"/>
  <c r="Z1167" i="2"/>
  <c r="Z1168" i="2"/>
  <c r="Z1169" i="2"/>
  <c r="Z1170" i="2"/>
  <c r="Z1171" i="2"/>
  <c r="Z1172" i="2"/>
  <c r="Z1173" i="2"/>
  <c r="Z1174" i="2"/>
  <c r="Z1175" i="2"/>
  <c r="Z1176" i="2"/>
  <c r="Z1177" i="2"/>
  <c r="Z1178" i="2"/>
  <c r="Z1179" i="2"/>
  <c r="Z1180" i="2"/>
  <c r="Z1181" i="2"/>
  <c r="Z1182" i="2"/>
  <c r="Z1183" i="2"/>
  <c r="Z1184" i="2"/>
  <c r="Z1185" i="2"/>
  <c r="Z1186" i="2"/>
  <c r="Z1187" i="2"/>
  <c r="Z1188" i="2"/>
  <c r="Z1189" i="2"/>
  <c r="Z1190" i="2"/>
  <c r="Z1191" i="2"/>
  <c r="Z1192" i="2"/>
  <c r="Z1193" i="2"/>
  <c r="Z1194" i="2"/>
  <c r="Z1195" i="2"/>
  <c r="Z1196" i="2"/>
  <c r="Z1197" i="2"/>
  <c r="Z1198" i="2"/>
  <c r="Z1199" i="2"/>
  <c r="Z1200" i="2"/>
  <c r="Z1201" i="2"/>
  <c r="Z1202" i="2"/>
  <c r="Z1203" i="2"/>
  <c r="Z1204" i="2"/>
  <c r="Z1205" i="2"/>
  <c r="Z1206" i="2"/>
  <c r="Z1207" i="2"/>
  <c r="Z1208" i="2"/>
  <c r="Z1209" i="2"/>
  <c r="Z1210" i="2"/>
  <c r="Z1211" i="2"/>
  <c r="Z1212" i="2"/>
  <c r="Z1213" i="2"/>
  <c r="Z1214" i="2"/>
  <c r="Z1215" i="2"/>
  <c r="Z1216" i="2"/>
  <c r="Z1217" i="2"/>
  <c r="Z1218" i="2"/>
  <c r="Z1219" i="2"/>
  <c r="Z1220" i="2"/>
  <c r="Z1221" i="2"/>
  <c r="Z1222" i="2"/>
  <c r="Z1223" i="2"/>
  <c r="Z1224" i="2"/>
  <c r="Z1225" i="2"/>
  <c r="Z1226" i="2"/>
  <c r="Z1227" i="2"/>
  <c r="Z1228" i="2"/>
  <c r="Z1229" i="2"/>
  <c r="Z1230" i="2"/>
  <c r="Z1231" i="2"/>
  <c r="Z1232" i="2"/>
  <c r="Z1233" i="2"/>
  <c r="Z1234" i="2"/>
  <c r="Z1235" i="2"/>
  <c r="Z1236" i="2"/>
  <c r="Z1237" i="2"/>
  <c r="Z1238" i="2"/>
  <c r="Z1239" i="2"/>
  <c r="Z1240" i="2"/>
  <c r="Z1241" i="2"/>
  <c r="Z1242" i="2"/>
  <c r="Z1243" i="2"/>
  <c r="Z1244" i="2"/>
  <c r="Z1245" i="2"/>
  <c r="Z1246" i="2"/>
  <c r="Z1247" i="2"/>
  <c r="Z1248" i="2"/>
  <c r="Z1249" i="2"/>
  <c r="Z1250" i="2"/>
  <c r="Z1251" i="2"/>
  <c r="Z1252" i="2"/>
  <c r="Z1253" i="2"/>
  <c r="Z1254" i="2"/>
  <c r="Z1255" i="2"/>
  <c r="Z1256" i="2"/>
  <c r="Z1257" i="2"/>
  <c r="Z1258" i="2"/>
  <c r="Z1259" i="2"/>
  <c r="Z1260" i="2"/>
  <c r="Z1261" i="2"/>
  <c r="Z1262" i="2"/>
  <c r="Z1263" i="2"/>
  <c r="Z1264" i="2"/>
  <c r="Z1265" i="2"/>
  <c r="Z1266" i="2"/>
  <c r="Z1267" i="2"/>
  <c r="Z1268" i="2"/>
  <c r="Z1269" i="2"/>
  <c r="Z1270" i="2"/>
  <c r="Z1271" i="2"/>
  <c r="Z1272" i="2"/>
  <c r="Z1273" i="2"/>
  <c r="Z1274" i="2"/>
  <c r="Z1275" i="2"/>
  <c r="Z1276" i="2"/>
  <c r="C297" i="14" l="1"/>
  <c r="D297" i="14" s="1"/>
  <c r="C45" i="14"/>
  <c r="D45" i="14" s="1"/>
  <c r="C341" i="14"/>
  <c r="D341" i="14" s="1"/>
  <c r="C34" i="14"/>
  <c r="D34" i="14" s="1"/>
  <c r="C66" i="14"/>
  <c r="D66" i="14" s="1"/>
  <c r="C370" i="14"/>
  <c r="D370" i="14" s="1"/>
  <c r="C77" i="14"/>
  <c r="D77" i="14" s="1"/>
  <c r="C385" i="14"/>
  <c r="D385" i="14" s="1"/>
  <c r="C98" i="14"/>
  <c r="D98" i="14" s="1"/>
  <c r="C400" i="14"/>
  <c r="D400" i="14" s="1"/>
  <c r="C109" i="14"/>
  <c r="D109" i="14" s="1"/>
  <c r="C418" i="14"/>
  <c r="D418" i="14" s="1"/>
  <c r="C130" i="14"/>
  <c r="D130" i="14" s="1"/>
  <c r="C448" i="14"/>
  <c r="D448" i="14" s="1"/>
  <c r="C141" i="14"/>
  <c r="D141" i="14" s="1"/>
  <c r="C469" i="14"/>
  <c r="D469" i="14" s="1"/>
  <c r="C162" i="14"/>
  <c r="D162" i="14" s="1"/>
  <c r="C485" i="14"/>
  <c r="D485" i="14" s="1"/>
  <c r="C173" i="14"/>
  <c r="D173" i="14" s="1"/>
  <c r="C524" i="14"/>
  <c r="D524" i="14" s="1"/>
  <c r="C188" i="14"/>
  <c r="D188" i="14" s="1"/>
  <c r="C563" i="14"/>
  <c r="D563" i="14" s="1"/>
  <c r="C200" i="14"/>
  <c r="D200" i="14" s="1"/>
  <c r="C788" i="14"/>
  <c r="D788" i="14" s="1"/>
  <c r="C213" i="14"/>
  <c r="D213" i="14" s="1"/>
  <c r="C815" i="14"/>
  <c r="D815" i="14" s="1"/>
  <c r="C242" i="14"/>
  <c r="D242" i="14" s="1"/>
  <c r="C843" i="14"/>
  <c r="D843" i="14" s="1"/>
  <c r="C257" i="14"/>
  <c r="D257" i="14" s="1"/>
  <c r="C880" i="14"/>
  <c r="D880" i="14" s="1"/>
  <c r="C13" i="14"/>
  <c r="D13" i="14" s="1"/>
  <c r="C284" i="14"/>
  <c r="D284" i="14" s="1"/>
  <c r="C986" i="14"/>
  <c r="D986" i="14" s="1"/>
  <c r="C1157" i="14"/>
  <c r="D1157" i="14" s="1"/>
  <c r="C46" i="14"/>
  <c r="D46" i="14" s="1"/>
  <c r="C99" i="14"/>
  <c r="D99" i="14" s="1"/>
  <c r="C142" i="14"/>
  <c r="D142" i="14" s="1"/>
  <c r="C174" i="14"/>
  <c r="D174" i="14" s="1"/>
  <c r="C214" i="14"/>
  <c r="D214" i="14" s="1"/>
  <c r="C271" i="14"/>
  <c r="D271" i="14" s="1"/>
  <c r="C355" i="14"/>
  <c r="D355" i="14" s="1"/>
  <c r="C419" i="14"/>
  <c r="D419" i="14" s="1"/>
  <c r="C508" i="14"/>
  <c r="D508" i="14" s="1"/>
  <c r="C547" i="14"/>
  <c r="D547" i="14" s="1"/>
  <c r="C586" i="14"/>
  <c r="D586" i="14" s="1"/>
  <c r="C626" i="14"/>
  <c r="D626" i="14" s="1"/>
  <c r="C699" i="14"/>
  <c r="D699" i="14" s="1"/>
  <c r="C760" i="14"/>
  <c r="D760" i="14" s="1"/>
  <c r="C816" i="14"/>
  <c r="D816" i="14" s="1"/>
  <c r="C881" i="14"/>
  <c r="D881" i="14" s="1"/>
  <c r="C918" i="14"/>
  <c r="D918" i="14" s="1"/>
  <c r="C956" i="14"/>
  <c r="D956" i="14" s="1"/>
  <c r="C987" i="14"/>
  <c r="D987" i="14" s="1"/>
  <c r="C1025" i="14"/>
  <c r="D1025" i="14" s="1"/>
  <c r="C1203" i="14"/>
  <c r="D1203" i="14" s="1"/>
  <c r="C25" i="14"/>
  <c r="D25" i="14" s="1"/>
  <c r="C36" i="14"/>
  <c r="D36" i="14" s="1"/>
  <c r="C57" i="14"/>
  <c r="D57" i="14" s="1"/>
  <c r="C68" i="14"/>
  <c r="D68" i="14" s="1"/>
  <c r="C89" i="14"/>
  <c r="D89" i="14" s="1"/>
  <c r="C100" i="14"/>
  <c r="D100" i="14" s="1"/>
  <c r="C121" i="14"/>
  <c r="D121" i="14" s="1"/>
  <c r="C132" i="14"/>
  <c r="D132" i="14" s="1"/>
  <c r="C153" i="14"/>
  <c r="D153" i="14" s="1"/>
  <c r="C164" i="14"/>
  <c r="D164" i="14" s="1"/>
  <c r="C176" i="14"/>
  <c r="D176" i="14" s="1"/>
  <c r="C189" i="14"/>
  <c r="D189" i="14" s="1"/>
  <c r="C228" i="14"/>
  <c r="D228" i="14" s="1"/>
  <c r="C258" i="14"/>
  <c r="D258" i="14" s="1"/>
  <c r="C272" i="14"/>
  <c r="D272" i="14" s="1"/>
  <c r="C285" i="14"/>
  <c r="D285" i="14" s="1"/>
  <c r="C301" i="14"/>
  <c r="D301" i="14" s="1"/>
  <c r="C315" i="14"/>
  <c r="D315" i="14" s="1"/>
  <c r="C328" i="14"/>
  <c r="D328" i="14" s="1"/>
  <c r="C358" i="14"/>
  <c r="D358" i="14" s="1"/>
  <c r="C386" i="14"/>
  <c r="D386" i="14" s="1"/>
  <c r="C434" i="14"/>
  <c r="D434" i="14" s="1"/>
  <c r="C450" i="14"/>
  <c r="D450" i="14" s="1"/>
  <c r="C487" i="14"/>
  <c r="D487" i="14" s="1"/>
  <c r="C509" i="14"/>
  <c r="D509" i="14" s="1"/>
  <c r="C526" i="14"/>
  <c r="D526" i="14" s="1"/>
  <c r="C564" i="14"/>
  <c r="D564" i="14" s="1"/>
  <c r="C604" i="14"/>
  <c r="D604" i="14" s="1"/>
  <c r="C627" i="14"/>
  <c r="D627" i="14" s="1"/>
  <c r="C654" i="14"/>
  <c r="D654" i="14" s="1"/>
  <c r="C679" i="14"/>
  <c r="D679" i="14" s="1"/>
  <c r="C733" i="14"/>
  <c r="D733" i="14" s="1"/>
  <c r="C761" i="14"/>
  <c r="D761" i="14" s="1"/>
  <c r="C789" i="14"/>
  <c r="D789" i="14" s="1"/>
  <c r="C817" i="14"/>
  <c r="D817" i="14" s="1"/>
  <c r="C852" i="14"/>
  <c r="D852" i="14" s="1"/>
  <c r="C882" i="14"/>
  <c r="D882" i="14" s="1"/>
  <c r="C919" i="14"/>
  <c r="D919" i="14" s="1"/>
  <c r="C957" i="14"/>
  <c r="D957" i="14" s="1"/>
  <c r="C1077" i="14"/>
  <c r="D1077" i="14" s="1"/>
  <c r="C1118" i="14"/>
  <c r="D1118" i="14" s="1"/>
  <c r="C1159" i="14"/>
  <c r="D1159" i="14" s="1"/>
  <c r="C546" i="14"/>
  <c r="D546" i="14" s="1"/>
  <c r="C621" i="14"/>
  <c r="D621" i="14" s="1"/>
  <c r="C1117" i="14"/>
  <c r="D1117" i="14" s="1"/>
  <c r="C14" i="14"/>
  <c r="D14" i="14" s="1"/>
  <c r="C67" i="14"/>
  <c r="D67" i="14" s="1"/>
  <c r="C120" i="14"/>
  <c r="D120" i="14" s="1"/>
  <c r="C163" i="14"/>
  <c r="D163" i="14" s="1"/>
  <c r="C227" i="14"/>
  <c r="D227" i="14" s="1"/>
  <c r="C300" i="14"/>
  <c r="D300" i="14" s="1"/>
  <c r="C342" i="14"/>
  <c r="D342" i="14" s="1"/>
  <c r="C401" i="14"/>
  <c r="D401" i="14" s="1"/>
  <c r="C470" i="14"/>
  <c r="D470" i="14" s="1"/>
  <c r="C672" i="14"/>
  <c r="D672" i="14" s="1"/>
  <c r="C851" i="14"/>
  <c r="D851" i="14" s="1"/>
  <c r="C1158" i="14"/>
  <c r="D1158" i="14" s="1"/>
  <c r="C15" i="14"/>
  <c r="D15" i="14" s="1"/>
  <c r="C47" i="14"/>
  <c r="D47" i="14" s="1"/>
  <c r="C79" i="14"/>
  <c r="D79" i="14" s="1"/>
  <c r="C111" i="14"/>
  <c r="D111" i="14" s="1"/>
  <c r="C143" i="14"/>
  <c r="D143" i="14" s="1"/>
  <c r="C177" i="14"/>
  <c r="D177" i="14" s="1"/>
  <c r="C190" i="14"/>
  <c r="D190" i="14" s="1"/>
  <c r="C202" i="14"/>
  <c r="D202" i="14" s="1"/>
  <c r="C215" i="14"/>
  <c r="D215" i="14" s="1"/>
  <c r="C231" i="14"/>
  <c r="D231" i="14" s="1"/>
  <c r="C244" i="14"/>
  <c r="D244" i="14" s="1"/>
  <c r="C286" i="14"/>
  <c r="D286" i="14" s="1"/>
  <c r="C329" i="14"/>
  <c r="D329" i="14" s="1"/>
  <c r="C343" i="14"/>
  <c r="D343" i="14" s="1"/>
  <c r="C359" i="14"/>
  <c r="D359" i="14" s="1"/>
  <c r="C372" i="14"/>
  <c r="D372" i="14" s="1"/>
  <c r="C402" i="14"/>
  <c r="D402" i="14" s="1"/>
  <c r="C420" i="14"/>
  <c r="D420" i="14" s="1"/>
  <c r="C435" i="14"/>
  <c r="D435" i="14" s="1"/>
  <c r="C455" i="14"/>
  <c r="D455" i="14" s="1"/>
  <c r="C471" i="14"/>
  <c r="D471" i="14" s="1"/>
  <c r="C488" i="14"/>
  <c r="D488" i="14" s="1"/>
  <c r="C510" i="14"/>
  <c r="D510" i="14" s="1"/>
  <c r="C527" i="14"/>
  <c r="D527" i="14" s="1"/>
  <c r="C548" i="14"/>
  <c r="D548" i="14" s="1"/>
  <c r="C565" i="14"/>
  <c r="D565" i="14" s="1"/>
  <c r="C587" i="14"/>
  <c r="D587" i="14" s="1"/>
  <c r="C605" i="14"/>
  <c r="D605" i="14" s="1"/>
  <c r="C628" i="14"/>
  <c r="D628" i="14" s="1"/>
  <c r="C655" i="14"/>
  <c r="D655" i="14" s="1"/>
  <c r="C680" i="14"/>
  <c r="D680" i="14" s="1"/>
  <c r="C707" i="14"/>
  <c r="D707" i="14" s="1"/>
  <c r="C734" i="14"/>
  <c r="D734" i="14" s="1"/>
  <c r="C762" i="14"/>
  <c r="D762" i="14" s="1"/>
  <c r="C790" i="14"/>
  <c r="D790" i="14" s="1"/>
  <c r="C826" i="14"/>
  <c r="D826" i="14" s="1"/>
  <c r="C853" i="14"/>
  <c r="D853" i="14" s="1"/>
  <c r="C920" i="14"/>
  <c r="D920" i="14" s="1"/>
  <c r="C995" i="14"/>
  <c r="D995" i="14" s="1"/>
  <c r="C1037" i="14"/>
  <c r="D1037" i="14" s="1"/>
  <c r="C1078" i="14"/>
  <c r="D1078" i="14" s="1"/>
  <c r="C1160" i="14"/>
  <c r="D1160" i="14" s="1"/>
  <c r="C698" i="14"/>
  <c r="D698" i="14" s="1"/>
  <c r="C1202" i="14"/>
  <c r="D1202" i="14" s="1"/>
  <c r="C35" i="14"/>
  <c r="D35" i="14" s="1"/>
  <c r="C78" i="14"/>
  <c r="D78" i="14" s="1"/>
  <c r="C110" i="14"/>
  <c r="D110" i="14" s="1"/>
  <c r="C152" i="14"/>
  <c r="D152" i="14" s="1"/>
  <c r="C201" i="14"/>
  <c r="D201" i="14" s="1"/>
  <c r="C243" i="14"/>
  <c r="D243" i="14" s="1"/>
  <c r="C327" i="14"/>
  <c r="D327" i="14" s="1"/>
  <c r="C449" i="14"/>
  <c r="D449" i="14" s="1"/>
  <c r="C525" i="14"/>
  <c r="D525" i="14" s="1"/>
  <c r="C726" i="14"/>
  <c r="D726" i="14" s="1"/>
  <c r="C26" i="14"/>
  <c r="D26" i="14" s="1"/>
  <c r="C37" i="14"/>
  <c r="D37" i="14" s="1"/>
  <c r="C58" i="14"/>
  <c r="D58" i="14" s="1"/>
  <c r="C69" i="14"/>
  <c r="D69" i="14" s="1"/>
  <c r="C90" i="14"/>
  <c r="D90" i="14" s="1"/>
  <c r="C101" i="14"/>
  <c r="D101" i="14" s="1"/>
  <c r="C122" i="14"/>
  <c r="D122" i="14" s="1"/>
  <c r="C133" i="14"/>
  <c r="D133" i="14" s="1"/>
  <c r="C154" i="14"/>
  <c r="D154" i="14" s="1"/>
  <c r="C165" i="14"/>
  <c r="D165" i="14" s="1"/>
  <c r="C203" i="14"/>
  <c r="D203" i="14" s="1"/>
  <c r="C216" i="14"/>
  <c r="D216" i="14" s="1"/>
  <c r="C232" i="14"/>
  <c r="D232" i="14" s="1"/>
  <c r="C245" i="14"/>
  <c r="D245" i="14" s="1"/>
  <c r="C259" i="14"/>
  <c r="D259" i="14" s="1"/>
  <c r="C273" i="14"/>
  <c r="D273" i="14" s="1"/>
  <c r="C302" i="14"/>
  <c r="D302" i="14" s="1"/>
  <c r="C316" i="14"/>
  <c r="D316" i="14" s="1"/>
  <c r="C330" i="14"/>
  <c r="D330" i="14" s="1"/>
  <c r="C344" i="14"/>
  <c r="D344" i="14" s="1"/>
  <c r="C360" i="14"/>
  <c r="D360" i="14" s="1"/>
  <c r="C373" i="14"/>
  <c r="D373" i="14" s="1"/>
  <c r="C387" i="14"/>
  <c r="D387" i="14" s="1"/>
  <c r="C406" i="14"/>
  <c r="D406" i="14" s="1"/>
  <c r="C421" i="14"/>
  <c r="D421" i="14" s="1"/>
  <c r="C456" i="14"/>
  <c r="D456" i="14" s="1"/>
  <c r="C472" i="14"/>
  <c r="D472" i="14" s="1"/>
  <c r="C511" i="14"/>
  <c r="D511" i="14" s="1"/>
  <c r="C528" i="14"/>
  <c r="D528" i="14" s="1"/>
  <c r="C549" i="14"/>
  <c r="D549" i="14" s="1"/>
  <c r="C566" i="14"/>
  <c r="D566" i="14" s="1"/>
  <c r="C588" i="14"/>
  <c r="D588" i="14" s="1"/>
  <c r="C629" i="14"/>
  <c r="D629" i="14" s="1"/>
  <c r="C656" i="14"/>
  <c r="D656" i="14" s="1"/>
  <c r="C681" i="14"/>
  <c r="D681" i="14" s="1"/>
  <c r="C708" i="14"/>
  <c r="D708" i="14" s="1"/>
  <c r="C735" i="14"/>
  <c r="D735" i="14" s="1"/>
  <c r="C763" i="14"/>
  <c r="D763" i="14" s="1"/>
  <c r="C791" i="14"/>
  <c r="D791" i="14" s="1"/>
  <c r="C854" i="14"/>
  <c r="D854" i="14" s="1"/>
  <c r="C892" i="14"/>
  <c r="D892" i="14" s="1"/>
  <c r="C921" i="14"/>
  <c r="D921" i="14" s="1"/>
  <c r="C958" i="14"/>
  <c r="D958" i="14" s="1"/>
  <c r="C996" i="14"/>
  <c r="D996" i="14" s="1"/>
  <c r="C1038" i="14"/>
  <c r="D1038" i="14" s="1"/>
  <c r="C1079" i="14"/>
  <c r="D1079" i="14" s="1"/>
  <c r="C1119" i="14"/>
  <c r="D1119" i="14" s="1"/>
  <c r="C1170" i="14"/>
  <c r="D1170" i="14" s="1"/>
  <c r="C1214" i="14"/>
  <c r="D1214" i="14" s="1"/>
  <c r="C507" i="14"/>
  <c r="D507" i="14" s="1"/>
  <c r="C603" i="14"/>
  <c r="D603" i="14" s="1"/>
  <c r="C645" i="14"/>
  <c r="D645" i="14" s="1"/>
  <c r="C24" i="14"/>
  <c r="D24" i="14" s="1"/>
  <c r="C88" i="14"/>
  <c r="D88" i="14" s="1"/>
  <c r="C131" i="14"/>
  <c r="D131" i="14" s="1"/>
  <c r="C314" i="14"/>
  <c r="D314" i="14" s="1"/>
  <c r="C371" i="14"/>
  <c r="D371" i="14" s="1"/>
  <c r="C433" i="14"/>
  <c r="D433" i="14" s="1"/>
  <c r="C486" i="14"/>
  <c r="D486" i="14" s="1"/>
  <c r="C646" i="14"/>
  <c r="D646" i="14" s="1"/>
  <c r="C1076" i="14"/>
  <c r="D1076" i="14" s="1"/>
  <c r="C16" i="14"/>
  <c r="D16" i="14" s="1"/>
  <c r="C27" i="14"/>
  <c r="D27" i="14" s="1"/>
  <c r="C38" i="14"/>
  <c r="D38" i="14" s="1"/>
  <c r="C48" i="14"/>
  <c r="D48" i="14" s="1"/>
  <c r="C59" i="14"/>
  <c r="D59" i="14" s="1"/>
  <c r="C70" i="14"/>
  <c r="D70" i="14" s="1"/>
  <c r="C80" i="14"/>
  <c r="D80" i="14" s="1"/>
  <c r="C91" i="14"/>
  <c r="D91" i="14" s="1"/>
  <c r="C102" i="14"/>
  <c r="D102" i="14" s="1"/>
  <c r="C112" i="14"/>
  <c r="D112" i="14" s="1"/>
  <c r="C123" i="14"/>
  <c r="D123" i="14" s="1"/>
  <c r="C134" i="14"/>
  <c r="D134" i="14" s="1"/>
  <c r="C144" i="14"/>
  <c r="D144" i="14" s="1"/>
  <c r="C155" i="14"/>
  <c r="D155" i="14" s="1"/>
  <c r="C166" i="14"/>
  <c r="D166" i="14" s="1"/>
  <c r="C178" i="14"/>
  <c r="D178" i="14" s="1"/>
  <c r="C191" i="14"/>
  <c r="D191" i="14" s="1"/>
  <c r="C204" i="14"/>
  <c r="D204" i="14" s="1"/>
  <c r="C233" i="14"/>
  <c r="D233" i="14" s="1"/>
  <c r="C246" i="14"/>
  <c r="D246" i="14" s="1"/>
  <c r="C260" i="14"/>
  <c r="D260" i="14" s="1"/>
  <c r="C274" i="14"/>
  <c r="D274" i="14" s="1"/>
  <c r="C290" i="14"/>
  <c r="D290" i="14" s="1"/>
  <c r="C303" i="14"/>
  <c r="D303" i="14" s="1"/>
  <c r="C317" i="14"/>
  <c r="D317" i="14" s="1"/>
  <c r="C347" i="14"/>
  <c r="D347" i="14" s="1"/>
  <c r="C361" i="14"/>
  <c r="D361" i="14" s="1"/>
  <c r="C374" i="14"/>
  <c r="D374" i="14" s="1"/>
  <c r="C388" i="14"/>
  <c r="D388" i="14" s="1"/>
  <c r="C422" i="14"/>
  <c r="D422" i="14" s="1"/>
  <c r="C436" i="14"/>
  <c r="D436" i="14" s="1"/>
  <c r="C493" i="14"/>
  <c r="D493" i="14" s="1"/>
  <c r="C512" i="14"/>
  <c r="D512" i="14" s="1"/>
  <c r="C532" i="14"/>
  <c r="D532" i="14" s="1"/>
  <c r="C550" i="14"/>
  <c r="D550" i="14" s="1"/>
  <c r="C567" i="14"/>
  <c r="D567" i="14" s="1"/>
  <c r="C589" i="14"/>
  <c r="D589" i="14" s="1"/>
  <c r="C606" i="14"/>
  <c r="D606" i="14" s="1"/>
  <c r="C630" i="14"/>
  <c r="D630" i="14" s="1"/>
  <c r="C657" i="14"/>
  <c r="D657" i="14" s="1"/>
  <c r="C682" i="14"/>
  <c r="D682" i="14" s="1"/>
  <c r="C709" i="14"/>
  <c r="D709" i="14" s="1"/>
  <c r="C736" i="14"/>
  <c r="D736" i="14" s="1"/>
  <c r="C764" i="14"/>
  <c r="D764" i="14" s="1"/>
  <c r="C827" i="14"/>
  <c r="D827" i="14" s="1"/>
  <c r="C855" i="14"/>
  <c r="D855" i="14" s="1"/>
  <c r="C929" i="14"/>
  <c r="D929" i="14" s="1"/>
  <c r="C959" i="14"/>
  <c r="D959" i="14" s="1"/>
  <c r="C997" i="14"/>
  <c r="D997" i="14" s="1"/>
  <c r="C1080" i="14"/>
  <c r="D1080" i="14" s="1"/>
  <c r="C1130" i="14"/>
  <c r="D1130" i="14" s="1"/>
  <c r="C1171" i="14"/>
  <c r="D1171" i="14" s="1"/>
  <c r="C1215" i="14"/>
  <c r="D1215" i="14" s="1"/>
  <c r="C17" i="14"/>
  <c r="D17" i="14" s="1"/>
  <c r="C28" i="14"/>
  <c r="D28" i="14" s="1"/>
  <c r="C49" i="14"/>
  <c r="D49" i="14" s="1"/>
  <c r="C60" i="14"/>
  <c r="D60" i="14" s="1"/>
  <c r="C81" i="14"/>
  <c r="D81" i="14" s="1"/>
  <c r="C92" i="14"/>
  <c r="D92" i="14" s="1"/>
  <c r="C113" i="14"/>
  <c r="D113" i="14" s="1"/>
  <c r="C124" i="14"/>
  <c r="D124" i="14" s="1"/>
  <c r="C145" i="14"/>
  <c r="D145" i="14" s="1"/>
  <c r="C156" i="14"/>
  <c r="D156" i="14" s="1"/>
  <c r="C179" i="14"/>
  <c r="D179" i="14" s="1"/>
  <c r="C291" i="14"/>
  <c r="D291" i="14" s="1"/>
  <c r="C304" i="14"/>
  <c r="D304" i="14" s="1"/>
  <c r="C318" i="14"/>
  <c r="D318" i="14" s="1"/>
  <c r="C331" i="14"/>
  <c r="D331" i="14" s="1"/>
  <c r="C407" i="14"/>
  <c r="D407" i="14" s="1"/>
  <c r="C437" i="14"/>
  <c r="D437" i="14" s="1"/>
  <c r="C457" i="14"/>
  <c r="D457" i="14" s="1"/>
  <c r="C473" i="14"/>
  <c r="D473" i="14" s="1"/>
  <c r="C494" i="14"/>
  <c r="D494" i="14" s="1"/>
  <c r="C533" i="14"/>
  <c r="D533" i="14" s="1"/>
  <c r="C551" i="14"/>
  <c r="D551" i="14" s="1"/>
  <c r="C572" i="14"/>
  <c r="D572" i="14" s="1"/>
  <c r="C590" i="14"/>
  <c r="D590" i="14" s="1"/>
  <c r="C631" i="14"/>
  <c r="D631" i="14" s="1"/>
  <c r="C658" i="14"/>
  <c r="D658" i="14" s="1"/>
  <c r="C683" i="14"/>
  <c r="D683" i="14" s="1"/>
  <c r="C710" i="14"/>
  <c r="D710" i="14" s="1"/>
  <c r="C737" i="14"/>
  <c r="D737" i="14" s="1"/>
  <c r="C765" i="14"/>
  <c r="D765" i="14" s="1"/>
  <c r="C799" i="14"/>
  <c r="D799" i="14" s="1"/>
  <c r="C828" i="14"/>
  <c r="D828" i="14" s="1"/>
  <c r="C856" i="14"/>
  <c r="D856" i="14" s="1"/>
  <c r="C893" i="14"/>
  <c r="D893" i="14" s="1"/>
  <c r="C930" i="14"/>
  <c r="D930" i="14" s="1"/>
  <c r="C960" i="14"/>
  <c r="D960" i="14" s="1"/>
  <c r="C998" i="14"/>
  <c r="D998" i="14" s="1"/>
  <c r="C1039" i="14"/>
  <c r="D1039" i="14" s="1"/>
  <c r="C1090" i="14"/>
  <c r="D1090" i="14" s="1"/>
  <c r="C1131" i="14"/>
  <c r="D1131" i="14" s="1"/>
  <c r="C1216" i="14"/>
  <c r="D1216" i="14" s="1"/>
  <c r="C56" i="14"/>
  <c r="D56" i="14" s="1"/>
  <c r="C39" i="14"/>
  <c r="D39" i="14" s="1"/>
  <c r="C71" i="14"/>
  <c r="D71" i="14" s="1"/>
  <c r="C103" i="14"/>
  <c r="D103" i="14" s="1"/>
  <c r="C135" i="14"/>
  <c r="D135" i="14" s="1"/>
  <c r="C167" i="14"/>
  <c r="D167" i="14" s="1"/>
  <c r="C180" i="14"/>
  <c r="D180" i="14" s="1"/>
  <c r="C192" i="14"/>
  <c r="D192" i="14" s="1"/>
  <c r="C205" i="14"/>
  <c r="D205" i="14" s="1"/>
  <c r="C220" i="14"/>
  <c r="D220" i="14" s="1"/>
  <c r="C234" i="14"/>
  <c r="D234" i="14" s="1"/>
  <c r="C247" i="14"/>
  <c r="D247" i="14" s="1"/>
  <c r="C261" i="14"/>
  <c r="D261" i="14" s="1"/>
  <c r="C277" i="14"/>
  <c r="D277" i="14" s="1"/>
  <c r="C305" i="14"/>
  <c r="D305" i="14" s="1"/>
  <c r="C332" i="14"/>
  <c r="D332" i="14" s="1"/>
  <c r="C348" i="14"/>
  <c r="D348" i="14" s="1"/>
  <c r="C362" i="14"/>
  <c r="D362" i="14" s="1"/>
  <c r="C375" i="14"/>
  <c r="D375" i="14" s="1"/>
  <c r="C389" i="14"/>
  <c r="D389" i="14" s="1"/>
  <c r="C408" i="14"/>
  <c r="D408" i="14" s="1"/>
  <c r="C423" i="14"/>
  <c r="D423" i="14" s="1"/>
  <c r="C438" i="14"/>
  <c r="D438" i="14" s="1"/>
  <c r="C458" i="14"/>
  <c r="D458" i="14" s="1"/>
  <c r="C474" i="14"/>
  <c r="D474" i="14" s="1"/>
  <c r="C495" i="14"/>
  <c r="D495" i="14" s="1"/>
  <c r="C513" i="14"/>
  <c r="D513" i="14" s="1"/>
  <c r="C534" i="14"/>
  <c r="D534" i="14" s="1"/>
  <c r="C552" i="14"/>
  <c r="D552" i="14" s="1"/>
  <c r="C573" i="14"/>
  <c r="D573" i="14" s="1"/>
  <c r="C591" i="14"/>
  <c r="D591" i="14" s="1"/>
  <c r="C612" i="14"/>
  <c r="D612" i="14" s="1"/>
  <c r="C632" i="14"/>
  <c r="D632" i="14" s="1"/>
  <c r="C684" i="14"/>
  <c r="D684" i="14" s="1"/>
  <c r="C711" i="14"/>
  <c r="D711" i="14" s="1"/>
  <c r="C738" i="14"/>
  <c r="D738" i="14" s="1"/>
  <c r="C773" i="14"/>
  <c r="D773" i="14" s="1"/>
  <c r="C800" i="14"/>
  <c r="D800" i="14" s="1"/>
  <c r="C829" i="14"/>
  <c r="D829" i="14" s="1"/>
  <c r="C864" i="14"/>
  <c r="D864" i="14" s="1"/>
  <c r="C894" i="14"/>
  <c r="D894" i="14" s="1"/>
  <c r="C931" i="14"/>
  <c r="D931" i="14" s="1"/>
  <c r="C970" i="14"/>
  <c r="D970" i="14" s="1"/>
  <c r="C999" i="14"/>
  <c r="D999" i="14" s="1"/>
  <c r="C1050" i="14"/>
  <c r="D1050" i="14" s="1"/>
  <c r="C1091" i="14"/>
  <c r="D1091" i="14" s="1"/>
  <c r="C1172" i="14"/>
  <c r="D1172" i="14" s="1"/>
  <c r="F2" i="11"/>
  <c r="C1257" i="14"/>
  <c r="D1257" i="14" s="1"/>
  <c r="C1242" i="14"/>
  <c r="D1242" i="14" s="1"/>
  <c r="C1227" i="14"/>
  <c r="D1227" i="14" s="1"/>
  <c r="C1213" i="14"/>
  <c r="D1213" i="14" s="1"/>
  <c r="C1199" i="14"/>
  <c r="D1199" i="14" s="1"/>
  <c r="C1183" i="14"/>
  <c r="D1183" i="14" s="1"/>
  <c r="C1169" i="14"/>
  <c r="D1169" i="14" s="1"/>
  <c r="C1155" i="14"/>
  <c r="D1155" i="14" s="1"/>
  <c r="C1142" i="14"/>
  <c r="D1142" i="14" s="1"/>
  <c r="C1129" i="14"/>
  <c r="D1129" i="14" s="1"/>
  <c r="C1116" i="14"/>
  <c r="D1116" i="14" s="1"/>
  <c r="C1089" i="14"/>
  <c r="D1089" i="14" s="1"/>
  <c r="C1075" i="14"/>
  <c r="D1075" i="14" s="1"/>
  <c r="C1049" i="14"/>
  <c r="D1049" i="14" s="1"/>
  <c r="C1036" i="14"/>
  <c r="D1036" i="14" s="1"/>
  <c r="C1021" i="14"/>
  <c r="D1021" i="14" s="1"/>
  <c r="C1008" i="14"/>
  <c r="D1008" i="14" s="1"/>
  <c r="C982" i="14"/>
  <c r="D982" i="14" s="1"/>
  <c r="C969" i="14"/>
  <c r="D969" i="14" s="1"/>
  <c r="C955" i="14"/>
  <c r="D955" i="14" s="1"/>
  <c r="C941" i="14"/>
  <c r="D941" i="14" s="1"/>
  <c r="C928" i="14"/>
  <c r="D928" i="14" s="1"/>
  <c r="C916" i="14"/>
  <c r="D916" i="14" s="1"/>
  <c r="C904" i="14"/>
  <c r="D904" i="14" s="1"/>
  <c r="C891" i="14"/>
  <c r="D891" i="14" s="1"/>
  <c r="C877" i="14"/>
  <c r="D877" i="14" s="1"/>
  <c r="C863" i="14"/>
  <c r="D863" i="14" s="1"/>
  <c r="C850" i="14"/>
  <c r="D850" i="14" s="1"/>
  <c r="C825" i="14"/>
  <c r="D825" i="14" s="1"/>
  <c r="C812" i="14"/>
  <c r="D812" i="14" s="1"/>
  <c r="C798" i="14"/>
  <c r="D798" i="14" s="1"/>
  <c r="C786" i="14"/>
  <c r="D786" i="14" s="1"/>
  <c r="C772" i="14"/>
  <c r="D772" i="14" s="1"/>
  <c r="C759" i="14"/>
  <c r="D759" i="14" s="1"/>
  <c r="C746" i="14"/>
  <c r="D746" i="14" s="1"/>
  <c r="C720" i="14"/>
  <c r="D720" i="14" s="1"/>
  <c r="C706" i="14"/>
  <c r="D706" i="14" s="1"/>
  <c r="C692" i="14"/>
  <c r="D692" i="14" s="1"/>
  <c r="C667" i="14"/>
  <c r="D667" i="14" s="1"/>
  <c r="C653" i="14"/>
  <c r="D653" i="14" s="1"/>
  <c r="C625" i="14"/>
  <c r="D625" i="14" s="1"/>
  <c r="C611" i="14"/>
  <c r="D611" i="14" s="1"/>
  <c r="C598" i="14"/>
  <c r="D598" i="14" s="1"/>
  <c r="C585" i="14"/>
  <c r="D585" i="14" s="1"/>
  <c r="C558" i="14"/>
  <c r="D558" i="14" s="1"/>
  <c r="C545" i="14"/>
  <c r="D545" i="14" s="1"/>
  <c r="C519" i="14"/>
  <c r="D519" i="14" s="1"/>
  <c r="C506" i="14"/>
  <c r="D506" i="14" s="1"/>
  <c r="C492" i="14"/>
  <c r="D492" i="14" s="1"/>
  <c r="C479" i="14"/>
  <c r="D479" i="14" s="1"/>
  <c r="C467" i="14"/>
  <c r="D467" i="14" s="1"/>
  <c r="C454" i="14"/>
  <c r="D454" i="14" s="1"/>
  <c r="C429" i="14"/>
  <c r="D429" i="14" s="1"/>
  <c r="C405" i="14"/>
  <c r="D405" i="14" s="1"/>
  <c r="C381" i="14"/>
  <c r="D381" i="14" s="1"/>
  <c r="C369" i="14"/>
  <c r="D369" i="14" s="1"/>
  <c r="C346" i="14"/>
  <c r="D346" i="14" s="1"/>
  <c r="C334" i="14"/>
  <c r="D334" i="14" s="1"/>
  <c r="C323" i="14"/>
  <c r="D323" i="14" s="1"/>
  <c r="C311" i="14"/>
  <c r="D311" i="14" s="1"/>
  <c r="C299" i="14"/>
  <c r="D299" i="14" s="1"/>
  <c r="C289" i="14"/>
  <c r="D289" i="14" s="1"/>
  <c r="C276" i="14"/>
  <c r="D276" i="14" s="1"/>
  <c r="C265" i="14"/>
  <c r="D265" i="14" s="1"/>
  <c r="C230" i="14"/>
  <c r="D230" i="14" s="1"/>
  <c r="C219" i="14"/>
  <c r="D219" i="14" s="1"/>
  <c r="C197" i="14"/>
  <c r="D197" i="14" s="1"/>
  <c r="C186" i="14"/>
  <c r="D186" i="14" s="1"/>
  <c r="C1256" i="14"/>
  <c r="D1256" i="14" s="1"/>
  <c r="C1241" i="14"/>
  <c r="D1241" i="14" s="1"/>
  <c r="C1226" i="14"/>
  <c r="D1226" i="14" s="1"/>
  <c r="C1212" i="14"/>
  <c r="D1212" i="14" s="1"/>
  <c r="C1198" i="14"/>
  <c r="D1198" i="14" s="1"/>
  <c r="C1182" i="14"/>
  <c r="D1182" i="14" s="1"/>
  <c r="C1168" i="14"/>
  <c r="D1168" i="14" s="1"/>
  <c r="C1154" i="14"/>
  <c r="D1154" i="14" s="1"/>
  <c r="C1128" i="14"/>
  <c r="D1128" i="14" s="1"/>
  <c r="C1101" i="14"/>
  <c r="D1101" i="14" s="1"/>
  <c r="C1088" i="14"/>
  <c r="D1088" i="14" s="1"/>
  <c r="C1074" i="14"/>
  <c r="D1074" i="14" s="1"/>
  <c r="C1062" i="14"/>
  <c r="D1062" i="14" s="1"/>
  <c r="C1048" i="14"/>
  <c r="D1048" i="14" s="1"/>
  <c r="C1035" i="14"/>
  <c r="D1035" i="14" s="1"/>
  <c r="C1007" i="14"/>
  <c r="D1007" i="14" s="1"/>
  <c r="C994" i="14"/>
  <c r="D994" i="14" s="1"/>
  <c r="C981" i="14"/>
  <c r="D981" i="14" s="1"/>
  <c r="C968" i="14"/>
  <c r="D968" i="14" s="1"/>
  <c r="C927" i="14"/>
  <c r="D927" i="14" s="1"/>
  <c r="C903" i="14"/>
  <c r="D903" i="14" s="1"/>
  <c r="C890" i="14"/>
  <c r="D890" i="14" s="1"/>
  <c r="C876" i="14"/>
  <c r="D876" i="14" s="1"/>
  <c r="C849" i="14"/>
  <c r="D849" i="14" s="1"/>
  <c r="C837" i="14"/>
  <c r="D837" i="14" s="1"/>
  <c r="C824" i="14"/>
  <c r="D824" i="14" s="1"/>
  <c r="C811" i="14"/>
  <c r="D811" i="14" s="1"/>
  <c r="C797" i="14"/>
  <c r="D797" i="14" s="1"/>
  <c r="C785" i="14"/>
  <c r="D785" i="14" s="1"/>
  <c r="C745" i="14"/>
  <c r="D745" i="14" s="1"/>
  <c r="C732" i="14"/>
  <c r="D732" i="14" s="1"/>
  <c r="C719" i="14"/>
  <c r="D719" i="14" s="1"/>
  <c r="C705" i="14"/>
  <c r="D705" i="14" s="1"/>
  <c r="C691" i="14"/>
  <c r="D691" i="14" s="1"/>
  <c r="C678" i="14"/>
  <c r="D678" i="14" s="1"/>
  <c r="C666" i="14"/>
  <c r="D666" i="14" s="1"/>
  <c r="C652" i="14"/>
  <c r="D652" i="14" s="1"/>
  <c r="C639" i="14"/>
  <c r="D639" i="14" s="1"/>
  <c r="C624" i="14"/>
  <c r="D624" i="14" s="1"/>
  <c r="C610" i="14"/>
  <c r="D610" i="14" s="1"/>
  <c r="C597" i="14"/>
  <c r="D597" i="14" s="1"/>
  <c r="C584" i="14"/>
  <c r="D584" i="14" s="1"/>
  <c r="C571" i="14"/>
  <c r="D571" i="14" s="1"/>
  <c r="C557" i="14"/>
  <c r="D557" i="14" s="1"/>
  <c r="C531" i="14"/>
  <c r="D531" i="14" s="1"/>
  <c r="C518" i="14"/>
  <c r="D518" i="14" s="1"/>
  <c r="C505" i="14"/>
  <c r="D505" i="14" s="1"/>
  <c r="C491" i="14"/>
  <c r="D491" i="14" s="1"/>
  <c r="C478" i="14"/>
  <c r="D478" i="14" s="1"/>
  <c r="C466" i="14"/>
  <c r="D466" i="14" s="1"/>
  <c r="C453" i="14"/>
  <c r="D453" i="14" s="1"/>
  <c r="C441" i="14"/>
  <c r="D441" i="14" s="1"/>
  <c r="C417" i="14"/>
  <c r="D417" i="14" s="1"/>
  <c r="C392" i="14"/>
  <c r="D392" i="14" s="1"/>
  <c r="C380" i="14"/>
  <c r="D380" i="14" s="1"/>
  <c r="C357" i="14"/>
  <c r="D357" i="14" s="1"/>
  <c r="C345" i="14"/>
  <c r="D345" i="14" s="1"/>
  <c r="C333" i="14"/>
  <c r="D333" i="14" s="1"/>
  <c r="C322" i="14"/>
  <c r="D322" i="14" s="1"/>
  <c r="C310" i="14"/>
  <c r="D310" i="14" s="1"/>
  <c r="C288" i="14"/>
  <c r="D288" i="14" s="1"/>
  <c r="C253" i="14"/>
  <c r="D253" i="14" s="1"/>
  <c r="C241" i="14"/>
  <c r="D241" i="14" s="1"/>
  <c r="C218" i="14"/>
  <c r="D218" i="14" s="1"/>
  <c r="C207" i="14"/>
  <c r="D207" i="14" s="1"/>
  <c r="C175" i="14"/>
  <c r="D175" i="14" s="1"/>
  <c r="C1255" i="14"/>
  <c r="D1255" i="14" s="1"/>
  <c r="C1240" i="14"/>
  <c r="D1240" i="14" s="1"/>
  <c r="C1225" i="14"/>
  <c r="D1225" i="14" s="1"/>
  <c r="C1197" i="14"/>
  <c r="D1197" i="14" s="1"/>
  <c r="C1167" i="14"/>
  <c r="D1167" i="14" s="1"/>
  <c r="C1153" i="14"/>
  <c r="D1153" i="14" s="1"/>
  <c r="C1141" i="14"/>
  <c r="D1141" i="14" s="1"/>
  <c r="C1127" i="14"/>
  <c r="D1127" i="14" s="1"/>
  <c r="C1115" i="14"/>
  <c r="D1115" i="14" s="1"/>
  <c r="C1100" i="14"/>
  <c r="D1100" i="14" s="1"/>
  <c r="C1087" i="14"/>
  <c r="D1087" i="14" s="1"/>
  <c r="C1073" i="14"/>
  <c r="D1073" i="14" s="1"/>
  <c r="C1061" i="14"/>
  <c r="D1061" i="14" s="1"/>
  <c r="C1047" i="14"/>
  <c r="D1047" i="14" s="1"/>
  <c r="C1034" i="14"/>
  <c r="D1034" i="14" s="1"/>
  <c r="C1020" i="14"/>
  <c r="D1020" i="14" s="1"/>
  <c r="C993" i="14"/>
  <c r="D993" i="14" s="1"/>
  <c r="C980" i="14"/>
  <c r="D980" i="14" s="1"/>
  <c r="C967" i="14"/>
  <c r="D967" i="14" s="1"/>
  <c r="C954" i="14"/>
  <c r="D954" i="14" s="1"/>
  <c r="C940" i="14"/>
  <c r="D940" i="14" s="1"/>
  <c r="C926" i="14"/>
  <c r="D926" i="14" s="1"/>
  <c r="C915" i="14"/>
  <c r="D915" i="14" s="1"/>
  <c r="C902" i="14"/>
  <c r="D902" i="14" s="1"/>
  <c r="C889" i="14"/>
  <c r="D889" i="14" s="1"/>
  <c r="C862" i="14"/>
  <c r="D862" i="14" s="1"/>
  <c r="C848" i="14"/>
  <c r="D848" i="14" s="1"/>
  <c r="C823" i="14"/>
  <c r="D823" i="14" s="1"/>
  <c r="C810" i="14"/>
  <c r="D810" i="14" s="1"/>
  <c r="C784" i="14"/>
  <c r="D784" i="14" s="1"/>
  <c r="C771" i="14"/>
  <c r="D771" i="14" s="1"/>
  <c r="C758" i="14"/>
  <c r="D758" i="14" s="1"/>
  <c r="C744" i="14"/>
  <c r="D744" i="14" s="1"/>
  <c r="C718" i="14"/>
  <c r="D718" i="14" s="1"/>
  <c r="C704" i="14"/>
  <c r="D704" i="14" s="1"/>
  <c r="C690" i="14"/>
  <c r="D690" i="14" s="1"/>
  <c r="C677" i="14"/>
  <c r="D677" i="14" s="1"/>
  <c r="C665" i="14"/>
  <c r="D665" i="14" s="1"/>
  <c r="C638" i="14"/>
  <c r="D638" i="14" s="1"/>
  <c r="C609" i="14"/>
  <c r="D609" i="14" s="1"/>
  <c r="C583" i="14"/>
  <c r="D583" i="14" s="1"/>
  <c r="C570" i="14"/>
  <c r="D570" i="14" s="1"/>
  <c r="C556" i="14"/>
  <c r="D556" i="14" s="1"/>
  <c r="C544" i="14"/>
  <c r="D544" i="14" s="1"/>
  <c r="C530" i="14"/>
  <c r="D530" i="14" s="1"/>
  <c r="C517" i="14"/>
  <c r="D517" i="14" s="1"/>
  <c r="C504" i="14"/>
  <c r="D504" i="14" s="1"/>
  <c r="C477" i="14"/>
  <c r="D477" i="14" s="1"/>
  <c r="C452" i="14"/>
  <c r="D452" i="14" s="1"/>
  <c r="C440" i="14"/>
  <c r="D440" i="14" s="1"/>
  <c r="C428" i="14"/>
  <c r="D428" i="14" s="1"/>
  <c r="C416" i="14"/>
  <c r="D416" i="14" s="1"/>
  <c r="C404" i="14"/>
  <c r="D404" i="14" s="1"/>
  <c r="C391" i="14"/>
  <c r="D391" i="14" s="1"/>
  <c r="C379" i="14"/>
  <c r="D379" i="14" s="1"/>
  <c r="C368" i="14"/>
  <c r="D368" i="14" s="1"/>
  <c r="C356" i="14"/>
  <c r="D356" i="14" s="1"/>
  <c r="C321" i="14"/>
  <c r="D321" i="14" s="1"/>
  <c r="C298" i="14"/>
  <c r="D298" i="14" s="1"/>
  <c r="C287" i="14"/>
  <c r="D287" i="14" s="1"/>
  <c r="C275" i="14"/>
  <c r="D275" i="14" s="1"/>
  <c r="C264" i="14"/>
  <c r="D264" i="14" s="1"/>
  <c r="C252" i="14"/>
  <c r="D252" i="14" s="1"/>
  <c r="C229" i="14"/>
  <c r="D229" i="14" s="1"/>
  <c r="C217" i="14"/>
  <c r="D217" i="14" s="1"/>
  <c r="C196" i="14"/>
  <c r="D196" i="14" s="1"/>
  <c r="C185" i="14"/>
  <c r="D185" i="14" s="1"/>
  <c r="C1254" i="14"/>
  <c r="D1254" i="14" s="1"/>
  <c r="C1239" i="14"/>
  <c r="D1239" i="14" s="1"/>
  <c r="C1224" i="14"/>
  <c r="D1224" i="14" s="1"/>
  <c r="C1211" i="14"/>
  <c r="D1211" i="14" s="1"/>
  <c r="C1196" i="14"/>
  <c r="D1196" i="14" s="1"/>
  <c r="C1181" i="14"/>
  <c r="D1181" i="14" s="1"/>
  <c r="C1152" i="14"/>
  <c r="D1152" i="14" s="1"/>
  <c r="C1140" i="14"/>
  <c r="D1140" i="14" s="1"/>
  <c r="C1126" i="14"/>
  <c r="D1126" i="14" s="1"/>
  <c r="C1114" i="14"/>
  <c r="D1114" i="14" s="1"/>
  <c r="C1086" i="14"/>
  <c r="D1086" i="14" s="1"/>
  <c r="C1072" i="14"/>
  <c r="D1072" i="14" s="1"/>
  <c r="C1060" i="14"/>
  <c r="D1060" i="14" s="1"/>
  <c r="C1046" i="14"/>
  <c r="D1046" i="14" s="1"/>
  <c r="C1033" i="14"/>
  <c r="D1033" i="14" s="1"/>
  <c r="C1006" i="14"/>
  <c r="D1006" i="14" s="1"/>
  <c r="C992" i="14"/>
  <c r="D992" i="14" s="1"/>
  <c r="C979" i="14"/>
  <c r="D979" i="14" s="1"/>
  <c r="C966" i="14"/>
  <c r="D966" i="14" s="1"/>
  <c r="C953" i="14"/>
  <c r="D953" i="14" s="1"/>
  <c r="C939" i="14"/>
  <c r="D939" i="14" s="1"/>
  <c r="C914" i="14"/>
  <c r="D914" i="14" s="1"/>
  <c r="C901" i="14"/>
  <c r="D901" i="14" s="1"/>
  <c r="C888" i="14"/>
  <c r="D888" i="14" s="1"/>
  <c r="C875" i="14"/>
  <c r="D875" i="14" s="1"/>
  <c r="C847" i="14"/>
  <c r="D847" i="14" s="1"/>
  <c r="C836" i="14"/>
  <c r="D836" i="14" s="1"/>
  <c r="C822" i="14"/>
  <c r="D822" i="14" s="1"/>
  <c r="C809" i="14"/>
  <c r="D809" i="14" s="1"/>
  <c r="C796" i="14"/>
  <c r="D796" i="14" s="1"/>
  <c r="C783" i="14"/>
  <c r="D783" i="14" s="1"/>
  <c r="C770" i="14"/>
  <c r="D770" i="14" s="1"/>
  <c r="C757" i="14"/>
  <c r="D757" i="14" s="1"/>
  <c r="C743" i="14"/>
  <c r="D743" i="14" s="1"/>
  <c r="C731" i="14"/>
  <c r="D731" i="14" s="1"/>
  <c r="C717" i="14"/>
  <c r="D717" i="14" s="1"/>
  <c r="C689" i="14"/>
  <c r="D689" i="14" s="1"/>
  <c r="C664" i="14"/>
  <c r="D664" i="14" s="1"/>
  <c r="C651" i="14"/>
  <c r="D651" i="14" s="1"/>
  <c r="C637" i="14"/>
  <c r="D637" i="14" s="1"/>
  <c r="C623" i="14"/>
  <c r="D623" i="14" s="1"/>
  <c r="C608" i="14"/>
  <c r="D608" i="14" s="1"/>
  <c r="C596" i="14"/>
  <c r="D596" i="14" s="1"/>
  <c r="C582" i="14"/>
  <c r="D582" i="14" s="1"/>
  <c r="C569" i="14"/>
  <c r="D569" i="14" s="1"/>
  <c r="C543" i="14"/>
  <c r="D543" i="14" s="1"/>
  <c r="C529" i="14"/>
  <c r="D529" i="14" s="1"/>
  <c r="C516" i="14"/>
  <c r="D516" i="14" s="1"/>
  <c r="C503" i="14"/>
  <c r="D503" i="14" s="1"/>
  <c r="C490" i="14"/>
  <c r="D490" i="14" s="1"/>
  <c r="C476" i="14"/>
  <c r="D476" i="14" s="1"/>
  <c r="C465" i="14"/>
  <c r="D465" i="14" s="1"/>
  <c r="C451" i="14"/>
  <c r="D451" i="14" s="1"/>
  <c r="C439" i="14"/>
  <c r="D439" i="14" s="1"/>
  <c r="C427" i="14"/>
  <c r="D427" i="14" s="1"/>
  <c r="C415" i="14"/>
  <c r="D415" i="14" s="1"/>
  <c r="C403" i="14"/>
  <c r="D403" i="14" s="1"/>
  <c r="C390" i="14"/>
  <c r="D390" i="14" s="1"/>
  <c r="C1253" i="14"/>
  <c r="D1253" i="14" s="1"/>
  <c r="C1238" i="14"/>
  <c r="D1238" i="14" s="1"/>
  <c r="C1223" i="14"/>
  <c r="D1223" i="14" s="1"/>
  <c r="C1210" i="14"/>
  <c r="D1210" i="14" s="1"/>
  <c r="C1195" i="14"/>
  <c r="D1195" i="14" s="1"/>
  <c r="C1180" i="14"/>
  <c r="D1180" i="14" s="1"/>
  <c r="C1166" i="14"/>
  <c r="D1166" i="14" s="1"/>
  <c r="C1151" i="14"/>
  <c r="D1151" i="14" s="1"/>
  <c r="C1139" i="14"/>
  <c r="D1139" i="14" s="1"/>
  <c r="C1125" i="14"/>
  <c r="D1125" i="14" s="1"/>
  <c r="C1113" i="14"/>
  <c r="D1113" i="14" s="1"/>
  <c r="C1099" i="14"/>
  <c r="D1099" i="14" s="1"/>
  <c r="C1071" i="14"/>
  <c r="D1071" i="14" s="1"/>
  <c r="C1059" i="14"/>
  <c r="D1059" i="14" s="1"/>
  <c r="C1045" i="14"/>
  <c r="D1045" i="14" s="1"/>
  <c r="C1032" i="14"/>
  <c r="D1032" i="14" s="1"/>
  <c r="C1019" i="14"/>
  <c r="D1019" i="14" s="1"/>
  <c r="C1005" i="14"/>
  <c r="D1005" i="14" s="1"/>
  <c r="C991" i="14"/>
  <c r="D991" i="14" s="1"/>
  <c r="C978" i="14"/>
  <c r="D978" i="14" s="1"/>
  <c r="C965" i="14"/>
  <c r="D965" i="14" s="1"/>
  <c r="C952" i="14"/>
  <c r="D952" i="14" s="1"/>
  <c r="C925" i="14"/>
  <c r="D925" i="14" s="1"/>
  <c r="C913" i="14"/>
  <c r="D913" i="14" s="1"/>
  <c r="C900" i="14"/>
  <c r="D900" i="14" s="1"/>
  <c r="C887" i="14"/>
  <c r="D887" i="14" s="1"/>
  <c r="C874" i="14"/>
  <c r="D874" i="14" s="1"/>
  <c r="C861" i="14"/>
  <c r="D861" i="14" s="1"/>
  <c r="C846" i="14"/>
  <c r="D846" i="14" s="1"/>
  <c r="C835" i="14"/>
  <c r="D835" i="14" s="1"/>
  <c r="C821" i="14"/>
  <c r="D821" i="14" s="1"/>
  <c r="C808" i="14"/>
  <c r="D808" i="14" s="1"/>
  <c r="C795" i="14"/>
  <c r="D795" i="14" s="1"/>
  <c r="C769" i="14"/>
  <c r="D769" i="14" s="1"/>
  <c r="C756" i="14"/>
  <c r="D756" i="14" s="1"/>
  <c r="C742" i="14"/>
  <c r="D742" i="14" s="1"/>
  <c r="C730" i="14"/>
  <c r="D730" i="14" s="1"/>
  <c r="C716" i="14"/>
  <c r="D716" i="14" s="1"/>
  <c r="C703" i="14"/>
  <c r="D703" i="14" s="1"/>
  <c r="C688" i="14"/>
  <c r="D688" i="14" s="1"/>
  <c r="C676" i="14"/>
  <c r="D676" i="14" s="1"/>
  <c r="C663" i="14"/>
  <c r="D663" i="14" s="1"/>
  <c r="C650" i="14"/>
  <c r="D650" i="14" s="1"/>
  <c r="C636" i="14"/>
  <c r="D636" i="14" s="1"/>
  <c r="C622" i="14"/>
  <c r="D622" i="14" s="1"/>
  <c r="C607" i="14"/>
  <c r="D607" i="14" s="1"/>
  <c r="C581" i="14"/>
  <c r="D581" i="14" s="1"/>
  <c r="C568" i="14"/>
  <c r="D568" i="14" s="1"/>
  <c r="C555" i="14"/>
  <c r="D555" i="14" s="1"/>
  <c r="C542" i="14"/>
  <c r="D542" i="14" s="1"/>
  <c r="C515" i="14"/>
  <c r="D515" i="14" s="1"/>
  <c r="C502" i="14"/>
  <c r="D502" i="14" s="1"/>
  <c r="C489" i="14"/>
  <c r="D489" i="14" s="1"/>
  <c r="C475" i="14"/>
  <c r="D475" i="14" s="1"/>
  <c r="C464" i="14"/>
  <c r="D464" i="14" s="1"/>
  <c r="C1252" i="14"/>
  <c r="D1252" i="14" s="1"/>
  <c r="C1237" i="14"/>
  <c r="D1237" i="14" s="1"/>
  <c r="C1222" i="14"/>
  <c r="D1222" i="14" s="1"/>
  <c r="C1209" i="14"/>
  <c r="D1209" i="14" s="1"/>
  <c r="C1194" i="14"/>
  <c r="D1194" i="14" s="1"/>
  <c r="C1179" i="14"/>
  <c r="D1179" i="14" s="1"/>
  <c r="C1165" i="14"/>
  <c r="D1165" i="14" s="1"/>
  <c r="C1138" i="14"/>
  <c r="D1138" i="14" s="1"/>
  <c r="C1124" i="14"/>
  <c r="D1124" i="14" s="1"/>
  <c r="C1112" i="14"/>
  <c r="D1112" i="14" s="1"/>
  <c r="C1085" i="14"/>
  <c r="D1085" i="14" s="1"/>
  <c r="C1070" i="14"/>
  <c r="D1070" i="14" s="1"/>
  <c r="C1058" i="14"/>
  <c r="D1058" i="14" s="1"/>
  <c r="C1044" i="14"/>
  <c r="D1044" i="14" s="1"/>
  <c r="C1031" i="14"/>
  <c r="D1031" i="14" s="1"/>
  <c r="C1018" i="14"/>
  <c r="D1018" i="14" s="1"/>
  <c r="C1004" i="14"/>
  <c r="D1004" i="14" s="1"/>
  <c r="C977" i="14"/>
  <c r="D977" i="14" s="1"/>
  <c r="C951" i="14"/>
  <c r="D951" i="14" s="1"/>
  <c r="C938" i="14"/>
  <c r="D938" i="14" s="1"/>
  <c r="C912" i="14"/>
  <c r="D912" i="14" s="1"/>
  <c r="C899" i="14"/>
  <c r="D899" i="14" s="1"/>
  <c r="C886" i="14"/>
  <c r="D886" i="14" s="1"/>
  <c r="C873" i="14"/>
  <c r="D873" i="14" s="1"/>
  <c r="C860" i="14"/>
  <c r="D860" i="14" s="1"/>
  <c r="C834" i="14"/>
  <c r="D834" i="14" s="1"/>
  <c r="C820" i="14"/>
  <c r="D820" i="14" s="1"/>
  <c r="C807" i="14"/>
  <c r="D807" i="14" s="1"/>
  <c r="C782" i="14"/>
  <c r="D782" i="14" s="1"/>
  <c r="C768" i="14"/>
  <c r="D768" i="14" s="1"/>
  <c r="C755" i="14"/>
  <c r="D755" i="14" s="1"/>
  <c r="C729" i="14"/>
  <c r="D729" i="14" s="1"/>
  <c r="C715" i="14"/>
  <c r="D715" i="14" s="1"/>
  <c r="C702" i="14"/>
  <c r="D702" i="14" s="1"/>
  <c r="C675" i="14"/>
  <c r="D675" i="14" s="1"/>
  <c r="C662" i="14"/>
  <c r="D662" i="14" s="1"/>
  <c r="C649" i="14"/>
  <c r="D649" i="14" s="1"/>
  <c r="C1251" i="14"/>
  <c r="D1251" i="14" s="1"/>
  <c r="C1236" i="14"/>
  <c r="D1236" i="14" s="1"/>
  <c r="C1208" i="14"/>
  <c r="D1208" i="14" s="1"/>
  <c r="C1193" i="14"/>
  <c r="D1193" i="14" s="1"/>
  <c r="C1178" i="14"/>
  <c r="D1178" i="14" s="1"/>
  <c r="C1150" i="14"/>
  <c r="D1150" i="14" s="1"/>
  <c r="C1137" i="14"/>
  <c r="D1137" i="14" s="1"/>
  <c r="C1123" i="14"/>
  <c r="D1123" i="14" s="1"/>
  <c r="C1111" i="14"/>
  <c r="D1111" i="14" s="1"/>
  <c r="C1098" i="14"/>
  <c r="D1098" i="14" s="1"/>
  <c r="C1084" i="14"/>
  <c r="D1084" i="14" s="1"/>
  <c r="C1057" i="14"/>
  <c r="D1057" i="14" s="1"/>
  <c r="C1030" i="14"/>
  <c r="D1030" i="14" s="1"/>
  <c r="C1017" i="14"/>
  <c r="D1017" i="14" s="1"/>
  <c r="C990" i="14"/>
  <c r="D990" i="14" s="1"/>
  <c r="C976" i="14"/>
  <c r="D976" i="14" s="1"/>
  <c r="C964" i="14"/>
  <c r="D964" i="14" s="1"/>
  <c r="C950" i="14"/>
  <c r="D950" i="14" s="1"/>
  <c r="C937" i="14"/>
  <c r="D937" i="14" s="1"/>
  <c r="C924" i="14"/>
  <c r="D924" i="14" s="1"/>
  <c r="C911" i="14"/>
  <c r="D911" i="14" s="1"/>
  <c r="C898" i="14"/>
  <c r="D898" i="14" s="1"/>
  <c r="C872" i="14"/>
  <c r="D872" i="14" s="1"/>
  <c r="C845" i="14"/>
  <c r="D845" i="14" s="1"/>
  <c r="C833" i="14"/>
  <c r="D833" i="14" s="1"/>
  <c r="C819" i="14"/>
  <c r="D819" i="14" s="1"/>
  <c r="C794" i="14"/>
  <c r="D794" i="14" s="1"/>
  <c r="C781" i="14"/>
  <c r="D781" i="14" s="1"/>
  <c r="C754" i="14"/>
  <c r="D754" i="14" s="1"/>
  <c r="C741" i="14"/>
  <c r="D741" i="14" s="1"/>
  <c r="C728" i="14"/>
  <c r="D728" i="14" s="1"/>
  <c r="C701" i="14"/>
  <c r="D701" i="14" s="1"/>
  <c r="C687" i="14"/>
  <c r="D687" i="14" s="1"/>
  <c r="C674" i="14"/>
  <c r="D674" i="14" s="1"/>
  <c r="C648" i="14"/>
  <c r="D648" i="14" s="1"/>
  <c r="C635" i="14"/>
  <c r="D635" i="14" s="1"/>
  <c r="C620" i="14"/>
  <c r="D620" i="14" s="1"/>
  <c r="C1250" i="14"/>
  <c r="D1250" i="14" s="1"/>
  <c r="C1221" i="14"/>
  <c r="D1221" i="14" s="1"/>
  <c r="C1207" i="14"/>
  <c r="D1207" i="14" s="1"/>
  <c r="C1192" i="14"/>
  <c r="D1192" i="14" s="1"/>
  <c r="C1177" i="14"/>
  <c r="D1177" i="14" s="1"/>
  <c r="C1164" i="14"/>
  <c r="D1164" i="14" s="1"/>
  <c r="C1149" i="14"/>
  <c r="D1149" i="14" s="1"/>
  <c r="C1136" i="14"/>
  <c r="D1136" i="14" s="1"/>
  <c r="C1110" i="14"/>
  <c r="D1110" i="14" s="1"/>
  <c r="C1097" i="14"/>
  <c r="D1097" i="14" s="1"/>
  <c r="C1083" i="14"/>
  <c r="D1083" i="14" s="1"/>
  <c r="C1069" i="14"/>
  <c r="D1069" i="14" s="1"/>
  <c r="C1056" i="14"/>
  <c r="D1056" i="14" s="1"/>
  <c r="C1043" i="14"/>
  <c r="D1043" i="14" s="1"/>
  <c r="C1029" i="14"/>
  <c r="D1029" i="14" s="1"/>
  <c r="C1016" i="14"/>
  <c r="D1016" i="14" s="1"/>
  <c r="C1003" i="14"/>
  <c r="D1003" i="14" s="1"/>
  <c r="C975" i="14"/>
  <c r="D975" i="14" s="1"/>
  <c r="C963" i="14"/>
  <c r="D963" i="14" s="1"/>
  <c r="C949" i="14"/>
  <c r="D949" i="14" s="1"/>
  <c r="C936" i="14"/>
  <c r="D936" i="14" s="1"/>
  <c r="C923" i="14"/>
  <c r="D923" i="14" s="1"/>
  <c r="C897" i="14"/>
  <c r="D897" i="14" s="1"/>
  <c r="C885" i="14"/>
  <c r="D885" i="14" s="1"/>
  <c r="C871" i="14"/>
  <c r="D871" i="14" s="1"/>
  <c r="C859" i="14"/>
  <c r="D859" i="14" s="1"/>
  <c r="C844" i="14"/>
  <c r="D844" i="14" s="1"/>
  <c r="C832" i="14"/>
  <c r="D832" i="14" s="1"/>
  <c r="C806" i="14"/>
  <c r="D806" i="14" s="1"/>
  <c r="C793" i="14"/>
  <c r="D793" i="14" s="1"/>
  <c r="C780" i="14"/>
  <c r="D780" i="14" s="1"/>
  <c r="C767" i="14"/>
  <c r="D767" i="14" s="1"/>
  <c r="C753" i="14"/>
  <c r="D753" i="14" s="1"/>
  <c r="C727" i="14"/>
  <c r="D727" i="14" s="1"/>
  <c r="C714" i="14"/>
  <c r="D714" i="14" s="1"/>
  <c r="C700" i="14"/>
  <c r="D700" i="14" s="1"/>
  <c r="C686" i="14"/>
  <c r="D686" i="14" s="1"/>
  <c r="C673" i="14"/>
  <c r="D673" i="14" s="1"/>
  <c r="C661" i="14"/>
  <c r="D661" i="14" s="1"/>
  <c r="C647" i="14"/>
  <c r="D647" i="14" s="1"/>
  <c r="C634" i="14"/>
  <c r="D634" i="14" s="1"/>
  <c r="C1249" i="14"/>
  <c r="D1249" i="14" s="1"/>
  <c r="C1235" i="14"/>
  <c r="D1235" i="14" s="1"/>
  <c r="C1220" i="14"/>
  <c r="D1220" i="14" s="1"/>
  <c r="C1206" i="14"/>
  <c r="D1206" i="14" s="1"/>
  <c r="C1191" i="14"/>
  <c r="D1191" i="14" s="1"/>
  <c r="C1176" i="14"/>
  <c r="D1176" i="14" s="1"/>
  <c r="C1163" i="14"/>
  <c r="D1163" i="14" s="1"/>
  <c r="C1135" i="14"/>
  <c r="D1135" i="14" s="1"/>
  <c r="C1122" i="14"/>
  <c r="D1122" i="14" s="1"/>
  <c r="C1109" i="14"/>
  <c r="D1109" i="14" s="1"/>
  <c r="C1096" i="14"/>
  <c r="D1096" i="14" s="1"/>
  <c r="C1055" i="14"/>
  <c r="D1055" i="14" s="1"/>
  <c r="C1042" i="14"/>
  <c r="D1042" i="14" s="1"/>
  <c r="C1028" i="14"/>
  <c r="D1028" i="14" s="1"/>
  <c r="C1015" i="14"/>
  <c r="D1015" i="14" s="1"/>
  <c r="C1002" i="14"/>
  <c r="D1002" i="14" s="1"/>
  <c r="C989" i="14"/>
  <c r="D989" i="14" s="1"/>
  <c r="C974" i="14"/>
  <c r="D974" i="14" s="1"/>
  <c r="C962" i="14"/>
  <c r="D962" i="14" s="1"/>
  <c r="C948" i="14"/>
  <c r="D948" i="14" s="1"/>
  <c r="C935" i="14"/>
  <c r="D935" i="14" s="1"/>
  <c r="C910" i="14"/>
  <c r="D910" i="14" s="1"/>
  <c r="C896" i="14"/>
  <c r="D896" i="14" s="1"/>
  <c r="C884" i="14"/>
  <c r="D884" i="14" s="1"/>
  <c r="C870" i="14"/>
  <c r="D870" i="14" s="1"/>
  <c r="C858" i="14"/>
  <c r="D858" i="14" s="1"/>
  <c r="C831" i="14"/>
  <c r="D831" i="14" s="1"/>
  <c r="C818" i="14"/>
  <c r="D818" i="14" s="1"/>
  <c r="C805" i="14"/>
  <c r="D805" i="14" s="1"/>
  <c r="C792" i="14"/>
  <c r="D792" i="14" s="1"/>
  <c r="C766" i="14"/>
  <c r="D766" i="14" s="1"/>
  <c r="C752" i="14"/>
  <c r="D752" i="14" s="1"/>
  <c r="C740" i="14"/>
  <c r="D740" i="14" s="1"/>
  <c r="C1248" i="14"/>
  <c r="D1248" i="14" s="1"/>
  <c r="C1234" i="14"/>
  <c r="D1234" i="14" s="1"/>
  <c r="C1219" i="14"/>
  <c r="D1219" i="14" s="1"/>
  <c r="C1205" i="14"/>
  <c r="D1205" i="14" s="1"/>
  <c r="C1190" i="14"/>
  <c r="D1190" i="14" s="1"/>
  <c r="C1175" i="14"/>
  <c r="D1175" i="14" s="1"/>
  <c r="C1162" i="14"/>
  <c r="D1162" i="14" s="1"/>
  <c r="C1148" i="14"/>
  <c r="D1148" i="14" s="1"/>
  <c r="C1121" i="14"/>
  <c r="D1121" i="14" s="1"/>
  <c r="C1108" i="14"/>
  <c r="D1108" i="14" s="1"/>
  <c r="C1095" i="14"/>
  <c r="D1095" i="14" s="1"/>
  <c r="C1082" i="14"/>
  <c r="D1082" i="14" s="1"/>
  <c r="C1068" i="14"/>
  <c r="D1068" i="14" s="1"/>
  <c r="C1054" i="14"/>
  <c r="D1054" i="14" s="1"/>
  <c r="C1041" i="14"/>
  <c r="D1041" i="14" s="1"/>
  <c r="C1027" i="14"/>
  <c r="D1027" i="14" s="1"/>
  <c r="C1014" i="14"/>
  <c r="D1014" i="14" s="1"/>
  <c r="C1001" i="14"/>
  <c r="D1001" i="14" s="1"/>
  <c r="C988" i="14"/>
  <c r="D988" i="14" s="1"/>
  <c r="C961" i="14"/>
  <c r="D961" i="14" s="1"/>
  <c r="C947" i="14"/>
  <c r="D947" i="14" s="1"/>
  <c r="C922" i="14"/>
  <c r="D922" i="14" s="1"/>
  <c r="C909" i="14"/>
  <c r="D909" i="14" s="1"/>
  <c r="C895" i="14"/>
  <c r="D895" i="14" s="1"/>
  <c r="C883" i="14"/>
  <c r="D883" i="14" s="1"/>
  <c r="C869" i="14"/>
  <c r="D869" i="14" s="1"/>
  <c r="C857" i="14"/>
  <c r="D857" i="14" s="1"/>
  <c r="C1247" i="14"/>
  <c r="D1247" i="14" s="1"/>
  <c r="C1233" i="14"/>
  <c r="D1233" i="14" s="1"/>
  <c r="C1218" i="14"/>
  <c r="D1218" i="14" s="1"/>
  <c r="C1204" i="14"/>
  <c r="D1204" i="14" s="1"/>
  <c r="C1189" i="14"/>
  <c r="D1189" i="14" s="1"/>
  <c r="C1174" i="14"/>
  <c r="D1174" i="14" s="1"/>
  <c r="C1161" i="14"/>
  <c r="D1161" i="14" s="1"/>
  <c r="C1134" i="14"/>
  <c r="D1134" i="14" s="1"/>
  <c r="C1120" i="14"/>
  <c r="D1120" i="14" s="1"/>
  <c r="C1107" i="14"/>
  <c r="D1107" i="14" s="1"/>
  <c r="C1094" i="14"/>
  <c r="D1094" i="14" s="1"/>
  <c r="C1081" i="14"/>
  <c r="D1081" i="14" s="1"/>
  <c r="C1067" i="14"/>
  <c r="D1067" i="14" s="1"/>
  <c r="C1053" i="14"/>
  <c r="D1053" i="14" s="1"/>
  <c r="C1040" i="14"/>
  <c r="D1040" i="14" s="1"/>
  <c r="C1026" i="14"/>
  <c r="D1026" i="14" s="1"/>
  <c r="C1000" i="14"/>
  <c r="D1000" i="14" s="1"/>
  <c r="C1246" i="14"/>
  <c r="D1246" i="14" s="1"/>
  <c r="C1244" i="14"/>
  <c r="D1244" i="14" s="1"/>
  <c r="C18" i="14"/>
  <c r="D18" i="14" s="1"/>
  <c r="C29" i="14"/>
  <c r="D29" i="14" s="1"/>
  <c r="C50" i="14"/>
  <c r="D50" i="14" s="1"/>
  <c r="C61" i="14"/>
  <c r="D61" i="14" s="1"/>
  <c r="C82" i="14"/>
  <c r="D82" i="14" s="1"/>
  <c r="C93" i="14"/>
  <c r="D93" i="14" s="1"/>
  <c r="C114" i="14"/>
  <c r="D114" i="14" s="1"/>
  <c r="C125" i="14"/>
  <c r="D125" i="14" s="1"/>
  <c r="C146" i="14"/>
  <c r="D146" i="14" s="1"/>
  <c r="C157" i="14"/>
  <c r="D157" i="14" s="1"/>
  <c r="C193" i="14"/>
  <c r="D193" i="14" s="1"/>
  <c r="C206" i="14"/>
  <c r="D206" i="14" s="1"/>
  <c r="C221" i="14"/>
  <c r="D221" i="14" s="1"/>
  <c r="C235" i="14"/>
  <c r="D235" i="14" s="1"/>
  <c r="C248" i="14"/>
  <c r="D248" i="14" s="1"/>
  <c r="C262" i="14"/>
  <c r="D262" i="14" s="1"/>
  <c r="C292" i="14"/>
  <c r="D292" i="14" s="1"/>
  <c r="C306" i="14"/>
  <c r="D306" i="14" s="1"/>
  <c r="C319" i="14"/>
  <c r="D319" i="14" s="1"/>
  <c r="C335" i="14"/>
  <c r="D335" i="14" s="1"/>
  <c r="C349" i="14"/>
  <c r="D349" i="14" s="1"/>
  <c r="C363" i="14"/>
  <c r="D363" i="14" s="1"/>
  <c r="C376" i="14"/>
  <c r="D376" i="14" s="1"/>
  <c r="C393" i="14"/>
  <c r="D393" i="14" s="1"/>
  <c r="C424" i="14"/>
  <c r="D424" i="14" s="1"/>
  <c r="C442" i="14"/>
  <c r="D442" i="14" s="1"/>
  <c r="C459" i="14"/>
  <c r="D459" i="14" s="1"/>
  <c r="C496" i="14"/>
  <c r="D496" i="14" s="1"/>
  <c r="C514" i="14"/>
  <c r="D514" i="14" s="1"/>
  <c r="C535" i="14"/>
  <c r="D535" i="14" s="1"/>
  <c r="C574" i="14"/>
  <c r="D574" i="14" s="1"/>
  <c r="C592" i="14"/>
  <c r="D592" i="14" s="1"/>
  <c r="C613" i="14"/>
  <c r="D613" i="14" s="1"/>
  <c r="C633" i="14"/>
  <c r="D633" i="14" s="1"/>
  <c r="C659" i="14"/>
  <c r="D659" i="14" s="1"/>
  <c r="C685" i="14"/>
  <c r="D685" i="14" s="1"/>
  <c r="C712" i="14"/>
  <c r="D712" i="14" s="1"/>
  <c r="C739" i="14"/>
  <c r="D739" i="14" s="1"/>
  <c r="C774" i="14"/>
  <c r="D774" i="14" s="1"/>
  <c r="C801" i="14"/>
  <c r="D801" i="14" s="1"/>
  <c r="C865" i="14"/>
  <c r="D865" i="14" s="1"/>
  <c r="C932" i="14"/>
  <c r="D932" i="14" s="1"/>
  <c r="C1009" i="14"/>
  <c r="D1009" i="14" s="1"/>
  <c r="C1092" i="14"/>
  <c r="D1092" i="14" s="1"/>
  <c r="C1132" i="14"/>
  <c r="D1132" i="14" s="1"/>
  <c r="C1173" i="14"/>
  <c r="D1173" i="14" s="1"/>
  <c r="C1228" i="14"/>
  <c r="D1228" i="14" s="1"/>
  <c r="C19" i="14"/>
  <c r="D19" i="14" s="1"/>
  <c r="C40" i="14"/>
  <c r="D40" i="14" s="1"/>
  <c r="C51" i="14"/>
  <c r="D51" i="14" s="1"/>
  <c r="C62" i="14"/>
  <c r="D62" i="14" s="1"/>
  <c r="C72" i="14"/>
  <c r="D72" i="14" s="1"/>
  <c r="C83" i="14"/>
  <c r="D83" i="14" s="1"/>
  <c r="C94" i="14"/>
  <c r="D94" i="14" s="1"/>
  <c r="C104" i="14"/>
  <c r="D104" i="14" s="1"/>
  <c r="C115" i="14"/>
  <c r="D115" i="14" s="1"/>
  <c r="C126" i="14"/>
  <c r="D126" i="14" s="1"/>
  <c r="C136" i="14"/>
  <c r="D136" i="14" s="1"/>
  <c r="C147" i="14"/>
  <c r="D147" i="14" s="1"/>
  <c r="C158" i="14"/>
  <c r="D158" i="14" s="1"/>
  <c r="C168" i="14"/>
  <c r="D168" i="14" s="1"/>
  <c r="C181" i="14"/>
  <c r="D181" i="14" s="1"/>
  <c r="C208" i="14"/>
  <c r="D208" i="14" s="1"/>
  <c r="C236" i="14"/>
  <c r="D236" i="14" s="1"/>
  <c r="C249" i="14"/>
  <c r="D249" i="14" s="1"/>
  <c r="C263" i="14"/>
  <c r="D263" i="14" s="1"/>
  <c r="C278" i="14"/>
  <c r="D278" i="14" s="1"/>
  <c r="C320" i="14"/>
  <c r="D320" i="14" s="1"/>
  <c r="C409" i="14"/>
  <c r="D409" i="14" s="1"/>
  <c r="C425" i="14"/>
  <c r="D425" i="14" s="1"/>
  <c r="C443" i="14"/>
  <c r="D443" i="14" s="1"/>
  <c r="C480" i="14"/>
  <c r="D480" i="14" s="1"/>
  <c r="C497" i="14"/>
  <c r="D497" i="14" s="1"/>
  <c r="C536" i="14"/>
  <c r="D536" i="14" s="1"/>
  <c r="C553" i="14"/>
  <c r="D553" i="14" s="1"/>
  <c r="C575" i="14"/>
  <c r="D575" i="14" s="1"/>
  <c r="C593" i="14"/>
  <c r="D593" i="14" s="1"/>
  <c r="C660" i="14"/>
  <c r="D660" i="14" s="1"/>
  <c r="C713" i="14"/>
  <c r="D713" i="14" s="1"/>
  <c r="C747" i="14"/>
  <c r="D747" i="14" s="1"/>
  <c r="C775" i="14"/>
  <c r="D775" i="14" s="1"/>
  <c r="C802" i="14"/>
  <c r="D802" i="14" s="1"/>
  <c r="C830" i="14"/>
  <c r="D830" i="14" s="1"/>
  <c r="C866" i="14"/>
  <c r="D866" i="14" s="1"/>
  <c r="C905" i="14"/>
  <c r="D905" i="14" s="1"/>
  <c r="C933" i="14"/>
  <c r="D933" i="14" s="1"/>
  <c r="C971" i="14"/>
  <c r="D971" i="14" s="1"/>
  <c r="C1010" i="14"/>
  <c r="D1010" i="14" s="1"/>
  <c r="C1051" i="14"/>
  <c r="D1051" i="14" s="1"/>
  <c r="C1133" i="14"/>
  <c r="D1133" i="14" s="1"/>
  <c r="C1184" i="14"/>
  <c r="D1184" i="14" s="1"/>
  <c r="C1229" i="14"/>
  <c r="D1229" i="14" s="1"/>
  <c r="C364" i="14"/>
  <c r="D364" i="14" s="1"/>
  <c r="C9" i="14"/>
  <c r="D9" i="14" s="1"/>
  <c r="C20" i="14"/>
  <c r="D20" i="14" s="1"/>
  <c r="C41" i="14"/>
  <c r="D41" i="14" s="1"/>
  <c r="C52" i="14"/>
  <c r="D52" i="14" s="1"/>
  <c r="C73" i="14"/>
  <c r="D73" i="14" s="1"/>
  <c r="C84" i="14"/>
  <c r="D84" i="14" s="1"/>
  <c r="C105" i="14"/>
  <c r="D105" i="14" s="1"/>
  <c r="C116" i="14"/>
  <c r="D116" i="14" s="1"/>
  <c r="C137" i="14"/>
  <c r="D137" i="14" s="1"/>
  <c r="C148" i="14"/>
  <c r="D148" i="14" s="1"/>
  <c r="C169" i="14"/>
  <c r="D169" i="14" s="1"/>
  <c r="C182" i="14"/>
  <c r="D182" i="14" s="1"/>
  <c r="C194" i="14"/>
  <c r="D194" i="14" s="1"/>
  <c r="C209" i="14"/>
  <c r="D209" i="14" s="1"/>
  <c r="C222" i="14"/>
  <c r="D222" i="14" s="1"/>
  <c r="C250" i="14"/>
  <c r="D250" i="14" s="1"/>
  <c r="C266" i="14"/>
  <c r="D266" i="14" s="1"/>
  <c r="C279" i="14"/>
  <c r="D279" i="14" s="1"/>
  <c r="C293" i="14"/>
  <c r="D293" i="14" s="1"/>
  <c r="C307" i="14"/>
  <c r="D307" i="14" s="1"/>
  <c r="C337" i="14"/>
  <c r="D337" i="14" s="1"/>
  <c r="C350" i="14"/>
  <c r="D350" i="14" s="1"/>
  <c r="C378" i="14"/>
  <c r="D378" i="14" s="1"/>
  <c r="C395" i="14"/>
  <c r="D395" i="14" s="1"/>
  <c r="C410" i="14"/>
  <c r="D410" i="14" s="1"/>
  <c r="C426" i="14"/>
  <c r="D426" i="14" s="1"/>
  <c r="C444" i="14"/>
  <c r="D444" i="14" s="1"/>
  <c r="C460" i="14"/>
  <c r="D460" i="14" s="1"/>
  <c r="C481" i="14"/>
  <c r="D481" i="14" s="1"/>
  <c r="C498" i="14"/>
  <c r="D498" i="14" s="1"/>
  <c r="C520" i="14"/>
  <c r="D520" i="14" s="1"/>
  <c r="C554" i="14"/>
  <c r="D554" i="14" s="1"/>
  <c r="C576" i="14"/>
  <c r="D576" i="14" s="1"/>
  <c r="C594" i="14"/>
  <c r="D594" i="14" s="1"/>
  <c r="C614" i="14"/>
  <c r="D614" i="14" s="1"/>
  <c r="C640" i="14"/>
  <c r="D640" i="14" s="1"/>
  <c r="C693" i="14"/>
  <c r="D693" i="14" s="1"/>
  <c r="C721" i="14"/>
  <c r="D721" i="14" s="1"/>
  <c r="C748" i="14"/>
  <c r="D748" i="14" s="1"/>
  <c r="C776" i="14"/>
  <c r="D776" i="14" s="1"/>
  <c r="C803" i="14"/>
  <c r="D803" i="14" s="1"/>
  <c r="C838" i="14"/>
  <c r="D838" i="14" s="1"/>
  <c r="C906" i="14"/>
  <c r="D906" i="14" s="1"/>
  <c r="C934" i="14"/>
  <c r="D934" i="14" s="1"/>
  <c r="C1011" i="14"/>
  <c r="D1011" i="14" s="1"/>
  <c r="C1052" i="14"/>
  <c r="D1052" i="14" s="1"/>
  <c r="C1093" i="14"/>
  <c r="D1093" i="14" s="1"/>
  <c r="C1143" i="14"/>
  <c r="D1143" i="14" s="1"/>
  <c r="C1185" i="14"/>
  <c r="D1185" i="14" s="1"/>
  <c r="C1230" i="14"/>
  <c r="D1230" i="14" s="1"/>
  <c r="C1024" i="14"/>
  <c r="D1024" i="14" s="1"/>
  <c r="C377" i="14"/>
  <c r="D377" i="14" s="1"/>
  <c r="C31" i="14"/>
  <c r="D31" i="14" s="1"/>
  <c r="C63" i="14"/>
  <c r="D63" i="14" s="1"/>
  <c r="C95" i="14"/>
  <c r="D95" i="14" s="1"/>
  <c r="C127" i="14"/>
  <c r="D127" i="14" s="1"/>
  <c r="C159" i="14"/>
  <c r="D159" i="14" s="1"/>
  <c r="C195" i="14"/>
  <c r="D195" i="14" s="1"/>
  <c r="C223" i="14"/>
  <c r="D223" i="14" s="1"/>
  <c r="C237" i="14"/>
  <c r="D237" i="14" s="1"/>
  <c r="C267" i="14"/>
  <c r="D267" i="14" s="1"/>
  <c r="C280" i="14"/>
  <c r="D280" i="14" s="1"/>
  <c r="C294" i="14"/>
  <c r="D294" i="14" s="1"/>
  <c r="C308" i="14"/>
  <c r="D308" i="14" s="1"/>
  <c r="C351" i="14"/>
  <c r="D351" i="14" s="1"/>
  <c r="C365" i="14"/>
  <c r="D365" i="14" s="1"/>
  <c r="C461" i="14"/>
  <c r="D461" i="14" s="1"/>
  <c r="C537" i="14"/>
  <c r="D537" i="14" s="1"/>
  <c r="C559" i="14"/>
  <c r="D559" i="14" s="1"/>
  <c r="C577" i="14"/>
  <c r="D577" i="14" s="1"/>
  <c r="C595" i="14"/>
  <c r="D595" i="14" s="1"/>
  <c r="C615" i="14"/>
  <c r="D615" i="14" s="1"/>
  <c r="C641" i="14"/>
  <c r="D641" i="14" s="1"/>
  <c r="C668" i="14"/>
  <c r="D668" i="14" s="1"/>
  <c r="C694" i="14"/>
  <c r="D694" i="14" s="1"/>
  <c r="C722" i="14"/>
  <c r="D722" i="14" s="1"/>
  <c r="C749" i="14"/>
  <c r="D749" i="14" s="1"/>
  <c r="C777" i="14"/>
  <c r="D777" i="14" s="1"/>
  <c r="C804" i="14"/>
  <c r="D804" i="14" s="1"/>
  <c r="C839" i="14"/>
  <c r="D839" i="14" s="1"/>
  <c r="C867" i="14"/>
  <c r="D867" i="14" s="1"/>
  <c r="C907" i="14"/>
  <c r="D907" i="14" s="1"/>
  <c r="C972" i="14"/>
  <c r="D972" i="14" s="1"/>
  <c r="C1012" i="14"/>
  <c r="D1012" i="14" s="1"/>
  <c r="C1102" i="14"/>
  <c r="D1102" i="14" s="1"/>
  <c r="C1144" i="14"/>
  <c r="D1144" i="14" s="1"/>
  <c r="C1186" i="14"/>
  <c r="D1186" i="14" s="1"/>
  <c r="C1231" i="14"/>
  <c r="D1231" i="14" s="1"/>
  <c r="C946" i="14"/>
  <c r="D946" i="14" s="1"/>
  <c r="C394" i="14"/>
  <c r="D394" i="14" s="1"/>
  <c r="C10" i="14"/>
  <c r="D10" i="14" s="1"/>
  <c r="C21" i="14"/>
  <c r="D21" i="14" s="1"/>
  <c r="C42" i="14"/>
  <c r="D42" i="14" s="1"/>
  <c r="C53" i="14"/>
  <c r="D53" i="14" s="1"/>
  <c r="C74" i="14"/>
  <c r="D74" i="14" s="1"/>
  <c r="C85" i="14"/>
  <c r="D85" i="14" s="1"/>
  <c r="C106" i="14"/>
  <c r="D106" i="14" s="1"/>
  <c r="C117" i="14"/>
  <c r="D117" i="14" s="1"/>
  <c r="C138" i="14"/>
  <c r="D138" i="14" s="1"/>
  <c r="C149" i="14"/>
  <c r="D149" i="14" s="1"/>
  <c r="C170" i="14"/>
  <c r="D170" i="14" s="1"/>
  <c r="C183" i="14"/>
  <c r="D183" i="14" s="1"/>
  <c r="C198" i="14"/>
  <c r="D198" i="14" s="1"/>
  <c r="C210" i="14"/>
  <c r="D210" i="14" s="1"/>
  <c r="C224" i="14"/>
  <c r="D224" i="14" s="1"/>
  <c r="C238" i="14"/>
  <c r="D238" i="14" s="1"/>
  <c r="C251" i="14"/>
  <c r="D251" i="14" s="1"/>
  <c r="C281" i="14"/>
  <c r="D281" i="14" s="1"/>
  <c r="C324" i="14"/>
  <c r="D324" i="14" s="1"/>
  <c r="C338" i="14"/>
  <c r="D338" i="14" s="1"/>
  <c r="C352" i="14"/>
  <c r="D352" i="14" s="1"/>
  <c r="C366" i="14"/>
  <c r="D366" i="14" s="1"/>
  <c r="C396" i="14"/>
  <c r="D396" i="14" s="1"/>
  <c r="C411" i="14"/>
  <c r="D411" i="14" s="1"/>
  <c r="C430" i="14"/>
  <c r="D430" i="14" s="1"/>
  <c r="C445" i="14"/>
  <c r="D445" i="14" s="1"/>
  <c r="C462" i="14"/>
  <c r="D462" i="14" s="1"/>
  <c r="C482" i="14"/>
  <c r="D482" i="14" s="1"/>
  <c r="C499" i="14"/>
  <c r="D499" i="14" s="1"/>
  <c r="C521" i="14"/>
  <c r="D521" i="14" s="1"/>
  <c r="C538" i="14"/>
  <c r="D538" i="14" s="1"/>
  <c r="C560" i="14"/>
  <c r="D560" i="14" s="1"/>
  <c r="C599" i="14"/>
  <c r="D599" i="14" s="1"/>
  <c r="C616" i="14"/>
  <c r="D616" i="14" s="1"/>
  <c r="C642" i="14"/>
  <c r="D642" i="14" s="1"/>
  <c r="C778" i="14"/>
  <c r="D778" i="14" s="1"/>
  <c r="C840" i="14"/>
  <c r="D840" i="14" s="1"/>
  <c r="C868" i="14"/>
  <c r="D868" i="14" s="1"/>
  <c r="C942" i="14"/>
  <c r="D942" i="14" s="1"/>
  <c r="C973" i="14"/>
  <c r="D973" i="14" s="1"/>
  <c r="C1013" i="14"/>
  <c r="D1013" i="14" s="1"/>
  <c r="C1063" i="14"/>
  <c r="D1063" i="14" s="1"/>
  <c r="C1103" i="14"/>
  <c r="D1103" i="14" s="1"/>
  <c r="C1145" i="14"/>
  <c r="D1145" i="14" s="1"/>
  <c r="C1187" i="14"/>
  <c r="D1187" i="14" s="1"/>
  <c r="C1232" i="14"/>
  <c r="D1232" i="14" s="1"/>
  <c r="C917" i="14"/>
  <c r="D917" i="14" s="1"/>
  <c r="C30" i="14"/>
  <c r="D30" i="14" s="1"/>
  <c r="C336" i="14"/>
  <c r="D336" i="14" s="1"/>
  <c r="C11" i="14"/>
  <c r="D11" i="14" s="1"/>
  <c r="C22" i="14"/>
  <c r="D22" i="14" s="1"/>
  <c r="C32" i="14"/>
  <c r="D32" i="14" s="1"/>
  <c r="C43" i="14"/>
  <c r="D43" i="14" s="1"/>
  <c r="C54" i="14"/>
  <c r="D54" i="14" s="1"/>
  <c r="C64" i="14"/>
  <c r="D64" i="14" s="1"/>
  <c r="C75" i="14"/>
  <c r="D75" i="14" s="1"/>
  <c r="C86" i="14"/>
  <c r="D86" i="14" s="1"/>
  <c r="C96" i="14"/>
  <c r="D96" i="14" s="1"/>
  <c r="C107" i="14"/>
  <c r="D107" i="14" s="1"/>
  <c r="C118" i="14"/>
  <c r="D118" i="14" s="1"/>
  <c r="C128" i="14"/>
  <c r="D128" i="14" s="1"/>
  <c r="C139" i="14"/>
  <c r="D139" i="14" s="1"/>
  <c r="C150" i="14"/>
  <c r="D150" i="14" s="1"/>
  <c r="C160" i="14"/>
  <c r="D160" i="14" s="1"/>
  <c r="C171" i="14"/>
  <c r="D171" i="14" s="1"/>
  <c r="C211" i="14"/>
  <c r="D211" i="14" s="1"/>
  <c r="C254" i="14"/>
  <c r="D254" i="14" s="1"/>
  <c r="C268" i="14"/>
  <c r="D268" i="14" s="1"/>
  <c r="C295" i="14"/>
  <c r="D295" i="14" s="1"/>
  <c r="C309" i="14"/>
  <c r="D309" i="14" s="1"/>
  <c r="C325" i="14"/>
  <c r="D325" i="14" s="1"/>
  <c r="C339" i="14"/>
  <c r="D339" i="14" s="1"/>
  <c r="C382" i="14"/>
  <c r="D382" i="14" s="1"/>
  <c r="C397" i="14"/>
  <c r="D397" i="14" s="1"/>
  <c r="C412" i="14"/>
  <c r="D412" i="14" s="1"/>
  <c r="C446" i="14"/>
  <c r="D446" i="14" s="1"/>
  <c r="C463" i="14"/>
  <c r="D463" i="14" s="1"/>
  <c r="C483" i="14"/>
  <c r="D483" i="14" s="1"/>
  <c r="C500" i="14"/>
  <c r="D500" i="14" s="1"/>
  <c r="C522" i="14"/>
  <c r="D522" i="14" s="1"/>
  <c r="C539" i="14"/>
  <c r="D539" i="14" s="1"/>
  <c r="C561" i="14"/>
  <c r="D561" i="14" s="1"/>
  <c r="C578" i="14"/>
  <c r="D578" i="14" s="1"/>
  <c r="C600" i="14"/>
  <c r="D600" i="14" s="1"/>
  <c r="C617" i="14"/>
  <c r="D617" i="14" s="1"/>
  <c r="C669" i="14"/>
  <c r="D669" i="14" s="1"/>
  <c r="C695" i="14"/>
  <c r="D695" i="14" s="1"/>
  <c r="C723" i="14"/>
  <c r="D723" i="14" s="1"/>
  <c r="C750" i="14"/>
  <c r="D750" i="14" s="1"/>
  <c r="C779" i="14"/>
  <c r="D779" i="14" s="1"/>
  <c r="C813" i="14"/>
  <c r="D813" i="14" s="1"/>
  <c r="C841" i="14"/>
  <c r="D841" i="14" s="1"/>
  <c r="C908" i="14"/>
  <c r="D908" i="14" s="1"/>
  <c r="C943" i="14"/>
  <c r="D943" i="14" s="1"/>
  <c r="C983" i="14"/>
  <c r="D983" i="14" s="1"/>
  <c r="C1022" i="14"/>
  <c r="D1022" i="14" s="1"/>
  <c r="C1064" i="14"/>
  <c r="D1064" i="14" s="1"/>
  <c r="C1104" i="14"/>
  <c r="D1104" i="14" s="1"/>
  <c r="C1146" i="14"/>
  <c r="D1146" i="14" s="1"/>
  <c r="C1188" i="14"/>
  <c r="D1188" i="14" s="1"/>
  <c r="C1243" i="14"/>
  <c r="D1243" i="14" s="1"/>
  <c r="C12" i="14"/>
  <c r="D12" i="14" s="1"/>
  <c r="C33" i="14"/>
  <c r="D33" i="14" s="1"/>
  <c r="C44" i="14"/>
  <c r="D44" i="14" s="1"/>
  <c r="C65" i="14"/>
  <c r="D65" i="14" s="1"/>
  <c r="C76" i="14"/>
  <c r="D76" i="14" s="1"/>
  <c r="C97" i="14"/>
  <c r="D97" i="14" s="1"/>
  <c r="C108" i="14"/>
  <c r="D108" i="14" s="1"/>
  <c r="C129" i="14"/>
  <c r="D129" i="14" s="1"/>
  <c r="C140" i="14"/>
  <c r="D140" i="14" s="1"/>
  <c r="C161" i="14"/>
  <c r="D161" i="14" s="1"/>
  <c r="C172" i="14"/>
  <c r="D172" i="14" s="1"/>
  <c r="C184" i="14"/>
  <c r="D184" i="14" s="1"/>
  <c r="C199" i="14"/>
  <c r="D199" i="14" s="1"/>
  <c r="C212" i="14"/>
  <c r="D212" i="14" s="1"/>
  <c r="C225" i="14"/>
  <c r="D225" i="14" s="1"/>
  <c r="C239" i="14"/>
  <c r="D239" i="14" s="1"/>
  <c r="C255" i="14"/>
  <c r="D255" i="14" s="1"/>
  <c r="C269" i="14"/>
  <c r="D269" i="14" s="1"/>
  <c r="C282" i="14"/>
  <c r="D282" i="14" s="1"/>
  <c r="C296" i="14"/>
  <c r="D296" i="14" s="1"/>
  <c r="C312" i="14"/>
  <c r="D312" i="14" s="1"/>
  <c r="C340" i="14"/>
  <c r="D340" i="14" s="1"/>
  <c r="C353" i="14"/>
  <c r="D353" i="14" s="1"/>
  <c r="C367" i="14"/>
  <c r="D367" i="14" s="1"/>
  <c r="C383" i="14"/>
  <c r="D383" i="14" s="1"/>
  <c r="C398" i="14"/>
  <c r="D398" i="14" s="1"/>
  <c r="C413" i="14"/>
  <c r="D413" i="14" s="1"/>
  <c r="C431" i="14"/>
  <c r="D431" i="14" s="1"/>
  <c r="C468" i="14"/>
  <c r="D468" i="14" s="1"/>
  <c r="C501" i="14"/>
  <c r="D501" i="14" s="1"/>
  <c r="C540" i="14"/>
  <c r="D540" i="14" s="1"/>
  <c r="C579" i="14"/>
  <c r="D579" i="14" s="1"/>
  <c r="C601" i="14"/>
  <c r="D601" i="14" s="1"/>
  <c r="C618" i="14"/>
  <c r="D618" i="14" s="1"/>
  <c r="C643" i="14"/>
  <c r="D643" i="14" s="1"/>
  <c r="C670" i="14"/>
  <c r="D670" i="14" s="1"/>
  <c r="C696" i="14"/>
  <c r="D696" i="14" s="1"/>
  <c r="C724" i="14"/>
  <c r="D724" i="14" s="1"/>
  <c r="C751" i="14"/>
  <c r="D751" i="14" s="1"/>
  <c r="C787" i="14"/>
  <c r="D787" i="14" s="1"/>
  <c r="C842" i="14"/>
  <c r="D842" i="14" s="1"/>
  <c r="C878" i="14"/>
  <c r="D878" i="14" s="1"/>
  <c r="C944" i="14"/>
  <c r="D944" i="14" s="1"/>
  <c r="C984" i="14"/>
  <c r="D984" i="14" s="1"/>
  <c r="C1065" i="14"/>
  <c r="D1065" i="14" s="1"/>
  <c r="C1105" i="14"/>
  <c r="D1105" i="14" s="1"/>
  <c r="C1147" i="14"/>
  <c r="D1147" i="14" s="1"/>
  <c r="C1200" i="14"/>
  <c r="D1200" i="14" s="1"/>
  <c r="C1245" i="14"/>
  <c r="D1245" i="14" s="1"/>
  <c r="C8" i="14"/>
  <c r="D8" i="14" s="1"/>
  <c r="C23" i="14"/>
  <c r="D23" i="14" s="1"/>
  <c r="C55" i="14"/>
  <c r="D55" i="14" s="1"/>
  <c r="C87" i="14"/>
  <c r="D87" i="14" s="1"/>
  <c r="C119" i="14"/>
  <c r="D119" i="14" s="1"/>
  <c r="C151" i="14"/>
  <c r="D151" i="14" s="1"/>
  <c r="C187" i="14"/>
  <c r="D187" i="14" s="1"/>
  <c r="C226" i="14"/>
  <c r="D226" i="14" s="1"/>
  <c r="C240" i="14"/>
  <c r="D240" i="14" s="1"/>
  <c r="C256" i="14"/>
  <c r="D256" i="14" s="1"/>
  <c r="C270" i="14"/>
  <c r="D270" i="14" s="1"/>
  <c r="C283" i="14"/>
  <c r="D283" i="14" s="1"/>
  <c r="C313" i="14"/>
  <c r="D313" i="14" s="1"/>
  <c r="C326" i="14"/>
  <c r="D326" i="14" s="1"/>
  <c r="C354" i="14"/>
  <c r="D354" i="14" s="1"/>
  <c r="C384" i="14"/>
  <c r="D384" i="14" s="1"/>
  <c r="C399" i="14"/>
  <c r="D399" i="14" s="1"/>
  <c r="C414" i="14"/>
  <c r="D414" i="14" s="1"/>
  <c r="C432" i="14"/>
  <c r="D432" i="14" s="1"/>
  <c r="C447" i="14"/>
  <c r="D447" i="14" s="1"/>
  <c r="C484" i="14"/>
  <c r="D484" i="14" s="1"/>
  <c r="C523" i="14"/>
  <c r="D523" i="14" s="1"/>
  <c r="C541" i="14"/>
  <c r="D541" i="14" s="1"/>
  <c r="C562" i="14"/>
  <c r="D562" i="14" s="1"/>
  <c r="C580" i="14"/>
  <c r="D580" i="14" s="1"/>
  <c r="C602" i="14"/>
  <c r="D602" i="14" s="1"/>
  <c r="C619" i="14"/>
  <c r="D619" i="14" s="1"/>
  <c r="C644" i="14"/>
  <c r="D644" i="14" s="1"/>
  <c r="C671" i="14"/>
  <c r="D671" i="14" s="1"/>
  <c r="C697" i="14"/>
  <c r="D697" i="14" s="1"/>
  <c r="C725" i="14"/>
  <c r="D725" i="14" s="1"/>
  <c r="C814" i="14"/>
  <c r="D814" i="14" s="1"/>
  <c r="C879" i="14"/>
  <c r="D879" i="14" s="1"/>
  <c r="C945" i="14"/>
  <c r="D945" i="14" s="1"/>
  <c r="C985" i="14"/>
  <c r="D985" i="14" s="1"/>
  <c r="C1023" i="14"/>
  <c r="D1023" i="14" s="1"/>
  <c r="C1066" i="14"/>
  <c r="D1066" i="14" s="1"/>
  <c r="C1106" i="14"/>
  <c r="D1106" i="14" s="1"/>
  <c r="C1156" i="14"/>
  <c r="D1156" i="14" s="1"/>
  <c r="C1201" i="14"/>
  <c r="D1201" i="14" s="1"/>
  <c r="J1116" i="14"/>
  <c r="J844" i="14"/>
  <c r="J162" i="14"/>
  <c r="J1117" i="14"/>
  <c r="J845" i="14"/>
  <c r="J179" i="14"/>
  <c r="J1085" i="14"/>
  <c r="J716" i="14"/>
  <c r="J1084" i="14"/>
  <c r="J700" i="14"/>
  <c r="J828" i="14"/>
  <c r="J1068" i="14"/>
  <c r="J636" i="14"/>
  <c r="J1020" i="14"/>
  <c r="J621" i="14"/>
  <c r="J1100" i="14"/>
  <c r="J1005" i="14"/>
  <c r="J620" i="14"/>
  <c r="J1004" i="14"/>
  <c r="J605" i="14"/>
  <c r="J1101" i="14"/>
  <c r="J940" i="14"/>
  <c r="J604" i="14"/>
  <c r="J892" i="14"/>
  <c r="J589" i="14"/>
  <c r="J1245" i="14"/>
  <c r="J877" i="14"/>
  <c r="J397" i="14"/>
  <c r="J829" i="14"/>
  <c r="J1244" i="14"/>
  <c r="J876" i="14"/>
  <c r="J381" i="14"/>
  <c r="J1229" i="14"/>
  <c r="J861" i="14"/>
  <c r="J332" i="14"/>
  <c r="J1228" i="14"/>
  <c r="J860" i="14"/>
  <c r="J196" i="14"/>
  <c r="J717" i="14"/>
  <c r="J145" i="14"/>
  <c r="J701" i="14"/>
  <c r="J127" i="14"/>
  <c r="J1213" i="14"/>
  <c r="J989" i="14"/>
  <c r="J812" i="14"/>
  <c r="J588" i="14"/>
  <c r="J1212" i="14"/>
  <c r="J988" i="14"/>
  <c r="J764" i="14"/>
  <c r="J557" i="14"/>
  <c r="J1196" i="14"/>
  <c r="J973" i="14"/>
  <c r="J749" i="14"/>
  <c r="J461" i="14"/>
  <c r="J1148" i="14"/>
  <c r="J972" i="14"/>
  <c r="J748" i="14"/>
  <c r="J445" i="14"/>
  <c r="J1133" i="14"/>
  <c r="J957" i="14"/>
  <c r="J733" i="14"/>
  <c r="J429" i="14"/>
  <c r="J1132" i="14"/>
  <c r="J956" i="14"/>
  <c r="J732" i="14"/>
  <c r="J413" i="14"/>
  <c r="J105" i="14"/>
  <c r="J365" i="14"/>
  <c r="J83" i="14"/>
  <c r="J573" i="14"/>
  <c r="J349" i="14"/>
  <c r="J2" i="14"/>
  <c r="J24" i="14"/>
  <c r="J56" i="14"/>
  <c r="J84" i="14"/>
  <c r="J106" i="14"/>
  <c r="J129" i="14"/>
  <c r="J146" i="14"/>
  <c r="J163" i="14"/>
  <c r="J180" i="14"/>
  <c r="J197" i="14"/>
  <c r="J214" i="14"/>
  <c r="J231" i="14"/>
  <c r="J248" i="14"/>
  <c r="J265" i="14"/>
  <c r="J282" i="14"/>
  <c r="J299" i="14"/>
  <c r="J316" i="14"/>
  <c r="J333" i="14"/>
  <c r="J350" i="14"/>
  <c r="J366" i="14"/>
  <c r="J382" i="14"/>
  <c r="J398" i="14"/>
  <c r="J414" i="14"/>
  <c r="J430" i="14"/>
  <c r="J446" i="14"/>
  <c r="J462" i="14"/>
  <c r="J478" i="14"/>
  <c r="J494" i="14"/>
  <c r="J510" i="14"/>
  <c r="J526" i="14"/>
  <c r="J542" i="14"/>
  <c r="J558" i="14"/>
  <c r="J574" i="14"/>
  <c r="J590" i="14"/>
  <c r="J606" i="14"/>
  <c r="J622" i="14"/>
  <c r="J638" i="14"/>
  <c r="J654" i="14"/>
  <c r="J670" i="14"/>
  <c r="J686" i="14"/>
  <c r="J702" i="14"/>
  <c r="J718" i="14"/>
  <c r="J734" i="14"/>
  <c r="J750" i="14"/>
  <c r="J766" i="14"/>
  <c r="J782" i="14"/>
  <c r="J798" i="14"/>
  <c r="J814" i="14"/>
  <c r="J830" i="14"/>
  <c r="J846" i="14"/>
  <c r="J862" i="14"/>
  <c r="J878" i="14"/>
  <c r="J894" i="14"/>
  <c r="J910" i="14"/>
  <c r="J926" i="14"/>
  <c r="J942" i="14"/>
  <c r="J958" i="14"/>
  <c r="J974" i="14"/>
  <c r="J990" i="14"/>
  <c r="J1006" i="14"/>
  <c r="J1022" i="14"/>
  <c r="J1038" i="14"/>
  <c r="J1054" i="14"/>
  <c r="J1070" i="14"/>
  <c r="J1086" i="14"/>
  <c r="J1102" i="14"/>
  <c r="J1118" i="14"/>
  <c r="J1134" i="14"/>
  <c r="J1150" i="14"/>
  <c r="J1166" i="14"/>
  <c r="J1182" i="14"/>
  <c r="J1198" i="14"/>
  <c r="J1214" i="14"/>
  <c r="J1230" i="14"/>
  <c r="J1246" i="14"/>
  <c r="J280" i="14"/>
  <c r="J524" i="14"/>
  <c r="J25" i="14"/>
  <c r="J58" i="14"/>
  <c r="J85" i="14"/>
  <c r="J107" i="14"/>
  <c r="J130" i="14"/>
  <c r="J147" i="14"/>
  <c r="J164" i="14"/>
  <c r="J181" i="14"/>
  <c r="J198" i="14"/>
  <c r="J215" i="14"/>
  <c r="J232" i="14"/>
  <c r="J249" i="14"/>
  <c r="J266" i="14"/>
  <c r="J283" i="14"/>
  <c r="J300" i="14"/>
  <c r="J317" i="14"/>
  <c r="J334" i="14"/>
  <c r="J351" i="14"/>
  <c r="J367" i="14"/>
  <c r="J383" i="14"/>
  <c r="J399" i="14"/>
  <c r="J415" i="14"/>
  <c r="J431" i="14"/>
  <c r="J447" i="14"/>
  <c r="J463" i="14"/>
  <c r="J479" i="14"/>
  <c r="J495" i="14"/>
  <c r="J511" i="14"/>
  <c r="J527" i="14"/>
  <c r="J543" i="14"/>
  <c r="J559" i="14"/>
  <c r="J575" i="14"/>
  <c r="J591" i="14"/>
  <c r="J607" i="14"/>
  <c r="J623" i="14"/>
  <c r="J639" i="14"/>
  <c r="J655" i="14"/>
  <c r="J671" i="14"/>
  <c r="J687" i="14"/>
  <c r="J703" i="14"/>
  <c r="J719" i="14"/>
  <c r="J735" i="14"/>
  <c r="J751" i="14"/>
  <c r="J767" i="14"/>
  <c r="J783" i="14"/>
  <c r="J799" i="14"/>
  <c r="J815" i="14"/>
  <c r="J831" i="14"/>
  <c r="J847" i="14"/>
  <c r="J863" i="14"/>
  <c r="J879" i="14"/>
  <c r="J895" i="14"/>
  <c r="J911" i="14"/>
  <c r="J927" i="14"/>
  <c r="J943" i="14"/>
  <c r="J959" i="14"/>
  <c r="J975" i="14"/>
  <c r="J991" i="14"/>
  <c r="J1007" i="14"/>
  <c r="J1023" i="14"/>
  <c r="J1039" i="14"/>
  <c r="J1055" i="14"/>
  <c r="J1071" i="14"/>
  <c r="J1087" i="14"/>
  <c r="J1103" i="14"/>
  <c r="J1119" i="14"/>
  <c r="J1135" i="14"/>
  <c r="J1151" i="14"/>
  <c r="J1167" i="14"/>
  <c r="J1183" i="14"/>
  <c r="J1199" i="14"/>
  <c r="J1215" i="14"/>
  <c r="J1231" i="14"/>
  <c r="J1247" i="14"/>
  <c r="J54" i="14"/>
  <c r="J297" i="14"/>
  <c r="J444" i="14"/>
  <c r="J26" i="14"/>
  <c r="J63" i="14"/>
  <c r="J86" i="14"/>
  <c r="J109" i="14"/>
  <c r="J131" i="14"/>
  <c r="J148" i="14"/>
  <c r="J165" i="14"/>
  <c r="J182" i="14"/>
  <c r="J199" i="14"/>
  <c r="J216" i="14"/>
  <c r="J233" i="14"/>
  <c r="J250" i="14"/>
  <c r="J267" i="14"/>
  <c r="J284" i="14"/>
  <c r="J301" i="14"/>
  <c r="J318" i="14"/>
  <c r="J335" i="14"/>
  <c r="J352" i="14"/>
  <c r="J368" i="14"/>
  <c r="J384" i="14"/>
  <c r="J400" i="14"/>
  <c r="J416" i="14"/>
  <c r="J432" i="14"/>
  <c r="J448" i="14"/>
  <c r="J464" i="14"/>
  <c r="J480" i="14"/>
  <c r="J496" i="14"/>
  <c r="J512" i="14"/>
  <c r="J528" i="14"/>
  <c r="J544" i="14"/>
  <c r="J560" i="14"/>
  <c r="J576" i="14"/>
  <c r="J592" i="14"/>
  <c r="J608" i="14"/>
  <c r="J624" i="14"/>
  <c r="J640" i="14"/>
  <c r="J656" i="14"/>
  <c r="J672" i="14"/>
  <c r="J688" i="14"/>
  <c r="J704" i="14"/>
  <c r="J720" i="14"/>
  <c r="J736" i="14"/>
  <c r="J752" i="14"/>
  <c r="J768" i="14"/>
  <c r="J784" i="14"/>
  <c r="J800" i="14"/>
  <c r="J816" i="14"/>
  <c r="J832" i="14"/>
  <c r="J848" i="14"/>
  <c r="J864" i="14"/>
  <c r="J880" i="14"/>
  <c r="J896" i="14"/>
  <c r="J912" i="14"/>
  <c r="J928" i="14"/>
  <c r="J944" i="14"/>
  <c r="J960" i="14"/>
  <c r="J976" i="14"/>
  <c r="J992" i="14"/>
  <c r="J1008" i="14"/>
  <c r="J1024" i="14"/>
  <c r="J1040" i="14"/>
  <c r="J1056" i="14"/>
  <c r="J1072" i="14"/>
  <c r="J1088" i="14"/>
  <c r="J1104" i="14"/>
  <c r="J1120" i="14"/>
  <c r="J1136" i="14"/>
  <c r="J1152" i="14"/>
  <c r="J1168" i="14"/>
  <c r="J1184" i="14"/>
  <c r="J1200" i="14"/>
  <c r="J1216" i="14"/>
  <c r="J1232" i="14"/>
  <c r="J1248" i="14"/>
  <c r="J27" i="14"/>
  <c r="J65" i="14"/>
  <c r="J87" i="14"/>
  <c r="J115" i="14"/>
  <c r="J132" i="14"/>
  <c r="J149" i="14"/>
  <c r="J166" i="14"/>
  <c r="J183" i="14"/>
  <c r="J200" i="14"/>
  <c r="J217" i="14"/>
  <c r="J234" i="14"/>
  <c r="J251" i="14"/>
  <c r="J268" i="14"/>
  <c r="J285" i="14"/>
  <c r="J302" i="14"/>
  <c r="J319" i="14"/>
  <c r="J337" i="14"/>
  <c r="J353" i="14"/>
  <c r="J369" i="14"/>
  <c r="J385" i="14"/>
  <c r="J401" i="14"/>
  <c r="J417" i="14"/>
  <c r="J433" i="14"/>
  <c r="J449" i="14"/>
  <c r="J465" i="14"/>
  <c r="J481" i="14"/>
  <c r="J497" i="14"/>
  <c r="J513" i="14"/>
  <c r="J529" i="14"/>
  <c r="J545" i="14"/>
  <c r="J561" i="14"/>
  <c r="J577" i="14"/>
  <c r="J593" i="14"/>
  <c r="J609" i="14"/>
  <c r="J625" i="14"/>
  <c r="J641" i="14"/>
  <c r="J657" i="14"/>
  <c r="J673" i="14"/>
  <c r="J689" i="14"/>
  <c r="J705" i="14"/>
  <c r="J721" i="14"/>
  <c r="J737" i="14"/>
  <c r="J753" i="14"/>
  <c r="J769" i="14"/>
  <c r="J785" i="14"/>
  <c r="J801" i="14"/>
  <c r="J817" i="14"/>
  <c r="J833" i="14"/>
  <c r="J849" i="14"/>
  <c r="J865" i="14"/>
  <c r="J881" i="14"/>
  <c r="J897" i="14"/>
  <c r="J913" i="14"/>
  <c r="J929" i="14"/>
  <c r="J945" i="14"/>
  <c r="J961" i="14"/>
  <c r="J977" i="14"/>
  <c r="J993" i="14"/>
  <c r="J1009" i="14"/>
  <c r="J1025" i="14"/>
  <c r="J1041" i="14"/>
  <c r="J1057" i="14"/>
  <c r="J1073" i="14"/>
  <c r="J1089" i="14"/>
  <c r="J1105" i="14"/>
  <c r="J1121" i="14"/>
  <c r="J1137" i="14"/>
  <c r="J1153" i="14"/>
  <c r="J1169" i="14"/>
  <c r="J1185" i="14"/>
  <c r="J1201" i="14"/>
  <c r="J1217" i="14"/>
  <c r="J1233" i="14"/>
  <c r="J1249" i="14"/>
  <c r="J126" i="14"/>
  <c r="J380" i="14"/>
  <c r="J28" i="14"/>
  <c r="J66" i="14"/>
  <c r="J88" i="14"/>
  <c r="J116" i="14"/>
  <c r="J133" i="14"/>
  <c r="J150" i="14"/>
  <c r="J167" i="14"/>
  <c r="J184" i="14"/>
  <c r="J201" i="14"/>
  <c r="J218" i="14"/>
  <c r="J235" i="14"/>
  <c r="J252" i="14"/>
  <c r="J269" i="14"/>
  <c r="J286" i="14"/>
  <c r="J303" i="14"/>
  <c r="J321" i="14"/>
  <c r="J338" i="14"/>
  <c r="J354" i="14"/>
  <c r="J370" i="14"/>
  <c r="J386" i="14"/>
  <c r="J402" i="14"/>
  <c r="J418" i="14"/>
  <c r="J434" i="14"/>
  <c r="J450" i="14"/>
  <c r="J466" i="14"/>
  <c r="J482" i="14"/>
  <c r="J498" i="14"/>
  <c r="J514" i="14"/>
  <c r="J530" i="14"/>
  <c r="J546" i="14"/>
  <c r="J562" i="14"/>
  <c r="J578" i="14"/>
  <c r="J594" i="14"/>
  <c r="J610" i="14"/>
  <c r="J626" i="14"/>
  <c r="J642" i="14"/>
  <c r="J658" i="14"/>
  <c r="J674" i="14"/>
  <c r="J690" i="14"/>
  <c r="J706" i="14"/>
  <c r="J722" i="14"/>
  <c r="J738" i="14"/>
  <c r="J754" i="14"/>
  <c r="J770" i="14"/>
  <c r="J786" i="14"/>
  <c r="J802" i="14"/>
  <c r="J818" i="14"/>
  <c r="J834" i="14"/>
  <c r="J850" i="14"/>
  <c r="J866" i="14"/>
  <c r="J882" i="14"/>
  <c r="J898" i="14"/>
  <c r="J914" i="14"/>
  <c r="J930" i="14"/>
  <c r="J946" i="14"/>
  <c r="J962" i="14"/>
  <c r="J978" i="14"/>
  <c r="J994" i="14"/>
  <c r="J1010" i="14"/>
  <c r="J1026" i="14"/>
  <c r="J1042" i="14"/>
  <c r="J1058" i="14"/>
  <c r="J1074" i="14"/>
  <c r="J1090" i="14"/>
  <c r="J1106" i="14"/>
  <c r="J1122" i="14"/>
  <c r="J1138" i="14"/>
  <c r="J1154" i="14"/>
  <c r="J1170" i="14"/>
  <c r="J1186" i="14"/>
  <c r="J1202" i="14"/>
  <c r="J1218" i="14"/>
  <c r="J1234" i="14"/>
  <c r="J1250" i="14"/>
  <c r="J161" i="14"/>
  <c r="J29" i="14"/>
  <c r="J67" i="14"/>
  <c r="J89" i="14"/>
  <c r="J117" i="14"/>
  <c r="J134" i="14"/>
  <c r="J151" i="14"/>
  <c r="J168" i="14"/>
  <c r="J185" i="14"/>
  <c r="J202" i="14"/>
  <c r="J219" i="14"/>
  <c r="J236" i="14"/>
  <c r="J253" i="14"/>
  <c r="J270" i="14"/>
  <c r="J287" i="14"/>
  <c r="J305" i="14"/>
  <c r="J322" i="14"/>
  <c r="J339" i="14"/>
  <c r="J355" i="14"/>
  <c r="J371" i="14"/>
  <c r="J387" i="14"/>
  <c r="J403" i="14"/>
  <c r="J419" i="14"/>
  <c r="J435" i="14"/>
  <c r="J451" i="14"/>
  <c r="J467" i="14"/>
  <c r="J483" i="14"/>
  <c r="J499" i="14"/>
  <c r="J515" i="14"/>
  <c r="J531" i="14"/>
  <c r="J547" i="14"/>
  <c r="J563" i="14"/>
  <c r="J579" i="14"/>
  <c r="J595" i="14"/>
  <c r="J611" i="14"/>
  <c r="J627" i="14"/>
  <c r="J643" i="14"/>
  <c r="J659" i="14"/>
  <c r="J675" i="14"/>
  <c r="J691" i="14"/>
  <c r="J707" i="14"/>
  <c r="J723" i="14"/>
  <c r="J739" i="14"/>
  <c r="J755" i="14"/>
  <c r="J771" i="14"/>
  <c r="J787" i="14"/>
  <c r="J803" i="14"/>
  <c r="J819" i="14"/>
  <c r="J835" i="14"/>
  <c r="J851" i="14"/>
  <c r="J867" i="14"/>
  <c r="J883" i="14"/>
  <c r="J899" i="14"/>
  <c r="J915" i="14"/>
  <c r="J931" i="14"/>
  <c r="J947" i="14"/>
  <c r="J963" i="14"/>
  <c r="J979" i="14"/>
  <c r="J995" i="14"/>
  <c r="J1011" i="14"/>
  <c r="J1027" i="14"/>
  <c r="J1043" i="14"/>
  <c r="J1059" i="14"/>
  <c r="J1075" i="14"/>
  <c r="J1091" i="14"/>
  <c r="J1107" i="14"/>
  <c r="J1123" i="14"/>
  <c r="J1139" i="14"/>
  <c r="J1155" i="14"/>
  <c r="J1171" i="14"/>
  <c r="J1187" i="14"/>
  <c r="J1203" i="14"/>
  <c r="J1219" i="14"/>
  <c r="J1235" i="14"/>
  <c r="J1251" i="14"/>
  <c r="J143" i="14"/>
  <c r="J364" i="14"/>
  <c r="J572" i="14"/>
  <c r="J31" i="14"/>
  <c r="J68" i="14"/>
  <c r="J90" i="14"/>
  <c r="J118" i="14"/>
  <c r="J135" i="14"/>
  <c r="J152" i="14"/>
  <c r="J169" i="14"/>
  <c r="J186" i="14"/>
  <c r="J203" i="14"/>
  <c r="J220" i="14"/>
  <c r="J237" i="14"/>
  <c r="J254" i="14"/>
  <c r="J271" i="14"/>
  <c r="J289" i="14"/>
  <c r="J306" i="14"/>
  <c r="J323" i="14"/>
  <c r="J340" i="14"/>
  <c r="J356" i="14"/>
  <c r="J372" i="14"/>
  <c r="J388" i="14"/>
  <c r="J404" i="14"/>
  <c r="J420" i="14"/>
  <c r="J436" i="14"/>
  <c r="J452" i="14"/>
  <c r="J468" i="14"/>
  <c r="J484" i="14"/>
  <c r="J500" i="14"/>
  <c r="J516" i="14"/>
  <c r="J532" i="14"/>
  <c r="J548" i="14"/>
  <c r="J564" i="14"/>
  <c r="J580" i="14"/>
  <c r="J596" i="14"/>
  <c r="J612" i="14"/>
  <c r="J628" i="14"/>
  <c r="J644" i="14"/>
  <c r="J660" i="14"/>
  <c r="J676" i="14"/>
  <c r="J692" i="14"/>
  <c r="J708" i="14"/>
  <c r="J724" i="14"/>
  <c r="J740" i="14"/>
  <c r="J756" i="14"/>
  <c r="J772" i="14"/>
  <c r="J788" i="14"/>
  <c r="J804" i="14"/>
  <c r="J820" i="14"/>
  <c r="J836" i="14"/>
  <c r="J852" i="14"/>
  <c r="J868" i="14"/>
  <c r="J884" i="14"/>
  <c r="J900" i="14"/>
  <c r="J916" i="14"/>
  <c r="J932" i="14"/>
  <c r="J948" i="14"/>
  <c r="J964" i="14"/>
  <c r="J980" i="14"/>
  <c r="J996" i="14"/>
  <c r="J1012" i="14"/>
  <c r="J1028" i="14"/>
  <c r="J1044" i="14"/>
  <c r="J1060" i="14"/>
  <c r="J1076" i="14"/>
  <c r="J1092" i="14"/>
  <c r="J1108" i="14"/>
  <c r="J1124" i="14"/>
  <c r="J1140" i="14"/>
  <c r="J1156" i="14"/>
  <c r="J1172" i="14"/>
  <c r="J1188" i="14"/>
  <c r="J1204" i="14"/>
  <c r="J1220" i="14"/>
  <c r="J1236" i="14"/>
  <c r="J1252" i="14"/>
  <c r="J178" i="14"/>
  <c r="J46" i="14"/>
  <c r="J69" i="14"/>
  <c r="J92" i="14"/>
  <c r="J119" i="14"/>
  <c r="J136" i="14"/>
  <c r="J153" i="14"/>
  <c r="J170" i="14"/>
  <c r="J187" i="14"/>
  <c r="J204" i="14"/>
  <c r="J221" i="14"/>
  <c r="J238" i="14"/>
  <c r="J255" i="14"/>
  <c r="J273" i="14"/>
  <c r="J290" i="14"/>
  <c r="J307" i="14"/>
  <c r="J324" i="14"/>
  <c r="J341" i="14"/>
  <c r="J357" i="14"/>
  <c r="J373" i="14"/>
  <c r="J389" i="14"/>
  <c r="J405" i="14"/>
  <c r="J421" i="14"/>
  <c r="J437" i="14"/>
  <c r="J453" i="14"/>
  <c r="J469" i="14"/>
  <c r="J485" i="14"/>
  <c r="J501" i="14"/>
  <c r="J517" i="14"/>
  <c r="J533" i="14"/>
  <c r="J549" i="14"/>
  <c r="J565" i="14"/>
  <c r="J581" i="14"/>
  <c r="J597" i="14"/>
  <c r="J613" i="14"/>
  <c r="J629" i="14"/>
  <c r="J645" i="14"/>
  <c r="J661" i="14"/>
  <c r="J677" i="14"/>
  <c r="J693" i="14"/>
  <c r="J709" i="14"/>
  <c r="J725" i="14"/>
  <c r="J741" i="14"/>
  <c r="J757" i="14"/>
  <c r="J773" i="14"/>
  <c r="J789" i="14"/>
  <c r="J805" i="14"/>
  <c r="J821" i="14"/>
  <c r="J837" i="14"/>
  <c r="J853" i="14"/>
  <c r="J869" i="14"/>
  <c r="J885" i="14"/>
  <c r="J901" i="14"/>
  <c r="J917" i="14"/>
  <c r="J933" i="14"/>
  <c r="J949" i="14"/>
  <c r="J965" i="14"/>
  <c r="J981" i="14"/>
  <c r="J997" i="14"/>
  <c r="J1013" i="14"/>
  <c r="J1029" i="14"/>
  <c r="J1045" i="14"/>
  <c r="J1061" i="14"/>
  <c r="J1077" i="14"/>
  <c r="J1093" i="14"/>
  <c r="J1109" i="14"/>
  <c r="J1125" i="14"/>
  <c r="J1141" i="14"/>
  <c r="J1157" i="14"/>
  <c r="J1173" i="14"/>
  <c r="J1189" i="14"/>
  <c r="J1205" i="14"/>
  <c r="J1221" i="14"/>
  <c r="J1237" i="14"/>
  <c r="J1253" i="14"/>
  <c r="J82" i="14"/>
  <c r="J331" i="14"/>
  <c r="J460" i="14"/>
  <c r="J47" i="14"/>
  <c r="J70" i="14"/>
  <c r="J98" i="14"/>
  <c r="J120" i="14"/>
  <c r="J137" i="14"/>
  <c r="J154" i="14"/>
  <c r="J171" i="14"/>
  <c r="J188" i="14"/>
  <c r="J205" i="14"/>
  <c r="J222" i="14"/>
  <c r="J239" i="14"/>
  <c r="J257" i="14"/>
  <c r="J274" i="14"/>
  <c r="J291" i="14"/>
  <c r="J308" i="14"/>
  <c r="J325" i="14"/>
  <c r="J342" i="14"/>
  <c r="J358" i="14"/>
  <c r="J374" i="14"/>
  <c r="J390" i="14"/>
  <c r="J406" i="14"/>
  <c r="J422" i="14"/>
  <c r="J438" i="14"/>
  <c r="J454" i="14"/>
  <c r="J470" i="14"/>
  <c r="J486" i="14"/>
  <c r="J502" i="14"/>
  <c r="J518" i="14"/>
  <c r="J534" i="14"/>
  <c r="J550" i="14"/>
  <c r="J566" i="14"/>
  <c r="J582" i="14"/>
  <c r="J598" i="14"/>
  <c r="J614" i="14"/>
  <c r="J630" i="14"/>
  <c r="J646" i="14"/>
  <c r="J662" i="14"/>
  <c r="J678" i="14"/>
  <c r="J694" i="14"/>
  <c r="J710" i="14"/>
  <c r="J726" i="14"/>
  <c r="J742" i="14"/>
  <c r="J758" i="14"/>
  <c r="J774" i="14"/>
  <c r="J790" i="14"/>
  <c r="J806" i="14"/>
  <c r="J822" i="14"/>
  <c r="J838" i="14"/>
  <c r="J854" i="14"/>
  <c r="J870" i="14"/>
  <c r="J886" i="14"/>
  <c r="J902" i="14"/>
  <c r="J918" i="14"/>
  <c r="J934" i="14"/>
  <c r="J950" i="14"/>
  <c r="J966" i="14"/>
  <c r="J982" i="14"/>
  <c r="J998" i="14"/>
  <c r="J1014" i="14"/>
  <c r="J1030" i="14"/>
  <c r="J1046" i="14"/>
  <c r="J1062" i="14"/>
  <c r="J1078" i="14"/>
  <c r="J1094" i="14"/>
  <c r="J1110" i="14"/>
  <c r="J1126" i="14"/>
  <c r="J1142" i="14"/>
  <c r="J1158" i="14"/>
  <c r="J1174" i="14"/>
  <c r="J1190" i="14"/>
  <c r="J1206" i="14"/>
  <c r="J1222" i="14"/>
  <c r="J1238" i="14"/>
  <c r="J1254" i="14"/>
  <c r="J314" i="14"/>
  <c r="J476" i="14"/>
  <c r="J49" i="14"/>
  <c r="J71" i="14"/>
  <c r="J99" i="14"/>
  <c r="J121" i="14"/>
  <c r="J138" i="14"/>
  <c r="J155" i="14"/>
  <c r="J172" i="14"/>
  <c r="J189" i="14"/>
  <c r="J206" i="14"/>
  <c r="J223" i="14"/>
  <c r="J241" i="14"/>
  <c r="J258" i="14"/>
  <c r="J275" i="14"/>
  <c r="J292" i="14"/>
  <c r="J309" i="14"/>
  <c r="J326" i="14"/>
  <c r="J343" i="14"/>
  <c r="J359" i="14"/>
  <c r="J375" i="14"/>
  <c r="J391" i="14"/>
  <c r="J407" i="14"/>
  <c r="J423" i="14"/>
  <c r="J439" i="14"/>
  <c r="J455" i="14"/>
  <c r="J471" i="14"/>
  <c r="J487" i="14"/>
  <c r="J503" i="14"/>
  <c r="J519" i="14"/>
  <c r="J535" i="14"/>
  <c r="J551" i="14"/>
  <c r="J567" i="14"/>
  <c r="J583" i="14"/>
  <c r="J599" i="14"/>
  <c r="J615" i="14"/>
  <c r="J631" i="14"/>
  <c r="J647" i="14"/>
  <c r="J663" i="14"/>
  <c r="J679" i="14"/>
  <c r="J695" i="14"/>
  <c r="J711" i="14"/>
  <c r="J727" i="14"/>
  <c r="J743" i="14"/>
  <c r="J759" i="14"/>
  <c r="J775" i="14"/>
  <c r="J791" i="14"/>
  <c r="J807" i="14"/>
  <c r="J823" i="14"/>
  <c r="J839" i="14"/>
  <c r="J855" i="14"/>
  <c r="J871" i="14"/>
  <c r="J887" i="14"/>
  <c r="J903" i="14"/>
  <c r="J919" i="14"/>
  <c r="J935" i="14"/>
  <c r="J951" i="14"/>
  <c r="J967" i="14"/>
  <c r="J983" i="14"/>
  <c r="J999" i="14"/>
  <c r="J1015" i="14"/>
  <c r="J1031" i="14"/>
  <c r="J1047" i="14"/>
  <c r="J1063" i="14"/>
  <c r="J1079" i="14"/>
  <c r="J1095" i="14"/>
  <c r="J1111" i="14"/>
  <c r="J1127" i="14"/>
  <c r="J1143" i="14"/>
  <c r="J1159" i="14"/>
  <c r="J1175" i="14"/>
  <c r="J1191" i="14"/>
  <c r="J1207" i="14"/>
  <c r="J1223" i="14"/>
  <c r="J1239" i="14"/>
  <c r="J1255" i="14"/>
  <c r="J229" i="14"/>
  <c r="J428" i="14"/>
  <c r="J50" i="14"/>
  <c r="J72" i="14"/>
  <c r="J100" i="14"/>
  <c r="J122" i="14"/>
  <c r="J139" i="14"/>
  <c r="J156" i="14"/>
  <c r="J173" i="14"/>
  <c r="J190" i="14"/>
  <c r="J207" i="14"/>
  <c r="J225" i="14"/>
  <c r="J242" i="14"/>
  <c r="J259" i="14"/>
  <c r="J276" i="14"/>
  <c r="J293" i="14"/>
  <c r="J310" i="14"/>
  <c r="J327" i="14"/>
  <c r="J344" i="14"/>
  <c r="J360" i="14"/>
  <c r="J376" i="14"/>
  <c r="J392" i="14"/>
  <c r="J408" i="14"/>
  <c r="J424" i="14"/>
  <c r="J440" i="14"/>
  <c r="J456" i="14"/>
  <c r="J472" i="14"/>
  <c r="J488" i="14"/>
  <c r="J504" i="14"/>
  <c r="J520" i="14"/>
  <c r="J536" i="14"/>
  <c r="J552" i="14"/>
  <c r="J568" i="14"/>
  <c r="J584" i="14"/>
  <c r="J600" i="14"/>
  <c r="J616" i="14"/>
  <c r="J632" i="14"/>
  <c r="J648" i="14"/>
  <c r="J664" i="14"/>
  <c r="J680" i="14"/>
  <c r="J696" i="14"/>
  <c r="J712" i="14"/>
  <c r="J728" i="14"/>
  <c r="J744" i="14"/>
  <c r="J760" i="14"/>
  <c r="J776" i="14"/>
  <c r="J792" i="14"/>
  <c r="J808" i="14"/>
  <c r="J824" i="14"/>
  <c r="J840" i="14"/>
  <c r="J856" i="14"/>
  <c r="J872" i="14"/>
  <c r="J888" i="14"/>
  <c r="J904" i="14"/>
  <c r="J920" i="14"/>
  <c r="J936" i="14"/>
  <c r="J952" i="14"/>
  <c r="J968" i="14"/>
  <c r="J984" i="14"/>
  <c r="J1000" i="14"/>
  <c r="J1016" i="14"/>
  <c r="J1032" i="14"/>
  <c r="J1048" i="14"/>
  <c r="J1064" i="14"/>
  <c r="J1080" i="14"/>
  <c r="J1096" i="14"/>
  <c r="J1112" i="14"/>
  <c r="J1128" i="14"/>
  <c r="J1144" i="14"/>
  <c r="J1160" i="14"/>
  <c r="J1176" i="14"/>
  <c r="J1192" i="14"/>
  <c r="J1208" i="14"/>
  <c r="J1224" i="14"/>
  <c r="J1240" i="14"/>
  <c r="J1256" i="14"/>
  <c r="J348" i="14"/>
  <c r="J508" i="14"/>
  <c r="J51" i="14"/>
  <c r="J73" i="14"/>
  <c r="J101" i="14"/>
  <c r="J123" i="14"/>
  <c r="J140" i="14"/>
  <c r="J157" i="14"/>
  <c r="J174" i="14"/>
  <c r="J191" i="14"/>
  <c r="J209" i="14"/>
  <c r="J226" i="14"/>
  <c r="J243" i="14"/>
  <c r="J260" i="14"/>
  <c r="J277" i="14"/>
  <c r="J294" i="14"/>
  <c r="J311" i="14"/>
  <c r="J328" i="14"/>
  <c r="J345" i="14"/>
  <c r="J361" i="14"/>
  <c r="J377" i="14"/>
  <c r="J393" i="14"/>
  <c r="J409" i="14"/>
  <c r="J425" i="14"/>
  <c r="J441" i="14"/>
  <c r="J457" i="14"/>
  <c r="J473" i="14"/>
  <c r="J489" i="14"/>
  <c r="J505" i="14"/>
  <c r="J521" i="14"/>
  <c r="J537" i="14"/>
  <c r="J553" i="14"/>
  <c r="J569" i="14"/>
  <c r="J585" i="14"/>
  <c r="J601" i="14"/>
  <c r="J617" i="14"/>
  <c r="J633" i="14"/>
  <c r="J649" i="14"/>
  <c r="J665" i="14"/>
  <c r="J681" i="14"/>
  <c r="J697" i="14"/>
  <c r="J713" i="14"/>
  <c r="J729" i="14"/>
  <c r="J745" i="14"/>
  <c r="J761" i="14"/>
  <c r="J777" i="14"/>
  <c r="J793" i="14"/>
  <c r="J809" i="14"/>
  <c r="J825" i="14"/>
  <c r="J841" i="14"/>
  <c r="J857" i="14"/>
  <c r="J873" i="14"/>
  <c r="J889" i="14"/>
  <c r="J905" i="14"/>
  <c r="J921" i="14"/>
  <c r="J937" i="14"/>
  <c r="J953" i="14"/>
  <c r="J969" i="14"/>
  <c r="J985" i="14"/>
  <c r="J1001" i="14"/>
  <c r="J1017" i="14"/>
  <c r="J1033" i="14"/>
  <c r="J1049" i="14"/>
  <c r="J1065" i="14"/>
  <c r="J1081" i="14"/>
  <c r="J1097" i="14"/>
  <c r="J1113" i="14"/>
  <c r="J1129" i="14"/>
  <c r="J1145" i="14"/>
  <c r="J1161" i="14"/>
  <c r="J1177" i="14"/>
  <c r="J1193" i="14"/>
  <c r="J1209" i="14"/>
  <c r="J1225" i="14"/>
  <c r="J1241" i="14"/>
  <c r="J1257" i="14"/>
  <c r="J246" i="14"/>
  <c r="J492" i="14"/>
  <c r="J52" i="14"/>
  <c r="J75" i="14"/>
  <c r="J102" i="14"/>
  <c r="J124" i="14"/>
  <c r="J141" i="14"/>
  <c r="J158" i="14"/>
  <c r="J175" i="14"/>
  <c r="J193" i="14"/>
  <c r="J210" i="14"/>
  <c r="J227" i="14"/>
  <c r="J244" i="14"/>
  <c r="J261" i="14"/>
  <c r="J278" i="14"/>
  <c r="J295" i="14"/>
  <c r="J312" i="14"/>
  <c r="J329" i="14"/>
  <c r="J346" i="14"/>
  <c r="J362" i="14"/>
  <c r="J378" i="14"/>
  <c r="J394" i="14"/>
  <c r="J410" i="14"/>
  <c r="J426" i="14"/>
  <c r="J442" i="14"/>
  <c r="J458" i="14"/>
  <c r="J474" i="14"/>
  <c r="J490" i="14"/>
  <c r="J506" i="14"/>
  <c r="J522" i="14"/>
  <c r="J538" i="14"/>
  <c r="J554" i="14"/>
  <c r="J570" i="14"/>
  <c r="J586" i="14"/>
  <c r="J602" i="14"/>
  <c r="J618" i="14"/>
  <c r="J634" i="14"/>
  <c r="J650" i="14"/>
  <c r="J666" i="14"/>
  <c r="J682" i="14"/>
  <c r="J698" i="14"/>
  <c r="J714" i="14"/>
  <c r="J730" i="14"/>
  <c r="J746" i="14"/>
  <c r="J762" i="14"/>
  <c r="J778" i="14"/>
  <c r="J794" i="14"/>
  <c r="J810" i="14"/>
  <c r="J826" i="14"/>
  <c r="J842" i="14"/>
  <c r="J858" i="14"/>
  <c r="J874" i="14"/>
  <c r="J890" i="14"/>
  <c r="J906" i="14"/>
  <c r="J922" i="14"/>
  <c r="J938" i="14"/>
  <c r="J954" i="14"/>
  <c r="J970" i="14"/>
  <c r="J986" i="14"/>
  <c r="J1002" i="14"/>
  <c r="J1018" i="14"/>
  <c r="J1034" i="14"/>
  <c r="J1050" i="14"/>
  <c r="J1066" i="14"/>
  <c r="J1082" i="14"/>
  <c r="J1098" i="14"/>
  <c r="J1114" i="14"/>
  <c r="J1130" i="14"/>
  <c r="J1146" i="14"/>
  <c r="J1162" i="14"/>
  <c r="J1178" i="14"/>
  <c r="J1194" i="14"/>
  <c r="J1210" i="14"/>
  <c r="J1226" i="14"/>
  <c r="J1242" i="14"/>
  <c r="J104" i="14"/>
  <c r="J396" i="14"/>
  <c r="J53" i="14"/>
  <c r="J81" i="14"/>
  <c r="J103" i="14"/>
  <c r="J125" i="14"/>
  <c r="J142" i="14"/>
  <c r="J159" i="14"/>
  <c r="J177" i="14"/>
  <c r="J194" i="14"/>
  <c r="J211" i="14"/>
  <c r="J228" i="14"/>
  <c r="J245" i="14"/>
  <c r="J262" i="14"/>
  <c r="J279" i="14"/>
  <c r="J296" i="14"/>
  <c r="J313" i="14"/>
  <c r="J330" i="14"/>
  <c r="J347" i="14"/>
  <c r="J363" i="14"/>
  <c r="J379" i="14"/>
  <c r="J395" i="14"/>
  <c r="J411" i="14"/>
  <c r="J427" i="14"/>
  <c r="J443" i="14"/>
  <c r="J459" i="14"/>
  <c r="J475" i="14"/>
  <c r="J491" i="14"/>
  <c r="J507" i="14"/>
  <c r="J523" i="14"/>
  <c r="J539" i="14"/>
  <c r="J555" i="14"/>
  <c r="J571" i="14"/>
  <c r="J587" i="14"/>
  <c r="J603" i="14"/>
  <c r="J619" i="14"/>
  <c r="J635" i="14"/>
  <c r="J651" i="14"/>
  <c r="J667" i="14"/>
  <c r="J683" i="14"/>
  <c r="J699" i="14"/>
  <c r="J715" i="14"/>
  <c r="J731" i="14"/>
  <c r="J747" i="14"/>
  <c r="J763" i="14"/>
  <c r="J779" i="14"/>
  <c r="J795" i="14"/>
  <c r="J811" i="14"/>
  <c r="J827" i="14"/>
  <c r="J843" i="14"/>
  <c r="J859" i="14"/>
  <c r="J875" i="14"/>
  <c r="J891" i="14"/>
  <c r="J907" i="14"/>
  <c r="J923" i="14"/>
  <c r="J939" i="14"/>
  <c r="J955" i="14"/>
  <c r="J971" i="14"/>
  <c r="J987" i="14"/>
  <c r="J1003" i="14"/>
  <c r="J1019" i="14"/>
  <c r="J1035" i="14"/>
  <c r="J1051" i="14"/>
  <c r="J1067" i="14"/>
  <c r="J1083" i="14"/>
  <c r="J1099" i="14"/>
  <c r="J1115" i="14"/>
  <c r="J1131" i="14"/>
  <c r="J1147" i="14"/>
  <c r="J1163" i="14"/>
  <c r="J1179" i="14"/>
  <c r="J1195" i="14"/>
  <c r="J1211" i="14"/>
  <c r="J1227" i="14"/>
  <c r="J1243" i="14"/>
  <c r="J195" i="14"/>
  <c r="J212" i="14"/>
  <c r="J263" i="14"/>
  <c r="J412" i="14"/>
  <c r="J1197" i="14"/>
  <c r="J1069" i="14"/>
  <c r="J941" i="14"/>
  <c r="J813" i="14"/>
  <c r="J685" i="14"/>
  <c r="J556" i="14"/>
  <c r="J315" i="14"/>
  <c r="J684" i="14"/>
  <c r="J541" i="14"/>
  <c r="J298" i="14"/>
  <c r="J1181" i="14"/>
  <c r="J1053" i="14"/>
  <c r="J925" i="14"/>
  <c r="J797" i="14"/>
  <c r="J669" i="14"/>
  <c r="J540" i="14"/>
  <c r="J281" i="14"/>
  <c r="J1180" i="14"/>
  <c r="J1052" i="14"/>
  <c r="J924" i="14"/>
  <c r="J796" i="14"/>
  <c r="J668" i="14"/>
  <c r="J525" i="14"/>
  <c r="J264" i="14"/>
  <c r="J1165" i="14"/>
  <c r="J1037" i="14"/>
  <c r="J909" i="14"/>
  <c r="J781" i="14"/>
  <c r="J653" i="14"/>
  <c r="J509" i="14"/>
  <c r="J247" i="14"/>
  <c r="J1164" i="14"/>
  <c r="J1036" i="14"/>
  <c r="J908" i="14"/>
  <c r="J780" i="14"/>
  <c r="J652" i="14"/>
  <c r="J493" i="14"/>
  <c r="J230" i="14"/>
  <c r="J1149" i="14"/>
  <c r="J1021" i="14"/>
  <c r="J893" i="14"/>
  <c r="J765" i="14"/>
  <c r="J637" i="14"/>
  <c r="J477" i="14"/>
  <c r="J213" i="14"/>
  <c r="J114" i="14"/>
  <c r="J97" i="14"/>
  <c r="J79" i="14"/>
  <c r="J62" i="14"/>
  <c r="J44" i="14"/>
  <c r="J113" i="14"/>
  <c r="J95" i="14"/>
  <c r="J78" i="14"/>
  <c r="J61" i="14"/>
  <c r="J42" i="14"/>
  <c r="J111" i="14"/>
  <c r="J94" i="14"/>
  <c r="J77" i="14"/>
  <c r="J60" i="14"/>
  <c r="J40" i="14"/>
  <c r="J110" i="14"/>
  <c r="J93" i="14"/>
  <c r="J76" i="14"/>
  <c r="J59" i="14"/>
  <c r="J38" i="14"/>
  <c r="J36" i="14"/>
  <c r="J108" i="14"/>
  <c r="J91" i="14"/>
  <c r="J74" i="14"/>
  <c r="J57" i="14"/>
  <c r="J35" i="14"/>
  <c r="J23" i="14"/>
  <c r="J45" i="14"/>
  <c r="J22" i="14"/>
  <c r="J43" i="14"/>
  <c r="J21" i="14"/>
  <c r="J41" i="14"/>
  <c r="J20" i="14"/>
  <c r="J39" i="14"/>
  <c r="J19" i="14"/>
  <c r="J37" i="14"/>
  <c r="J17" i="14"/>
  <c r="J15" i="14"/>
  <c r="J33" i="14"/>
  <c r="J14" i="14"/>
  <c r="J30" i="14"/>
  <c r="J13" i="14"/>
  <c r="J12" i="14"/>
  <c r="J11" i="14"/>
  <c r="J10" i="14"/>
  <c r="J9" i="14"/>
  <c r="J8" i="14"/>
  <c r="J7" i="14"/>
  <c r="J6" i="14"/>
  <c r="J5" i="14"/>
  <c r="J4" i="14"/>
  <c r="J3" i="14"/>
  <c r="J34" i="14"/>
  <c r="J18" i="14"/>
  <c r="J336" i="14"/>
  <c r="J320" i="14"/>
  <c r="J304" i="14"/>
  <c r="J288" i="14"/>
  <c r="J272" i="14"/>
  <c r="J256" i="14"/>
  <c r="J240" i="14"/>
  <c r="J224" i="14"/>
  <c r="J208" i="14"/>
  <c r="J192" i="14"/>
  <c r="J176" i="14"/>
  <c r="J160" i="14"/>
  <c r="J144" i="14"/>
  <c r="J128" i="14"/>
  <c r="J112" i="14"/>
  <c r="J96" i="14"/>
  <c r="J80" i="14"/>
  <c r="J64" i="14"/>
  <c r="J48" i="14"/>
  <c r="J32" i="14"/>
  <c r="J16" i="14"/>
  <c r="C2" i="14"/>
  <c r="C3" i="14"/>
  <c r="D3" i="14" s="1"/>
  <c r="C4" i="14"/>
  <c r="D4" i="14" s="1"/>
  <c r="C5" i="14"/>
  <c r="D5" i="14" s="1"/>
  <c r="C6" i="14"/>
  <c r="D6" i="14" s="1"/>
  <c r="C7" i="14"/>
  <c r="D7" i="14" s="1"/>
  <c r="F2" i="14" l="1" a="1"/>
  <c r="F2" i="14" s="1"/>
  <c r="L2" i="14" a="1"/>
  <c r="D2" i="14"/>
  <c r="L2" i="14" l="1"/>
  <c r="B13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29CE010-848C-4A20-BD63-E02E59BDBA26}" keepAlive="1" name="Query - laptop_prices" description="Connection to the 'laptop_prices' query in the workbook." type="5" refreshedVersion="8" background="1" saveData="1">
    <dbPr connection="Provider=Microsoft.Mashup.OleDb.1;Data Source=$Workbook$;Location=laptop_prices;Extended Properties=&quot;&quot;" command="SELECT * FROM [laptop_prices]"/>
  </connection>
  <connection id="2" xr16:uid="{5F014177-FF77-4858-948F-A58E6796E08C}" keepAlive="1" name="Query - laptop_prices (2)" description="Connection to the 'laptop_prices (2)' query in the workbook." type="5" refreshedVersion="8" background="1" saveData="1">
    <dbPr connection="Provider=Microsoft.Mashup.OleDb.1;Data Source=$Workbook$;Location=&quot;laptop_prices (2)&quot;;Extended Properties=&quot;&quot;" command="SELECT * FROM [laptop_prices (2)]"/>
  </connection>
  <connection id="3" xr16:uid="{E3C16716-7230-40F7-9A4C-99A6783A896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C25A70A6-9914-49B2-921C-639B4FF9FC2C}" name="WorksheetConnection_laptop_analysis.xlsx!laptop" type="102" refreshedVersion="8" minRefreshableVersion="5">
    <extLst>
      <ext xmlns:x15="http://schemas.microsoft.com/office/spreadsheetml/2010/11/main" uri="{DE250136-89BD-433C-8126-D09CA5730AF9}">
        <x15:connection id="laptop" autoDelete="1">
          <x15:rangePr sourceName="_xlcn.WorksheetConnection_laptop_analysis.xlsxlaptop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<sst xmlns="http://schemas.openxmlformats.org/spreadsheetml/2006/main" count="20411" uniqueCount="1110">
  <si>
    <t>Company</t>
  </si>
  <si>
    <t>Product</t>
  </si>
  <si>
    <t>TypeName</t>
  </si>
  <si>
    <t>Inches</t>
  </si>
  <si>
    <t>Ram</t>
  </si>
  <si>
    <t>OS</t>
  </si>
  <si>
    <t>Weight</t>
  </si>
  <si>
    <t>Price_euros</t>
  </si>
  <si>
    <t>Screen</t>
  </si>
  <si>
    <t>ScreenW</t>
  </si>
  <si>
    <t>ScreenH</t>
  </si>
  <si>
    <t>Touchscreen</t>
  </si>
  <si>
    <t>IPSpanel</t>
  </si>
  <si>
    <t>RetinaDisplay</t>
  </si>
  <si>
    <t>CPU_company</t>
  </si>
  <si>
    <t>CPU_freq</t>
  </si>
  <si>
    <t>CPU_model</t>
  </si>
  <si>
    <t>PrimaryStorage</t>
  </si>
  <si>
    <t>SecondaryStorage</t>
  </si>
  <si>
    <t>PrimaryStorageType</t>
  </si>
  <si>
    <t>SecondaryStorageType</t>
  </si>
  <si>
    <t>GPU_model</t>
  </si>
  <si>
    <t>Apple</t>
  </si>
  <si>
    <t>MacBook Pro</t>
  </si>
  <si>
    <t>Ultrabook</t>
  </si>
  <si>
    <t>macOS</t>
  </si>
  <si>
    <t>Standard</t>
  </si>
  <si>
    <t>No</t>
  </si>
  <si>
    <t>Yes</t>
  </si>
  <si>
    <t>Intel</t>
  </si>
  <si>
    <t>Core i5</t>
  </si>
  <si>
    <t>SSD</t>
  </si>
  <si>
    <t>Iris Plus Graphics 640</t>
  </si>
  <si>
    <t>Macbook Air</t>
  </si>
  <si>
    <t>Flash Storage</t>
  </si>
  <si>
    <t>HD Graphics 6000</t>
  </si>
  <si>
    <t>HP</t>
  </si>
  <si>
    <t>250 G6</t>
  </si>
  <si>
    <t>Notebook</t>
  </si>
  <si>
    <t>No OS</t>
  </si>
  <si>
    <t>Full HD</t>
  </si>
  <si>
    <t>Core i5 7200U</t>
  </si>
  <si>
    <t>HD Graphics 620</t>
  </si>
  <si>
    <t>Core i7</t>
  </si>
  <si>
    <t>Radeon Pro 455</t>
  </si>
  <si>
    <t>Iris Plus Graphics 650</t>
  </si>
  <si>
    <t>Acer</t>
  </si>
  <si>
    <t>Aspire 3</t>
  </si>
  <si>
    <t>Windows 10</t>
  </si>
  <si>
    <t>AMD</t>
  </si>
  <si>
    <t>A9-Series 9420</t>
  </si>
  <si>
    <t>HDD</t>
  </si>
  <si>
    <t>Radeon R5</t>
  </si>
  <si>
    <t>Mac OS X</t>
  </si>
  <si>
    <t>Iris Pro Graphics</t>
  </si>
  <si>
    <t>Asus</t>
  </si>
  <si>
    <t>ZenBook UX430UN</t>
  </si>
  <si>
    <t>Core i7 8550U</t>
  </si>
  <si>
    <t>GeForce MX150</t>
  </si>
  <si>
    <t>Swift 3</t>
  </si>
  <si>
    <t>Core i5 8250U</t>
  </si>
  <si>
    <t>UHD Graphics 620</t>
  </si>
  <si>
    <t>Core i3 6006U</t>
  </si>
  <si>
    <t>HD Graphics 520</t>
  </si>
  <si>
    <t>Radeon Pro 555</t>
  </si>
  <si>
    <t>Dell</t>
  </si>
  <si>
    <t>Inspiron 3567</t>
  </si>
  <si>
    <t>Radeon R5 M430</t>
  </si>
  <si>
    <t>MacBook 12"</t>
  </si>
  <si>
    <t>Core M m3</t>
  </si>
  <si>
    <t>HD Graphics 615</t>
  </si>
  <si>
    <t>Core i7 7500U</t>
  </si>
  <si>
    <t>Radeon Pro 560</t>
  </si>
  <si>
    <t>Lenovo</t>
  </si>
  <si>
    <t>IdeaPad 320-15IKB</t>
  </si>
  <si>
    <t>Core i3 7100U</t>
  </si>
  <si>
    <t>GeForce 940MX</t>
  </si>
  <si>
    <t>XPS 13</t>
  </si>
  <si>
    <t>Vivobook E200HA</t>
  </si>
  <si>
    <t>Netbook</t>
  </si>
  <si>
    <t>Atom x5-Z8350</t>
  </si>
  <si>
    <t>HD Graphics 400</t>
  </si>
  <si>
    <t>Legion Y520-15IKBN</t>
  </si>
  <si>
    <t>Gaming</t>
  </si>
  <si>
    <t>Core i5 7300HQ</t>
  </si>
  <si>
    <t>GeForce GTX 1050</t>
  </si>
  <si>
    <t>255 G6</t>
  </si>
  <si>
    <t>E-Series E2-9000e</t>
  </si>
  <si>
    <t>Radeon R2</t>
  </si>
  <si>
    <t>Inspiron 5379</t>
  </si>
  <si>
    <t>2 in 1 Convertible</t>
  </si>
  <si>
    <t>15-BS101nv (i7-8550U/8GB/256GB/FHD/W10)</t>
  </si>
  <si>
    <t>MacBook Air</t>
  </si>
  <si>
    <t>Inspiron 5570</t>
  </si>
  <si>
    <t>Radeon 530</t>
  </si>
  <si>
    <t>Latitude 5590</t>
  </si>
  <si>
    <t>Core i7 8650U</t>
  </si>
  <si>
    <t>ProBook 470</t>
  </si>
  <si>
    <t>GeForce 930MX</t>
  </si>
  <si>
    <t>Chuwi</t>
  </si>
  <si>
    <t>LapBook 15.6"</t>
  </si>
  <si>
    <t>Atom x5-Z8300</t>
  </si>
  <si>
    <t>HD Graphics</t>
  </si>
  <si>
    <t>E402WA-GA010T (E2-6110/2GB/32GB/W10)</t>
  </si>
  <si>
    <t>E-Series E2-6110</t>
  </si>
  <si>
    <t>17-ak001nv (A6-9220/4GB/500GB/Radeon</t>
  </si>
  <si>
    <t>A6-Series 9220</t>
  </si>
  <si>
    <t>Quad HD+</t>
  </si>
  <si>
    <t>IdeaPad 120S-14IAP</t>
  </si>
  <si>
    <t>Celeron Dual Core N3350</t>
  </si>
  <si>
    <t>HD Graphics 500</t>
  </si>
  <si>
    <t>Linux</t>
  </si>
  <si>
    <t>Core i3 7130U</t>
  </si>
  <si>
    <t>Inspiron 5770</t>
  </si>
  <si>
    <t>ProBook 450</t>
  </si>
  <si>
    <t xml:space="preserve">GeForce 930MX </t>
  </si>
  <si>
    <t>X540UA-DM186 (i3-6006U/4GB/1TB/FHD/Linux)</t>
  </si>
  <si>
    <t>Inspiron 7577</t>
  </si>
  <si>
    <t>Core i7 7700HQ</t>
  </si>
  <si>
    <t>GeForce GTX 1060</t>
  </si>
  <si>
    <t>X542UQ-GO005 (i5-7200U/8GB/1TB/GeForce</t>
  </si>
  <si>
    <t>Aspire A515-51G</t>
  </si>
  <si>
    <t>Inspiron 7773</t>
  </si>
  <si>
    <t>GeForce 150MX</t>
  </si>
  <si>
    <t>Iris Graphics 540</t>
  </si>
  <si>
    <t>IdeaPad 320-15ISK</t>
  </si>
  <si>
    <t>Rog Strix</t>
  </si>
  <si>
    <t>Ryzen 1700</t>
  </si>
  <si>
    <t>Radeon RX 580</t>
  </si>
  <si>
    <t>X751NV-TY001T (N4200/4GB/1TB/GeForce</t>
  </si>
  <si>
    <t>Pentium Quad Core N4200</t>
  </si>
  <si>
    <t>GeForce 920MX</t>
  </si>
  <si>
    <t>Yoga Book</t>
  </si>
  <si>
    <t>Android</t>
  </si>
  <si>
    <t>Atom x5-Z8550</t>
  </si>
  <si>
    <t>Radeon R4 Graphics</t>
  </si>
  <si>
    <t>ProBook 430</t>
  </si>
  <si>
    <t>Inspiron 3576</t>
  </si>
  <si>
    <t>Radeon 520</t>
  </si>
  <si>
    <t>15-bs002nv (i3-6006U/4GB/128GB/FHD/W10)</t>
  </si>
  <si>
    <t>VivoBook Max</t>
  </si>
  <si>
    <t>MSI</t>
  </si>
  <si>
    <t>GS73VR 7RG</t>
  </si>
  <si>
    <t>GeForce GTX 1070</t>
  </si>
  <si>
    <t>X541UA-DM1897 (i3-6006U/4GB/256GB/FHD/Linux)</t>
  </si>
  <si>
    <t>Vostro 5471</t>
  </si>
  <si>
    <t>IdeaPad 520S-14IKB</t>
  </si>
  <si>
    <t>UX410UA-GV350T (i5-8250U/8GB/256GB/FHD/W10)</t>
  </si>
  <si>
    <t>ZenBook Pro</t>
  </si>
  <si>
    <t>GeForce GTX 1050 Ti</t>
  </si>
  <si>
    <t>Stream 14-AX040wm</t>
  </si>
  <si>
    <t>Celeron Dual Core N3060</t>
  </si>
  <si>
    <t>V310-15ISK (i5-7200U/4GB/1TB/FHD/W10)</t>
  </si>
  <si>
    <t>FX753VE-GC093 (i7-7700HQ/12GB/1TB/GeForce</t>
  </si>
  <si>
    <t>Microsoft</t>
  </si>
  <si>
    <t>Surface Laptop</t>
  </si>
  <si>
    <t>Windows 10 S</t>
  </si>
  <si>
    <t>Inspiron 5370</t>
  </si>
  <si>
    <t>GL72M 7RDX</t>
  </si>
  <si>
    <t>Aspire E5-475</t>
  </si>
  <si>
    <t>FX503VD-E4022T (i7-7700HQ/8GB/1TB/GeForce</t>
  </si>
  <si>
    <t>IdeaPad 320-15IKBN</t>
  </si>
  <si>
    <t>Aspire A515-51G-32MX</t>
  </si>
  <si>
    <t>GeForce MX130</t>
  </si>
  <si>
    <t>ProBook 440</t>
  </si>
  <si>
    <t>IdeaPad 320-15AST</t>
  </si>
  <si>
    <t>R4 Graphics</t>
  </si>
  <si>
    <t>Pavilion 15-CK000nv</t>
  </si>
  <si>
    <t>GeForce GTX 940MX</t>
  </si>
  <si>
    <t>FX503VM-E4007T (i7-7700HQ/16GB/1TB</t>
  </si>
  <si>
    <t>FX550IK-DM018T (FX-9830P/8GB/1TB/Radeon</t>
  </si>
  <si>
    <t>FX 9830P</t>
  </si>
  <si>
    <t>Radeon RX 560</t>
  </si>
  <si>
    <t>Aspire 5</t>
  </si>
  <si>
    <t>Probook 430</t>
  </si>
  <si>
    <t>Zenbook UX430UA</t>
  </si>
  <si>
    <t>Spin 5</t>
  </si>
  <si>
    <t>X541UV-DM1439T (i3-7100U/6GB/256GB/GeForce</t>
  </si>
  <si>
    <t>GeForce 920M</t>
  </si>
  <si>
    <t>Omen 15-ce007nv</t>
  </si>
  <si>
    <t>15-bs017nv (i7-7500U/8GB/256GB/Radeon</t>
  </si>
  <si>
    <t>15-bw000nv (E2-9000e/4GB/500GB/Radeon</t>
  </si>
  <si>
    <t>Envy 13-ad009n</t>
  </si>
  <si>
    <t>Pavilion 14-BK001nv</t>
  </si>
  <si>
    <t>Ideapad 310-15ISK</t>
  </si>
  <si>
    <t>UX430UQ-GV209R (i7-7500U/8GB/256GB/GeForce</t>
  </si>
  <si>
    <t>GP62M 7REX</t>
  </si>
  <si>
    <t>Thinkpad T470</t>
  </si>
  <si>
    <t>VivoBook S15</t>
  </si>
  <si>
    <t>Core i7 7560U</t>
  </si>
  <si>
    <t>ThinkPad Yoga</t>
  </si>
  <si>
    <t>Probook 440</t>
  </si>
  <si>
    <t>Spectre x360</t>
  </si>
  <si>
    <t>Inspiron 7570</t>
  </si>
  <si>
    <t>X705UV-BX074T (i3-6006U/4GB/1TB/GeForce</t>
  </si>
  <si>
    <t>Spin 3</t>
  </si>
  <si>
    <t>GS63VR 7RG</t>
  </si>
  <si>
    <t>Probook 470</t>
  </si>
  <si>
    <t>E402WA-GA007T (E2-6110/4GB/64GB/W10</t>
  </si>
  <si>
    <t>E-Series 6110</t>
  </si>
  <si>
    <t>Inspiron 5567</t>
  </si>
  <si>
    <t>Radeon R7 M445</t>
  </si>
  <si>
    <t>Aspire A515-51G-37JS</t>
  </si>
  <si>
    <t>15-BS078nr (i7-7500U/8GB/1TB/W10)</t>
  </si>
  <si>
    <t>V110-15IAP (N3350/4GB/1TB/No</t>
  </si>
  <si>
    <t>FX753VD-GC086T (i5-7300HQ/8GB/1TB</t>
  </si>
  <si>
    <t>Envy 13-AD007nv</t>
  </si>
  <si>
    <t>ThinkPad E480</t>
  </si>
  <si>
    <t>Radeon RX 550</t>
  </si>
  <si>
    <t>GeForce GTX 1050M</t>
  </si>
  <si>
    <t>Toshiba</t>
  </si>
  <si>
    <t>Satellite Pro</t>
  </si>
  <si>
    <t>Core i5 6200U</t>
  </si>
  <si>
    <t>ZenBook UX430UA</t>
  </si>
  <si>
    <t>EliteBook Folio</t>
  </si>
  <si>
    <t>4K Ultra HD</t>
  </si>
  <si>
    <t>Core M 6Y75</t>
  </si>
  <si>
    <t>HD Graphics 515</t>
  </si>
  <si>
    <t>X541NA (N3350/4GB/1TB/FHD/W10)</t>
  </si>
  <si>
    <t>GE72MVR 7RG</t>
  </si>
  <si>
    <t>Aspire A315-51</t>
  </si>
  <si>
    <t>Inspiron 5577</t>
  </si>
  <si>
    <t>Inspiron 7567</t>
  </si>
  <si>
    <t>Hybrid</t>
  </si>
  <si>
    <t>V110-15IKB (i5-7200U/4GB/128GB/W10)</t>
  </si>
  <si>
    <t>GE73VR 7RE</t>
  </si>
  <si>
    <t>EliteBook 840</t>
  </si>
  <si>
    <t>Core i5 7500U</t>
  </si>
  <si>
    <t>15-BS103nv (i5-8250U/6GB/256GB/Radeon</t>
  </si>
  <si>
    <t>Yoga 520-14IKB</t>
  </si>
  <si>
    <t>ZenBook Flip</t>
  </si>
  <si>
    <t>Inspiron 5579</t>
  </si>
  <si>
    <t>X555BP-XX180T (A9-9420/4GB/1TB/Radeon</t>
  </si>
  <si>
    <t>Radeon R5 M420</t>
  </si>
  <si>
    <t>Aspire A517-51G</t>
  </si>
  <si>
    <t>Aspire A315-31</t>
  </si>
  <si>
    <t>GE63VR 7RE</t>
  </si>
  <si>
    <t>HD Graphics 505</t>
  </si>
  <si>
    <t>Huawei</t>
  </si>
  <si>
    <t>MateBook X</t>
  </si>
  <si>
    <t>17-bs001nv (i5-7200U/6GB/2TB/Radeon</t>
  </si>
  <si>
    <t>GT80S 6QF-074US</t>
  </si>
  <si>
    <t>Core i7 6920HQ</t>
  </si>
  <si>
    <t>GTX 980 SLI</t>
  </si>
  <si>
    <t>V310-15IKB (i5-7200U/8GB/1TB</t>
  </si>
  <si>
    <t>R17M-M1-70</t>
  </si>
  <si>
    <t>Yoga 920-13IKB</t>
  </si>
  <si>
    <t>Xiaomi</t>
  </si>
  <si>
    <t>Mi Notebook</t>
  </si>
  <si>
    <t>XPS 15</t>
  </si>
  <si>
    <t>Swift 7</t>
  </si>
  <si>
    <t>Core i5 7Y54</t>
  </si>
  <si>
    <t>Thinkpad Yoga</t>
  </si>
  <si>
    <t>Vero</t>
  </si>
  <si>
    <t>K147 (N3350/4GB/32GB/FHD/W10)</t>
  </si>
  <si>
    <t>IdeaPad 320-17IKBR</t>
  </si>
  <si>
    <t>Razer</t>
  </si>
  <si>
    <t>Blade Pro</t>
  </si>
  <si>
    <t>Core i7 7820HK</t>
  </si>
  <si>
    <t>GeForce GTX 1080</t>
  </si>
  <si>
    <t>Omen 17-W295</t>
  </si>
  <si>
    <t>V110-15ISK (i5-6200U/4GB/128GB/W10)</t>
  </si>
  <si>
    <t>Aspire E5-576G</t>
  </si>
  <si>
    <t>Legion Y720-15IKB</t>
  </si>
  <si>
    <t>Precision 7520</t>
  </si>
  <si>
    <t>Workstation</t>
  </si>
  <si>
    <t>Xeon E3-1505M V6</t>
  </si>
  <si>
    <t>Quadro M1200</t>
  </si>
  <si>
    <t>Aspire 7</t>
  </si>
  <si>
    <t>ROG GL703VD-GC028T</t>
  </si>
  <si>
    <t>15-bs018nq (i3-6006U/4GB/500GB/FHD/No</t>
  </si>
  <si>
    <t>IdeaPad 320-17IKB</t>
  </si>
  <si>
    <t>Latitude 5490</t>
  </si>
  <si>
    <t>Portege Z30-C-16L</t>
  </si>
  <si>
    <t>Core i7 6500U</t>
  </si>
  <si>
    <t>Alienware 17</t>
  </si>
  <si>
    <t>Vivobook X541UV-DM1217T</t>
  </si>
  <si>
    <t xml:space="preserve">GeForce 920MX </t>
  </si>
  <si>
    <t>K756UX-T4340T (i5-7200U/8GB/500GB</t>
  </si>
  <si>
    <t>GeForce GTX 950M</t>
  </si>
  <si>
    <t>ZBook 15u</t>
  </si>
  <si>
    <t xml:space="preserve">FirePro W4190M </t>
  </si>
  <si>
    <t>Pro P2540UA-XO0198T</t>
  </si>
  <si>
    <t>15-rb013nv (E2-9000e/4GB/500GB/W10)</t>
  </si>
  <si>
    <t>E-Series 9000e</t>
  </si>
  <si>
    <t>Vostro 5468</t>
  </si>
  <si>
    <t>Aspire R7</t>
  </si>
  <si>
    <t>X555QG-DM242T (A10-9620P/4GB/1TB</t>
  </si>
  <si>
    <t>A10-Series A10-9620P</t>
  </si>
  <si>
    <t>ROG G703VI-E5062T</t>
  </si>
  <si>
    <t>Nitro AN515-51</t>
  </si>
  <si>
    <t>VivoBook Pro</t>
  </si>
  <si>
    <t>F756UX-T4201D (i7-7500U/8GB/128GB</t>
  </si>
  <si>
    <t>Yoga 910-13IKB</t>
  </si>
  <si>
    <t>15-bs015dx (i5-7200U/8GB/1TB/W10)</t>
  </si>
  <si>
    <t>Rog G701VIK-BA060T</t>
  </si>
  <si>
    <t>ROG G752VSK-GC493T</t>
  </si>
  <si>
    <t>GeForce GTX 980M</t>
  </si>
  <si>
    <t>X505BP-BR019T (A9-9420/4GB/1TB/Radeon</t>
  </si>
  <si>
    <t>Vostro 5370</t>
  </si>
  <si>
    <t>15-BW094nd (A6-9220/8GB/128GB/W10)</t>
  </si>
  <si>
    <t>A6-Series A6-9220</t>
  </si>
  <si>
    <t>Envy 17-U275cl</t>
  </si>
  <si>
    <t>GT73EVR 7RE</t>
  </si>
  <si>
    <t>Yoga 720-15IKB</t>
  </si>
  <si>
    <t>Vostro 3568</t>
  </si>
  <si>
    <t>V330-15IKB (i7-8550U/8GB/256GB/FHD/W10)</t>
  </si>
  <si>
    <t>Iris Graphics 550</t>
  </si>
  <si>
    <t>ThinkPad X1</t>
  </si>
  <si>
    <t>Core i7 6600U</t>
  </si>
  <si>
    <t>GeForce 930M</t>
  </si>
  <si>
    <t>IdeaPad 320-17ISK</t>
  </si>
  <si>
    <t>Ideapad 320-15IKBN</t>
  </si>
  <si>
    <t>SP315-51 (i7-7500U/12GB/1TB/FHD/W10)</t>
  </si>
  <si>
    <t>Thinkpad T570</t>
  </si>
  <si>
    <t>HD Graphics 630</t>
  </si>
  <si>
    <t>Chromebook C910-C2ST</t>
  </si>
  <si>
    <t>Chrome OS</t>
  </si>
  <si>
    <t>Celeron Dual Core 3205U</t>
  </si>
  <si>
    <t>FX753VD-GC071T (i7-7700HQ/8GB/1TB/GeForce</t>
  </si>
  <si>
    <t>17-BS037cl (i3-6006U/8GB/1TB/W10)</t>
  </si>
  <si>
    <t>V330-15IKB (i5-8250U/8GB/256GB/FHD/W10)</t>
  </si>
  <si>
    <t>Aspire A715-71G</t>
  </si>
  <si>
    <t>Precision 7720</t>
  </si>
  <si>
    <t>Core i7 7820HQ</t>
  </si>
  <si>
    <t>IdeaPad 310-15ABR</t>
  </si>
  <si>
    <t>A10-Series 9600P</t>
  </si>
  <si>
    <t>Radeon R5 430</t>
  </si>
  <si>
    <t>ZenBook UX530UQ-PRO</t>
  </si>
  <si>
    <t>VivoBook S14</t>
  </si>
  <si>
    <t>Rog GL702VS-GC095T</t>
  </si>
  <si>
    <t>GeForce GTX 940M</t>
  </si>
  <si>
    <t>GL553VE-FY082T (i7-7700HQ/8GB/1TB</t>
  </si>
  <si>
    <t>IdeaPad 320-15IAP</t>
  </si>
  <si>
    <t>EliteBook x360</t>
  </si>
  <si>
    <t>Core i7 7600U</t>
  </si>
  <si>
    <t>IdeaPad 720S-13IKB</t>
  </si>
  <si>
    <t>GE63VR 7RF</t>
  </si>
  <si>
    <t>ES1-523-84K7 (A8-7410/8GB/256GB/FHD/W10)</t>
  </si>
  <si>
    <t>A8-Series 7410</t>
  </si>
  <si>
    <t>VivoBook Flip</t>
  </si>
  <si>
    <t>ThinkPad 13</t>
  </si>
  <si>
    <t>Celeron Dual Core 3855U</t>
  </si>
  <si>
    <t>HD Graphics 510</t>
  </si>
  <si>
    <t>ProBook 640</t>
  </si>
  <si>
    <t>TravelMate B</t>
  </si>
  <si>
    <t>Pentium Quad Core N3710</t>
  </si>
  <si>
    <t>HD Graphics 405</t>
  </si>
  <si>
    <t>Elitebook 840</t>
  </si>
  <si>
    <t>ZenBook UX410UA-GV183T</t>
  </si>
  <si>
    <t>A12-Series 9720P</t>
  </si>
  <si>
    <t>Radeon RX 540</t>
  </si>
  <si>
    <t>Aspire E5-575</t>
  </si>
  <si>
    <t>Elitebook 820</t>
  </si>
  <si>
    <t>GL72M 7REX</t>
  </si>
  <si>
    <t>UX510UX-CN269T (i7-7500U/8GB/256GB</t>
  </si>
  <si>
    <t>V310-15ISK (i3-6006U/4GB/1TB/FHD/W10)</t>
  </si>
  <si>
    <t>FX553VD-FY647T (i7-7700HQ/8GB/256GB/GeForce</t>
  </si>
  <si>
    <t>Core i5 7300U</t>
  </si>
  <si>
    <t>Elitebook 850</t>
  </si>
  <si>
    <t>X541NA (N3350/4GB/1TB/Linux)</t>
  </si>
  <si>
    <t>Inspiron 3552</t>
  </si>
  <si>
    <t>IdeaPad 320-15ABR</t>
  </si>
  <si>
    <t>Stream 14-AX001nv</t>
  </si>
  <si>
    <t>GP72MVR 7RFX</t>
  </si>
  <si>
    <t>Zbook 15</t>
  </si>
  <si>
    <t>Tecra A50-C-21G</t>
  </si>
  <si>
    <t>Latitude 7480</t>
  </si>
  <si>
    <t>Zenbook UX410UA-GV027T</t>
  </si>
  <si>
    <t>15-AY023na (N3710/8GB/2TB/W10)</t>
  </si>
  <si>
    <t>Elitebook 1040</t>
  </si>
  <si>
    <t>GeForce GT 940MX</t>
  </si>
  <si>
    <t>IdeaPad 110-17ACL</t>
  </si>
  <si>
    <t>15-bw003nv (A9-Series-9420/4GB/256GB/FHD/W10)</t>
  </si>
  <si>
    <t>Yoga 11e</t>
  </si>
  <si>
    <t>Celeron Quad Core N3450</t>
  </si>
  <si>
    <t>VivoBook E403NA</t>
  </si>
  <si>
    <t>Omen 17-w212nv</t>
  </si>
  <si>
    <t>V310-15ISK (i3-6006U/4GB/128GB/FHD/No</t>
  </si>
  <si>
    <t>ROG Strix</t>
  </si>
  <si>
    <t>IdeaPad 720S-14IKB</t>
  </si>
  <si>
    <t>Zenbook Flip</t>
  </si>
  <si>
    <t>Thinkpad X1</t>
  </si>
  <si>
    <t>Ideapad 510S-13IKB</t>
  </si>
  <si>
    <t>Precision 3510</t>
  </si>
  <si>
    <t>Core i5 6440HQ</t>
  </si>
  <si>
    <t>FirePro W5130M</t>
  </si>
  <si>
    <t>Precision 5520</t>
  </si>
  <si>
    <t>Core i7 6820HQ</t>
  </si>
  <si>
    <t>Rog GL753VD-GC042T</t>
  </si>
  <si>
    <t>Rog GL753VE-GC070T</t>
  </si>
  <si>
    <t>Leopard GP72M</t>
  </si>
  <si>
    <t>15-BW004nv (A9-9420/4GB/256GB/Radeon</t>
  </si>
  <si>
    <t>ThinkPad E580</t>
  </si>
  <si>
    <t>ThinkPad L470</t>
  </si>
  <si>
    <t>Precision M5520</t>
  </si>
  <si>
    <t>FX753VD-GC461T (i7-7700HQ/16GB/1TB</t>
  </si>
  <si>
    <t>GE73VR 7RF</t>
  </si>
  <si>
    <t>Zenbook 3</t>
  </si>
  <si>
    <t>Portege Z30-C-16P</t>
  </si>
  <si>
    <t>Lenovo IdeaPad</t>
  </si>
  <si>
    <t>ThinkPad P51</t>
  </si>
  <si>
    <t>Thinkpad T470p</t>
  </si>
  <si>
    <t>15-BS028nv (i3-6006U/4GB/1TB/Radeon</t>
  </si>
  <si>
    <t>Latitude 3380</t>
  </si>
  <si>
    <t>EliteBook 1040</t>
  </si>
  <si>
    <t>LapBook 12.3</t>
  </si>
  <si>
    <t>ProBook 650</t>
  </si>
  <si>
    <t>X542UQ-DM117 (i3-7100U/8GB/1TB/GeForce</t>
  </si>
  <si>
    <t>Latitude 5480</t>
  </si>
  <si>
    <t>Omen 17-w207nv</t>
  </si>
  <si>
    <t>Mediacom</t>
  </si>
  <si>
    <t>FlexBook Edge</t>
  </si>
  <si>
    <t>Samsung</t>
  </si>
  <si>
    <t>Chromebook 3</t>
  </si>
  <si>
    <t>Thinkpad 13</t>
  </si>
  <si>
    <t>IdeaPad 320s-14IKB</t>
  </si>
  <si>
    <t>Thinkpad P51</t>
  </si>
  <si>
    <t>Quadro M2200M</t>
  </si>
  <si>
    <t>Ryzen 1600</t>
  </si>
  <si>
    <t>15-ra044nv (N3060/4GB/500GB/W10)</t>
  </si>
  <si>
    <t>Google</t>
  </si>
  <si>
    <t>Pixelbook (Core</t>
  </si>
  <si>
    <t>Core i7 7Y75</t>
  </si>
  <si>
    <t>ThinkPad T470s</t>
  </si>
  <si>
    <t>Radeon R4</t>
  </si>
  <si>
    <t>ThinkPad X270</t>
  </si>
  <si>
    <t>Omen 15-AX205na</t>
  </si>
  <si>
    <t>Core i5 7440HQ</t>
  </si>
  <si>
    <t>Aspire ES1-572</t>
  </si>
  <si>
    <t>Precision 3520</t>
  </si>
  <si>
    <t>Quadro M620</t>
  </si>
  <si>
    <t>GV62 7RD-1686NL</t>
  </si>
  <si>
    <t>Core i7 7660U</t>
  </si>
  <si>
    <t>15-bs024nv (i5-7200U/8GB/128GB/W10)</t>
  </si>
  <si>
    <t>ThinkPad T470</t>
  </si>
  <si>
    <t>Inspiron 3168</t>
  </si>
  <si>
    <t>Core M m3-7Y30</t>
  </si>
  <si>
    <t>17-BS092ND (i3-6006U/8GB/256GB/W10)</t>
  </si>
  <si>
    <t>Pro P2540UA-AB51</t>
  </si>
  <si>
    <t>IdeaPad 510s-14IKB</t>
  </si>
  <si>
    <t>Radeon R7 M460</t>
  </si>
  <si>
    <t>X541NA-PD1003Y (N4200/4GB/500GB/W10)</t>
  </si>
  <si>
    <t>Omen 17-an006nv</t>
  </si>
  <si>
    <t>Thinkpad T460s</t>
  </si>
  <si>
    <t>Core i5 7Y57</t>
  </si>
  <si>
    <t>Latitude 7390</t>
  </si>
  <si>
    <t>Core i7 6700HQ</t>
  </si>
  <si>
    <t>HD Graphics 530</t>
  </si>
  <si>
    <t>Latitude E5470</t>
  </si>
  <si>
    <t>Core i3 6100U</t>
  </si>
  <si>
    <t>Portege X30-D-10J</t>
  </si>
  <si>
    <t>Lapbook 15,6</t>
  </si>
  <si>
    <t>ThinkPad E570</t>
  </si>
  <si>
    <t>Thinkpad X270</t>
  </si>
  <si>
    <t>Zenbook UX390UA</t>
  </si>
  <si>
    <t>Thinkpad E570</t>
  </si>
  <si>
    <t>Portege X30-D-10L</t>
  </si>
  <si>
    <t>A10-Series 9620P</t>
  </si>
  <si>
    <t>Rog G752VL-UH71T</t>
  </si>
  <si>
    <t>GeForce GTX 965M</t>
  </si>
  <si>
    <t>Thinkpad X260</t>
  </si>
  <si>
    <t>Ideapad 520-15IKBR</t>
  </si>
  <si>
    <t>ThinkPad L570</t>
  </si>
  <si>
    <t>VivoBook E201NA</t>
  </si>
  <si>
    <t>15-BS026nv (i5-7200U/8GB/256GB/Radeon</t>
  </si>
  <si>
    <t>IdeaPad 320-14IAP</t>
  </si>
  <si>
    <t>Chromebook N23</t>
  </si>
  <si>
    <t>ZenBook UX510UX-CN211T</t>
  </si>
  <si>
    <t>Aspire A515-51G-59QF</t>
  </si>
  <si>
    <t>Envy 13-AB002nv</t>
  </si>
  <si>
    <t>Vostro 5568</t>
  </si>
  <si>
    <t>VivoBook E12</t>
  </si>
  <si>
    <t>15-bs190od (i5-8250U/4GB/1TB/W10)</t>
  </si>
  <si>
    <t>ROG Zephyrus</t>
  </si>
  <si>
    <t>GeForce GTX1080</t>
  </si>
  <si>
    <t>Probook 450</t>
  </si>
  <si>
    <t>FX753VE-GC155T (i7-7700HQ/16GB/1TB</t>
  </si>
  <si>
    <t>GeForce GTX1050 Ti</t>
  </si>
  <si>
    <t>Spectre X360</t>
  </si>
  <si>
    <t>Windows 7</t>
  </si>
  <si>
    <t>Latitude 5580</t>
  </si>
  <si>
    <t>Zenbook UX510UW-FI095T</t>
  </si>
  <si>
    <t>GeForce GTX 960M</t>
  </si>
  <si>
    <t>SmartBook Edge</t>
  </si>
  <si>
    <t>Omen 15-ce006nv</t>
  </si>
  <si>
    <t>Thinkpad E470</t>
  </si>
  <si>
    <t>Envy 13-AB020nr</t>
  </si>
  <si>
    <t>VivoBook X540YA-XX519T</t>
  </si>
  <si>
    <t>E-Series 7110</t>
  </si>
  <si>
    <t>Radeon R2 Graphics</t>
  </si>
  <si>
    <t>ThinkPad E470</t>
  </si>
  <si>
    <t>V310-15ISK (i5-6200U/4GB/1TB/FHD/No</t>
  </si>
  <si>
    <t>ThinkPad T570</t>
  </si>
  <si>
    <t>17-X047na (i3-6006U/8GB/1TB/W10)</t>
  </si>
  <si>
    <t>A541NA-GO342 (N3350/4GB/500GB/Linux)</t>
  </si>
  <si>
    <t>SmartBook 130</t>
  </si>
  <si>
    <t>15-bw007nv (A10-9620P/6GB/128GB/Radeon</t>
  </si>
  <si>
    <t>Spin SP111-31</t>
  </si>
  <si>
    <t>V330-15IKB (i3-7130U/4GB/128GB/FHD/W10)</t>
  </si>
  <si>
    <t>EliteBook 1030</t>
  </si>
  <si>
    <t>Thinkpad P71</t>
  </si>
  <si>
    <t>Quadro M620M</t>
  </si>
  <si>
    <t>FX553VD-DM627T (i5-7300HQ/8GB/1TB</t>
  </si>
  <si>
    <t>Fujitsu</t>
  </si>
  <si>
    <t>Lifebook A557</t>
  </si>
  <si>
    <t>ZBook 17</t>
  </si>
  <si>
    <t>14-am079na (N3710/8GB/2TB/W10)</t>
  </si>
  <si>
    <t>15-cd005nv (A9-9420/6GB/256GB/Radeon</t>
  </si>
  <si>
    <t>A9-Series A9-9420</t>
  </si>
  <si>
    <t>V330-15IKB (i5-8250U/4GB/500GB/FHD/W10)</t>
  </si>
  <si>
    <t>SmartBook 141</t>
  </si>
  <si>
    <t>Tecra X40-D-10H</t>
  </si>
  <si>
    <t>IdeaPad Y910-17ISK</t>
  </si>
  <si>
    <t>Core i7 6820HK</t>
  </si>
  <si>
    <t>GT73VR Titan</t>
  </si>
  <si>
    <t>Chromebook 11</t>
  </si>
  <si>
    <t>GT80S 6QE</t>
  </si>
  <si>
    <t>Omen 17-AN010nv</t>
  </si>
  <si>
    <t>Ideapad 320-15IKBR</t>
  </si>
  <si>
    <t>TP501UA-CJ131T (i5-7200U/8GB/1TB/W10)</t>
  </si>
  <si>
    <t>Inspiron 3179</t>
  </si>
  <si>
    <t>Core M 7Y30</t>
  </si>
  <si>
    <t>Notebook Odyssey</t>
  </si>
  <si>
    <t>V320-17ISK (i3-6006U/4GB/500GB/FHD/No</t>
  </si>
  <si>
    <t>IdeaPad 110-15ISK</t>
  </si>
  <si>
    <t>Latitude 5289</t>
  </si>
  <si>
    <t>EliteBook 850</t>
  </si>
  <si>
    <t>Aspire 1</t>
  </si>
  <si>
    <t>Laptop MSI</t>
  </si>
  <si>
    <t>GeForce GTX 970M</t>
  </si>
  <si>
    <t>GS63VR 7RF</t>
  </si>
  <si>
    <t>Tecra Z50-C-144</t>
  </si>
  <si>
    <t>IdeaPad 310-15IKB</t>
  </si>
  <si>
    <t>Swift SF114-31-P5HY</t>
  </si>
  <si>
    <t>Xeon E3-1535M v6</t>
  </si>
  <si>
    <t>Inspiron 7559</t>
  </si>
  <si>
    <t>GeForce GTX 960&lt;U+039C&gt;</t>
  </si>
  <si>
    <t>FX753VD-GC007T (i7-7700HQ/8GB/1TB</t>
  </si>
  <si>
    <t>GT62VR 7RE</t>
  </si>
  <si>
    <t>CB5-132T-C9KK (N3160/4GB/32GB/Chrome</t>
  </si>
  <si>
    <t>Celeron Quad Core N3160</t>
  </si>
  <si>
    <t>LifeBook A557</t>
  </si>
  <si>
    <t>SmartBook 140</t>
  </si>
  <si>
    <t>Q304UA-BHI5T11 (i5-7200U/6GB/1TB/FHD/W10)</t>
  </si>
  <si>
    <t>ZenBook 3</t>
  </si>
  <si>
    <t>V330-15IKB (i5-8250U/4GB/256GB/FHD/W10)</t>
  </si>
  <si>
    <t>Ideapad 320-15ISK</t>
  </si>
  <si>
    <t>X541NA-GO414T (N3350/8GB/1TB/W10)</t>
  </si>
  <si>
    <t>IdeaPad 100S-14IBR</t>
  </si>
  <si>
    <t>17-AK091ND (A9-9420/8GB/1TB/W10)</t>
  </si>
  <si>
    <t>ROG GL553VE-FY022</t>
  </si>
  <si>
    <t>Extensa EX2540</t>
  </si>
  <si>
    <t>Graphics 620</t>
  </si>
  <si>
    <t>Portege Z30-C-16J</t>
  </si>
  <si>
    <t>ROG G701VI</t>
  </si>
  <si>
    <t>A715-71G-59DH (i5-7300HQ/8GB/1TB/GeForce</t>
  </si>
  <si>
    <t>GL62M 7REX</t>
  </si>
  <si>
    <t>Tecra A50-D-11M</t>
  </si>
  <si>
    <t>IdeaPad Y700-15ISK</t>
  </si>
  <si>
    <t>GeForce GTX 960</t>
  </si>
  <si>
    <t>Latitude E7470</t>
  </si>
  <si>
    <t>Core i5 6300U</t>
  </si>
  <si>
    <t>Ideapad 320-15IAP</t>
  </si>
  <si>
    <t>15-ay047nv (i3-6006U/6GB/1TB/Radeon</t>
  </si>
  <si>
    <t>GP72VR Leopard</t>
  </si>
  <si>
    <t>Latitude 3580</t>
  </si>
  <si>
    <t>15-bs012nv (i7-7500U/8GB/1TB/Radeon</t>
  </si>
  <si>
    <t>Tecra Z50-D-10E</t>
  </si>
  <si>
    <t>V310-15ISK (i5-7200U/8GB/1TB</t>
  </si>
  <si>
    <t>Yoga 720-13IKB</t>
  </si>
  <si>
    <t>E-Series E2-9000</t>
  </si>
  <si>
    <t>Pavilion X360</t>
  </si>
  <si>
    <t>GP62 7RDX</t>
  </si>
  <si>
    <t>Chromebook X360</t>
  </si>
  <si>
    <t>LG</t>
  </si>
  <si>
    <t>Gram 15Z975</t>
  </si>
  <si>
    <t>Aspire VX5-591G</t>
  </si>
  <si>
    <t>GV62M 7RD</t>
  </si>
  <si>
    <t>L502NA-GO052T (N3350/4GB/128GB/W10)</t>
  </si>
  <si>
    <t>Alienware 15</t>
  </si>
  <si>
    <t>17-bs000nv I3</t>
  </si>
  <si>
    <t>Radeon R5 520</t>
  </si>
  <si>
    <t>Yoga 730</t>
  </si>
  <si>
    <t>17-Y002nv (A10-9600P/6GB/2TB/Radeon</t>
  </si>
  <si>
    <t>Radeon R7 M440</t>
  </si>
  <si>
    <t>V110-15ISK (3855U/4GB/500GB/W10)</t>
  </si>
  <si>
    <t>Chromebook 14</t>
  </si>
  <si>
    <t>IdeaPad 520s-14IKB</t>
  </si>
  <si>
    <t>TravelMate B117-M</t>
  </si>
  <si>
    <t>Celeron Dual Core N3050</t>
  </si>
  <si>
    <t>Chromebook Flip</t>
  </si>
  <si>
    <t>Core M M3-6Y30</t>
  </si>
  <si>
    <t>Portege Z30T-C-133</t>
  </si>
  <si>
    <t>15-bs011nv (i7-7500U/4GB/500GB/Radeon</t>
  </si>
  <si>
    <t>Radeon R7</t>
  </si>
  <si>
    <t>V310-15IKB (i5-7200U/4GB/1TB/FHD/W10)</t>
  </si>
  <si>
    <t>V310-15ISK (i3-6006U/4GB/500GB/No</t>
  </si>
  <si>
    <t>ThinkPad P51s</t>
  </si>
  <si>
    <t>Quadro M520M</t>
  </si>
  <si>
    <t>Thinkpad T460p</t>
  </si>
  <si>
    <t>Core i5 6300HQ</t>
  </si>
  <si>
    <t>17-ak002nv (A10-9620P/6GB/2TB/Radeon</t>
  </si>
  <si>
    <t>110-15ACL (A6-7310/4GB/500GB/W10)</t>
  </si>
  <si>
    <t>A6-Series 7310</t>
  </si>
  <si>
    <t>Smartbook 142</t>
  </si>
  <si>
    <t>Atom Z8350</t>
  </si>
  <si>
    <t>V310-15IKB (i5-7200U/4GB/1TB/No</t>
  </si>
  <si>
    <t>Inspiron 5378</t>
  </si>
  <si>
    <t>15-BW037na (A9-9420/4GB/1TB/Radeon</t>
  </si>
  <si>
    <t>Predator 17</t>
  </si>
  <si>
    <t>15-BW091ND (A9-9420/6GB/1TB</t>
  </si>
  <si>
    <t>Extensa EX2540-58KR</t>
  </si>
  <si>
    <t>V310-15IKB (i7-7500U/4GB/1TB/FHD/W10)</t>
  </si>
  <si>
    <t>ZBook 15</t>
  </si>
  <si>
    <t>Quadro M2200</t>
  </si>
  <si>
    <t>Inspiron 7560</t>
  </si>
  <si>
    <t>Tecra X40-D-10G</t>
  </si>
  <si>
    <t>Flex 5</t>
  </si>
  <si>
    <t>Thinkpad P51s</t>
  </si>
  <si>
    <t>Notebook 9</t>
  </si>
  <si>
    <t>Zbook 17</t>
  </si>
  <si>
    <t>Xeon E3-1535M v5</t>
  </si>
  <si>
    <t>Quadro M2000M</t>
  </si>
  <si>
    <t>N23 (N3060/4GB/128GB/W10)</t>
  </si>
  <si>
    <t>X550VX-XX015D (i5-6300HQ/4GB/1TB/GeForce</t>
  </si>
  <si>
    <t>Thinkpad T460</t>
  </si>
  <si>
    <t>Pro P2540UA-XO0192R</t>
  </si>
  <si>
    <t>Yoga 900-13ISK</t>
  </si>
  <si>
    <t>Core i5 6260U</t>
  </si>
  <si>
    <t>HD Graphics 540</t>
  </si>
  <si>
    <t>15-cb003na (i5-7300HQ/8GB/1TB</t>
  </si>
  <si>
    <t>Quadro M1000M</t>
  </si>
  <si>
    <t>Latitude 7280</t>
  </si>
  <si>
    <t>Zenbook UX330UA-AH5Q</t>
  </si>
  <si>
    <t>TravelMate P238-M</t>
  </si>
  <si>
    <t>X751NV-TY001 (N4200/4GB/1TB/GeForce</t>
  </si>
  <si>
    <t>Radeon 540</t>
  </si>
  <si>
    <t>Tecra A40-C-1E5</t>
  </si>
  <si>
    <t>EliteBook 820</t>
  </si>
  <si>
    <t>Q524UQ-BHI7T15 (i7-7500U/12GB/2TB/GeForce</t>
  </si>
  <si>
    <t>Thinkpad P50</t>
  </si>
  <si>
    <t>Vivobook Max</t>
  </si>
  <si>
    <t>Pentium Dual Core N4200</t>
  </si>
  <si>
    <t>GeForce GTX 1070M</t>
  </si>
  <si>
    <t>Rog G752VS-BA171T</t>
  </si>
  <si>
    <t>Tecra Z40-C-161</t>
  </si>
  <si>
    <t>IdeaPad 110-15IBR</t>
  </si>
  <si>
    <t>Celeron Quad Core N3710</t>
  </si>
  <si>
    <t>GS43VR 7RE</t>
  </si>
  <si>
    <t>GL62M (i5-7300HQ/8GB/1TB</t>
  </si>
  <si>
    <t>Predator G9-793</t>
  </si>
  <si>
    <t>FX502VM-DM560T (i7-7700HQ/8GB/1TB</t>
  </si>
  <si>
    <t>GeForce GTX1060</t>
  </si>
  <si>
    <t>K146 (N3350/4GB/32GB/W10)</t>
  </si>
  <si>
    <t>Yoga 510-15IKB</t>
  </si>
  <si>
    <t>Core M</t>
  </si>
  <si>
    <t>HD Graphics 5300</t>
  </si>
  <si>
    <t>R417NA-RS01 (N3350/4GB/32GB/W10)</t>
  </si>
  <si>
    <t>Radeon R5 M420X</t>
  </si>
  <si>
    <t>Pro P2540UA-XS51</t>
  </si>
  <si>
    <t>Latitude 3180</t>
  </si>
  <si>
    <t>15-ba043na (A12-9700P/8GB/2TB/W10)</t>
  </si>
  <si>
    <t>A12-Series 9700P</t>
  </si>
  <si>
    <t>Radeon R7 Graphics</t>
  </si>
  <si>
    <t>Omen 17-an012dx</t>
  </si>
  <si>
    <t>Thinkpad T470s</t>
  </si>
  <si>
    <t>Blade Stealth</t>
  </si>
  <si>
    <t>Latitude 3480</t>
  </si>
  <si>
    <t>V110-15ISK (i3-6006U/4GB/500GB/W10)</t>
  </si>
  <si>
    <t>Tecra X40-D-10Z</t>
  </si>
  <si>
    <t>GL62M 7RD</t>
  </si>
  <si>
    <t>Pentium Dual Core 4405U</t>
  </si>
  <si>
    <t>GeForce 920</t>
  </si>
  <si>
    <t>Rog GL702VS-BA023T</t>
  </si>
  <si>
    <t>N42-20 Chromebook</t>
  </si>
  <si>
    <t>R558UA-DM966T (i5-7200U/8GB/128GB/FHD/W10)</t>
  </si>
  <si>
    <t>Rog GL702VM-GC017T</t>
  </si>
  <si>
    <t>ZenBook UX310UQ-GL026T</t>
  </si>
  <si>
    <t>GeForce 940M</t>
  </si>
  <si>
    <t>Rog GL502VM-DS74</t>
  </si>
  <si>
    <t>Inspiron 5767</t>
  </si>
  <si>
    <t>ThinkPad T470p</t>
  </si>
  <si>
    <t>K556UR-DM621T (i7-7500U/8GB/256GB/GeForce</t>
  </si>
  <si>
    <t>GeForce GTX 930MX</t>
  </si>
  <si>
    <t>X541NA (N4200/4GB/1TB/W10)</t>
  </si>
  <si>
    <t>Inspiron 5368</t>
  </si>
  <si>
    <t>Radeon R7 M465</t>
  </si>
  <si>
    <t>Portege X30-D-10X</t>
  </si>
  <si>
    <t>PortÃ©gÃ© Z30-C-188</t>
  </si>
  <si>
    <t>TMX349-G2-M-50FS (i5-7200U/8GB/256GB/FHD/W10)</t>
  </si>
  <si>
    <t>Tecra A50-D-11D</t>
  </si>
  <si>
    <t>X541NA-GO121 (N4200/4GB/1TB/Linux)</t>
  </si>
  <si>
    <t>Pavilion x360</t>
  </si>
  <si>
    <t>VivoBook L402NA</t>
  </si>
  <si>
    <t>IdeaPad 510-15ISK</t>
  </si>
  <si>
    <t>Rog GL753VD-GC082T</t>
  </si>
  <si>
    <t>Chromebook C731-C78G</t>
  </si>
  <si>
    <t>A4-Series 7210</t>
  </si>
  <si>
    <t>Radeon R3</t>
  </si>
  <si>
    <t>Probook 640</t>
  </si>
  <si>
    <t>Envy x360</t>
  </si>
  <si>
    <t>GS73VR Stealth</t>
  </si>
  <si>
    <t>Portege X30-D-10V</t>
  </si>
  <si>
    <t>GeForce GTX 1050Ti</t>
  </si>
  <si>
    <t>G701VO-IH74K (i7-6820HK/32GB/2x</t>
  </si>
  <si>
    <t>Gram 15Z970</t>
  </si>
  <si>
    <t>Chromebook CB5-571-C1DZ</t>
  </si>
  <si>
    <t>Gram 14Z970</t>
  </si>
  <si>
    <t>Elitebook Folio</t>
  </si>
  <si>
    <t>IdeaPad 510-15IKB</t>
  </si>
  <si>
    <t>GE72VR 6RF</t>
  </si>
  <si>
    <t>Radeon R7 M365X</t>
  </si>
  <si>
    <t>Envy 13-AB077cl</t>
  </si>
  <si>
    <t>Tecra Z50-C-140</t>
  </si>
  <si>
    <t>Probook 650</t>
  </si>
  <si>
    <t>Core i7 6560U</t>
  </si>
  <si>
    <t>Tecra Z40-C-12X</t>
  </si>
  <si>
    <t>GP62M Leopard</t>
  </si>
  <si>
    <t>Omen 17-W006na</t>
  </si>
  <si>
    <t>X751SV-TY001T (N3710/4GB/1TB/GeForce</t>
  </si>
  <si>
    <t>TravelMate P259-G2</t>
  </si>
  <si>
    <t>Tecra A50-C-1ZV</t>
  </si>
  <si>
    <t>Yoga 700-11ISK</t>
  </si>
  <si>
    <t>Core M m7-6Y75</t>
  </si>
  <si>
    <t>IdeaPad Y700-15ACZ</t>
  </si>
  <si>
    <t>FX 8800P</t>
  </si>
  <si>
    <t>Radeon R9 M385</t>
  </si>
  <si>
    <t>Insprion 5767</t>
  </si>
  <si>
    <t>ZBook Studio</t>
  </si>
  <si>
    <t>Portege Z30-C-1CW</t>
  </si>
  <si>
    <t>Core M M7-6Y75</t>
  </si>
  <si>
    <t>ProBook x360</t>
  </si>
  <si>
    <t>Chromebook C738T-C2EJ</t>
  </si>
  <si>
    <t>Portege Z30-C-16Z</t>
  </si>
  <si>
    <t>Aspire F5-573G-510L</t>
  </si>
  <si>
    <t>Portege X20W-D-10V</t>
  </si>
  <si>
    <t>Tecra A40-C-1DF</t>
  </si>
  <si>
    <t>ThinkPad T460</t>
  </si>
  <si>
    <t>Q534UX-BHI7T19 (i7-7500U/16GB/2TB</t>
  </si>
  <si>
    <t>15-bs053od (i7-7500U/6GB/1TB/W10)</t>
  </si>
  <si>
    <t>Rog GL753VE-DS74</t>
  </si>
  <si>
    <t>Inspiron 7579</t>
  </si>
  <si>
    <t>Portege Z30-C-1CV</t>
  </si>
  <si>
    <t>LifeBook A556</t>
  </si>
  <si>
    <t>Tecra A40-C-1KF</t>
  </si>
  <si>
    <t xml:space="preserve">HD Graphics 620 </t>
  </si>
  <si>
    <t>15-bs005nv (i3-6006U/4GB/1TB</t>
  </si>
  <si>
    <t>V110-15IAP (N3350/4GB/128GB/No</t>
  </si>
  <si>
    <t>ThinkPad T560</t>
  </si>
  <si>
    <t>ZenBook UX310UA-FB485T</t>
  </si>
  <si>
    <t>Spectre 13-V111dx</t>
  </si>
  <si>
    <t>Aspire ES1-533</t>
  </si>
  <si>
    <t>Rog GL553VE-DS74</t>
  </si>
  <si>
    <t>Nitro 5</t>
  </si>
  <si>
    <t>ENVY -</t>
  </si>
  <si>
    <t>Portege Z30-C-16H</t>
  </si>
  <si>
    <t>Portege A30-C-1CZ</t>
  </si>
  <si>
    <t>ThinkPad P70</t>
  </si>
  <si>
    <t>Quadro 3000M</t>
  </si>
  <si>
    <t>Tecra Z40-C-12Z</t>
  </si>
  <si>
    <t>Inspiron 5568</t>
  </si>
  <si>
    <t>PortÃ©gÃ© Z30-C-16K</t>
  </si>
  <si>
    <t>Spectre 13-V100nv</t>
  </si>
  <si>
    <t>Latitude E5570</t>
  </si>
  <si>
    <t>Tecra Z40-C-136</t>
  </si>
  <si>
    <t>Yoga 500-15ISK</t>
  </si>
  <si>
    <t>V142 (X5-Z8350/2GB/32GB/W10)</t>
  </si>
  <si>
    <t>Atom X5-Z8350</t>
  </si>
  <si>
    <t>Tecra A50-C-218</t>
  </si>
  <si>
    <t>Thinkpad L560</t>
  </si>
  <si>
    <t>GT72S Dominator</t>
  </si>
  <si>
    <t>IdeaPad Y900-17ISK</t>
  </si>
  <si>
    <t>Chromebook C202SA</t>
  </si>
  <si>
    <t>Noteb Pav</t>
  </si>
  <si>
    <t>Inspiron 5578</t>
  </si>
  <si>
    <t>250 G5</t>
  </si>
  <si>
    <t>Aspire ES1-523</t>
  </si>
  <si>
    <t>Inspiron 7378</t>
  </si>
  <si>
    <t>GT62VR 6RD</t>
  </si>
  <si>
    <t>Rog G752VL-GC088D</t>
  </si>
  <si>
    <t>GS63VR 6RF</t>
  </si>
  <si>
    <t>ROG G701VO</t>
  </si>
  <si>
    <t xml:space="preserve">GeForce GTX 980 </t>
  </si>
  <si>
    <t>Latitude 3570</t>
  </si>
  <si>
    <t>IdeaPad 300-17ISK</t>
  </si>
  <si>
    <t>Radeon R5 M330</t>
  </si>
  <si>
    <t>Ideapad 700-15ISK</t>
  </si>
  <si>
    <t>GT72VR Dominator</t>
  </si>
  <si>
    <t>V110-15ISK (i5-6200U/4GB/500GB/W10)</t>
  </si>
  <si>
    <t>Yoga 900S-12ISK</t>
  </si>
  <si>
    <t>FirePro W4190M</t>
  </si>
  <si>
    <t>Chromebook 13</t>
  </si>
  <si>
    <t>Pentium Dual Core 4405Y</t>
  </si>
  <si>
    <t>Pentium Quad Core N3700</t>
  </si>
  <si>
    <t>Rog GL702VM-GC354T</t>
  </si>
  <si>
    <t>Aspire F5-573G</t>
  </si>
  <si>
    <t>GS70 Stealth</t>
  </si>
  <si>
    <t>G752VY-GC162T (i7-6700HQ/16GB/1TB</t>
  </si>
  <si>
    <t>Latitude E5270</t>
  </si>
  <si>
    <t>Chromebook 15</t>
  </si>
  <si>
    <t>FirePro W6150M</t>
  </si>
  <si>
    <t>GE72 Apache</t>
  </si>
  <si>
    <t>15-bw011nv (A6-9220/4GB/1TB/FHD/W10)</t>
  </si>
  <si>
    <t>Rog GL552VW-CN470T</t>
  </si>
  <si>
    <t>Core M 6Y54</t>
  </si>
  <si>
    <t>Vostro 3559</t>
  </si>
  <si>
    <t>Radeon R5 M315</t>
  </si>
  <si>
    <t>V110-15ISK (i3-6006U/4GB/128GB/W10)</t>
  </si>
  <si>
    <t>Spectre Pro</t>
  </si>
  <si>
    <t>Portege X30-D-10K</t>
  </si>
  <si>
    <t>Rog GL752VW-T4308T</t>
  </si>
  <si>
    <t>V131 (X5-Z8350/4GB/32GB/FHD/W10)</t>
  </si>
  <si>
    <t>Omen -</t>
  </si>
  <si>
    <t>15-bs078cl (i7-7500U/8GB/2TB/W10)</t>
  </si>
  <si>
    <t>ThinkPad P40</t>
  </si>
  <si>
    <t>Quadro M500M</t>
  </si>
  <si>
    <t>L403NA-GA013TS (N3350/4GB/32GB/W10)</t>
  </si>
  <si>
    <t>IdeaPad 500-15ISK</t>
  </si>
  <si>
    <t>Radeon R7 M360</t>
  </si>
  <si>
    <t>Quadro M3000M</t>
  </si>
  <si>
    <t>GP62M 7RDX</t>
  </si>
  <si>
    <t>V110-15ISK (i3-6006U/4GB/1TB/No</t>
  </si>
  <si>
    <t>15-BA015wm (E2-7110/4GB/500GB/W10)</t>
  </si>
  <si>
    <t>B51-80 (i5-6200U/8GB/1TB/Radeon</t>
  </si>
  <si>
    <t>GeForce 960M</t>
  </si>
  <si>
    <t>15-bw002nv (A6-9220/4GB/256GB/Radeon</t>
  </si>
  <si>
    <t>GP72M 7REX</t>
  </si>
  <si>
    <t>ThinkPad T460s</t>
  </si>
  <si>
    <t>B51-80 (i5-6200U/8GB/1008GB/Radeon</t>
  </si>
  <si>
    <t>GS40 Phantom</t>
  </si>
  <si>
    <t>Pavilion 15-cb003nv</t>
  </si>
  <si>
    <t>IdeaPad 310-15ISK</t>
  </si>
  <si>
    <t>250 G4</t>
  </si>
  <si>
    <t>320-15ISK (i3-6006U/4GB/1TB/GeForce</t>
  </si>
  <si>
    <t>Stream 14-AX000nv</t>
  </si>
  <si>
    <t>PL60 7RD</t>
  </si>
  <si>
    <t>X553SA-XX021T (N3050/4GB/500GB/W10)</t>
  </si>
  <si>
    <t>V110-15ISK (i5-6200U/4GB/500GB/No</t>
  </si>
  <si>
    <t>UX410UA-GV097T (i3-7100U/4GB/256GB/FHD/W10)</t>
  </si>
  <si>
    <t>B51-80 (i7-6500U/4GB/1008GB/FHD/W7)</t>
  </si>
  <si>
    <t>GS60 Ghost</t>
  </si>
  <si>
    <t>Pavilion 15-BC000nv</t>
  </si>
  <si>
    <t>Rog GL552VW-DM201T</t>
  </si>
  <si>
    <t>Chromebook Plus</t>
  </si>
  <si>
    <t>Cortex A72&amp;A53</t>
  </si>
  <si>
    <t>Mali T860 MP4</t>
  </si>
  <si>
    <t>Pavilion Power</t>
  </si>
  <si>
    <t>V110-15ISK (i3-6006U/4GB/1TB/Radeon</t>
  </si>
  <si>
    <t>Rog G752VY-GC229T</t>
  </si>
  <si>
    <t>GS73VR 7RF</t>
  </si>
  <si>
    <t>FX502VM-DM105T (i7-6700HQ/8GB/1TB/GeForce</t>
  </si>
  <si>
    <t>15-bs025nv (i5-7200U/8GB/256GB/W10)</t>
  </si>
  <si>
    <t>E-Series 9000</t>
  </si>
  <si>
    <t>Aspire E5-774G</t>
  </si>
  <si>
    <t>FX502VM-AS73 (i7-7700HQ/16GB/1TB</t>
  </si>
  <si>
    <t>C740-C9QX (3205U/2GB/32GB/Chrome</t>
  </si>
  <si>
    <t>E5 774G</t>
  </si>
  <si>
    <t>SP714-51 (i7-7Y75/8GB/256GB/FHD/W10)</t>
  </si>
  <si>
    <t>Thinkpad T560</t>
  </si>
  <si>
    <t>GP62MVR 6RF</t>
  </si>
  <si>
    <t>15-bw009nv (A12-9720P/6GB/1TB/Radeon</t>
  </si>
  <si>
    <t>Latitude E7270</t>
  </si>
  <si>
    <t>X540SA-RBPDN09 (N3710/4GB/1TB/W10)</t>
  </si>
  <si>
    <t>GL62M 7RDX</t>
  </si>
  <si>
    <t>GE72VR Apache</t>
  </si>
  <si>
    <t>15-bs023nv (i3-6006U/4GB/1TB/FHD/W10)</t>
  </si>
  <si>
    <t>GL62 6QF</t>
  </si>
  <si>
    <t>ZenBook UX310UA-WB71</t>
  </si>
  <si>
    <t>Inspiron 7779</t>
  </si>
  <si>
    <t>Rog GL553VE-FY052T</t>
  </si>
  <si>
    <t>Rog GL502VS</t>
  </si>
  <si>
    <t>V510-15IKB (i5-7200U/8GB/256GB/FHD/No</t>
  </si>
  <si>
    <t>ThinkPad L460</t>
  </si>
  <si>
    <t>X541NA-GO020T (N3350/4GB/1TB/W10)</t>
  </si>
  <si>
    <t>Rog G752VT-GC073T</t>
  </si>
  <si>
    <t>B51-80 (i7-6500U/8GB/1008GB/Radeon</t>
  </si>
  <si>
    <t>GE62 Apache</t>
  </si>
  <si>
    <t>Yoga 500-14IBD</t>
  </si>
  <si>
    <t>ZenBook UX305CA-UBM1</t>
  </si>
  <si>
    <t>Core M 6Y30</t>
  </si>
  <si>
    <t>Aspire ES1-531</t>
  </si>
  <si>
    <t>Pavilion 15-AW003nv</t>
  </si>
  <si>
    <t>A9-Series 9410</t>
  </si>
  <si>
    <t>Stream 11-Y000na</t>
  </si>
  <si>
    <t>X556UJ-XO044T (i7-6500U/4GB/500GB/GeForce</t>
  </si>
  <si>
    <t>Yoga 500-14ISK</t>
  </si>
  <si>
    <t>15-AC110nv (i7-6500U/6GB/1TB/Radeon</t>
  </si>
  <si>
    <t>X553SA-XX031T (N3050/4GB/500GB/W10)</t>
  </si>
  <si>
    <t>Total_Storage</t>
  </si>
  <si>
    <t>CPU_Combined</t>
  </si>
  <si>
    <t>Storage_Type_Combined</t>
  </si>
  <si>
    <t>Row Labels</t>
  </si>
  <si>
    <t>Grand Total</t>
  </si>
  <si>
    <t>Median Price</t>
  </si>
  <si>
    <t>CPU</t>
  </si>
  <si>
    <t>GPU</t>
  </si>
  <si>
    <t>AMD A10-Series 9620P</t>
  </si>
  <si>
    <t>AMD A12-Series 9720P</t>
  </si>
  <si>
    <t>AMD A8-Series 7410</t>
  </si>
  <si>
    <t>AMD A9-Series 9420</t>
  </si>
  <si>
    <t>Intel Celeron Dual Core 3205U</t>
  </si>
  <si>
    <t>Intel Celeron Dual Core 3855U</t>
  </si>
  <si>
    <t>Intel Celeron Dual Core N3050</t>
  </si>
  <si>
    <t>Intel Celeron Dual Core N3060</t>
  </si>
  <si>
    <t>Intel Celeron Dual Core N3350</t>
  </si>
  <si>
    <t>Intel Celeron Quad Core N3160</t>
  </si>
  <si>
    <t>Intel Celeron Quad Core N3450</t>
  </si>
  <si>
    <t>Intel Core i3 6006U</t>
  </si>
  <si>
    <t>Intel Core i3 7100U</t>
  </si>
  <si>
    <t>Intel Core i3 7130U</t>
  </si>
  <si>
    <t>Intel Core i5 6200U</t>
  </si>
  <si>
    <t>Intel Core i5 7200U</t>
  </si>
  <si>
    <t>Intel Core i5 7300HQ</t>
  </si>
  <si>
    <t>Intel Core i5 7Y54</t>
  </si>
  <si>
    <t>Intel Core i5 8250U</t>
  </si>
  <si>
    <t>Intel Core i7 6500U</t>
  </si>
  <si>
    <t>Intel Core i7 6700HQ</t>
  </si>
  <si>
    <t>Intel Core i7 7500U</t>
  </si>
  <si>
    <t>Intel Core i7 7700HQ</t>
  </si>
  <si>
    <t>Intel Core i7 7Y75</t>
  </si>
  <si>
    <t>Intel Core i7 8550U</t>
  </si>
  <si>
    <t>Intel Pentium Quad Core N3710</t>
  </si>
  <si>
    <t>Intel Pentium Quad Core N4200</t>
  </si>
  <si>
    <t>Intel Core i5</t>
  </si>
  <si>
    <t>Intel Core i7</t>
  </si>
  <si>
    <t>Intel Core M</t>
  </si>
  <si>
    <t>Intel Core M m3</t>
  </si>
  <si>
    <t>AMD A10-Series A10-9620P</t>
  </si>
  <si>
    <t>Intel Atom x5-Z8350</t>
  </si>
  <si>
    <t>Intel Core i5 6300HQ</t>
  </si>
  <si>
    <t>Intel Core i7 6820HK</t>
  </si>
  <si>
    <t>Intel Core i7 7820HK</t>
  </si>
  <si>
    <t>Intel Core M 6Y30</t>
  </si>
  <si>
    <t>Intel Core M M3-6Y30</t>
  </si>
  <si>
    <t>Intel Core M m7-6Y75</t>
  </si>
  <si>
    <t>AMD E-Series 6110</t>
  </si>
  <si>
    <t>AMD E-Series 7110</t>
  </si>
  <si>
    <t>AMD E-Series E2-6110</t>
  </si>
  <si>
    <t>AMD FX 9830P</t>
  </si>
  <si>
    <t>Intel Pentium Dual Core N4200</t>
  </si>
  <si>
    <t>AMD Ryzen 1600</t>
  </si>
  <si>
    <t>AMD Ryzen 1700</t>
  </si>
  <si>
    <t>Intel Atom x5-Z8300</t>
  </si>
  <si>
    <t>Intel Core i3 6100U</t>
  </si>
  <si>
    <t>Intel Core i5 6300U</t>
  </si>
  <si>
    <t>Intel Core i5 6440HQ</t>
  </si>
  <si>
    <t>Intel Core i5 7300U</t>
  </si>
  <si>
    <t>Intel Core i5 7440HQ</t>
  </si>
  <si>
    <t>Intel Core i7 6600U</t>
  </si>
  <si>
    <t>Intel Core i7 6820HQ</t>
  </si>
  <si>
    <t>Intel Core i7 7560U</t>
  </si>
  <si>
    <t>Intel Core i7 7600U</t>
  </si>
  <si>
    <t>Intel Core i7 7660U</t>
  </si>
  <si>
    <t>Intel Core i7 7820HQ</t>
  </si>
  <si>
    <t>Intel Core i7 8650U</t>
  </si>
  <si>
    <t>Intel Core M 7Y30</t>
  </si>
  <si>
    <t>Intel Pentium Quad Core N3700</t>
  </si>
  <si>
    <t>Intel Xeon E3-1505M V6</t>
  </si>
  <si>
    <t>Intel Core i5 7Y57</t>
  </si>
  <si>
    <t>AMD A10-Series 9600P</t>
  </si>
  <si>
    <t>AMD A12-Series 9700P</t>
  </si>
  <si>
    <t>AMD A6-Series 9220</t>
  </si>
  <si>
    <t>AMD A6-Series A6-9220</t>
  </si>
  <si>
    <t>AMD A9-Series 9410</t>
  </si>
  <si>
    <t>AMD A9-Series A9-9420</t>
  </si>
  <si>
    <t>Intel Core i5 7500U</t>
  </si>
  <si>
    <t>Intel Core M 6Y54</t>
  </si>
  <si>
    <t>Intel Core M 6Y75</t>
  </si>
  <si>
    <t>AMD E-Series 9000e</t>
  </si>
  <si>
    <t>AMD E-Series E2-9000e</t>
  </si>
  <si>
    <t>Intel Pentium Dual Core 4405Y</t>
  </si>
  <si>
    <t>Intel Xeon E3-1535M v5</t>
  </si>
  <si>
    <t>AMD A4-Series 7210</t>
  </si>
  <si>
    <t>AMD A6-Series 7310</t>
  </si>
  <si>
    <t>Intel Atom x5-Z8550</t>
  </si>
  <si>
    <t>Intel Celeron Quad Core N3710</t>
  </si>
  <si>
    <t>Intel Core i5 6260U</t>
  </si>
  <si>
    <t>Intel Core i7 6560U</t>
  </si>
  <si>
    <t>AMD E-Series 9000</t>
  </si>
  <si>
    <t>AMD E-Series E2-9000</t>
  </si>
  <si>
    <t>AMD FX 8800P</t>
  </si>
  <si>
    <t>Intel Xeon E3-1535M v6</t>
  </si>
  <si>
    <t>Intel Atom Z8350</t>
  </si>
  <si>
    <t>Intel Core M m3-7Y30</t>
  </si>
  <si>
    <t>Intel Core i7 6920HQ</t>
  </si>
  <si>
    <t>Samsung Cortex A72&amp;A53</t>
  </si>
  <si>
    <t>Intel Pentium Dual Core 4405U</t>
  </si>
  <si>
    <t>GPU_Combined</t>
  </si>
  <si>
    <t>Intel FirePro W4190M</t>
  </si>
  <si>
    <t>Intel FirePro W5130M</t>
  </si>
  <si>
    <t>Intel FirePro W6150M</t>
  </si>
  <si>
    <t>Intel GeForce 150MX</t>
  </si>
  <si>
    <t>Intel GeForce 920</t>
  </si>
  <si>
    <t>Intel GeForce 920M</t>
  </si>
  <si>
    <t>Intel GeForce 920MX</t>
  </si>
  <si>
    <t>Intel GeForce 930M</t>
  </si>
  <si>
    <t>Intel GeForce 930MX</t>
  </si>
  <si>
    <t>Intel GeForce 940M</t>
  </si>
  <si>
    <t>Intel GeForce 940MX</t>
  </si>
  <si>
    <t>Intel GeForce 960M</t>
  </si>
  <si>
    <t>Intel GeForce GT 940MX</t>
  </si>
  <si>
    <t>Intel GeForce GTX 1050</t>
  </si>
  <si>
    <t>Intel GeForce GTX 1050 Ti</t>
  </si>
  <si>
    <t>Intel GeForce GTX 1050M</t>
  </si>
  <si>
    <t>Intel GeForce GTX 1050Ti</t>
  </si>
  <si>
    <t>Intel GeForce GTX 1060</t>
  </si>
  <si>
    <t>Intel GeForce GTX 1070</t>
  </si>
  <si>
    <t>Intel GeForce GTX 1070M</t>
  </si>
  <si>
    <t>Intel GeForce GTX 1080</t>
  </si>
  <si>
    <t>Intel GeForce GTX 930MX</t>
  </si>
  <si>
    <t>Intel GeForce GTX 940M</t>
  </si>
  <si>
    <t>Intel GeForce GTX 940MX</t>
  </si>
  <si>
    <t>Intel GeForce GTX 950M</t>
  </si>
  <si>
    <t>Intel GeForce GTX 960</t>
  </si>
  <si>
    <t>Intel GeForce GTX 960&lt;U+039C&gt;</t>
  </si>
  <si>
    <t>Intel GeForce GTX 960M</t>
  </si>
  <si>
    <t>Intel GeForce GTX 965M</t>
  </si>
  <si>
    <t>Intel GeForce GTX 970M</t>
  </si>
  <si>
    <t>Intel GeForce GTX 980</t>
  </si>
  <si>
    <t>Intel GeForce GTX 980M</t>
  </si>
  <si>
    <t>Intel GeForce GTX1050 Ti</t>
  </si>
  <si>
    <t>Intel GeForce GTX1060</t>
  </si>
  <si>
    <t>Intel GeForce GTX1080</t>
  </si>
  <si>
    <t>Intel GeForce MX130</t>
  </si>
  <si>
    <t>Intel GeForce MX150</t>
  </si>
  <si>
    <t>Intel Graphics 620</t>
  </si>
  <si>
    <t>Intel GTX 980 SLI</t>
  </si>
  <si>
    <t>Intel HD Graphics</t>
  </si>
  <si>
    <t>Intel HD Graphics 400</t>
  </si>
  <si>
    <t>Intel HD Graphics 405</t>
  </si>
  <si>
    <t>Intel HD Graphics 500</t>
  </si>
  <si>
    <t>Intel HD Graphics 505</t>
  </si>
  <si>
    <t>Intel HD Graphics 510</t>
  </si>
  <si>
    <t>Intel HD Graphics 515</t>
  </si>
  <si>
    <t>Intel HD Graphics 520</t>
  </si>
  <si>
    <t>Intel HD Graphics 530</t>
  </si>
  <si>
    <t>Intel HD Graphics 5300</t>
  </si>
  <si>
    <t>Intel HD Graphics 540</t>
  </si>
  <si>
    <t>Intel HD Graphics 6000</t>
  </si>
  <si>
    <t>Intel HD Graphics 615</t>
  </si>
  <si>
    <t>Intel HD Graphics 620</t>
  </si>
  <si>
    <t>Intel HD Graphics 630</t>
  </si>
  <si>
    <t>Intel Iris Graphics 540</t>
  </si>
  <si>
    <t>Intel Iris Graphics 550</t>
  </si>
  <si>
    <t>Intel Iris Plus Graphics 640</t>
  </si>
  <si>
    <t>Intel Iris Plus Graphics 650</t>
  </si>
  <si>
    <t>Intel Iris Pro Graphics</t>
  </si>
  <si>
    <t>Samsung Mali T860 MP4</t>
  </si>
  <si>
    <t>Intel Quadro 3000M</t>
  </si>
  <si>
    <t>Intel Quadro M1000M</t>
  </si>
  <si>
    <t>Intel Quadro M1200</t>
  </si>
  <si>
    <t>Intel Quadro M2000M</t>
  </si>
  <si>
    <t>Intel Quadro M2200</t>
  </si>
  <si>
    <t>Intel Quadro M2200M</t>
  </si>
  <si>
    <t>Intel Quadro M3000M</t>
  </si>
  <si>
    <t>Intel Quadro M500M</t>
  </si>
  <si>
    <t>Intel Quadro M520M</t>
  </si>
  <si>
    <t>Intel Quadro M620</t>
  </si>
  <si>
    <t>Intel Quadro M620M</t>
  </si>
  <si>
    <t>Intel R17M-M1-70</t>
  </si>
  <si>
    <t>AMD R4 Graphics</t>
  </si>
  <si>
    <t>AMD Radeon 520</t>
  </si>
  <si>
    <t>Intel Radeon 520</t>
  </si>
  <si>
    <t>AMD Radeon 530</t>
  </si>
  <si>
    <t>Intel Radeon 530</t>
  </si>
  <si>
    <t>Intel Radeon 540</t>
  </si>
  <si>
    <t>Intel Radeon Pro 455</t>
  </si>
  <si>
    <t>Intel Radeon Pro 555</t>
  </si>
  <si>
    <t>Intel Radeon Pro 560</t>
  </si>
  <si>
    <t>AMD Radeon R2</t>
  </si>
  <si>
    <t>AMD Radeon R2 Graphics</t>
  </si>
  <si>
    <t>AMD Radeon R3</t>
  </si>
  <si>
    <t>AMD Radeon R4</t>
  </si>
  <si>
    <t>AMD Radeon R4 Graphics</t>
  </si>
  <si>
    <t>AMD Radeon R5</t>
  </si>
  <si>
    <t>AMD Radeon R5 430</t>
  </si>
  <si>
    <t>Intel Radeon R5 520</t>
  </si>
  <si>
    <t>Intel Radeon R5 M315</t>
  </si>
  <si>
    <t>Intel Radeon R5 M330</t>
  </si>
  <si>
    <t>AMD Radeon R5 M420</t>
  </si>
  <si>
    <t>Intel Radeon R5 M420</t>
  </si>
  <si>
    <t>Intel Radeon R5 M420X</t>
  </si>
  <si>
    <t>AMD Radeon R5 M430</t>
  </si>
  <si>
    <t>Intel Radeon R5 M430</t>
  </si>
  <si>
    <t>AMD Radeon R7</t>
  </si>
  <si>
    <t>AMD Radeon R7 Graphics</t>
  </si>
  <si>
    <t>Intel Radeon R7 M360</t>
  </si>
  <si>
    <t>Intel Radeon R7 M365X</t>
  </si>
  <si>
    <t>AMD Radeon R7 M440</t>
  </si>
  <si>
    <t>Intel Radeon R7 M440</t>
  </si>
  <si>
    <t>Intel Radeon R7 M445</t>
  </si>
  <si>
    <t>Intel Radeon R7 M460</t>
  </si>
  <si>
    <t>Intel Radeon R7 M465</t>
  </si>
  <si>
    <t>AMD Radeon R9 M385</t>
  </si>
  <si>
    <t>AMD Radeon RX 540</t>
  </si>
  <si>
    <t>Intel Radeon RX 550</t>
  </si>
  <si>
    <t>AMD Radeon RX 560</t>
  </si>
  <si>
    <t>AMD Radeon RX 580</t>
  </si>
  <si>
    <t>Intel Radeon RX 580</t>
  </si>
  <si>
    <t>Intel UHD Graphics 620</t>
  </si>
  <si>
    <t>BRAND</t>
  </si>
  <si>
    <t>1st Step</t>
  </si>
  <si>
    <t>Flag</t>
  </si>
  <si>
    <t>CPU (Filter)</t>
  </si>
  <si>
    <t>GPU (Filter)</t>
  </si>
  <si>
    <t>2nd Step</t>
  </si>
  <si>
    <t>3rd Step</t>
  </si>
  <si>
    <t>PRICE (FILTER)</t>
  </si>
  <si>
    <t>PRICE (USD 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</si>
</sst>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0" formatCode="&quot;US$&quot;#,##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0" fillId="0" borderId="0" xfId="0" applyNumberFormat="1"/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3" fillId="2" borderId="7" xfId="0" applyFont="1" applyFill="1" applyBorder="1" applyAlignment="1">
      <alignment horizontal="center"/>
    </xf>
    <xf numFmtId="170" fontId="0" fillId="0" borderId="0" xfId="0" applyNumberFormat="1"/>
    <xf numFmtId="0" fontId="0" fillId="0" borderId="0" xfId="0" applyAlignment="1"/>
    <xf numFmtId="0" fontId="1" fillId="0" borderId="0" xfId="0" applyFont="1" applyAlignment="1">
      <alignment horizontal="center"/>
    </xf>
    <xf numFmtId="0" fontId="4" fillId="0" borderId="1" xfId="0" applyNumberFormat="1" applyFont="1" applyBorder="1" applyAlignment="1">
      <alignment horizontal="center" vertical="center"/>
    </xf>
    <xf numFmtId="0" fontId="4" fillId="0" borderId="2" xfId="0" applyNumberFormat="1" applyFont="1" applyBorder="1" applyAlignment="1">
      <alignment horizontal="center" vertical="center"/>
    </xf>
    <xf numFmtId="0" fontId="4" fillId="0" borderId="3" xfId="0" applyNumberFormat="1" applyFont="1" applyBorder="1" applyAlignment="1">
      <alignment horizontal="center" vertical="center"/>
    </xf>
    <xf numFmtId="0" fontId="4" fillId="0" borderId="4" xfId="0" applyNumberFormat="1" applyFont="1" applyBorder="1" applyAlignment="1">
      <alignment horizontal="center" vertical="center"/>
    </xf>
    <xf numFmtId="0" fontId="4" fillId="0" borderId="0" xfId="0" applyNumberFormat="1" applyFont="1" applyBorder="1" applyAlignment="1">
      <alignment horizontal="center" vertical="center"/>
    </xf>
    <xf numFmtId="0" fontId="4" fillId="0" borderId="5" xfId="0" applyNumberFormat="1" applyFont="1" applyBorder="1" applyAlignment="1">
      <alignment horizontal="center" vertical="center"/>
    </xf>
    <xf numFmtId="0" fontId="4" fillId="0" borderId="6" xfId="0" applyNumberFormat="1" applyFont="1" applyBorder="1" applyAlignment="1">
      <alignment horizontal="center" vertical="center"/>
    </xf>
    <xf numFmtId="0" fontId="4" fillId="0" borderId="7" xfId="0" applyNumberFormat="1" applyFont="1" applyBorder="1" applyAlignment="1">
      <alignment horizontal="center" vertical="center"/>
    </xf>
    <xf numFmtId="0" fontId="4" fillId="0" borderId="8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170" fontId="0" fillId="0" borderId="0" xfId="0" pivotButton="1" applyNumberFormat="1"/>
    <xf numFmtId="43" fontId="4" fillId="3" borderId="1" xfId="1" applyFont="1" applyFill="1" applyBorder="1" applyAlignment="1">
      <alignment horizontal="center" vertical="center"/>
    </xf>
    <xf numFmtId="43" fontId="4" fillId="3" borderId="2" xfId="1" applyFont="1" applyFill="1" applyBorder="1" applyAlignment="1">
      <alignment horizontal="center" vertical="center"/>
    </xf>
    <xf numFmtId="43" fontId="4" fillId="3" borderId="3" xfId="1" applyFont="1" applyFill="1" applyBorder="1" applyAlignment="1">
      <alignment horizontal="center" vertical="center"/>
    </xf>
    <xf numFmtId="43" fontId="4" fillId="3" borderId="4" xfId="1" applyFont="1" applyFill="1" applyBorder="1" applyAlignment="1">
      <alignment horizontal="center" vertical="center"/>
    </xf>
    <xf numFmtId="43" fontId="4" fillId="3" borderId="0" xfId="1" applyFont="1" applyFill="1" applyBorder="1" applyAlignment="1">
      <alignment horizontal="center" vertical="center"/>
    </xf>
    <xf numFmtId="43" fontId="4" fillId="3" borderId="5" xfId="1" applyFont="1" applyFill="1" applyBorder="1" applyAlignment="1">
      <alignment horizontal="center" vertical="center"/>
    </xf>
    <xf numFmtId="43" fontId="4" fillId="3" borderId="6" xfId="1" applyFont="1" applyFill="1" applyBorder="1" applyAlignment="1">
      <alignment horizontal="center" vertical="center"/>
    </xf>
    <xf numFmtId="43" fontId="4" fillId="3" borderId="7" xfId="1" applyFont="1" applyFill="1" applyBorder="1" applyAlignment="1">
      <alignment horizontal="center" vertical="center"/>
    </xf>
    <xf numFmtId="43" fontId="4" fillId="3" borderId="8" xfId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908"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170" formatCode="&quot;US$&quot;#,##0"/>
    </dxf>
    <dxf>
      <numFmt numFmtId="0" formatCode="General"/>
    </dxf>
    <dxf>
      <numFmt numFmtId="170" formatCode="&quot;US$&quot;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owerPivotData" Target="model/item.data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7.xml"/><Relationship Id="rId34" Type="http://schemas.openxmlformats.org/officeDocument/2006/relationships/customXml" Target="../customXml/item20.xml"/><Relationship Id="rId7" Type="http://schemas.openxmlformats.org/officeDocument/2006/relationships/pivotCacheDefinition" Target="pivotCache/pivotCacheDefinition2.xml"/><Relationship Id="rId12" Type="http://schemas.openxmlformats.org/officeDocument/2006/relationships/sheetMetadata" Target="metadata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33" Type="http://schemas.openxmlformats.org/officeDocument/2006/relationships/customXml" Target="../customXml/item19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29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0.xml"/><Relationship Id="rId32" Type="http://schemas.openxmlformats.org/officeDocument/2006/relationships/customXml" Target="../customXml/item18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10" Type="http://schemas.openxmlformats.org/officeDocument/2006/relationships/styles" Target="styles.xml"/><Relationship Id="rId19" Type="http://schemas.openxmlformats.org/officeDocument/2006/relationships/customXml" Target="../customXml/item5.xml"/><Relationship Id="rId31" Type="http://schemas.openxmlformats.org/officeDocument/2006/relationships/customXml" Target="../customXml/item17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alcChain" Target="calcChain.xml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Relationship Id="rId8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[laptop_analysis.xlsx]Median_Price_Analysis!price_analysis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Which</a:t>
            </a:r>
            <a:r>
              <a:rPr lang="en-US" baseline="0"/>
              <a:t> Brand has the highest median price for laptop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M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M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M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M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Median_Price_Analysis!$B$1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FM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Median_Price_Analysis!$A$2:$A$21</c:f>
              <c:strCache>
                <c:ptCount val="19"/>
                <c:pt idx="0">
                  <c:v>Vero</c:v>
                </c:pt>
                <c:pt idx="1">
                  <c:v>Chuwi</c:v>
                </c:pt>
                <c:pt idx="2">
                  <c:v>Mediacom</c:v>
                </c:pt>
                <c:pt idx="3">
                  <c:v>Acer</c:v>
                </c:pt>
                <c:pt idx="4">
                  <c:v>Fujitsu</c:v>
                </c:pt>
                <c:pt idx="5">
                  <c:v>Lenovo</c:v>
                </c:pt>
                <c:pt idx="6">
                  <c:v>HP</c:v>
                </c:pt>
                <c:pt idx="7">
                  <c:v>Dell</c:v>
                </c:pt>
                <c:pt idx="8">
                  <c:v>Asus</c:v>
                </c:pt>
                <c:pt idx="9">
                  <c:v>Xiaomi</c:v>
                </c:pt>
                <c:pt idx="10">
                  <c:v>Toshiba</c:v>
                </c:pt>
                <c:pt idx="11">
                  <c:v>Apple</c:v>
                </c:pt>
                <c:pt idx="12">
                  <c:v>Huawei</c:v>
                </c:pt>
                <c:pt idx="13">
                  <c:v>Google</c:v>
                </c:pt>
                <c:pt idx="14">
                  <c:v>Microsoft</c:v>
                </c:pt>
                <c:pt idx="15">
                  <c:v>MSI</c:v>
                </c:pt>
                <c:pt idx="16">
                  <c:v>Samsung</c:v>
                </c:pt>
                <c:pt idx="17">
                  <c:v>LG</c:v>
                </c:pt>
                <c:pt idx="18">
                  <c:v>Razer</c:v>
                </c:pt>
              </c:strCache>
            </c:strRef>
          </c:cat>
          <c:val>
            <c:numRef>
              <c:f>Median_Price_Analysis!$B$2:$B$21</c:f>
              <c:numCache>
                <c:formatCode>"US$"#,##0</c:formatCode>
                <c:ptCount val="19"/>
                <c:pt idx="0">
                  <c:v>206.85000000000002</c:v>
                </c:pt>
                <c:pt idx="1">
                  <c:v>248.9</c:v>
                </c:pt>
                <c:pt idx="2">
                  <c:v>265</c:v>
                </c:pt>
                <c:pt idx="3">
                  <c:v>572</c:v>
                </c:pt>
                <c:pt idx="4">
                  <c:v>739</c:v>
                </c:pt>
                <c:pt idx="5">
                  <c:v>899</c:v>
                </c:pt>
                <c:pt idx="6">
                  <c:v>979</c:v>
                </c:pt>
                <c:pt idx="7">
                  <c:v>999</c:v>
                </c:pt>
                <c:pt idx="8">
                  <c:v>1049.45</c:v>
                </c:pt>
                <c:pt idx="9">
                  <c:v>1099.45</c:v>
                </c:pt>
                <c:pt idx="10">
                  <c:v>1211.5</c:v>
                </c:pt>
                <c:pt idx="11">
                  <c:v>1339.69</c:v>
                </c:pt>
                <c:pt idx="12">
                  <c:v>1424</c:v>
                </c:pt>
                <c:pt idx="13">
                  <c:v>1559</c:v>
                </c:pt>
                <c:pt idx="14">
                  <c:v>1569.5</c:v>
                </c:pt>
                <c:pt idx="15">
                  <c:v>1599</c:v>
                </c:pt>
                <c:pt idx="16">
                  <c:v>1649</c:v>
                </c:pt>
                <c:pt idx="17">
                  <c:v>2099</c:v>
                </c:pt>
                <c:pt idx="18">
                  <c:v>2899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F7-4C73-8F59-DBDB70CCA7C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607091584"/>
        <c:axId val="607083904"/>
      </c:barChart>
      <c:catAx>
        <c:axId val="6070915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Company</a:t>
                </a:r>
                <a:r>
                  <a:rPr lang="en-MY" baseline="0"/>
                  <a:t> Brand</a:t>
                </a:r>
                <a:endParaRPr lang="en-M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M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083904"/>
        <c:crosses val="autoZero"/>
        <c:auto val="1"/>
        <c:lblAlgn val="ctr"/>
        <c:lblOffset val="100"/>
        <c:noMultiLvlLbl val="0"/>
      </c:catAx>
      <c:valAx>
        <c:axId val="607083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Price</a:t>
                </a:r>
                <a:r>
                  <a:rPr lang="en-MY" baseline="0"/>
                  <a:t> ($)</a:t>
                </a:r>
                <a:endParaRPr lang="en-M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MY"/>
            </a:p>
          </c:txPr>
        </c:title>
        <c:numFmt formatCode="&quot;US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091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276225</xdr:colOff>
      <xdr:row>10</xdr:row>
      <xdr:rowOff>19050</xdr:rowOff>
    </xdr:from>
    <xdr:to>
      <xdr:col>14</xdr:col>
      <xdr:colOff>419100</xdr:colOff>
      <xdr:row>44</xdr:row>
      <xdr:rowOff>66675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A3990F6-3A0A-472A-8647-D9B0AA4B99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hai Foong" refreshedDate="46048.474278009257" backgroundQuery="1" createdVersion="8" refreshedVersion="8" minRefreshableVersion="3" recordCount="0" supportSubquery="1" supportAdvancedDrill="1" xr:uid="{4F9AB9DF-2358-449C-888B-FF0086564A8A}">
  <cacheSource type="external" connectionId="3"/>
  <cacheFields count="2">
    <cacheField name="[laptop].[Company].[Company]" caption="Company" numFmtId="0" level="1">
      <sharedItems count="19">
        <s v="Acer"/>
        <s v="Apple"/>
        <s v="Asus"/>
        <s v="Chuwi"/>
        <s v="Dell"/>
        <s v="Fujitsu"/>
        <s v="Google"/>
        <s v="HP"/>
        <s v="Huawei"/>
        <s v="Lenovo"/>
        <s v="LG"/>
        <s v="Mediacom"/>
        <s v="Microsoft"/>
        <s v="MSI"/>
        <s v="Razer"/>
        <s v="Samsung"/>
        <s v="Toshiba"/>
        <s v="Vero"/>
        <s v="Xiaomi"/>
      </sharedItems>
    </cacheField>
    <cacheField name="[Measures].[Median for price]" caption="Median for price" numFmtId="0" hierarchy="32" level="32767"/>
  </cacheFields>
  <cacheHierarchies count="35">
    <cacheHierarchy uniqueName="[laptop].[Company]" caption="Company" attribute="1" defaultMemberUniqueName="[laptop].[Company].[All]" allUniqueName="[laptop].[Company].[All]" dimensionUniqueName="[laptop]" displayFolder="" count="2" memberValueDatatype="130" unbalanced="0">
      <fieldsUsage count="2">
        <fieldUsage x="-1"/>
        <fieldUsage x="0"/>
      </fieldsUsage>
    </cacheHierarchy>
    <cacheHierarchy uniqueName="[laptop].[Product]" caption="Product" attribute="1" defaultMemberUniqueName="[laptop].[Product].[All]" allUniqueName="[laptop].[Product].[All]" dimensionUniqueName="[laptop]" displayFolder="" count="0" memberValueDatatype="130" unbalanced="0"/>
    <cacheHierarchy uniqueName="[laptop].[TypeName]" caption="TypeName" attribute="1" defaultMemberUniqueName="[laptop].[TypeName].[All]" allUniqueName="[laptop].[TypeName].[All]" dimensionUniqueName="[laptop]" displayFolder="" count="0" memberValueDatatype="130" unbalanced="0"/>
    <cacheHierarchy uniqueName="[laptop].[Inches]" caption="Inches" attribute="1" defaultMemberUniqueName="[laptop].[Inches].[All]" allUniqueName="[laptop].[Inches].[All]" dimensionUniqueName="[laptop]" displayFolder="" count="0" memberValueDatatype="5" unbalanced="0"/>
    <cacheHierarchy uniqueName="[laptop].[Ram]" caption="Ram" attribute="1" defaultMemberUniqueName="[laptop].[Ram].[All]" allUniqueName="[laptop].[Ram].[All]" dimensionUniqueName="[laptop]" displayFolder="" count="0" memberValueDatatype="20" unbalanced="0"/>
    <cacheHierarchy uniqueName="[laptop].[OS]" caption="OS" attribute="1" defaultMemberUniqueName="[laptop].[OS].[All]" allUniqueName="[laptop].[OS].[All]" dimensionUniqueName="[laptop]" displayFolder="" count="0" memberValueDatatype="130" unbalanced="0"/>
    <cacheHierarchy uniqueName="[laptop].[Weight]" caption="Weight" attribute="1" defaultMemberUniqueName="[laptop].[Weight].[All]" allUniqueName="[laptop].[Weight].[All]" dimensionUniqueName="[laptop]" displayFolder="" count="0" memberValueDatatype="5" unbalanced="0"/>
    <cacheHierarchy uniqueName="[laptop].[Price_euros]" caption="Price_euros" attribute="1" defaultMemberUniqueName="[laptop].[Price_euros].[All]" allUniqueName="[laptop].[Price_euros].[All]" dimensionUniqueName="[laptop]" displayFolder="" count="0" memberValueDatatype="5" unbalanced="0"/>
    <cacheHierarchy uniqueName="[laptop].[Screen]" caption="Screen" attribute="1" defaultMemberUniqueName="[laptop].[Screen].[All]" allUniqueName="[laptop].[Screen].[All]" dimensionUniqueName="[laptop]" displayFolder="" count="0" memberValueDatatype="130" unbalanced="0"/>
    <cacheHierarchy uniqueName="[laptop].[ScreenW]" caption="ScreenW" attribute="1" defaultMemberUniqueName="[laptop].[ScreenW].[All]" allUniqueName="[laptop].[ScreenW].[All]" dimensionUniqueName="[laptop]" displayFolder="" count="0" memberValueDatatype="20" unbalanced="0"/>
    <cacheHierarchy uniqueName="[laptop].[ScreenH]" caption="ScreenH" attribute="1" defaultMemberUniqueName="[laptop].[ScreenH].[All]" allUniqueName="[laptop].[ScreenH].[All]" dimensionUniqueName="[laptop]" displayFolder="" count="0" memberValueDatatype="20" unbalanced="0"/>
    <cacheHierarchy uniqueName="[laptop].[Touchscreen]" caption="Touchscreen" attribute="1" defaultMemberUniqueName="[laptop].[Touchscreen].[All]" allUniqueName="[laptop].[Touchscreen].[All]" dimensionUniqueName="[laptop]" displayFolder="" count="0" memberValueDatatype="130" unbalanced="0"/>
    <cacheHierarchy uniqueName="[laptop].[IPSpanel]" caption="IPSpanel" attribute="1" defaultMemberUniqueName="[laptop].[IPSpanel].[All]" allUniqueName="[laptop].[IPSpanel].[All]" dimensionUniqueName="[laptop]" displayFolder="" count="0" memberValueDatatype="130" unbalanced="0"/>
    <cacheHierarchy uniqueName="[laptop].[RetinaDisplay]" caption="RetinaDisplay" attribute="1" defaultMemberUniqueName="[laptop].[RetinaDisplay].[All]" allUniqueName="[laptop].[RetinaDisplay].[All]" dimensionUniqueName="[laptop]" displayFolder="" count="0" memberValueDatatype="130" unbalanced="0"/>
    <cacheHierarchy uniqueName="[laptop].[CPU_company]" caption="CPU_company" attribute="1" defaultMemberUniqueName="[laptop].[CPU_company].[All]" allUniqueName="[laptop].[CPU_company].[All]" dimensionUniqueName="[laptop]" displayFolder="" count="0" memberValueDatatype="130" unbalanced="0"/>
    <cacheHierarchy uniqueName="[laptop].[CPU_freq]" caption="CPU_freq" attribute="1" defaultMemberUniqueName="[laptop].[CPU_freq].[All]" allUniqueName="[laptop].[CPU_freq].[All]" dimensionUniqueName="[laptop]" displayFolder="" count="0" memberValueDatatype="5" unbalanced="0"/>
    <cacheHierarchy uniqueName="[laptop].[CPU_model]" caption="CPU_model" attribute="1" defaultMemberUniqueName="[laptop].[CPU_model].[All]" allUniqueName="[laptop].[CPU_model].[All]" dimensionUniqueName="[laptop]" displayFolder="" count="0" memberValueDatatype="130" unbalanced="0"/>
    <cacheHierarchy uniqueName="[laptop].[CPU_Combined]" caption="CPU_Combined" attribute="1" defaultMemberUniqueName="[laptop].[CPU_Combined].[All]" allUniqueName="[laptop].[CPU_Combined].[All]" dimensionUniqueName="[laptop]" displayFolder="" count="0" memberValueDatatype="130" unbalanced="0"/>
    <cacheHierarchy uniqueName="[laptop].[PrimaryStorage]" caption="PrimaryStorage" attribute="1" defaultMemberUniqueName="[laptop].[PrimaryStorage].[All]" allUniqueName="[laptop].[PrimaryStorage].[All]" dimensionUniqueName="[laptop]" displayFolder="" count="0" memberValueDatatype="20" unbalanced="0"/>
    <cacheHierarchy uniqueName="[laptop].[SecondaryStorage]" caption="SecondaryStorage" attribute="1" defaultMemberUniqueName="[laptop].[SecondaryStorage].[All]" allUniqueName="[laptop].[SecondaryStorage].[All]" dimensionUniqueName="[laptop]" displayFolder="" count="0" memberValueDatatype="20" unbalanced="0"/>
    <cacheHierarchy uniqueName="[laptop].[Total_Storage]" caption="Total_Storage" attribute="1" defaultMemberUniqueName="[laptop].[Total_Storage].[All]" allUniqueName="[laptop].[Total_Storage].[All]" dimensionUniqueName="[laptop]" displayFolder="" count="0" memberValueDatatype="20" unbalanced="0"/>
    <cacheHierarchy uniqueName="[laptop].[PrimaryStorageType]" caption="PrimaryStorageType" attribute="1" defaultMemberUniqueName="[laptop].[PrimaryStorageType].[All]" allUniqueName="[laptop].[PrimaryStorageType].[All]" dimensionUniqueName="[laptop]" displayFolder="" count="0" memberValueDatatype="130" unbalanced="0"/>
    <cacheHierarchy uniqueName="[laptop].[SecondaryStorageType]" caption="SecondaryStorageType" attribute="1" defaultMemberUniqueName="[laptop].[SecondaryStorageType].[All]" allUniqueName="[laptop].[SecondaryStorageType].[All]" dimensionUniqueName="[laptop]" displayFolder="" count="0" memberValueDatatype="130" unbalanced="0"/>
    <cacheHierarchy uniqueName="[laptop].[Storage_Type_Combined]" caption="Storage_Type_Combined" attribute="1" defaultMemberUniqueName="[laptop].[Storage_Type_Combined].[All]" allUniqueName="[laptop].[Storage_Type_Combined].[All]" dimensionUniqueName="[laptop]" displayFolder="" count="0" memberValueDatatype="130" unbalanced="0"/>
    <cacheHierarchy uniqueName="[laptop].[GPU_model]" caption="GPU_model" attribute="1" defaultMemberUniqueName="[laptop].[GPU_model].[All]" allUniqueName="[laptop].[GPU_model].[All]" dimensionUniqueName="[laptop]" displayFolder="" count="0" memberValueDatatype="130" unbalanced="0"/>
    <cacheHierarchy uniqueName="[laptop].[GPU_Combined]" caption="GPU_Combined" attribute="1" defaultMemberUniqueName="[laptop].[GPU_Combined].[All]" allUniqueName="[laptop].[GPU_Combined].[All]" dimensionUniqueName="[laptop]" displayFolder="" count="0" memberValueDatatype="130" unbalanced="0"/>
    <cacheHierarchy uniqueName="[Measures].[Count of CPU_model]" caption="Count of CPU_model" measure="1" displayFolder="" measureGroup="laptop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Distinct Count of CPU_model]" caption="Distinct Count of CPU_model" measure="1" displayFolder="" measureGroup="laptop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Company]" caption="Count of Company" measure="1" displayFolder="" measureGroup="laptop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PU_Combined]" caption="Count of CPU_Combined" measure="1" displayFolder="" measureGroup="laptop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GPU_model]" caption="Count of GPU_model" measure="1" displayFolder="" measureGroup="laptop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GPU_Combined]" caption="Count of GPU_Combined" measure="1" displayFolder="" measureGroup="laptop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Median for price]" caption="Median for price" measure="1" displayFolder="" measureGroup="laptop" count="0" oneField="1">
      <fieldsUsage count="1">
        <fieldUsage x="1"/>
      </fieldsUsage>
    </cacheHierarchy>
    <cacheHierarchy uniqueName="[Measures].[__XL_Count laptop]" caption="__XL_Count laptop" measure="1" displayFolder="" measureGroup="laptop" count="0" hidden="1"/>
    <cacheHierarchy uniqueName="[Measures].[__No measures defined]" caption="__No measures defined" measure="1" displayFolder="" count="0" hidden="1"/>
  </cacheHierarchies>
  <kpis count="0"/>
  <dimensions count="2">
    <dimension name="laptop" uniqueName="[laptop]" caption="laptop"/>
    <dimension measure="1" name="Measures" uniqueName="[Measures]" caption="Measures"/>
  </dimensions>
  <measureGroups count="1">
    <measureGroup name="laptop" caption="laptop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hai Foong" refreshedDate="46048.53914872685" backgroundQuery="1" createdVersion="8" refreshedVersion="8" minRefreshableVersion="3" recordCount="0" supportSubquery="1" supportAdvancedDrill="1" xr:uid="{72A21E4E-7D69-4ABF-BBD2-66BBBD0501DB}">
  <cacheSource type="external" connectionId="3"/>
  <cacheFields count="4">
    <cacheField name="[laptop].[Company].[Company]" caption="Company" numFmtId="0" level="1">
      <sharedItems count="19">
        <s v="Acer"/>
        <s v="Apple"/>
        <s v="Asus"/>
        <s v="Chuwi"/>
        <s v="Dell"/>
        <s v="Fujitsu"/>
        <s v="Google"/>
        <s v="HP"/>
        <s v="Huawei"/>
        <s v="Lenovo"/>
        <s v="LG"/>
        <s v="Mediacom"/>
        <s v="Microsoft"/>
        <s v="MSI"/>
        <s v="Razer"/>
        <s v="Samsung"/>
        <s v="Toshiba"/>
        <s v="Vero"/>
        <s v="Xiaomi"/>
      </sharedItems>
    </cacheField>
    <cacheField name="[laptop].[GPU_Combined].[GPU_Combined]" caption="GPU_Combined" numFmtId="0" hierarchy="25" level="1">
      <sharedItems count="112">
        <s v="AMD Radeon RX 540"/>
        <s v="AMD Radeon R5"/>
        <s v="Intel HD Graphics"/>
        <s v="Intel HD Graphics 510"/>
        <s v="Intel HD Graphics 400"/>
        <s v="Intel HD Graphics 500"/>
        <s v="Intel GeForce 940MX"/>
        <s v="Intel GeForce GTX 940MX"/>
        <s v="Intel HD Graphics 520"/>
        <s v="Intel HD Graphics 620"/>
        <s v="Intel GeForce MX130"/>
        <s v="Intel GeForce GTX 950M"/>
        <s v="Intel Graphics 620"/>
        <s v="Intel GeForce GTX 1050"/>
        <s v="Intel GeForce GTX 1050 Ti"/>
        <s v="Intel HD Graphics 615"/>
        <s v="Intel GeForce MX150"/>
        <s v="Intel UHD Graphics 620"/>
        <s v="Intel GeForce GTX 1060"/>
        <s v="Intel GeForce GTX 1070"/>
        <s v="Intel HD Graphics 405"/>
        <s v="Intel HD Graphics 505"/>
        <s v="Intel HD Graphics 6000"/>
        <s v="Intel Iris Graphics 540"/>
        <s v="Intel Iris Graphics 550"/>
        <s v="Intel Iris Plus Graphics 640"/>
        <s v="Intel Iris Plus Graphics 650"/>
        <s v="Intel Iris Pro Graphics"/>
        <s v="Intel Radeon Pro 455"/>
        <s v="Intel Radeon Pro 555"/>
        <s v="Intel Radeon Pro 560"/>
        <s v="Intel HD Graphics 515"/>
        <s v="Intel HD Graphics 5300"/>
        <s v="AMD Radeon R5 M430"/>
        <s v="AMD Radeon R5 M420"/>
        <s v="AMD Radeon R2"/>
        <s v="AMD Radeon R2 Graphics"/>
        <s v="AMD Radeon RX 560"/>
        <s v="AMD Radeon RX 580"/>
        <s v="Intel GeForce 920MX"/>
        <s v="Intel GeForce 920M"/>
        <s v="Intel GeForce 940M"/>
        <s v="Intel GeForce 920"/>
        <s v="Intel GeForce GTX 960M"/>
        <s v="Intel GeForce GTX 965M"/>
        <s v="Intel GeForce GTX 970M"/>
        <s v="Intel GeForce GTX 980M"/>
        <s v="Intel HD Graphics 530"/>
        <s v="Intel GeForce GTX 1080"/>
        <s v="Intel GeForce GTX 980"/>
        <s v="Intel GeForce GT 940MX"/>
        <s v="Intel GeForce GTX 930MX"/>
        <s v="Intel GeForce GTX1050 Ti"/>
        <s v="Intel GeForce GTX1060"/>
        <s v="Intel GeForce GTX1080"/>
        <s v="Intel GeForce 150MX"/>
        <s v="Intel Radeon R5 M420"/>
        <s v="Intel Radeon R5 M420X"/>
        <s v="Intel Radeon R5 M430"/>
        <s v="Intel Radeon R7 M440"/>
        <s v="Intel Radeon R7 M445"/>
        <s v="Intel Radeon R5 M315"/>
        <s v="Intel GeForce 960M"/>
        <s v="Intel FirePro W5130M"/>
        <s v="Intel GeForce 930MX"/>
        <s v="Intel Radeon 520"/>
        <s v="Intel Radeon 530"/>
        <s v="Intel GeForce GTX 960&lt;U+039C&gt;"/>
        <s v="Intel Quadro M1200"/>
        <s v="Intel Quadro M620"/>
        <s v="Intel GeForce GTX 1050Ti"/>
        <s v="Intel GeForce GTX 1070M"/>
        <s v="AMD Radeon R7 M440"/>
        <s v="AMD Radeon 530"/>
        <s v="AMD Radeon R7 Graphics"/>
        <s v="AMD Radeon R4"/>
        <s v="AMD Radeon R4 Graphics"/>
        <s v="AMD Radeon 520"/>
        <s v="Intel Radeon R5 520"/>
        <s v="Intel FirePro W4190M"/>
        <s v="Intel Radeon R7 M465"/>
        <s v="Intel Radeon R5 M330"/>
        <s v="Intel Radeon R7 M365X"/>
        <s v="Intel FirePro W6150M"/>
        <s v="Intel Quadro M1000M"/>
        <s v="Intel Quadro M3000M"/>
        <s v="Intel Quadro M2200"/>
        <s v="Intel Radeon RX 580"/>
        <s v="Intel HD Graphics 630"/>
        <s v="Intel Quadro M2000M"/>
        <s v="AMD Radeon R5 430"/>
        <s v="AMD Radeon R7"/>
        <s v="AMD Radeon R3"/>
        <s v="AMD R4 Graphics"/>
        <s v="AMD Radeon R9 M385"/>
        <s v="Intel HD Graphics 540"/>
        <s v="Intel GeForce GTX 940M"/>
        <s v="Intel R17M-M1-70"/>
        <s v="Intel Radeon R7 M460"/>
        <s v="Intel Radeon RX 550"/>
        <s v="Intel Quadro M520M"/>
        <s v="Intel Radeon R7 M360"/>
        <s v="Intel Quadro M500M"/>
        <s v="Intel GeForce GTX 960"/>
        <s v="Intel Quadro 3000M"/>
        <s v="Intel GeForce GTX 1050M"/>
        <s v="Intel Quadro M620M"/>
        <s v="Intel Quadro M2200M"/>
        <s v="Intel GTX 980 SLI"/>
        <s v="Intel Radeon 540"/>
        <s v="Samsung Mali T860 MP4"/>
        <s v="Intel GeForce 930M"/>
      </sharedItems>
    </cacheField>
    <cacheField name="[laptop].[CPU_Combined].[CPU_Combined]" caption="CPU_Combined" numFmtId="0" hierarchy="17" level="1">
      <sharedItems count="91">
        <s v="AMD A10-Series 9620P"/>
        <s v="AMD A12-Series 9720P"/>
        <s v="AMD A8-Series 7410"/>
        <s v="AMD A9-Series 9420"/>
        <s v="Intel Celeron Dual Core 3205U"/>
        <s v="Intel Celeron Dual Core 3855U"/>
        <s v="Intel Celeron Dual Core N3050"/>
        <s v="Intel Celeron Dual Core N3060"/>
        <s v="Intel Celeron Dual Core N3350"/>
        <s v="Intel Celeron Quad Core N3160"/>
        <s v="Intel Celeron Quad Core N3450"/>
        <s v="Intel Core i3 6006U"/>
        <s v="Intel Core i3 7100U"/>
        <s v="Intel Core i3 7130U"/>
        <s v="Intel Core i5 6200U"/>
        <s v="Intel Core i5 7200U"/>
        <s v="Intel Core i5 7300HQ"/>
        <s v="Intel Core i5 7Y54"/>
        <s v="Intel Core i5 8250U"/>
        <s v="Intel Core i7 6500U"/>
        <s v="Intel Core i7 6700HQ"/>
        <s v="Intel Core i7 7500U"/>
        <s v="Intel Core i7 7700HQ"/>
        <s v="Intel Core i7 7Y75"/>
        <s v="Intel Core i7 8550U"/>
        <s v="Intel Pentium Quad Core N3710"/>
        <s v="Intel Pentium Quad Core N4200"/>
        <s v="Intel Core i5"/>
        <s v="Intel Core i7"/>
        <s v="Intel Core M"/>
        <s v="Intel Core M m3"/>
        <s v="AMD A10-Series A10-9620P"/>
        <s v="AMD E-Series 6110"/>
        <s v="AMD E-Series 7110"/>
        <s v="AMD E-Series E2-6110"/>
        <s v="AMD FX 9830P"/>
        <s v="AMD Ryzen 1600"/>
        <s v="AMD Ryzen 1700"/>
        <s v="Intel Atom x5-Z8350"/>
        <s v="Intel Core i5 6300HQ"/>
        <s v="Intel Core i7 6820HK"/>
        <s v="Intel Core i7 7820HK"/>
        <s v="Intel Core M 6Y30"/>
        <s v="Intel Core M M3-6Y30"/>
        <s v="Intel Core M m7-6Y75"/>
        <s v="Intel Pentium Dual Core N4200"/>
        <s v="Intel Atom x5-Z8300"/>
        <s v="Intel Core i3 6100U"/>
        <s v="Intel Core i5 6300U"/>
        <s v="Intel Core i5 6440HQ"/>
        <s v="Intel Core i5 7300U"/>
        <s v="Intel Core i5 7440HQ"/>
        <s v="Intel Core i7 6600U"/>
        <s v="Intel Core i7 6820HQ"/>
        <s v="Intel Core i7 7560U"/>
        <s v="Intel Core i7 7600U"/>
        <s v="Intel Core i7 7660U"/>
        <s v="Intel Core i7 7820HQ"/>
        <s v="Intel Core i7 8650U"/>
        <s v="Intel Core M 7Y30"/>
        <s v="Intel Pentium Quad Core N3700"/>
        <s v="Intel Xeon E3-1505M V6"/>
        <s v="Intel Core i5 7Y57"/>
        <s v="AMD A10-Series 9600P"/>
        <s v="AMD A12-Series 9700P"/>
        <s v="AMD A6-Series 9220"/>
        <s v="AMD A6-Series A6-9220"/>
        <s v="AMD A9-Series 9410"/>
        <s v="AMD A9-Series A9-9420"/>
        <s v="AMD E-Series 9000e"/>
        <s v="AMD E-Series E2-9000e"/>
        <s v="Intel Core i5 7500U"/>
        <s v="Intel Core M 6Y54"/>
        <s v="Intel Core M 6Y75"/>
        <s v="Intel Pentium Dual Core 4405Y"/>
        <s v="Intel Xeon E3-1535M v5"/>
        <s v="AMD A4-Series 7210"/>
        <s v="AMD A6-Series 7310"/>
        <s v="AMD E-Series 9000"/>
        <s v="AMD E-Series E2-9000"/>
        <s v="AMD FX 8800P"/>
        <s v="Intel Atom x5-Z8550"/>
        <s v="Intel Celeron Quad Core N3710"/>
        <s v="Intel Core i5 6260U"/>
        <s v="Intel Core i7 6560U"/>
        <s v="Intel Xeon E3-1535M v6"/>
        <s v="Intel Atom Z8350"/>
        <s v="Intel Core M m3-7Y30"/>
        <s v="Intel Core i7 6920HQ"/>
        <s v="Samsung Cortex A72&amp;A53"/>
        <s v="Intel Pentium Dual Core 4405U"/>
      </sharedItems>
    </cacheField>
    <cacheField name="[laptop].[Price_euros].[Price_euros]" caption="Price_euros" numFmtId="0" hierarchy="7" level="1">
      <sharedItems containsSemiMixedTypes="0" containsString="0" containsNumber="1" minValue="174" maxValue="6099" count="791">
        <n v="579"/>
        <n v="659"/>
        <n v="387"/>
        <n v="449"/>
        <n v="469"/>
        <n v="395"/>
        <n v="400"/>
        <n v="409"/>
        <n v="426"/>
        <n v="451"/>
        <n v="174"/>
        <n v="199"/>
        <n v="209"/>
        <n v="359"/>
        <n v="375"/>
        <n v="269"/>
        <n v="289"/>
        <n v="297"/>
        <n v="330"/>
        <n v="349"/>
        <n v="355"/>
        <n v="389"/>
        <n v="435"/>
        <n v="272"/>
        <n v="333"/>
        <n v="348"/>
        <n v="379"/>
        <n v="329"/>
        <n v="544"/>
        <n v="598"/>
        <n v="629"/>
        <n v="361.8"/>
        <n v="390"/>
        <n v="410.8"/>
        <n v="412"/>
        <n v="447"/>
        <n v="450"/>
        <n v="384"/>
        <n v="479"/>
        <n v="499"/>
        <n v="619"/>
        <n v="636"/>
        <n v="530"/>
        <n v="572"/>
        <n v="655"/>
        <n v="702"/>
        <n v="367"/>
        <n v="689"/>
        <n v="616"/>
        <n v="691"/>
        <n v="799"/>
        <n v="1009"/>
        <n v="919"/>
        <n v="441.8"/>
        <n v="549"/>
        <n v="559"/>
        <n v="599"/>
        <n v="902"/>
        <n v="709"/>
        <n v="798"/>
        <n v="846"/>
        <n v="1299"/>
        <n v="989"/>
        <n v="693.99"/>
        <n v="613"/>
        <n v="805"/>
        <n v="854"/>
        <n v="682"/>
        <n v="770"/>
        <n v="847"/>
        <n v="999"/>
        <n v="789.01"/>
        <n v="1935"/>
        <n v="639"/>
        <n v="742"/>
        <n v="832"/>
        <n v="779"/>
        <n v="879"/>
        <n v="1260"/>
        <n v="979"/>
        <n v="2299"/>
        <n v="2599"/>
        <n v="1149"/>
        <n v="745"/>
        <n v="841"/>
        <n v="951"/>
        <n v="884"/>
        <n v="485"/>
        <n v="298"/>
        <n v="363.51"/>
        <n v="380"/>
        <n v="898.94"/>
        <n v="959"/>
        <n v="998"/>
        <n v="1099"/>
        <n v="1158.7"/>
        <n v="1510"/>
        <n v="1419"/>
        <n v="1958.9"/>
        <n v="1339.69"/>
        <n v="1518.55"/>
        <n v="1803.6"/>
        <n v="2040"/>
        <n v="2139.9699999999998"/>
        <n v="2537.4499999999998"/>
        <n v="2439.9699999999998"/>
        <n v="2858"/>
        <n v="1279"/>
        <n v="1300"/>
        <n v="1163"/>
        <n v="1165"/>
        <n v="1262.4000000000001"/>
        <n v="575"/>
        <n v="403"/>
        <n v="277.99"/>
        <n v="699"/>
        <n v="1695"/>
        <n v="1549"/>
        <n v="2199"/>
        <n v="191.9"/>
        <n v="369"/>
        <n v="287.89999999999998"/>
        <n v="224"/>
        <n v="245"/>
        <n v="274.99"/>
        <n v="275"/>
        <n v="278"/>
        <n v="286"/>
        <n v="299"/>
        <n v="339"/>
        <n v="340"/>
        <n v="344"/>
        <n v="399"/>
        <n v="419"/>
        <n v="564"/>
        <n v="415"/>
        <n v="577"/>
        <n v="597"/>
        <n v="398.99"/>
        <n v="509"/>
        <n v="769"/>
        <n v="1026"/>
        <n v="519"/>
        <n v="522.99"/>
        <n v="977"/>
        <n v="891"/>
        <n v="739"/>
        <n v="586.19000000000005"/>
        <n v="590"/>
        <n v="639.01"/>
        <n v="749"/>
        <n v="928"/>
        <n v="945"/>
        <n v="1129"/>
        <n v="1135"/>
        <n v="1150"/>
        <n v="1358"/>
        <n v="839"/>
        <n v="906.62"/>
        <n v="938"/>
        <n v="1369.9"/>
        <n v="1649"/>
        <n v="1770"/>
        <n v="1315"/>
        <n v="941"/>
        <n v="720.32"/>
        <n v="1280"/>
        <n v="1169"/>
        <n v="1799"/>
        <n v="2325"/>
        <n v="2350"/>
        <n v="909"/>
        <n v="1312.49"/>
        <n v="1339"/>
        <n v="1269"/>
        <n v="1900"/>
        <n v="2150"/>
        <n v="2799"/>
        <n v="3975"/>
        <n v="1049.9000000000001"/>
        <n v="1193"/>
        <n v="1468"/>
        <n v="787"/>
        <n v="889"/>
        <n v="849.9"/>
        <n v="1049"/>
        <n v="1094"/>
        <n v="1224"/>
        <n v="1334"/>
        <n v="1748.9"/>
        <n v="1873"/>
        <n v="1950"/>
        <n v="949"/>
        <n v="1039"/>
        <n v="1168"/>
        <n v="1187"/>
        <n v="1350"/>
        <n v="1407"/>
        <n v="1529"/>
        <n v="1265"/>
        <n v="1591"/>
        <n v="1600"/>
        <n v="1749"/>
        <n v="1983"/>
        <n v="1449"/>
        <n v="1599"/>
        <n v="1655"/>
        <n v="1899"/>
        <n v="1949"/>
        <n v="2049.9"/>
        <n v="2122"/>
        <n v="2419"/>
        <n v="2449"/>
        <n v="1504"/>
        <n v="2968"/>
        <n v="2999"/>
        <n v="3890"/>
        <n v="1145"/>
        <n v="1118"/>
        <n v="1262"/>
        <n v="1495"/>
        <n v="1499"/>
        <n v="729"/>
        <n v="669"/>
        <n v="1159"/>
        <n v="581.9"/>
        <n v="309"/>
        <n v="466"/>
        <n v="470.34"/>
        <n v="304"/>
        <n v="244.99"/>
        <n v="248.9"/>
        <n v="274.89999999999998"/>
        <n v="295"/>
        <n v="418.64"/>
        <n v="443.9"/>
        <n v="490"/>
        <n v="558.6"/>
        <n v="585"/>
        <n v="665"/>
        <n v="735.87"/>
        <n v="849"/>
        <n v="465"/>
        <n v="617.9"/>
        <n v="455.7"/>
        <n v="614"/>
        <n v="428"/>
        <n v="465.62"/>
        <n v="498.9"/>
        <n v="545.66999999999996"/>
        <n v="481.98"/>
        <n v="740"/>
        <n v="795.99"/>
        <n v="1135.1500000000001"/>
        <n v="1166.97"/>
        <n v="439"/>
        <n v="459"/>
        <n v="469.01"/>
        <n v="547"/>
        <n v="586.6"/>
        <n v="649"/>
        <n v="523.63"/>
        <n v="729.9"/>
        <n v="737"/>
        <n v="755"/>
        <n v="1413.1"/>
        <n v="769.15"/>
        <n v="2250.6799999999998"/>
        <n v="1046.44"/>
        <n v="1062.95"/>
        <n v="1229"/>
        <n v="1713.37"/>
        <n v="1369"/>
        <n v="912.5"/>
        <n v="1472.2"/>
        <n v="521.86"/>
        <n v="539.95000000000005"/>
        <n v="557.37"/>
        <n v="657"/>
        <n v="708.06"/>
        <n v="713.99"/>
        <n v="726"/>
        <n v="750"/>
        <n v="795"/>
        <n v="810"/>
        <n v="825"/>
        <n v="836"/>
        <n v="859"/>
        <n v="875"/>
        <n v="899"/>
        <n v="955"/>
        <n v="1116.99"/>
        <n v="1119"/>
        <n v="1126.71"/>
        <n v="1199"/>
        <n v="1624"/>
        <n v="1639"/>
        <n v="1670"/>
        <n v="569"/>
        <n v="684.99"/>
        <n v="789.81"/>
        <n v="565"/>
        <n v="598.9"/>
        <n v="589.52"/>
        <n v="638.79999999999995"/>
        <n v="638.99"/>
        <n v="784"/>
        <n v="819"/>
        <n v="985"/>
        <n v="1195"/>
        <n v="2051"/>
        <n v="869"/>
        <n v="935"/>
        <n v="1008.52"/>
        <n v="1179"/>
        <n v="1279.73"/>
        <n v="1426.66"/>
        <n v="1427"/>
        <n v="1089"/>
        <n v="1205"/>
        <n v="1377"/>
        <n v="1813"/>
        <n v="1142.75"/>
        <n v="647"/>
        <n v="675"/>
        <n v="677.35"/>
        <n v="728"/>
        <n v="663"/>
        <n v="719"/>
        <n v="759"/>
        <n v="776"/>
        <n v="797.41"/>
        <n v="800"/>
        <n v="818.35"/>
        <n v="844"/>
        <n v="1085"/>
        <n v="1096.1600000000001"/>
        <n v="1399"/>
        <n v="1449.9"/>
        <n v="1629"/>
        <n v="1841.85"/>
        <n v="1869"/>
        <n v="798.01"/>
        <n v="1268"/>
        <n v="1962.98"/>
        <n v="2800"/>
        <n v="879.01"/>
        <n v="1329"/>
        <n v="2758"/>
        <n v="2135"/>
        <n v="1975"/>
        <n v="2338"/>
        <n v="1009.9"/>
        <n v="1207"/>
        <n v="895.01"/>
        <n v="961"/>
        <n v="713.07"/>
        <n v="1458"/>
        <n v="1477"/>
        <n v="2254"/>
        <n v="2680"/>
        <n v="599.9"/>
        <n v="749.01"/>
        <n v="805.99"/>
        <n v="778.87"/>
        <n v="859.01"/>
        <n v="865"/>
        <n v="989.99"/>
        <n v="1181.27"/>
        <n v="1379"/>
        <n v="1537.39"/>
        <n v="1680"/>
        <n v="1690"/>
        <n v="1775"/>
        <n v="1859"/>
        <n v="2240"/>
        <n v="1060.49"/>
        <n v="1249.26"/>
        <n v="1820"/>
        <n v="1829"/>
        <n v="2027.42"/>
        <n v="2397"/>
        <n v="2399"/>
        <n v="2639"/>
        <n v="1349"/>
        <n v="1479"/>
        <n v="1498"/>
        <n v="1679"/>
        <n v="929"/>
        <n v="1845"/>
        <n v="2046"/>
        <n v="2456.34"/>
        <n v="2505.02"/>
        <n v="2699"/>
        <n v="2774.63"/>
        <n v="2868.99"/>
        <n v="3012.77"/>
        <n v="3072.89"/>
        <n v="3147.37"/>
        <n v="3149"/>
        <n v="3154"/>
        <n v="3659.4"/>
        <n v="3588.8"/>
        <n v="2408"/>
        <n v="2712"/>
        <n v="1763"/>
        <n v="1778"/>
        <n v="2813.75"/>
        <n v="2884.86"/>
        <n v="2013.1"/>
        <n v="1130.33"/>
        <n v="735.07"/>
        <n v="767.8"/>
        <n v="870"/>
        <n v="931.88"/>
        <n v="970.9"/>
        <n v="1142"/>
        <n v="1142.4000000000001"/>
        <n v="1219.24"/>
        <n v="1396"/>
        <n v="855"/>
        <n v="869.01"/>
        <n v="1285"/>
        <n v="1579"/>
        <n v="2499"/>
        <n v="1298"/>
        <n v="1607.96"/>
        <n v="603"/>
        <n v="393.49"/>
        <n v="443.99"/>
        <n v="324"/>
        <n v="744"/>
        <n v="3055"/>
        <n v="1993"/>
        <n v="1275"/>
        <n v="1559"/>
        <n v="655.01"/>
        <n v="568.9"/>
        <n v="529"/>
        <n v="398"/>
        <n v="398.49"/>
        <n v="478.89"/>
        <n v="445.9"/>
        <n v="549.99"/>
        <n v="489"/>
        <n v="488.99"/>
        <n v="520.9"/>
        <n v="650"/>
        <n v="258"/>
        <n v="229"/>
        <n v="249"/>
        <n v="259"/>
        <n v="279"/>
        <n v="288.89999999999998"/>
        <n v="347"/>
        <n v="385"/>
        <n v="495"/>
        <n v="615"/>
        <n v="344.99"/>
        <n v="345.99"/>
        <n v="364.9"/>
        <n v="397"/>
        <n v="478"/>
        <n v="539"/>
        <n v="544.15"/>
        <n v="639.9"/>
        <n v="438.69"/>
        <n v="705.15"/>
        <n v="716"/>
        <n v="668.48"/>
        <n v="684"/>
        <n v="685"/>
        <n v="705.5"/>
        <n v="769.99"/>
        <n v="476.99"/>
        <n v="910"/>
        <n v="932"/>
        <n v="940"/>
        <n v="1000"/>
        <n v="1030.99"/>
        <n v="1099.99"/>
        <n v="1244"/>
        <n v="1469"/>
        <n v="1513"/>
        <n v="1669"/>
        <n v="1895"/>
        <n v="2103.34"/>
        <n v="1154"/>
        <n v="846.5"/>
        <n v="1049.26"/>
        <n v="1080"/>
        <n v="393.9"/>
        <n v="488.69"/>
        <n v="589"/>
        <n v="598.99"/>
        <n v="684.8"/>
        <n v="690"/>
        <n v="806"/>
        <n v="836.6"/>
        <n v="960"/>
        <n v="973"/>
        <n v="980"/>
        <n v="1010.51"/>
        <n v="1060"/>
        <n v="1144"/>
        <n v="1189"/>
        <n v="1539"/>
        <n v="1590"/>
        <n v="1700"/>
        <n v="2277"/>
        <n v="612.61"/>
        <n v="618.99"/>
        <n v="1124"/>
        <n v="1389"/>
        <n v="1860.99"/>
        <n v="1082"/>
        <n v="896"/>
        <n v="914"/>
        <n v="923"/>
        <n v="722"/>
        <n v="860"/>
        <n v="521.47"/>
        <n v="754"/>
        <n v="794"/>
        <n v="812"/>
        <n v="1398.99"/>
        <n v="679"/>
        <n v="1228.99"/>
        <n v="1500"/>
        <n v="1870"/>
        <n v="1887.21"/>
        <n v="1969"/>
        <n v="2171.7199999999998"/>
        <n v="2198.19"/>
        <n v="2229"/>
        <n v="2296.9499999999998"/>
        <n v="764"/>
        <n v="1296.99"/>
        <n v="2041"/>
        <n v="2899"/>
        <n v="1561"/>
        <n v="3949.4"/>
        <n v="2249"/>
        <n v="900"/>
        <n v="1018.99"/>
        <n v="1185.43"/>
        <n v="1200"/>
        <n v="752"/>
        <n v="1070"/>
        <n v="1090"/>
        <n v="1219"/>
        <n v="1292"/>
        <n v="1304"/>
        <n v="1323"/>
        <n v="1335"/>
        <n v="1483"/>
        <n v="1750"/>
        <n v="2049"/>
        <n v="2089"/>
        <n v="2559"/>
        <n v="1191"/>
        <n v="1249"/>
        <n v="1327"/>
        <n v="1699"/>
        <n v="1999"/>
        <n v="1738.27"/>
        <n v="1907.99"/>
        <n v="2064.9"/>
        <n v="1534"/>
        <n v="1018"/>
        <n v="1031"/>
        <n v="1045"/>
        <n v="1271"/>
        <n v="1059"/>
        <n v="988"/>
        <n v="1084"/>
        <n v="1103"/>
        <n v="1197"/>
        <n v="1908"/>
        <n v="1965"/>
        <n v="2014"/>
        <n v="3100"/>
        <n v="500"/>
        <n v="775"/>
        <n v="4389"/>
        <n v="597.57000000000005"/>
        <n v="429"/>
        <n v="319"/>
        <n v="646.27"/>
        <n v="318"/>
        <n v="459.9"/>
        <n v="274"/>
        <n v="265"/>
        <n v="475"/>
        <n v="252.36"/>
        <n v="270.62"/>
        <n v="292"/>
        <n v="304.45"/>
        <n v="306"/>
        <n v="321.99"/>
        <n v="325"/>
        <n v="553"/>
        <n v="468"/>
        <n v="403.5"/>
        <n v="414.9"/>
        <n v="444"/>
        <n v="489.9"/>
        <n v="368"/>
        <n v="735"/>
        <n v="630"/>
        <n v="462.35"/>
        <n v="493"/>
        <n v="535"/>
        <n v="540"/>
        <n v="833.01"/>
        <n v="867"/>
        <n v="1002"/>
        <n v="1049.5999999999999"/>
        <n v="1072"/>
        <n v="1096"/>
        <n v="1186"/>
        <n v="1340"/>
        <n v="1465"/>
        <n v="1637"/>
        <n v="788.49"/>
        <n v="789"/>
        <n v="609"/>
        <n v="695"/>
        <n v="857.07"/>
        <n v="1011.99"/>
        <n v="467"/>
        <n v="498"/>
        <n v="573"/>
        <n v="621.45000000000005"/>
        <n v="785"/>
        <n v="830"/>
        <n v="850.66"/>
        <n v="881"/>
        <n v="911"/>
        <n v="990"/>
        <n v="1034"/>
        <n v="1055"/>
        <n v="1345"/>
        <n v="1364"/>
        <n v="1390"/>
        <n v="1429"/>
        <n v="1825"/>
        <n v="1875"/>
        <n v="1962.99"/>
        <n v="2330"/>
        <n v="813"/>
        <n v="817.95"/>
        <n v="809"/>
        <n v="829"/>
        <n v="1017"/>
        <n v="1474"/>
        <n v="1650"/>
        <n v="1760"/>
        <n v="698"/>
        <n v="1116.02"/>
        <n v="1144.5"/>
        <n v="638"/>
        <n v="1686.64"/>
        <n v="1713.49"/>
        <n v="2339"/>
        <n v="1855"/>
        <n v="895"/>
        <n v="1488.99"/>
        <n v="1673"/>
        <n v="1858"/>
        <n v="2099"/>
        <n v="2440"/>
        <n v="2620"/>
        <n v="2050.38"/>
        <n v="1196"/>
        <n v="1305"/>
        <n v="1272"/>
        <n v="1029"/>
        <n v="2289.9899999999998"/>
        <n v="2663"/>
        <n v="2749.99"/>
        <n v="3240"/>
        <n v="2370"/>
        <n v="831"/>
        <n v="659.01"/>
        <n v="1010"/>
        <n v="1079"/>
        <n v="1480"/>
        <n v="1584"/>
        <n v="1729"/>
        <n v="1757.42"/>
        <n v="1798"/>
        <n v="1970"/>
        <n v="2025"/>
        <n v="2282"/>
        <n v="2382"/>
        <n v="2450"/>
        <n v="2509"/>
        <n v="2590"/>
        <n v="2625"/>
        <n v="2824"/>
        <n v="1097"/>
        <n v="2445"/>
        <n v="3299"/>
        <n v="1903"/>
        <n v="1943"/>
        <n v="1048"/>
        <n v="1109"/>
        <n v="1398"/>
        <n v="1925"/>
        <n v="2090"/>
        <n v="1215.3800000000001"/>
        <n v="1229.56"/>
        <n v="880"/>
        <n v="898.9"/>
        <n v="1849"/>
        <n v="359.99"/>
        <n v="4899"/>
        <n v="239"/>
        <n v="255"/>
        <n v="1867.85"/>
        <n v="2589"/>
        <n v="997.9"/>
        <n v="1027.74"/>
        <n v="1095"/>
        <n v="1119.9100000000001"/>
        <n v="1476.11"/>
        <n v="1819"/>
        <n v="1929"/>
        <n v="1948.99"/>
        <n v="2649"/>
        <n v="1511.19"/>
        <n v="1769"/>
        <n v="2153.37"/>
        <n v="1545.64"/>
        <n v="2349"/>
        <n v="1142.8"/>
        <n v="1191.8"/>
        <n v="1294"/>
        <n v="1348.48"/>
        <n v="1492.8"/>
        <n v="1409"/>
        <n v="1486.77"/>
        <n v="1598"/>
        <n v="1890"/>
        <n v="1891"/>
        <n v="2048.9"/>
        <n v="2094.48"/>
        <n v="2029"/>
        <n v="2241.5"/>
        <n v="2267.86"/>
        <n v="2415"/>
        <n v="2729"/>
        <n v="3499"/>
        <n v="5499"/>
        <n v="6099"/>
        <n v="602"/>
        <n v="780"/>
        <n v="915"/>
        <n v="1020"/>
        <n v="1105"/>
        <n v="1180"/>
        <n v="1210"/>
        <n v="1213"/>
        <n v="1460"/>
        <n v="1490"/>
        <n v="1535"/>
        <n v="793"/>
        <n v="943"/>
        <n v="1064"/>
        <n v="1258"/>
        <n v="1475"/>
        <n v="1672"/>
        <n v="1043"/>
        <n v="1403"/>
        <n v="1425"/>
        <n v="1363"/>
        <n v="1747"/>
        <n v="1877"/>
        <n v="1764"/>
        <n v="1725"/>
        <n v="1388"/>
        <n v="1790"/>
        <n v="1865"/>
        <n v="2226"/>
        <n v="196"/>
        <n v="210.8"/>
        <n v="202.9"/>
        <n v="260"/>
        <n v="999.9"/>
        <n v="1399.95"/>
      </sharedItems>
    </cacheField>
  </cacheFields>
  <cacheHierarchies count="35">
    <cacheHierarchy uniqueName="[laptop].[Company]" caption="Company" attribute="1" defaultMemberUniqueName="[laptop].[Company].[All]" allUniqueName="[laptop].[Company].[All]" dimensionUniqueName="[laptop]" displayFolder="" count="2" memberValueDatatype="130" unbalanced="0">
      <fieldsUsage count="2">
        <fieldUsage x="-1"/>
        <fieldUsage x="0"/>
      </fieldsUsage>
    </cacheHierarchy>
    <cacheHierarchy uniqueName="[laptop].[Product]" caption="Product" attribute="1" defaultMemberUniqueName="[laptop].[Product].[All]" allUniqueName="[laptop].[Product].[All]" dimensionUniqueName="[laptop]" displayFolder="" count="2" memberValueDatatype="130" unbalanced="0"/>
    <cacheHierarchy uniqueName="[laptop].[TypeName]" caption="TypeName" attribute="1" defaultMemberUniqueName="[laptop].[TypeName].[All]" allUniqueName="[laptop].[TypeName].[All]" dimensionUniqueName="[laptop]" displayFolder="" count="0" memberValueDatatype="130" unbalanced="0"/>
    <cacheHierarchy uniqueName="[laptop].[Inches]" caption="Inches" attribute="1" defaultMemberUniqueName="[laptop].[Inches].[All]" allUniqueName="[laptop].[Inches].[All]" dimensionUniqueName="[laptop]" displayFolder="" count="0" memberValueDatatype="5" unbalanced="0"/>
    <cacheHierarchy uniqueName="[laptop].[Ram]" caption="Ram" attribute="1" defaultMemberUniqueName="[laptop].[Ram].[All]" allUniqueName="[laptop].[Ram].[All]" dimensionUniqueName="[laptop]" displayFolder="" count="0" memberValueDatatype="20" unbalanced="0"/>
    <cacheHierarchy uniqueName="[laptop].[OS]" caption="OS" attribute="1" defaultMemberUniqueName="[laptop].[OS].[All]" allUniqueName="[laptop].[OS].[All]" dimensionUniqueName="[laptop]" displayFolder="" count="0" memberValueDatatype="130" unbalanced="0"/>
    <cacheHierarchy uniqueName="[laptop].[Weight]" caption="Weight" attribute="1" defaultMemberUniqueName="[laptop].[Weight].[All]" allUniqueName="[laptop].[Weight].[All]" dimensionUniqueName="[laptop]" displayFolder="" count="0" memberValueDatatype="5" unbalanced="0"/>
    <cacheHierarchy uniqueName="[laptop].[Price_euros]" caption="Price_euros" attribute="1" defaultMemberUniqueName="[laptop].[Price_euros].[All]" allUniqueName="[laptop].[Price_euros].[All]" dimensionUniqueName="[laptop]" displayFolder="" count="2" memberValueDatatype="5" unbalanced="0">
      <fieldsUsage count="2">
        <fieldUsage x="-1"/>
        <fieldUsage x="3"/>
      </fieldsUsage>
    </cacheHierarchy>
    <cacheHierarchy uniqueName="[laptop].[Screen]" caption="Screen" attribute="1" defaultMemberUniqueName="[laptop].[Screen].[All]" allUniqueName="[laptop].[Screen].[All]" dimensionUniqueName="[laptop]" displayFolder="" count="0" memberValueDatatype="130" unbalanced="0"/>
    <cacheHierarchy uniqueName="[laptop].[ScreenW]" caption="ScreenW" attribute="1" defaultMemberUniqueName="[laptop].[ScreenW].[All]" allUniqueName="[laptop].[ScreenW].[All]" dimensionUniqueName="[laptop]" displayFolder="" count="0" memberValueDatatype="20" unbalanced="0"/>
    <cacheHierarchy uniqueName="[laptop].[ScreenH]" caption="ScreenH" attribute="1" defaultMemberUniqueName="[laptop].[ScreenH].[All]" allUniqueName="[laptop].[ScreenH].[All]" dimensionUniqueName="[laptop]" displayFolder="" count="2" memberValueDatatype="20" unbalanced="0"/>
    <cacheHierarchy uniqueName="[laptop].[Touchscreen]" caption="Touchscreen" attribute="1" defaultMemberUniqueName="[laptop].[Touchscreen].[All]" allUniqueName="[laptop].[Touchscreen].[All]" dimensionUniqueName="[laptop]" displayFolder="" count="0" memberValueDatatype="130" unbalanced="0"/>
    <cacheHierarchy uniqueName="[laptop].[IPSpanel]" caption="IPSpanel" attribute="1" defaultMemberUniqueName="[laptop].[IPSpanel].[All]" allUniqueName="[laptop].[IPSpanel].[All]" dimensionUniqueName="[laptop]" displayFolder="" count="0" memberValueDatatype="130" unbalanced="0"/>
    <cacheHierarchy uniqueName="[laptop].[RetinaDisplay]" caption="RetinaDisplay" attribute="1" defaultMemberUniqueName="[laptop].[RetinaDisplay].[All]" allUniqueName="[laptop].[RetinaDisplay].[All]" dimensionUniqueName="[laptop]" displayFolder="" count="0" memberValueDatatype="130" unbalanced="0"/>
    <cacheHierarchy uniqueName="[laptop].[CPU_company]" caption="CPU_company" attribute="1" defaultMemberUniqueName="[laptop].[CPU_company].[All]" allUniqueName="[laptop].[CPU_company].[All]" dimensionUniqueName="[laptop]" displayFolder="" count="0" memberValueDatatype="130" unbalanced="0"/>
    <cacheHierarchy uniqueName="[laptop].[CPU_freq]" caption="CPU_freq" attribute="1" defaultMemberUniqueName="[laptop].[CPU_freq].[All]" allUniqueName="[laptop].[CPU_freq].[All]" dimensionUniqueName="[laptop]" displayFolder="" count="0" memberValueDatatype="5" unbalanced="0"/>
    <cacheHierarchy uniqueName="[laptop].[CPU_model]" caption="CPU_model" attribute="1" defaultMemberUniqueName="[laptop].[CPU_model].[All]" allUniqueName="[laptop].[CPU_model].[All]" dimensionUniqueName="[laptop]" displayFolder="" count="0" memberValueDatatype="130" unbalanced="0"/>
    <cacheHierarchy uniqueName="[laptop].[CPU_Combined]" caption="CPU_Combined" attribute="1" defaultMemberUniqueName="[laptop].[CPU_Combined].[All]" allUniqueName="[laptop].[CPU_Combined].[All]" dimensionUniqueName="[laptop]" displayFolder="" count="2" memberValueDatatype="130" unbalanced="0">
      <fieldsUsage count="2">
        <fieldUsage x="-1"/>
        <fieldUsage x="2"/>
      </fieldsUsage>
    </cacheHierarchy>
    <cacheHierarchy uniqueName="[laptop].[PrimaryStorage]" caption="PrimaryStorage" attribute="1" defaultMemberUniqueName="[laptop].[PrimaryStorage].[All]" allUniqueName="[laptop].[PrimaryStorage].[All]" dimensionUniqueName="[laptop]" displayFolder="" count="0" memberValueDatatype="20" unbalanced="0"/>
    <cacheHierarchy uniqueName="[laptop].[SecondaryStorage]" caption="SecondaryStorage" attribute="1" defaultMemberUniqueName="[laptop].[SecondaryStorage].[All]" allUniqueName="[laptop].[SecondaryStorage].[All]" dimensionUniqueName="[laptop]" displayFolder="" count="0" memberValueDatatype="20" unbalanced="0"/>
    <cacheHierarchy uniqueName="[laptop].[Total_Storage]" caption="Total_Storage" attribute="1" defaultMemberUniqueName="[laptop].[Total_Storage].[All]" allUniqueName="[laptop].[Total_Storage].[All]" dimensionUniqueName="[laptop]" displayFolder="" count="0" memberValueDatatype="20" unbalanced="0"/>
    <cacheHierarchy uniqueName="[laptop].[PrimaryStorageType]" caption="PrimaryStorageType" attribute="1" defaultMemberUniqueName="[laptop].[PrimaryStorageType].[All]" allUniqueName="[laptop].[PrimaryStorageType].[All]" dimensionUniqueName="[laptop]" displayFolder="" count="0" memberValueDatatype="130" unbalanced="0"/>
    <cacheHierarchy uniqueName="[laptop].[SecondaryStorageType]" caption="SecondaryStorageType" attribute="1" defaultMemberUniqueName="[laptop].[SecondaryStorageType].[All]" allUniqueName="[laptop].[SecondaryStorageType].[All]" dimensionUniqueName="[laptop]" displayFolder="" count="0" memberValueDatatype="130" unbalanced="0"/>
    <cacheHierarchy uniqueName="[laptop].[Storage_Type_Combined]" caption="Storage_Type_Combined" attribute="1" defaultMemberUniqueName="[laptop].[Storage_Type_Combined].[All]" allUniqueName="[laptop].[Storage_Type_Combined].[All]" dimensionUniqueName="[laptop]" displayFolder="" count="0" memberValueDatatype="130" unbalanced="0"/>
    <cacheHierarchy uniqueName="[laptop].[GPU_model]" caption="GPU_model" attribute="1" defaultMemberUniqueName="[laptop].[GPU_model].[All]" allUniqueName="[laptop].[GPU_model].[All]" dimensionUniqueName="[laptop]" displayFolder="" count="2" memberValueDatatype="130" unbalanced="0"/>
    <cacheHierarchy uniqueName="[laptop].[GPU_Combined]" caption="GPU_Combined" attribute="1" defaultMemberUniqueName="[laptop].[GPU_Combined].[All]" allUniqueName="[laptop].[GPU_Combined].[All]" dimensionUniqueName="[laptop]" displayFolder="" count="2" memberValueDatatype="130" unbalanced="0">
      <fieldsUsage count="2">
        <fieldUsage x="-1"/>
        <fieldUsage x="1"/>
      </fieldsUsage>
    </cacheHierarchy>
    <cacheHierarchy uniqueName="[Measures].[Count of CPU_model]" caption="Count of CPU_model" measure="1" displayFolder="" measureGroup="laptop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Distinct Count of CPU_model]" caption="Distinct Count of CPU_model" measure="1" displayFolder="" measureGroup="laptop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Company]" caption="Count of Company" measure="1" displayFolder="" measureGroup="laptop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PU_Combined]" caption="Count of CPU_Combined" measure="1" displayFolder="" measureGroup="laptop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GPU_model]" caption="Count of GPU_model" measure="1" displayFolder="" measureGroup="laptop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GPU_Combined]" caption="Count of GPU_Combined" measure="1" displayFolder="" measureGroup="laptop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Median for price]" caption="Median for price" measure="1" displayFolder="" measureGroup="laptop" count="0"/>
    <cacheHierarchy uniqueName="[Measures].[__XL_Count laptop]" caption="__XL_Count laptop" measure="1" displayFolder="" measureGroup="laptop" count="0" hidden="1"/>
    <cacheHierarchy uniqueName="[Measures].[__No measures defined]" caption="__No measures defined" measure="1" displayFolder="" count="0" hidden="1"/>
  </cacheHierarchies>
  <kpis count="0"/>
  <dimensions count="2">
    <dimension name="laptop" uniqueName="[laptop]" caption="laptop"/>
    <dimension measure="1" name="Measures" uniqueName="[Measures]" caption="Measures"/>
  </dimensions>
  <measureGroups count="1">
    <measureGroup name="laptop" caption="laptop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9AB01F-60E8-4526-AB98-EF041025FC50}" name="PivotTable4" cacheId="655" applyNumberFormats="0" applyBorderFormats="0" applyFontFormats="0" applyPatternFormats="0" applyAlignmentFormats="0" applyWidthHeightFormats="1" dataCaption="Values" tag="b09d6622-740c-4c07-8aee-b22fd94cddad" updatedVersion="8" minRefreshableVersion="3" useAutoFormatting="1" subtotalHiddenItems="1" itemPrintTitles="1" createdVersion="8" indent="0" compact="0" compactData="0" multipleFieldFilters="0">
  <location ref="A1:D1258" firstHeaderRow="1" firstDataRow="1" firstDataCol="4"/>
  <pivotFields count="4">
    <pivotField axis="axisRow" compact="0" allDrilled="1" outline="0" subtotalTop="0" showAll="0" sortType="ascending" defaultSubtotal="0" defaultAttributeDrillState="1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1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7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0"/>
    <field x="2"/>
    <field x="1"/>
    <field x="3"/>
  </rowFields>
  <rowItems count="1257">
    <i>
      <x/>
      <x/>
      <x/>
      <x/>
    </i>
    <i r="1">
      <x v="1"/>
      <x/>
      <x v="1"/>
    </i>
    <i r="1">
      <x v="2"/>
      <x v="1"/>
      <x v="2"/>
    </i>
    <i r="3">
      <x v="3"/>
    </i>
    <i r="3">
      <x v="4"/>
    </i>
    <i r="1">
      <x v="3"/>
      <x v="1"/>
      <x v="5"/>
    </i>
    <i r="3">
      <x v="6"/>
    </i>
    <i r="3">
      <x v="7"/>
    </i>
    <i r="3">
      <x v="8"/>
    </i>
    <i r="3">
      <x v="9"/>
    </i>
    <i r="1">
      <x v="4"/>
      <x v="2"/>
      <x v="10"/>
    </i>
    <i r="3">
      <x v="11"/>
    </i>
    <i r="3">
      <x v="12"/>
    </i>
    <i r="3">
      <x v="13"/>
    </i>
    <i r="1">
      <x v="5"/>
      <x v="3"/>
      <x v="14"/>
    </i>
    <i r="1">
      <x v="6"/>
      <x v="2"/>
      <x v="15"/>
    </i>
    <i r="1">
      <x v="7"/>
      <x v="4"/>
      <x v="16"/>
    </i>
    <i r="3">
      <x v="17"/>
    </i>
    <i r="3">
      <x v="18"/>
    </i>
    <i r="3">
      <x v="19"/>
    </i>
    <i r="3">
      <x v="20"/>
    </i>
    <i r="3">
      <x v="21"/>
    </i>
    <i r="3">
      <x v="22"/>
    </i>
    <i r="1">
      <x v="8"/>
      <x v="5"/>
      <x v="23"/>
    </i>
    <i r="3">
      <x v="24"/>
    </i>
    <i r="3">
      <x v="25"/>
    </i>
    <i r="3">
      <x v="19"/>
    </i>
    <i r="1">
      <x v="9"/>
      <x v="4"/>
      <x v="26"/>
    </i>
    <i r="1">
      <x v="10"/>
      <x v="5"/>
      <x v="27"/>
    </i>
    <i r="1">
      <x v="11"/>
      <x v="6"/>
      <x v="28"/>
    </i>
    <i r="3">
      <x v="29"/>
    </i>
    <i r="3">
      <x v="30"/>
    </i>
    <i r="2">
      <x v="7"/>
      <x v="4"/>
    </i>
    <i r="2">
      <x v="8"/>
      <x v="31"/>
    </i>
    <i r="3">
      <x v="21"/>
    </i>
    <i r="3">
      <x v="32"/>
    </i>
    <i r="3">
      <x v="33"/>
    </i>
    <i r="3">
      <x v="34"/>
    </i>
    <i r="3">
      <x v="35"/>
    </i>
    <i r="3">
      <x v="3"/>
    </i>
    <i r="3">
      <x v="36"/>
    </i>
    <i r="1">
      <x v="12"/>
      <x v="9"/>
      <x v="37"/>
    </i>
    <i r="3">
      <x v="38"/>
    </i>
    <i r="3">
      <x v="39"/>
    </i>
    <i r="3">
      <x v="40"/>
    </i>
    <i r="3">
      <x v="41"/>
    </i>
    <i r="1">
      <x v="13"/>
      <x v="10"/>
      <x v="42"/>
    </i>
    <i r="3">
      <x v="43"/>
    </i>
    <i r="3">
      <x v="44"/>
    </i>
    <i r="3">
      <x v="45"/>
    </i>
    <i r="2">
      <x v="9"/>
      <x v="46"/>
    </i>
    <i r="1">
      <x v="14"/>
      <x v="8"/>
      <x v="44"/>
    </i>
    <i r="3">
      <x v="47"/>
    </i>
    <i r="1">
      <x v="15"/>
      <x v="6"/>
      <x v="48"/>
    </i>
    <i r="3">
      <x v="49"/>
    </i>
    <i r="2">
      <x v="11"/>
      <x v="50"/>
    </i>
    <i r="3">
      <x v="51"/>
    </i>
    <i r="2">
      <x v="12"/>
      <x v="52"/>
    </i>
    <i r="2">
      <x v="9"/>
      <x v="53"/>
    </i>
    <i r="3">
      <x v="54"/>
    </i>
    <i r="3">
      <x v="55"/>
    </i>
    <i r="3">
      <x v="56"/>
    </i>
    <i r="3">
      <x v="40"/>
    </i>
    <i r="3">
      <x v="57"/>
    </i>
    <i r="1">
      <x v="16"/>
      <x v="13"/>
      <x v="58"/>
    </i>
    <i r="3">
      <x v="59"/>
    </i>
    <i r="3">
      <x v="60"/>
    </i>
    <i r="2">
      <x v="14"/>
      <x v="61"/>
    </i>
    <i r="1">
      <x v="17"/>
      <x v="15"/>
      <x v="62"/>
    </i>
    <i r="1">
      <x v="18"/>
      <x v="10"/>
      <x v="63"/>
    </i>
    <i r="2">
      <x v="16"/>
      <x v="64"/>
    </i>
    <i r="3">
      <x v="65"/>
    </i>
    <i r="3">
      <x v="66"/>
    </i>
    <i r="2">
      <x v="17"/>
      <x v="67"/>
    </i>
    <i r="3">
      <x v="68"/>
    </i>
    <i r="3">
      <x v="69"/>
    </i>
    <i r="3">
      <x v="70"/>
    </i>
    <i r="1">
      <x v="19"/>
      <x v="8"/>
      <x v="71"/>
    </i>
    <i r="1">
      <x v="20"/>
      <x v="18"/>
      <x v="72"/>
    </i>
    <i r="1">
      <x v="21"/>
      <x v="6"/>
      <x v="73"/>
    </i>
    <i r="3">
      <x v="74"/>
    </i>
    <i r="3">
      <x v="75"/>
    </i>
    <i r="2">
      <x v="9"/>
      <x v="1"/>
    </i>
    <i r="1">
      <x v="22"/>
      <x v="13"/>
      <x v="76"/>
    </i>
    <i r="3">
      <x v="60"/>
    </i>
    <i r="3">
      <x v="77"/>
    </i>
    <i r="3">
      <x v="78"/>
    </i>
    <i r="2">
      <x v="14"/>
      <x v="79"/>
    </i>
    <i r="2">
      <x v="18"/>
      <x v="80"/>
    </i>
    <i r="2">
      <x v="19"/>
      <x v="81"/>
    </i>
    <i r="1">
      <x v="23"/>
      <x v="15"/>
      <x v="82"/>
    </i>
    <i r="1">
      <x v="24"/>
      <x v="10"/>
      <x v="83"/>
    </i>
    <i r="2">
      <x v="16"/>
      <x v="47"/>
    </i>
    <i r="3">
      <x v="84"/>
    </i>
    <i r="3">
      <x v="85"/>
    </i>
    <i r="2">
      <x v="17"/>
      <x v="86"/>
    </i>
    <i r="1">
      <x v="25"/>
      <x v="20"/>
      <x v="19"/>
    </i>
    <i r="3">
      <x v="87"/>
    </i>
    <i r="1">
      <x v="26"/>
      <x v="21"/>
      <x v="88"/>
    </i>
    <i r="3">
      <x v="89"/>
    </i>
    <i r="3">
      <x v="90"/>
    </i>
    <i>
      <x v="1"/>
      <x v="27"/>
      <x v="22"/>
      <x v="91"/>
    </i>
    <i r="3">
      <x v="92"/>
    </i>
    <i r="3">
      <x v="93"/>
    </i>
    <i r="3">
      <x v="94"/>
    </i>
    <i r="3">
      <x v="95"/>
    </i>
    <i r="2">
      <x v="15"/>
      <x v="96"/>
    </i>
    <i r="2">
      <x v="23"/>
      <x v="97"/>
    </i>
    <i r="2">
      <x v="24"/>
      <x v="98"/>
    </i>
    <i r="2">
      <x v="25"/>
      <x v="99"/>
    </i>
    <i r="3">
      <x v="100"/>
    </i>
    <i r="2">
      <x v="26"/>
      <x v="101"/>
    </i>
    <i r="3">
      <x v="102"/>
    </i>
    <i r="1">
      <x v="28"/>
      <x v="27"/>
      <x v="103"/>
    </i>
    <i r="2">
      <x v="28"/>
      <x v="104"/>
    </i>
    <i r="2">
      <x v="29"/>
      <x v="105"/>
    </i>
    <i r="2">
      <x v="30"/>
      <x v="106"/>
    </i>
    <i r="1">
      <x v="29"/>
      <x v="31"/>
      <x v="107"/>
    </i>
    <i r="3">
      <x v="108"/>
    </i>
    <i r="2">
      <x v="32"/>
      <x v="109"/>
    </i>
    <i r="3">
      <x v="110"/>
    </i>
    <i r="1">
      <x v="30"/>
      <x v="15"/>
      <x v="111"/>
    </i>
    <i>
      <x v="2"/>
      <x v="31"/>
      <x v="33"/>
      <x v="112"/>
    </i>
    <i r="1">
      <x v="3"/>
      <x v="34"/>
      <x v="113"/>
    </i>
    <i r="3">
      <x v="4"/>
    </i>
    <i r="1">
      <x v="32"/>
      <x v="35"/>
      <x v="114"/>
    </i>
    <i r="1">
      <x v="33"/>
      <x v="36"/>
      <x v="19"/>
    </i>
    <i r="1">
      <x v="34"/>
      <x v="35"/>
      <x v="11"/>
    </i>
    <i r="1">
      <x v="35"/>
      <x v="37"/>
      <x v="115"/>
    </i>
    <i r="1">
      <x v="36"/>
      <x v="38"/>
      <x v="116"/>
    </i>
    <i r="1">
      <x v="37"/>
      <x v="38"/>
      <x v="61"/>
    </i>
    <i r="3">
      <x v="117"/>
    </i>
    <i r="3">
      <x v="118"/>
    </i>
    <i r="1">
      <x v="38"/>
      <x v="4"/>
      <x v="119"/>
    </i>
    <i r="1">
      <x v="6"/>
      <x v="2"/>
      <x v="120"/>
    </i>
    <i r="1">
      <x v="7"/>
      <x v="4"/>
      <x v="121"/>
    </i>
    <i r="1">
      <x v="8"/>
      <x v="5"/>
      <x v="122"/>
    </i>
    <i r="3">
      <x v="123"/>
    </i>
    <i r="3">
      <x v="124"/>
    </i>
    <i r="3">
      <x v="125"/>
    </i>
    <i r="3">
      <x v="126"/>
    </i>
    <i r="3">
      <x v="127"/>
    </i>
    <i r="3">
      <x v="88"/>
    </i>
    <i r="3">
      <x v="128"/>
    </i>
    <i r="3">
      <x v="129"/>
    </i>
    <i r="3">
      <x v="130"/>
    </i>
    <i r="3">
      <x v="131"/>
    </i>
    <i r="3">
      <x v="25"/>
    </i>
    <i r="3">
      <x v="14"/>
    </i>
    <i r="3">
      <x v="132"/>
    </i>
    <i r="3">
      <x v="133"/>
    </i>
    <i r="1">
      <x v="11"/>
      <x v="39"/>
      <x v="134"/>
    </i>
    <i r="2">
      <x v="8"/>
      <x v="135"/>
    </i>
    <i r="2">
      <x v="9"/>
      <x v="21"/>
    </i>
    <i r="1">
      <x v="12"/>
      <x v="40"/>
      <x v="136"/>
    </i>
    <i r="2">
      <x v="6"/>
      <x v="137"/>
    </i>
    <i r="2">
      <x v="9"/>
      <x v="138"/>
    </i>
    <i r="3">
      <x v="22"/>
    </i>
    <i r="3">
      <x v="139"/>
    </i>
    <i r="3">
      <x v="140"/>
    </i>
    <i r="1">
      <x v="14"/>
      <x v="41"/>
      <x v="141"/>
    </i>
    <i r="1">
      <x v="39"/>
      <x v="11"/>
      <x/>
    </i>
    <i r="1">
      <x v="15"/>
      <x v="42"/>
      <x v="142"/>
    </i>
    <i r="2">
      <x v="39"/>
      <x v="140"/>
    </i>
    <i r="2">
      <x v="6"/>
      <x v="143"/>
    </i>
    <i r="3">
      <x v="144"/>
    </i>
    <i r="2">
      <x v="11"/>
      <x v="145"/>
    </i>
    <i r="2">
      <x v="8"/>
      <x v="146"/>
    </i>
    <i r="2">
      <x v="9"/>
      <x v="55"/>
    </i>
    <i r="3">
      <x v="147"/>
    </i>
    <i r="3">
      <x v="148"/>
    </i>
    <i r="3">
      <x v="149"/>
    </i>
    <i r="3">
      <x v="150"/>
    </i>
    <i r="3">
      <x v="151"/>
    </i>
    <i r="3">
      <x v="152"/>
    </i>
    <i r="3">
      <x v="94"/>
    </i>
    <i r="3">
      <x v="153"/>
    </i>
    <i r="3">
      <x v="154"/>
    </i>
    <i r="3">
      <x v="155"/>
    </i>
    <i r="3">
      <x v="156"/>
    </i>
    <i r="1">
      <x v="16"/>
      <x v="13"/>
      <x v="157"/>
    </i>
    <i r="3">
      <x v="158"/>
    </i>
    <i r="3">
      <x v="159"/>
    </i>
    <i r="3">
      <x v="160"/>
    </i>
    <i r="2">
      <x v="18"/>
      <x v="161"/>
    </i>
    <i r="3">
      <x v="162"/>
    </i>
    <i r="1">
      <x v="18"/>
      <x v="9"/>
      <x v="163"/>
    </i>
    <i r="2">
      <x v="17"/>
      <x v="164"/>
    </i>
    <i r="1">
      <x v="19"/>
      <x v="40"/>
      <x v="165"/>
    </i>
    <i r="2">
      <x v="8"/>
      <x v="166"/>
    </i>
    <i r="1">
      <x v="20"/>
      <x v="18"/>
      <x v="167"/>
    </i>
    <i r="3">
      <x v="168"/>
    </i>
    <i r="2">
      <x v="19"/>
      <x v="169"/>
    </i>
    <i r="3">
      <x v="170"/>
    </i>
    <i r="2">
      <x v="43"/>
      <x v="171"/>
    </i>
    <i r="3">
      <x v="172"/>
    </i>
    <i r="3">
      <x v="173"/>
    </i>
    <i r="2">
      <x v="44"/>
      <x v="93"/>
    </i>
    <i r="3">
      <x v="174"/>
    </i>
    <i r="2">
      <x v="45"/>
      <x v="175"/>
    </i>
    <i r="2">
      <x v="46"/>
      <x v="176"/>
    </i>
    <i r="3">
      <x v="80"/>
    </i>
    <i r="2">
      <x v="47"/>
      <x v="61"/>
    </i>
    <i r="1">
      <x v="40"/>
      <x v="48"/>
      <x v="177"/>
    </i>
    <i r="2">
      <x v="49"/>
      <x v="178"/>
    </i>
    <i r="2">
      <x v="46"/>
      <x v="107"/>
    </i>
    <i r="1">
      <x v="21"/>
      <x v="6"/>
      <x v="157"/>
    </i>
    <i r="3">
      <x v="179"/>
    </i>
    <i r="3">
      <x v="180"/>
    </i>
    <i r="3">
      <x v="181"/>
    </i>
    <i r="2">
      <x v="50"/>
      <x v="94"/>
    </i>
    <i r="2">
      <x v="51"/>
      <x v="182"/>
    </i>
    <i r="2">
      <x v="11"/>
      <x v="183"/>
    </i>
    <i r="3">
      <x v="168"/>
    </i>
    <i r="2">
      <x v="43"/>
      <x v="61"/>
    </i>
    <i r="2">
      <x v="9"/>
      <x v="184"/>
    </i>
    <i r="3">
      <x v="185"/>
    </i>
    <i r="3">
      <x v="186"/>
    </i>
    <i r="3">
      <x v="187"/>
    </i>
    <i r="3">
      <x v="188"/>
    </i>
    <i r="3">
      <x v="189"/>
    </i>
    <i r="3">
      <x v="190"/>
    </i>
    <i r="3">
      <x v="175"/>
    </i>
    <i r="3">
      <x v="191"/>
    </i>
    <i r="1">
      <x v="22"/>
      <x v="13"/>
      <x v="192"/>
    </i>
    <i r="3">
      <x v="70"/>
    </i>
    <i r="3">
      <x v="193"/>
    </i>
    <i r="3">
      <x v="194"/>
    </i>
    <i r="3">
      <x v="195"/>
    </i>
    <i r="3">
      <x v="196"/>
    </i>
    <i r="3">
      <x v="197"/>
    </i>
    <i r="3">
      <x v="198"/>
    </i>
    <i r="2">
      <x v="14"/>
      <x v="192"/>
    </i>
    <i r="3">
      <x v="167"/>
    </i>
    <i r="3">
      <x v="199"/>
    </i>
    <i r="3">
      <x v="200"/>
    </i>
    <i r="3">
      <x v="201"/>
    </i>
    <i r="3">
      <x v="202"/>
    </i>
    <i r="3">
      <x v="168"/>
    </i>
    <i r="3">
      <x v="203"/>
    </i>
    <i r="2">
      <x v="18"/>
      <x v="204"/>
    </i>
    <i r="3">
      <x v="205"/>
    </i>
    <i r="3">
      <x v="206"/>
    </i>
    <i r="3">
      <x v="202"/>
    </i>
    <i r="3">
      <x v="207"/>
    </i>
    <i r="3">
      <x v="208"/>
    </i>
    <i r="3">
      <x v="209"/>
    </i>
    <i r="2">
      <x v="19"/>
      <x v="210"/>
    </i>
    <i r="3">
      <x v="211"/>
    </i>
    <i r="3">
      <x v="212"/>
    </i>
    <i r="2">
      <x v="46"/>
      <x v="168"/>
    </i>
    <i r="2">
      <x v="52"/>
      <x v="213"/>
    </i>
    <i r="2">
      <x v="53"/>
      <x v="173"/>
    </i>
    <i r="2">
      <x v="54"/>
      <x v="214"/>
    </i>
    <i r="1">
      <x v="41"/>
      <x v="48"/>
      <x v="215"/>
    </i>
    <i r="3">
      <x v="216"/>
    </i>
    <i r="1">
      <x v="24"/>
      <x v="55"/>
      <x v="217"/>
    </i>
    <i r="2">
      <x v="6"/>
      <x v="218"/>
    </i>
    <i r="2">
      <x v="16"/>
      <x v="219"/>
    </i>
    <i r="3">
      <x v="220"/>
    </i>
    <i r="2">
      <x v="17"/>
      <x v="94"/>
    </i>
    <i r="3">
      <x v="221"/>
    </i>
    <i r="1">
      <x v="42"/>
      <x v="31"/>
      <x v="222"/>
    </i>
    <i r="1">
      <x v="43"/>
      <x v="31"/>
      <x v="223"/>
    </i>
    <i r="1">
      <x v="44"/>
      <x v="31"/>
      <x v="224"/>
    </i>
    <i r="1">
      <x v="45"/>
      <x v="21"/>
      <x v="225"/>
    </i>
    <i r="1">
      <x v="25"/>
      <x v="39"/>
      <x v="42"/>
    </i>
    <i r="2">
      <x v="20"/>
      <x v="226"/>
    </i>
    <i r="1">
      <x v="26"/>
      <x v="39"/>
      <x v="227"/>
    </i>
    <i r="3">
      <x v="228"/>
    </i>
    <i r="2">
      <x v="5"/>
      <x v="229"/>
    </i>
    <i r="2">
      <x v="21"/>
      <x v="138"/>
    </i>
    <i r="3">
      <x v="3"/>
    </i>
    <i>
      <x v="3"/>
      <x v="46"/>
      <x v="2"/>
      <x v="230"/>
    </i>
    <i r="1">
      <x v="38"/>
      <x v="2"/>
      <x v="231"/>
    </i>
    <i r="1">
      <x v="10"/>
      <x v="5"/>
      <x v="3"/>
    </i>
    <i>
      <x v="4"/>
      <x v="6"/>
      <x v="2"/>
      <x v="26"/>
    </i>
    <i r="1">
      <x v="7"/>
      <x v="2"/>
      <x v="232"/>
    </i>
    <i r="2">
      <x v="4"/>
      <x v="233"/>
    </i>
    <i r="3">
      <x v="226"/>
    </i>
    <i r="1">
      <x v="11"/>
      <x v="8"/>
      <x v="13"/>
    </i>
    <i r="3">
      <x v="234"/>
    </i>
    <i r="3">
      <x v="235"/>
    </i>
    <i r="3">
      <x v="236"/>
    </i>
    <i r="3">
      <x v="237"/>
    </i>
    <i r="3">
      <x v="238"/>
    </i>
    <i r="3">
      <x v="239"/>
    </i>
    <i r="3">
      <x v="47"/>
    </i>
    <i r="3">
      <x v="240"/>
    </i>
    <i r="3">
      <x v="241"/>
    </i>
    <i r="2">
      <x v="56"/>
      <x v="242"/>
    </i>
    <i r="3">
      <x v="243"/>
    </i>
    <i r="2">
      <x v="57"/>
      <x v="244"/>
    </i>
    <i r="3">
      <x v="245"/>
    </i>
    <i r="3">
      <x v="146"/>
    </i>
    <i r="2">
      <x v="58"/>
      <x v="246"/>
    </i>
    <i r="3">
      <x v="3"/>
    </i>
    <i r="3">
      <x v="247"/>
    </i>
    <i r="3">
      <x v="87"/>
    </i>
    <i r="3">
      <x v="248"/>
    </i>
    <i r="3">
      <x v="249"/>
    </i>
    <i r="2">
      <x v="59"/>
      <x v="39"/>
    </i>
    <i r="2">
      <x v="60"/>
      <x v="1"/>
    </i>
    <i r="1">
      <x v="47"/>
      <x v="8"/>
      <x v="250"/>
    </i>
    <i r="3">
      <x v="251"/>
    </i>
    <i r="3">
      <x v="252"/>
    </i>
    <i r="3">
      <x v="253"/>
    </i>
    <i r="3">
      <x v="254"/>
    </i>
    <i r="1">
      <x v="12"/>
      <x v="9"/>
      <x v="255"/>
    </i>
    <i r="3">
      <x v="256"/>
    </i>
    <i r="3">
      <x v="257"/>
    </i>
    <i r="3">
      <x v="139"/>
    </i>
    <i r="3">
      <x v="258"/>
    </i>
    <i r="3">
      <x v="259"/>
    </i>
    <i r="3">
      <x v="260"/>
    </i>
    <i r="1">
      <x v="14"/>
      <x v="8"/>
      <x v="261"/>
    </i>
    <i r="3">
      <x v="260"/>
    </i>
    <i r="3">
      <x v="262"/>
    </i>
    <i r="3">
      <x v="263"/>
    </i>
    <i r="3">
      <x v="264"/>
    </i>
    <i r="3">
      <x v="265"/>
    </i>
    <i r="2">
      <x v="61"/>
      <x v="266"/>
    </i>
    <i r="1">
      <x v="39"/>
      <x v="62"/>
      <x v="267"/>
    </i>
    <i r="1">
      <x v="48"/>
      <x v="8"/>
      <x v="268"/>
    </i>
    <i r="3">
      <x v="269"/>
    </i>
    <i r="3">
      <x v="94"/>
    </i>
    <i r="3">
      <x v="270"/>
    </i>
    <i r="3">
      <x v="271"/>
    </i>
    <i r="1">
      <x v="49"/>
      <x v="63"/>
      <x v="272"/>
    </i>
    <i r="1">
      <x v="15"/>
      <x v="6"/>
      <x v="273"/>
    </i>
    <i r="2">
      <x v="2"/>
      <x v="55"/>
    </i>
    <i r="3">
      <x v="274"/>
    </i>
    <i r="2">
      <x v="8"/>
      <x v="275"/>
    </i>
    <i r="2">
      <x v="9"/>
      <x v="276"/>
    </i>
    <i r="3">
      <x v="277"/>
    </i>
    <i r="3">
      <x v="260"/>
    </i>
    <i r="3">
      <x v="278"/>
    </i>
    <i r="3">
      <x v="279"/>
    </i>
    <i r="3">
      <x v="280"/>
    </i>
    <i r="3">
      <x v="281"/>
    </i>
    <i r="3">
      <x v="282"/>
    </i>
    <i r="3">
      <x v="283"/>
    </i>
    <i r="3">
      <x v="284"/>
    </i>
    <i r="3">
      <x v="285"/>
    </i>
    <i r="3">
      <x v="286"/>
    </i>
    <i r="3">
      <x v="287"/>
    </i>
    <i r="3">
      <x v="288"/>
    </i>
    <i r="3">
      <x v="183"/>
    </i>
    <i r="3">
      <x v="289"/>
    </i>
    <i r="3">
      <x v="152"/>
    </i>
    <i r="3">
      <x v="290"/>
    </i>
    <i r="3">
      <x v="70"/>
    </i>
    <i r="3">
      <x v="186"/>
    </i>
    <i r="3">
      <x v="291"/>
    </i>
    <i r="3">
      <x v="292"/>
    </i>
    <i r="3">
      <x v="293"/>
    </i>
    <i r="3">
      <x v="294"/>
    </i>
    <i r="3">
      <x v="221"/>
    </i>
    <i r="3">
      <x v="295"/>
    </i>
    <i r="3">
      <x v="296"/>
    </i>
    <i r="3">
      <x v="297"/>
    </i>
    <i r="2">
      <x v="56"/>
      <x v="298"/>
    </i>
    <i r="3">
      <x v="299"/>
    </i>
    <i r="3">
      <x v="300"/>
    </i>
    <i r="2">
      <x v="58"/>
      <x v="301"/>
    </i>
    <i r="3">
      <x v="238"/>
    </i>
    <i r="3">
      <x v="302"/>
    </i>
    <i r="3">
      <x v="56"/>
    </i>
    <i r="3">
      <x v="73"/>
    </i>
    <i r="2">
      <x v="60"/>
      <x v="303"/>
    </i>
    <i r="3">
      <x v="304"/>
    </i>
    <i r="3">
      <x v="305"/>
    </i>
    <i r="3">
      <x v="306"/>
    </i>
    <i r="3">
      <x v="183"/>
    </i>
    <i r="1">
      <x v="16"/>
      <x v="13"/>
      <x v="307"/>
    </i>
    <i r="3">
      <x v="77"/>
    </i>
    <i r="3">
      <x v="192"/>
    </i>
    <i r="3">
      <x v="308"/>
    </i>
    <i r="3">
      <x v="70"/>
    </i>
    <i r="3">
      <x v="202"/>
    </i>
    <i r="2">
      <x v="18"/>
      <x v="309"/>
    </i>
    <i r="3">
      <x v="310"/>
    </i>
    <i r="1">
      <x v="50"/>
      <x v="9"/>
      <x v="311"/>
    </i>
    <i r="3">
      <x v="312"/>
    </i>
    <i r="3">
      <x v="92"/>
    </i>
    <i r="3">
      <x v="313"/>
    </i>
    <i r="3">
      <x v="314"/>
    </i>
    <i r="3">
      <x v="315"/>
    </i>
    <i r="3">
      <x v="316"/>
    </i>
    <i r="3">
      <x v="317"/>
    </i>
    <i r="1">
      <x v="51"/>
      <x v="64"/>
      <x v="318"/>
    </i>
    <i r="3">
      <x v="314"/>
    </i>
    <i r="2">
      <x v="9"/>
      <x v="319"/>
    </i>
    <i r="3">
      <x v="320"/>
    </i>
    <i r="1">
      <x v="17"/>
      <x v="15"/>
      <x v="321"/>
    </i>
    <i r="3">
      <x v="207"/>
    </i>
    <i r="1">
      <x v="18"/>
      <x v="55"/>
      <x v="70"/>
    </i>
    <i r="2">
      <x v="6"/>
      <x v="185"/>
    </i>
    <i r="3">
      <x v="322"/>
    </i>
    <i r="2">
      <x v="65"/>
      <x v="323"/>
    </i>
    <i r="3">
      <x v="324"/>
    </i>
    <i r="3">
      <x v="325"/>
    </i>
    <i r="3">
      <x v="326"/>
    </i>
    <i r="2">
      <x v="66"/>
      <x v="327"/>
    </i>
    <i r="3">
      <x v="328"/>
    </i>
    <i r="3">
      <x v="150"/>
    </i>
    <i r="3">
      <x v="329"/>
    </i>
    <i r="3">
      <x v="330"/>
    </i>
    <i r="3">
      <x v="331"/>
    </i>
    <i r="3">
      <x v="332"/>
    </i>
    <i r="3">
      <x v="333"/>
    </i>
    <i r="3">
      <x v="334"/>
    </i>
    <i r="3">
      <x v="183"/>
    </i>
    <i r="3">
      <x v="79"/>
    </i>
    <i r="3">
      <x v="335"/>
    </i>
    <i r="2">
      <x v="17"/>
      <x v="1"/>
    </i>
    <i r="3">
      <x v="50"/>
    </i>
    <i r="3">
      <x v="307"/>
    </i>
    <i r="3">
      <x v="77"/>
    </i>
    <i r="3">
      <x v="192"/>
    </i>
    <i r="3">
      <x v="79"/>
    </i>
    <i r="3">
      <x v="336"/>
    </i>
    <i r="3">
      <x v="82"/>
    </i>
    <i r="3">
      <x v="337"/>
    </i>
    <i r="3">
      <x v="338"/>
    </i>
    <i r="3">
      <x v="205"/>
    </i>
    <i r="3">
      <x v="339"/>
    </i>
    <i r="3">
      <x v="340"/>
    </i>
    <i r="3">
      <x v="341"/>
    </i>
    <i r="1">
      <x v="19"/>
      <x v="8"/>
      <x v="342"/>
    </i>
    <i r="3">
      <x v="343"/>
    </i>
    <i r="1">
      <x v="52"/>
      <x v="8"/>
      <x v="344"/>
    </i>
    <i r="1">
      <x v="20"/>
      <x v="19"/>
      <x v="345"/>
    </i>
    <i r="2">
      <x v="67"/>
      <x v="346"/>
    </i>
    <i r="2">
      <x v="43"/>
      <x v="94"/>
    </i>
    <i r="2">
      <x v="45"/>
      <x v="347"/>
    </i>
    <i r="1">
      <x v="40"/>
      <x v="48"/>
      <x v="348"/>
    </i>
    <i r="1">
      <x v="53"/>
      <x v="68"/>
      <x v="349"/>
    </i>
    <i r="2">
      <x v="69"/>
      <x v="350"/>
    </i>
    <i r="3">
      <x v="351"/>
    </i>
    <i r="1">
      <x v="21"/>
      <x v="6"/>
      <x v="352"/>
    </i>
    <i r="3">
      <x v="353"/>
    </i>
    <i r="3">
      <x v="168"/>
    </i>
    <i r="2">
      <x v="50"/>
      <x v="354"/>
    </i>
    <i r="3">
      <x v="355"/>
    </i>
    <i r="2">
      <x v="9"/>
      <x v="356"/>
    </i>
    <i r="3">
      <x v="314"/>
    </i>
    <i r="3">
      <x v="61"/>
    </i>
    <i r="3">
      <x v="357"/>
    </i>
    <i r="3">
      <x v="358"/>
    </i>
    <i r="3">
      <x v="359"/>
    </i>
    <i r="3">
      <x v="360"/>
    </i>
    <i r="2">
      <x v="56"/>
      <x v="146"/>
    </i>
    <i r="2">
      <x v="58"/>
      <x v="361"/>
    </i>
    <i r="3">
      <x v="83"/>
    </i>
    <i r="3">
      <x v="362"/>
    </i>
    <i r="3">
      <x v="363"/>
    </i>
    <i r="2">
      <x v="60"/>
      <x v="150"/>
    </i>
    <i r="3">
      <x v="364"/>
    </i>
    <i r="3">
      <x v="365"/>
    </i>
    <i r="3">
      <x v="366"/>
    </i>
    <i r="3">
      <x v="289"/>
    </i>
    <i r="3">
      <x v="367"/>
    </i>
    <i r="3">
      <x v="368"/>
    </i>
    <i r="1">
      <x v="54"/>
      <x v="25"/>
      <x v="369"/>
    </i>
    <i r="1">
      <x v="55"/>
      <x v="64"/>
      <x v="272"/>
    </i>
    <i r="3">
      <x v="370"/>
    </i>
    <i r="2">
      <x v="2"/>
      <x v="371"/>
    </i>
    <i r="2">
      <x v="9"/>
      <x v="94"/>
    </i>
    <i r="3">
      <x v="372"/>
    </i>
    <i r="3">
      <x v="373"/>
    </i>
    <i r="3">
      <x v="374"/>
    </i>
    <i r="1">
      <x v="56"/>
      <x v="25"/>
      <x v="375"/>
    </i>
    <i r="1">
      <x v="22"/>
      <x v="13"/>
      <x v="289"/>
    </i>
    <i r="3">
      <x v="376"/>
    </i>
    <i r="3">
      <x v="94"/>
    </i>
    <i r="3">
      <x v="377"/>
    </i>
    <i r="3">
      <x v="378"/>
    </i>
    <i r="3">
      <x v="379"/>
    </i>
    <i r="3">
      <x v="207"/>
    </i>
    <i r="3">
      <x v="380"/>
    </i>
    <i r="3">
      <x v="381"/>
    </i>
    <i r="3">
      <x v="382"/>
    </i>
    <i r="3">
      <x v="383"/>
    </i>
    <i r="2">
      <x v="14"/>
      <x v="224"/>
    </i>
    <i r="3">
      <x v="384"/>
    </i>
    <i r="3">
      <x v="385"/>
    </i>
    <i r="3">
      <x v="386"/>
    </i>
    <i r="3">
      <x v="387"/>
    </i>
    <i r="2">
      <x v="70"/>
      <x v="388"/>
    </i>
    <i r="3">
      <x v="294"/>
    </i>
    <i r="2">
      <x v="18"/>
      <x v="221"/>
    </i>
    <i r="3">
      <x v="389"/>
    </i>
    <i r="3">
      <x v="390"/>
    </i>
    <i r="3">
      <x v="391"/>
    </i>
    <i r="3">
      <x v="392"/>
    </i>
    <i r="2">
      <x v="19"/>
      <x v="393"/>
    </i>
    <i r="3">
      <x v="394"/>
    </i>
    <i r="3">
      <x v="395"/>
    </i>
    <i r="3">
      <x v="396"/>
    </i>
    <i r="3">
      <x v="397"/>
    </i>
    <i r="3">
      <x v="398"/>
    </i>
    <i r="3">
      <x v="399"/>
    </i>
    <i r="3">
      <x v="400"/>
    </i>
    <i r="3">
      <x v="401"/>
    </i>
    <i r="2">
      <x v="71"/>
      <x v="402"/>
    </i>
    <i r="2">
      <x v="68"/>
      <x v="403"/>
    </i>
    <i r="3">
      <x v="404"/>
    </i>
    <i r="2">
      <x v="69"/>
      <x v="405"/>
    </i>
    <i r="3">
      <x v="406"/>
    </i>
    <i r="1">
      <x v="41"/>
      <x v="19"/>
      <x v="177"/>
    </i>
    <i r="3">
      <x v="407"/>
    </i>
    <i r="1">
      <x v="57"/>
      <x v="68"/>
      <x v="408"/>
    </i>
    <i r="1">
      <x v="23"/>
      <x v="15"/>
      <x v="161"/>
    </i>
    <i r="3">
      <x v="207"/>
    </i>
    <i r="3">
      <x v="409"/>
    </i>
    <i r="1">
      <x v="24"/>
      <x v="55"/>
      <x v="117"/>
    </i>
    <i r="2">
      <x v="6"/>
      <x v="410"/>
    </i>
    <i r="3">
      <x v="219"/>
    </i>
    <i r="2">
      <x v="65"/>
      <x v="411"/>
    </i>
    <i r="3">
      <x v="412"/>
    </i>
    <i r="2">
      <x v="66"/>
      <x v="413"/>
    </i>
    <i r="3">
      <x v="52"/>
    </i>
    <i r="3">
      <x v="414"/>
    </i>
    <i r="3">
      <x v="290"/>
    </i>
    <i r="3">
      <x v="415"/>
    </i>
    <i r="3">
      <x v="79"/>
    </i>
    <i r="3">
      <x v="308"/>
    </i>
    <i r="3">
      <x v="185"/>
    </i>
    <i r="3">
      <x v="335"/>
    </i>
    <i r="3">
      <x v="94"/>
    </i>
    <i r="3">
      <x v="154"/>
    </i>
    <i r="3">
      <x v="416"/>
    </i>
    <i r="3">
      <x v="417"/>
    </i>
    <i r="3">
      <x v="418"/>
    </i>
    <i r="3">
      <x v="61"/>
    </i>
    <i r="3">
      <x v="419"/>
    </i>
    <i r="2">
      <x v="17"/>
      <x v="307"/>
    </i>
    <i r="3">
      <x v="157"/>
    </i>
    <i r="3">
      <x v="420"/>
    </i>
    <i r="3">
      <x v="421"/>
    </i>
    <i r="3">
      <x v="185"/>
    </i>
    <i r="3">
      <x v="107"/>
    </i>
    <i r="3">
      <x v="422"/>
    </i>
    <i r="3">
      <x v="337"/>
    </i>
    <i r="3">
      <x v="204"/>
    </i>
    <i r="3">
      <x v="423"/>
    </i>
    <i r="3">
      <x v="161"/>
    </i>
    <i r="3">
      <x v="341"/>
    </i>
    <i r="3">
      <x v="208"/>
    </i>
    <i r="3">
      <x v="424"/>
    </i>
    <i r="1">
      <x v="58"/>
      <x v="17"/>
      <x v="425"/>
    </i>
    <i r="3">
      <x v="426"/>
    </i>
    <i r="1">
      <x v="59"/>
      <x v="15"/>
      <x v="427"/>
    </i>
    <i r="1">
      <x v="60"/>
      <x v="2"/>
      <x v="428"/>
    </i>
    <i r="3">
      <x v="429"/>
    </i>
    <i r="1">
      <x v="25"/>
      <x v="2"/>
      <x v="430"/>
    </i>
    <i r="3">
      <x v="120"/>
    </i>
    <i r="2">
      <x v="20"/>
      <x v="38"/>
    </i>
    <i r="1">
      <x v="26"/>
      <x v="21"/>
      <x v="431"/>
    </i>
    <i r="1">
      <x v="61"/>
      <x v="68"/>
      <x v="432"/>
    </i>
    <i r="2">
      <x v="69"/>
      <x v="433"/>
    </i>
    <i>
      <x v="5"/>
      <x v="14"/>
      <x v="8"/>
      <x v="260"/>
    </i>
    <i r="1">
      <x v="15"/>
      <x v="9"/>
      <x v="146"/>
    </i>
    <i r="3">
      <x v="50"/>
    </i>
    <i>
      <x v="6"/>
      <x v="62"/>
      <x v="15"/>
      <x v="434"/>
    </i>
    <i r="3">
      <x v="435"/>
    </i>
    <i r="1">
      <x v="23"/>
      <x v="15"/>
      <x v="118"/>
    </i>
    <i>
      <x v="7"/>
      <x v="63"/>
      <x v="72"/>
      <x v="298"/>
    </i>
    <i r="1">
      <x/>
      <x v="73"/>
      <x v="436"/>
    </i>
    <i r="1">
      <x v="31"/>
      <x v="73"/>
      <x v="437"/>
    </i>
    <i r="1">
      <x v="64"/>
      <x v="74"/>
      <x v="30"/>
    </i>
    <i r="1">
      <x v="1"/>
      <x v="73"/>
      <x v="438"/>
    </i>
    <i r="1">
      <x v="65"/>
      <x v="73"/>
      <x v="255"/>
    </i>
    <i r="2">
      <x v="75"/>
      <x v="439"/>
    </i>
    <i r="2">
      <x v="76"/>
      <x v="120"/>
    </i>
    <i r="3">
      <x v="440"/>
    </i>
    <i r="3">
      <x v="132"/>
    </i>
    <i r="1">
      <x v="66"/>
      <x v="77"/>
      <x v="441"/>
    </i>
    <i r="2">
      <x v="76"/>
      <x v="442"/>
    </i>
    <i r="1">
      <x v="67"/>
      <x v="72"/>
      <x v="443"/>
    </i>
    <i r="1">
      <x v="3"/>
      <x v="77"/>
      <x v="444"/>
    </i>
    <i r="3">
      <x v="39"/>
    </i>
    <i r="2">
      <x v="1"/>
      <x v="445"/>
    </i>
    <i r="3">
      <x v="446"/>
    </i>
    <i r="1">
      <x v="68"/>
      <x v="77"/>
      <x v="447"/>
    </i>
    <i r="2">
      <x v="73"/>
      <x v="260"/>
    </i>
    <i r="1">
      <x v="33"/>
      <x v="36"/>
      <x v="17"/>
    </i>
    <i r="1">
      <x v="69"/>
      <x v="35"/>
      <x v="18"/>
    </i>
    <i r="1">
      <x v="70"/>
      <x v="35"/>
      <x v="448"/>
    </i>
    <i r="3">
      <x v="19"/>
    </i>
    <i r="1">
      <x v="7"/>
      <x v="4"/>
      <x v="12"/>
    </i>
    <i r="3">
      <x v="449"/>
    </i>
    <i r="3">
      <x v="450"/>
    </i>
    <i r="3">
      <x v="451"/>
    </i>
    <i r="3">
      <x v="452"/>
    </i>
    <i r="3">
      <x v="453"/>
    </i>
    <i r="3">
      <x v="128"/>
    </i>
    <i r="3">
      <x v="454"/>
    </i>
    <i r="3">
      <x v="455"/>
    </i>
    <i r="1">
      <x v="8"/>
      <x v="5"/>
      <x v="456"/>
    </i>
    <i r="3">
      <x v="457"/>
    </i>
    <i r="1">
      <x v="11"/>
      <x v="8"/>
      <x v="458"/>
    </i>
    <i r="3">
      <x v="459"/>
    </i>
    <i r="3">
      <x v="19"/>
    </i>
    <i r="3">
      <x v="460"/>
    </i>
    <i r="3">
      <x v="461"/>
    </i>
    <i r="3">
      <x v="255"/>
    </i>
    <i r="3">
      <x v="4"/>
    </i>
    <i r="3">
      <x v="462"/>
    </i>
    <i r="3">
      <x v="444"/>
    </i>
    <i r="3">
      <x v="463"/>
    </i>
    <i r="3">
      <x v="464"/>
    </i>
    <i r="3">
      <x v="465"/>
    </i>
    <i r="3">
      <x v="47"/>
    </i>
    <i r="2">
      <x v="65"/>
      <x v="466"/>
    </i>
    <i r="3">
      <x v="4"/>
    </i>
    <i r="3">
      <x v="39"/>
    </i>
    <i r="2">
      <x v="78"/>
      <x v="115"/>
    </i>
    <i r="2">
      <x v="58"/>
      <x v="463"/>
    </i>
    <i r="1">
      <x v="47"/>
      <x v="8"/>
      <x v="447"/>
    </i>
    <i r="3">
      <x v="467"/>
    </i>
    <i r="1">
      <x v="12"/>
      <x v="64"/>
      <x v="468"/>
    </i>
    <i r="2">
      <x v="6"/>
      <x v="115"/>
    </i>
    <i r="2">
      <x v="9"/>
      <x v="469"/>
    </i>
    <i r="3">
      <x v="470"/>
    </i>
    <i r="3">
      <x v="471"/>
    </i>
    <i r="3">
      <x v="472"/>
    </i>
    <i r="3">
      <x v="328"/>
    </i>
    <i r="3">
      <x v="473"/>
    </i>
    <i r="3">
      <x v="332"/>
    </i>
    <i r="1">
      <x v="14"/>
      <x v="8"/>
      <x v="474"/>
    </i>
    <i r="3">
      <x v="475"/>
    </i>
    <i r="3">
      <x v="476"/>
    </i>
    <i r="3">
      <x v="477"/>
    </i>
    <i r="3">
      <x v="478"/>
    </i>
    <i r="3">
      <x v="479"/>
    </i>
    <i r="3">
      <x v="480"/>
    </i>
    <i r="3">
      <x v="82"/>
    </i>
    <i r="3">
      <x v="110"/>
    </i>
    <i r="3">
      <x v="309"/>
    </i>
    <i r="3">
      <x v="294"/>
    </i>
    <i r="3">
      <x v="481"/>
    </i>
    <i r="3">
      <x v="482"/>
    </i>
    <i r="3">
      <x v="483"/>
    </i>
    <i r="3">
      <x v="423"/>
    </i>
    <i r="3">
      <x v="205"/>
    </i>
    <i r="3">
      <x v="484"/>
    </i>
    <i r="3">
      <x v="372"/>
    </i>
    <i r="1">
      <x v="39"/>
      <x v="18"/>
      <x v="153"/>
    </i>
    <i r="2">
      <x v="44"/>
      <x v="337"/>
    </i>
    <i r="1">
      <x v="48"/>
      <x v="8"/>
      <x v="480"/>
    </i>
    <i r="3">
      <x v="339"/>
    </i>
    <i r="3">
      <x v="485"/>
    </i>
    <i r="3">
      <x v="175"/>
    </i>
    <i r="3">
      <x v="486"/>
    </i>
    <i r="1">
      <x v="15"/>
      <x v="79"/>
      <x v="487"/>
    </i>
    <i r="2">
      <x v="64"/>
      <x v="488"/>
    </i>
    <i r="3">
      <x v="183"/>
    </i>
    <i r="3">
      <x v="475"/>
    </i>
    <i r="3">
      <x v="79"/>
    </i>
    <i r="3">
      <x v="489"/>
    </i>
    <i r="3">
      <x v="490"/>
    </i>
    <i r="2">
      <x v="6"/>
      <x v="1"/>
    </i>
    <i r="2">
      <x v="9"/>
      <x v="491"/>
    </i>
    <i r="3">
      <x v="87"/>
    </i>
    <i r="3">
      <x v="492"/>
    </i>
    <i r="3">
      <x v="39"/>
    </i>
    <i r="3">
      <x v="55"/>
    </i>
    <i r="3">
      <x v="112"/>
    </i>
    <i r="3">
      <x/>
    </i>
    <i r="3">
      <x v="493"/>
    </i>
    <i r="3">
      <x v="494"/>
    </i>
    <i r="3">
      <x v="73"/>
    </i>
    <i r="3">
      <x v="495"/>
    </i>
    <i r="3">
      <x v="496"/>
    </i>
    <i r="3">
      <x v="115"/>
    </i>
    <i r="3">
      <x v="74"/>
    </i>
    <i r="3">
      <x v="76"/>
    </i>
    <i r="3">
      <x v="497"/>
    </i>
    <i r="3">
      <x v="498"/>
    </i>
    <i r="3">
      <x v="157"/>
    </i>
    <i r="3">
      <x v="499"/>
    </i>
    <i r="3">
      <x v="500"/>
    </i>
    <i r="3">
      <x v="79"/>
    </i>
    <i r="3">
      <x v="501"/>
    </i>
    <i r="3">
      <x v="502"/>
    </i>
    <i r="3">
      <x v="503"/>
    </i>
    <i r="3">
      <x v="504"/>
    </i>
    <i r="3">
      <x v="82"/>
    </i>
    <i r="3">
      <x v="505"/>
    </i>
    <i r="3">
      <x v="319"/>
    </i>
    <i r="3">
      <x v="199"/>
    </i>
    <i r="3">
      <x v="506"/>
    </i>
    <i r="3">
      <x v="435"/>
    </i>
    <i r="3">
      <x v="507"/>
    </i>
    <i r="3">
      <x v="508"/>
    </i>
    <i r="3">
      <x v="168"/>
    </i>
    <i r="3">
      <x v="509"/>
    </i>
    <i r="2">
      <x v="65"/>
      <x v="510"/>
    </i>
    <i r="3">
      <x v="511"/>
    </i>
    <i r="3">
      <x v="115"/>
    </i>
    <i r="1">
      <x v="16"/>
      <x v="13"/>
      <x v="94"/>
    </i>
    <i r="1">
      <x v="50"/>
      <x v="9"/>
      <x v="512"/>
    </i>
    <i r="3">
      <x v="343"/>
    </i>
    <i r="3">
      <x v="513"/>
    </i>
    <i r="2">
      <x v="80"/>
      <x v="384"/>
    </i>
    <i r="1">
      <x v="51"/>
      <x v="68"/>
      <x v="514"/>
    </i>
    <i r="1">
      <x v="71"/>
      <x v="9"/>
      <x v="515"/>
    </i>
    <i r="1">
      <x v="18"/>
      <x v="64"/>
      <x v="77"/>
    </i>
    <i r="3">
      <x v="516"/>
    </i>
    <i r="3">
      <x v="517"/>
    </i>
    <i r="3">
      <x v="518"/>
    </i>
    <i r="3">
      <x v="144"/>
    </i>
    <i r="2">
      <x v="9"/>
      <x v="519"/>
    </i>
    <i r="3">
      <x v="520"/>
    </i>
    <i r="2">
      <x v="65"/>
      <x v="40"/>
    </i>
    <i r="2">
      <x v="17"/>
      <x v="521"/>
    </i>
    <i r="3">
      <x v="324"/>
    </i>
    <i r="3">
      <x v="519"/>
    </i>
    <i r="3">
      <x v="281"/>
    </i>
    <i r="3">
      <x v="522"/>
    </i>
    <i r="3">
      <x v="523"/>
    </i>
    <i r="3">
      <x v="524"/>
    </i>
    <i r="3">
      <x v="151"/>
    </i>
    <i r="3">
      <x v="92"/>
    </i>
    <i r="3">
      <x v="525"/>
    </i>
    <i r="3">
      <x v="221"/>
    </i>
    <i r="1">
      <x v="19"/>
      <x v="79"/>
      <x v="220"/>
    </i>
    <i r="2">
      <x v="8"/>
      <x v="526"/>
    </i>
    <i r="3">
      <x v="527"/>
    </i>
    <i r="3">
      <x v="384"/>
    </i>
    <i r="3">
      <x v="181"/>
    </i>
    <i r="3">
      <x v="528"/>
    </i>
    <i r="3">
      <x v="529"/>
    </i>
    <i r="3">
      <x v="530"/>
    </i>
    <i r="3">
      <x v="531"/>
    </i>
    <i r="3">
      <x v="532"/>
    </i>
    <i r="3">
      <x v="533"/>
    </i>
    <i r="3">
      <x v="534"/>
    </i>
    <i r="3">
      <x v="535"/>
    </i>
    <i r="2">
      <x v="81"/>
      <x v="536"/>
    </i>
    <i r="2">
      <x v="82"/>
      <x v="537"/>
    </i>
    <i r="1">
      <x v="52"/>
      <x v="8"/>
      <x v="204"/>
    </i>
    <i r="3">
      <x v="168"/>
    </i>
    <i r="3">
      <x v="538"/>
    </i>
    <i r="1">
      <x v="20"/>
      <x v="83"/>
      <x v="539"/>
    </i>
    <i r="2">
      <x v="43"/>
      <x v="50"/>
    </i>
    <i r="2">
      <x v="84"/>
      <x v="540"/>
    </i>
    <i r="3">
      <x v="207"/>
    </i>
    <i r="3">
      <x v="534"/>
    </i>
    <i r="2">
      <x v="85"/>
      <x v="541"/>
    </i>
    <i r="1">
      <x v="53"/>
      <x v="84"/>
      <x v="542"/>
    </i>
    <i r="1">
      <x v="21"/>
      <x v="79"/>
      <x v="174"/>
    </i>
    <i r="2">
      <x v="64"/>
      <x v="543"/>
    </i>
    <i r="3">
      <x v="544"/>
    </i>
    <i r="3">
      <x v="545"/>
    </i>
    <i r="3">
      <x v="546"/>
    </i>
    <i r="3">
      <x v="166"/>
    </i>
    <i r="2">
      <x v="6"/>
      <x v="79"/>
    </i>
    <i r="2">
      <x v="16"/>
      <x v="292"/>
    </i>
    <i r="2">
      <x v="9"/>
      <x/>
    </i>
    <i r="3">
      <x v="29"/>
    </i>
    <i r="3">
      <x v="30"/>
    </i>
    <i r="3">
      <x v="547"/>
    </i>
    <i r="3">
      <x v="548"/>
    </i>
    <i r="3">
      <x v="549"/>
    </i>
    <i r="3">
      <x v="217"/>
    </i>
    <i r="3">
      <x v="82"/>
    </i>
    <i r="3">
      <x v="550"/>
    </i>
    <i r="3">
      <x v="551"/>
    </i>
    <i r="3">
      <x v="552"/>
    </i>
    <i r="3">
      <x v="553"/>
    </i>
    <i r="3">
      <x v="554"/>
    </i>
    <i r="3">
      <x v="384"/>
    </i>
    <i r="3">
      <x v="513"/>
    </i>
    <i r="3">
      <x v="337"/>
    </i>
    <i r="3">
      <x v="555"/>
    </i>
    <i r="3">
      <x v="556"/>
    </i>
    <i r="3">
      <x v="557"/>
    </i>
    <i r="3">
      <x v="558"/>
    </i>
    <i r="2">
      <x v="66"/>
      <x v="47"/>
    </i>
    <i r="3">
      <x v="328"/>
    </i>
    <i r="3">
      <x v="83"/>
    </i>
    <i r="1">
      <x v="55"/>
      <x v="9"/>
      <x v="202"/>
    </i>
    <i r="3">
      <x v="350"/>
    </i>
    <i r="3">
      <x v="559"/>
    </i>
    <i r="1">
      <x v="22"/>
      <x v="13"/>
      <x v="289"/>
    </i>
    <i r="3">
      <x v="94"/>
    </i>
    <i r="3">
      <x v="560"/>
    </i>
    <i r="3">
      <x v="561"/>
    </i>
    <i r="3">
      <x v="562"/>
    </i>
    <i r="3">
      <x v="369"/>
    </i>
    <i r="3">
      <x v="386"/>
    </i>
    <i r="2">
      <x v="18"/>
      <x v="563"/>
    </i>
    <i r="3">
      <x v="168"/>
    </i>
    <i r="2">
      <x v="19"/>
      <x v="564"/>
    </i>
    <i r="2">
      <x v="68"/>
      <x v="565"/>
    </i>
    <i r="3">
      <x v="566"/>
    </i>
    <i r="2">
      <x v="86"/>
      <x v="567"/>
    </i>
    <i r="3">
      <x v="211"/>
    </i>
    <i r="2">
      <x v="87"/>
      <x v="202"/>
    </i>
    <i r="1">
      <x v="57"/>
      <x v="9"/>
      <x v="568"/>
    </i>
    <i r="2">
      <x v="88"/>
      <x v="317"/>
    </i>
    <i r="1">
      <x v="24"/>
      <x v="64"/>
      <x v="569"/>
    </i>
    <i r="3">
      <x v="570"/>
    </i>
    <i r="3">
      <x v="571"/>
    </i>
    <i r="3">
      <x v="572"/>
    </i>
    <i r="2">
      <x v="7"/>
      <x v="115"/>
    </i>
    <i r="2">
      <x v="16"/>
      <x v="573"/>
    </i>
    <i r="2">
      <x v="9"/>
      <x v="1"/>
    </i>
    <i r="2">
      <x v="17"/>
      <x v="57"/>
    </i>
    <i r="3">
      <x v="574"/>
    </i>
    <i r="3">
      <x v="575"/>
    </i>
    <i r="3">
      <x v="576"/>
    </i>
    <i r="3">
      <x v="224"/>
    </i>
    <i r="3">
      <x v="577"/>
    </i>
    <i r="3">
      <x v="564"/>
    </i>
    <i r="3">
      <x v="212"/>
    </i>
    <i r="1">
      <x v="72"/>
      <x v="31"/>
      <x v="563"/>
    </i>
    <i r="1">
      <x v="73"/>
      <x v="31"/>
      <x v="578"/>
    </i>
    <i r="3">
      <x v="579"/>
    </i>
    <i r="3">
      <x v="580"/>
    </i>
    <i r="3">
      <x v="581"/>
    </i>
    <i r="1">
      <x v="74"/>
      <x v="31"/>
      <x v="457"/>
    </i>
    <i r="1">
      <x v="25"/>
      <x v="20"/>
      <x v="21"/>
    </i>
    <i r="3">
      <x v="138"/>
    </i>
    <i r="3">
      <x v="582"/>
    </i>
    <i r="1">
      <x v="26"/>
      <x v="21"/>
      <x v="583"/>
    </i>
    <i r="1">
      <x v="75"/>
      <x v="89"/>
      <x v="584"/>
    </i>
    <i>
      <x v="8"/>
      <x v="15"/>
      <x v="9"/>
      <x v="384"/>
    </i>
    <i r="1">
      <x v="21"/>
      <x v="9"/>
      <x v="221"/>
    </i>
    <i>
      <x v="9"/>
      <x v="63"/>
      <x v="90"/>
      <x v="39"/>
    </i>
    <i r="1">
      <x v="1"/>
      <x v="73"/>
      <x v="54"/>
    </i>
    <i r="3">
      <x v="585"/>
    </i>
    <i r="3">
      <x v="289"/>
    </i>
    <i r="3">
      <x v="192"/>
    </i>
    <i r="2">
      <x v="91"/>
      <x v="586"/>
    </i>
    <i r="1">
      <x v="76"/>
      <x v="92"/>
      <x v="26"/>
    </i>
    <i r="1">
      <x v="77"/>
      <x v="75"/>
      <x v="88"/>
    </i>
    <i r="1">
      <x v="65"/>
      <x v="93"/>
      <x v="132"/>
    </i>
    <i r="2">
      <x v="75"/>
      <x v="142"/>
    </i>
    <i r="2">
      <x v="76"/>
      <x v="226"/>
    </i>
    <i r="1">
      <x v="2"/>
      <x v="1"/>
      <x v="444"/>
    </i>
    <i r="1">
      <x v="3"/>
      <x v="73"/>
      <x v="132"/>
    </i>
    <i r="1">
      <x v="78"/>
      <x v="36"/>
      <x v="128"/>
    </i>
    <i r="1">
      <x v="79"/>
      <x v="36"/>
      <x v="19"/>
    </i>
    <i r="1">
      <x v="80"/>
      <x v="94"/>
      <x v="70"/>
    </i>
    <i r="1">
      <x v="81"/>
      <x v="4"/>
      <x v="587"/>
    </i>
    <i r="3">
      <x v="38"/>
    </i>
    <i r="3">
      <x v="54"/>
    </i>
    <i r="3">
      <x v="588"/>
    </i>
    <i r="1">
      <x v="5"/>
      <x v="3"/>
      <x v="589"/>
    </i>
    <i r="3">
      <x v="590"/>
    </i>
    <i r="1">
      <x v="6"/>
      <x v="2"/>
      <x v="449"/>
    </i>
    <i r="1">
      <x v="7"/>
      <x v="2"/>
      <x v="591"/>
    </i>
    <i r="2">
      <x v="4"/>
      <x v="450"/>
    </i>
    <i r="3">
      <x v="592"/>
    </i>
    <i r="3">
      <x v="593"/>
    </i>
    <i r="1">
      <x v="8"/>
      <x v="5"/>
      <x v="450"/>
    </i>
    <i r="3">
      <x v="594"/>
    </i>
    <i r="3">
      <x v="595"/>
    </i>
    <i r="3">
      <x v="596"/>
    </i>
    <i r="3">
      <x v="128"/>
    </i>
    <i r="3">
      <x v="597"/>
    </i>
    <i r="3">
      <x v="598"/>
    </i>
    <i r="3">
      <x v="599"/>
    </i>
    <i r="3">
      <x v="133"/>
    </i>
    <i r="1">
      <x v="9"/>
      <x v="4"/>
      <x v="600"/>
    </i>
    <i r="1">
      <x v="10"/>
      <x v="5"/>
      <x v="601"/>
    </i>
    <i r="1">
      <x v="82"/>
      <x v="20"/>
      <x v="27"/>
    </i>
    <i r="1">
      <x v="11"/>
      <x v="39"/>
      <x v="256"/>
    </i>
    <i r="3">
      <x v="602"/>
    </i>
    <i r="3">
      <x v="39"/>
    </i>
    <i r="3">
      <x/>
    </i>
    <i r="2">
      <x v="8"/>
      <x v="129"/>
    </i>
    <i r="3">
      <x v="120"/>
    </i>
    <i r="3">
      <x v="603"/>
    </i>
    <i r="3">
      <x v="7"/>
    </i>
    <i r="3">
      <x v="604"/>
    </i>
    <i r="3">
      <x v="586"/>
    </i>
    <i r="3">
      <x v="605"/>
    </i>
    <i r="3">
      <x v="3"/>
    </i>
    <i r="3">
      <x v="36"/>
    </i>
    <i r="3">
      <x v="256"/>
    </i>
    <i r="3">
      <x v="4"/>
    </i>
    <i r="3">
      <x v="444"/>
    </i>
    <i r="3">
      <x v="606"/>
    </i>
    <i r="3">
      <x v="39"/>
    </i>
    <i r="3">
      <x v="438"/>
    </i>
    <i r="3">
      <x v="301"/>
    </i>
    <i r="3">
      <x v="493"/>
    </i>
    <i r="2">
      <x v="58"/>
      <x v="607"/>
    </i>
    <i r="3">
      <x v="38"/>
    </i>
    <i r="1">
      <x v="47"/>
      <x v="39"/>
      <x v="298"/>
    </i>
    <i r="2">
      <x v="8"/>
      <x v="256"/>
    </i>
    <i r="1">
      <x v="12"/>
      <x v="6"/>
      <x v="39"/>
    </i>
    <i r="2">
      <x v="9"/>
      <x v="54"/>
    </i>
    <i r="3">
      <x v="30"/>
    </i>
    <i r="3">
      <x v="608"/>
    </i>
    <i r="3">
      <x v="192"/>
    </i>
    <i r="1">
      <x v="13"/>
      <x v="9"/>
      <x v="56"/>
    </i>
    <i r="3">
      <x v="609"/>
    </i>
    <i r="1">
      <x v="14"/>
      <x v="8"/>
      <x v="439"/>
    </i>
    <i r="3">
      <x v="610"/>
    </i>
    <i r="3">
      <x v="611"/>
    </i>
    <i r="3">
      <x v="612"/>
    </i>
    <i r="3">
      <x v="613"/>
    </i>
    <i r="3">
      <x v="614"/>
    </i>
    <i r="3">
      <x v="615"/>
    </i>
    <i r="3">
      <x v="616"/>
    </i>
    <i r="3">
      <x v="617"/>
    </i>
    <i r="3">
      <x v="618"/>
    </i>
    <i r="3">
      <x v="619"/>
    </i>
    <i r="3">
      <x v="94"/>
    </i>
    <i r="3">
      <x v="620"/>
    </i>
    <i r="3">
      <x v="294"/>
    </i>
    <i r="3">
      <x v="621"/>
    </i>
    <i r="3">
      <x v="384"/>
    </i>
    <i r="3">
      <x v="622"/>
    </i>
    <i r="3">
      <x v="623"/>
    </i>
    <i r="2">
      <x v="81"/>
      <x v="56"/>
    </i>
    <i r="3">
      <x v="1"/>
    </i>
    <i r="3">
      <x v="624"/>
    </i>
    <i r="1">
      <x v="83"/>
      <x v="95"/>
      <x v="294"/>
    </i>
    <i r="1">
      <x v="39"/>
      <x v="11"/>
      <x v="144"/>
    </i>
    <i r="2">
      <x v="43"/>
      <x v="625"/>
    </i>
    <i r="2">
      <x v="8"/>
      <x v="560"/>
    </i>
    <i r="1">
      <x v="15"/>
      <x v="40"/>
      <x v="626"/>
    </i>
    <i r="2">
      <x v="39"/>
      <x v="39"/>
    </i>
    <i r="3">
      <x v="493"/>
    </i>
    <i r="3">
      <x v="627"/>
    </i>
    <i r="3">
      <x v="628"/>
    </i>
    <i r="2">
      <x v="6"/>
      <x v="54"/>
    </i>
    <i r="3">
      <x v="30"/>
    </i>
    <i r="3">
      <x v="307"/>
    </i>
    <i r="3">
      <x v="629"/>
    </i>
    <i r="3">
      <x v="94"/>
    </i>
    <i r="2">
      <x v="96"/>
      <x v="260"/>
    </i>
    <i r="2">
      <x v="7"/>
      <x v="493"/>
    </i>
    <i r="3">
      <x v="328"/>
    </i>
    <i r="2">
      <x v="9"/>
      <x v="630"/>
    </i>
    <i r="3">
      <x v="602"/>
    </i>
    <i r="3">
      <x v="606"/>
    </i>
    <i r="3">
      <x v="631"/>
    </i>
    <i r="3">
      <x v="142"/>
    </i>
    <i r="3">
      <x v="463"/>
    </i>
    <i r="3">
      <x v="54"/>
    </i>
    <i r="3">
      <x v="134"/>
    </i>
    <i r="3">
      <x v="632"/>
    </i>
    <i r="3">
      <x/>
    </i>
    <i r="3">
      <x v="137"/>
    </i>
    <i r="3">
      <x v="633"/>
    </i>
    <i r="3">
      <x v="115"/>
    </i>
    <i r="3">
      <x v="634"/>
    </i>
    <i r="3">
      <x v="635"/>
    </i>
    <i r="3">
      <x v="636"/>
    </i>
    <i r="3">
      <x v="637"/>
    </i>
    <i r="3">
      <x v="638"/>
    </i>
    <i r="3">
      <x v="159"/>
    </i>
    <i r="3">
      <x v="192"/>
    </i>
    <i r="3">
      <x v="499"/>
    </i>
    <i r="3">
      <x v="639"/>
    </i>
    <i r="3">
      <x v="70"/>
    </i>
    <i r="3">
      <x v="640"/>
    </i>
    <i r="3">
      <x v="641"/>
    </i>
    <i r="3">
      <x v="642"/>
    </i>
    <i r="3">
      <x v="643"/>
    </i>
    <i r="3">
      <x v="644"/>
    </i>
    <i r="3">
      <x v="337"/>
    </i>
    <i r="3">
      <x v="645"/>
    </i>
    <i r="3">
      <x v="221"/>
    </i>
    <i r="3">
      <x v="168"/>
    </i>
    <i r="3">
      <x v="646"/>
    </i>
    <i r="3">
      <x v="647"/>
    </i>
    <i r="3">
      <x v="648"/>
    </i>
    <i r="3">
      <x v="649"/>
    </i>
    <i r="2">
      <x v="97"/>
      <x v="650"/>
    </i>
    <i r="2">
      <x v="58"/>
      <x v="651"/>
    </i>
    <i r="2">
      <x v="98"/>
      <x v="92"/>
    </i>
    <i r="1">
      <x v="16"/>
      <x v="13"/>
      <x v="76"/>
    </i>
    <i r="3">
      <x v="652"/>
    </i>
    <i r="3">
      <x v="307"/>
    </i>
    <i r="3">
      <x v="653"/>
    </i>
    <i r="3">
      <x v="70"/>
    </i>
    <i r="3">
      <x v="654"/>
    </i>
    <i r="2">
      <x v="18"/>
      <x v="62"/>
    </i>
    <i r="2">
      <x v="88"/>
      <x v="655"/>
    </i>
    <i r="1">
      <x v="50"/>
      <x v="9"/>
      <x v="656"/>
    </i>
    <i r="3">
      <x v="657"/>
    </i>
    <i r="1">
      <x v="18"/>
      <x v="16"/>
      <x v="658"/>
    </i>
    <i r="2">
      <x v="9"/>
      <x v="471"/>
    </i>
    <i r="2">
      <x v="99"/>
      <x v="659"/>
    </i>
    <i r="3">
      <x v="660"/>
    </i>
    <i r="2">
      <x v="17"/>
      <x v="146"/>
    </i>
    <i r="3">
      <x v="653"/>
    </i>
    <i r="3">
      <x v="289"/>
    </i>
    <i r="3">
      <x v="185"/>
    </i>
    <i r="3">
      <x v="205"/>
    </i>
    <i r="1">
      <x v="19"/>
      <x v="39"/>
      <x v="30"/>
    </i>
    <i r="2">
      <x v="6"/>
      <x v="223"/>
    </i>
    <i r="2">
      <x v="8"/>
      <x v="661"/>
    </i>
    <i r="3">
      <x v="285"/>
    </i>
    <i r="3">
      <x v="69"/>
    </i>
    <i r="3">
      <x v="221"/>
    </i>
    <i r="3">
      <x v="656"/>
    </i>
    <i r="3">
      <x v="484"/>
    </i>
    <i r="3">
      <x v="662"/>
    </i>
    <i r="3">
      <x v="663"/>
    </i>
    <i r="3">
      <x v="664"/>
    </i>
    <i r="2">
      <x v="100"/>
      <x v="665"/>
    </i>
    <i r="2">
      <x v="81"/>
      <x v="666"/>
    </i>
    <i r="2">
      <x v="101"/>
      <x v="94"/>
    </i>
    <i r="1">
      <x v="84"/>
      <x v="23"/>
      <x v="168"/>
    </i>
    <i r="1">
      <x v="52"/>
      <x v="8"/>
      <x v="667"/>
    </i>
    <i r="3">
      <x v="221"/>
    </i>
    <i r="3">
      <x v="198"/>
    </i>
    <i r="3">
      <x v="668"/>
    </i>
    <i r="3">
      <x v="669"/>
    </i>
    <i r="3">
      <x v="670"/>
    </i>
    <i r="3">
      <x v="80"/>
    </i>
    <i r="3">
      <x v="671"/>
    </i>
    <i r="3">
      <x v="424"/>
    </i>
    <i r="3">
      <x v="672"/>
    </i>
    <i r="2">
      <x v="102"/>
      <x v="673"/>
    </i>
    <i r="1">
      <x v="20"/>
      <x v="103"/>
      <x v="674"/>
    </i>
    <i r="3">
      <x v="675"/>
    </i>
    <i r="2">
      <x v="67"/>
      <x v="676"/>
    </i>
    <i r="2">
      <x v="43"/>
      <x v="289"/>
    </i>
    <i r="3">
      <x v="677"/>
    </i>
    <i r="2">
      <x v="46"/>
      <x v="678"/>
    </i>
    <i r="1">
      <x v="40"/>
      <x v="19"/>
      <x v="679"/>
    </i>
    <i r="2">
      <x v="46"/>
      <x v="680"/>
    </i>
    <i r="3">
      <x v="681"/>
    </i>
    <i r="1">
      <x v="53"/>
      <x v="104"/>
      <x v="214"/>
    </i>
    <i r="2">
      <x v="89"/>
      <x v="682"/>
    </i>
    <i r="1">
      <x v="21"/>
      <x v="40"/>
      <x v="683"/>
    </i>
    <i r="2">
      <x v="39"/>
      <x v="471"/>
    </i>
    <i r="3">
      <x v="50"/>
    </i>
    <i r="3">
      <x v="289"/>
    </i>
    <i r="2">
      <x v="6"/>
      <x v="684"/>
    </i>
    <i r="3">
      <x v="58"/>
    </i>
    <i r="3">
      <x v="625"/>
    </i>
    <i r="3">
      <x v="287"/>
    </i>
    <i r="3">
      <x v="192"/>
    </i>
    <i r="2">
      <x v="9"/>
      <x v="76"/>
    </i>
    <i r="3">
      <x v="685"/>
    </i>
    <i r="3">
      <x v="686"/>
    </i>
    <i r="3">
      <x v="384"/>
    </i>
    <i r="3">
      <x v="687"/>
    </i>
    <i r="3">
      <x v="221"/>
    </i>
    <i r="3">
      <x v="688"/>
    </i>
    <i r="3">
      <x v="656"/>
    </i>
    <i r="3">
      <x v="689"/>
    </i>
    <i r="3">
      <x v="202"/>
    </i>
    <i r="3">
      <x v="690"/>
    </i>
    <i r="3">
      <x v="691"/>
    </i>
    <i r="3">
      <x v="374"/>
    </i>
    <i r="3">
      <x v="191"/>
    </i>
    <i r="3">
      <x v="692"/>
    </i>
    <i r="3">
      <x v="693"/>
    </i>
    <i r="3">
      <x v="557"/>
    </i>
    <i r="3">
      <x v="694"/>
    </i>
    <i r="3">
      <x v="80"/>
    </i>
    <i r="3">
      <x v="695"/>
    </i>
    <i r="3">
      <x v="696"/>
    </i>
    <i r="3">
      <x v="424"/>
    </i>
    <i r="3">
      <x v="697"/>
    </i>
    <i r="3">
      <x v="698"/>
    </i>
    <i r="3">
      <x v="699"/>
    </i>
    <i r="3">
      <x v="700"/>
    </i>
    <i r="2">
      <x v="88"/>
      <x v="701"/>
    </i>
    <i r="2">
      <x v="98"/>
      <x v="50"/>
    </i>
    <i r="1">
      <x v="55"/>
      <x v="6"/>
      <x v="702"/>
    </i>
    <i r="2">
      <x v="100"/>
      <x v="703"/>
    </i>
    <i r="1">
      <x v="22"/>
      <x v="50"/>
      <x v="704"/>
    </i>
    <i r="3">
      <x v="705"/>
    </i>
    <i r="2">
      <x v="13"/>
      <x v="70"/>
    </i>
    <i r="3">
      <x v="706"/>
    </i>
    <i r="3">
      <x v="207"/>
    </i>
    <i r="2">
      <x v="14"/>
      <x v="686"/>
    </i>
    <i r="3">
      <x v="153"/>
    </i>
    <i r="3">
      <x v="314"/>
    </i>
    <i r="3">
      <x v="294"/>
    </i>
    <i r="3">
      <x v="561"/>
    </i>
    <i r="2">
      <x v="105"/>
      <x v="311"/>
    </i>
    <i r="3">
      <x v="707"/>
    </i>
    <i r="3">
      <x v="563"/>
    </i>
    <i r="2">
      <x v="18"/>
      <x v="82"/>
    </i>
    <i r="3">
      <x v="505"/>
    </i>
    <i r="3">
      <x v="61"/>
    </i>
    <i r="3">
      <x v="708"/>
    </i>
    <i r="3">
      <x v="337"/>
    </i>
    <i r="3">
      <x v="221"/>
    </i>
    <i r="3">
      <x v="202"/>
    </i>
    <i r="2">
      <x v="88"/>
      <x v="61"/>
    </i>
    <i r="2">
      <x v="68"/>
      <x v="709"/>
    </i>
    <i r="2">
      <x v="106"/>
      <x v="215"/>
    </i>
    <i r="1">
      <x v="57"/>
      <x v="107"/>
      <x v="710"/>
    </i>
    <i r="3">
      <x v="212"/>
    </i>
    <i r="1">
      <x v="24"/>
      <x v="16"/>
      <x v="241"/>
    </i>
    <i r="2">
      <x v="9"/>
      <x v="626"/>
    </i>
    <i r="2">
      <x v="99"/>
      <x v="711"/>
    </i>
    <i r="3">
      <x v="712"/>
    </i>
    <i r="2">
      <x v="17"/>
      <x v="713"/>
    </i>
    <i r="3">
      <x v="714"/>
    </i>
    <i r="3">
      <x v="221"/>
    </i>
    <i r="3">
      <x v="715"/>
    </i>
    <i r="3">
      <x v="670"/>
    </i>
    <i r="1">
      <x v="73"/>
      <x v="31"/>
      <x v="337"/>
    </i>
    <i r="1">
      <x v="44"/>
      <x v="31"/>
      <x v="61"/>
    </i>
    <i r="1">
      <x v="26"/>
      <x v="21"/>
      <x v="226"/>
    </i>
    <i r="3">
      <x v="131"/>
    </i>
    <i r="3">
      <x v="19"/>
    </i>
    <i r="3">
      <x v="716"/>
    </i>
    <i r="1">
      <x v="85"/>
      <x v="107"/>
      <x v="717"/>
    </i>
    <i>
      <x v="10"/>
      <x v="21"/>
      <x v="9"/>
      <x v="207"/>
    </i>
    <i r="3">
      <x v="670"/>
    </i>
    <i r="1">
      <x v="24"/>
      <x v="9"/>
      <x v="80"/>
    </i>
    <i>
      <x v="11"/>
      <x v="38"/>
      <x v="2"/>
      <x v="718"/>
    </i>
    <i r="3">
      <x v="450"/>
    </i>
    <i r="3">
      <x v="719"/>
    </i>
    <i r="1">
      <x v="86"/>
      <x v="4"/>
      <x v="592"/>
    </i>
    <i r="1">
      <x v="8"/>
      <x v="5"/>
      <x v="128"/>
    </i>
    <i r="1">
      <x v="10"/>
      <x v="5"/>
      <x v="120"/>
    </i>
    <i r="3">
      <x v="21"/>
    </i>
    <i>
      <x v="12"/>
      <x v="15"/>
      <x v="9"/>
      <x v="318"/>
    </i>
    <i r="3">
      <x v="621"/>
    </i>
    <i r="1">
      <x v="55"/>
      <x v="25"/>
      <x v="720"/>
    </i>
    <i r="1">
      <x v="56"/>
      <x v="25"/>
      <x v="168"/>
    </i>
    <i r="3">
      <x v="721"/>
    </i>
    <i r="1">
      <x v="87"/>
      <x v="15"/>
      <x v="62"/>
    </i>
    <i>
      <x v="13"/>
      <x v="16"/>
      <x v="13"/>
      <x v="722"/>
    </i>
    <i r="3">
      <x v="723"/>
    </i>
    <i r="3">
      <x v="318"/>
    </i>
    <i r="3">
      <x v="724"/>
    </i>
    <i r="3">
      <x v="725"/>
    </i>
    <i r="3">
      <x v="294"/>
    </i>
    <i r="1">
      <x v="20"/>
      <x v="18"/>
      <x v="726"/>
    </i>
    <i r="3">
      <x v="727"/>
    </i>
    <i r="3">
      <x v="728"/>
    </i>
    <i r="3">
      <x v="729"/>
    </i>
    <i r="3">
      <x v="730"/>
    </i>
    <i r="2">
      <x v="43"/>
      <x v="167"/>
    </i>
    <i r="3">
      <x v="270"/>
    </i>
    <i r="3">
      <x v="731"/>
    </i>
    <i r="2">
      <x v="44"/>
      <x v="205"/>
    </i>
    <i r="2">
      <x v="45"/>
      <x v="732"/>
    </i>
    <i r="3">
      <x v="733"/>
    </i>
    <i r="1">
      <x v="40"/>
      <x v="45"/>
      <x v="118"/>
    </i>
    <i r="2">
      <x v="46"/>
      <x v="734"/>
    </i>
    <i r="3">
      <x v="735"/>
    </i>
    <i r="1">
      <x v="53"/>
      <x v="46"/>
      <x v="382"/>
    </i>
    <i r="1">
      <x v="88"/>
      <x v="108"/>
      <x v="177"/>
    </i>
    <i r="1">
      <x v="21"/>
      <x v="13"/>
      <x v="157"/>
    </i>
    <i r="1">
      <x v="22"/>
      <x v="13"/>
      <x v="736"/>
    </i>
    <i r="3">
      <x v="82"/>
    </i>
    <i r="3">
      <x v="737"/>
    </i>
    <i r="3">
      <x v="294"/>
    </i>
    <i r="3">
      <x v="738"/>
    </i>
    <i r="2">
      <x v="14"/>
      <x v="737"/>
    </i>
    <i r="3">
      <x v="294"/>
    </i>
    <i r="3">
      <x v="61"/>
    </i>
    <i r="3">
      <x v="739"/>
    </i>
    <i r="3">
      <x v="384"/>
    </i>
    <i r="3">
      <x v="740"/>
    </i>
    <i r="3">
      <x v="205"/>
    </i>
    <i r="2">
      <x v="18"/>
      <x v="741"/>
    </i>
    <i r="3">
      <x v="742"/>
    </i>
    <i r="3">
      <x v="743"/>
    </i>
    <i r="3">
      <x v="168"/>
    </i>
    <i r="3">
      <x v="744"/>
    </i>
    <i r="3">
      <x v="745"/>
    </i>
    <i r="3">
      <x v="746"/>
    </i>
    <i r="3">
      <x v="747"/>
    </i>
    <i r="3">
      <x v="80"/>
    </i>
    <i r="2">
      <x v="19"/>
      <x v="748"/>
    </i>
    <i r="3">
      <x v="670"/>
    </i>
    <i r="3">
      <x v="749"/>
    </i>
    <i r="3">
      <x v="542"/>
    </i>
    <i r="3">
      <x v="750"/>
    </i>
    <i r="3">
      <x v="751"/>
    </i>
    <i r="3">
      <x v="212"/>
    </i>
    <i r="3">
      <x v="424"/>
    </i>
    <i r="1">
      <x v="41"/>
      <x v="19"/>
      <x v="752"/>
    </i>
    <i>
      <x v="14"/>
      <x v="19"/>
      <x v="8"/>
      <x v="677"/>
    </i>
    <i r="1">
      <x v="21"/>
      <x v="9"/>
      <x v="168"/>
    </i>
    <i r="1">
      <x v="22"/>
      <x v="18"/>
      <x v="81"/>
    </i>
    <i r="3">
      <x v="539"/>
    </i>
    <i r="3">
      <x v="753"/>
    </i>
    <i r="1">
      <x v="41"/>
      <x v="48"/>
      <x v="754"/>
    </i>
    <i r="3">
      <x v="755"/>
    </i>
    <i>
      <x v="15"/>
      <x v="7"/>
      <x v="4"/>
      <x v="15"/>
    </i>
    <i r="1">
      <x v="15"/>
      <x v="9"/>
      <x v="221"/>
    </i>
    <i r="1">
      <x v="21"/>
      <x v="6"/>
      <x v="715"/>
    </i>
    <i r="2">
      <x v="9"/>
      <x v="205"/>
    </i>
    <i r="3">
      <x v="161"/>
    </i>
    <i r="3">
      <x v="563"/>
    </i>
    <i r="2">
      <x v="109"/>
      <x v="168"/>
    </i>
    <i r="1">
      <x v="22"/>
      <x v="13"/>
      <x v="563"/>
    </i>
    <i r="1">
      <x v="89"/>
      <x v="110"/>
      <x v="1"/>
    </i>
    <i>
      <x v="16"/>
      <x v="11"/>
      <x v="8"/>
      <x v="35"/>
    </i>
    <i r="1">
      <x v="47"/>
      <x v="8"/>
      <x v="631"/>
    </i>
    <i r="1">
      <x v="12"/>
      <x v="9"/>
      <x v="444"/>
    </i>
    <i r="3">
      <x v="223"/>
    </i>
    <i r="1">
      <x v="14"/>
      <x v="8"/>
      <x v="756"/>
    </i>
    <i r="3">
      <x v="757"/>
    </i>
    <i r="3">
      <x v="758"/>
    </i>
    <i r="3">
      <x v="759"/>
    </i>
    <i r="3">
      <x v="724"/>
    </i>
    <i r="3">
      <x v="760"/>
    </i>
    <i r="3">
      <x v="292"/>
    </i>
    <i r="3">
      <x v="761"/>
    </i>
    <i r="3">
      <x v="309"/>
    </i>
    <i r="3">
      <x v="762"/>
    </i>
    <i r="3">
      <x v="763"/>
    </i>
    <i r="3">
      <x v="764"/>
    </i>
    <i r="3">
      <x v="765"/>
    </i>
    <i r="3">
      <x v="507"/>
    </i>
    <i r="1">
      <x v="48"/>
      <x v="8"/>
      <x v="766"/>
    </i>
    <i r="1">
      <x v="15"/>
      <x v="9"/>
      <x v="767"/>
    </i>
    <i r="3">
      <x v="520"/>
    </i>
    <i r="3">
      <x v="768"/>
    </i>
    <i r="3">
      <x v="500"/>
    </i>
    <i r="3">
      <x v="769"/>
    </i>
    <i r="3">
      <x v="549"/>
    </i>
    <i r="3">
      <x v="770"/>
    </i>
    <i r="3">
      <x v="422"/>
    </i>
    <i r="3">
      <x v="771"/>
    </i>
    <i r="3">
      <x v="766"/>
    </i>
    <i r="3">
      <x v="772"/>
    </i>
    <i r="1">
      <x v="19"/>
      <x v="111"/>
      <x v="524"/>
    </i>
    <i r="3">
      <x v="773"/>
    </i>
    <i r="3">
      <x v="774"/>
    </i>
    <i r="3">
      <x v="775"/>
    </i>
    <i r="2">
      <x v="8"/>
      <x v="776"/>
    </i>
    <i r="3">
      <x v="337"/>
    </i>
    <i r="3">
      <x v="777"/>
    </i>
    <i r="3">
      <x v="778"/>
    </i>
    <i r="1">
      <x v="52"/>
      <x v="111"/>
      <x v="779"/>
    </i>
    <i r="3">
      <x v="350"/>
    </i>
    <i r="2">
      <x v="8"/>
      <x v="780"/>
    </i>
    <i r="1">
      <x v="21"/>
      <x v="9"/>
      <x v="781"/>
    </i>
    <i r="3">
      <x v="782"/>
    </i>
    <i r="3">
      <x v="783"/>
    </i>
    <i r="3">
      <x v="784"/>
    </i>
    <i r="3">
      <x v="177"/>
    </i>
    <i r="1">
      <x v="90"/>
      <x v="3"/>
      <x v="39"/>
    </i>
    <i>
      <x v="17"/>
      <x v="38"/>
      <x v="4"/>
      <x v="785"/>
    </i>
    <i r="3">
      <x v="786"/>
    </i>
    <i r="1">
      <x v="8"/>
      <x v="5"/>
      <x v="787"/>
    </i>
    <i r="3">
      <x v="788"/>
    </i>
    <i>
      <x v="18"/>
      <x v="14"/>
      <x v="6"/>
      <x v="312"/>
    </i>
    <i r="1">
      <x v="15"/>
      <x v="16"/>
      <x v="789"/>
    </i>
    <i r="1">
      <x v="18"/>
      <x v="16"/>
      <x v="294"/>
    </i>
    <i r="1">
      <x v="24"/>
      <x v="16"/>
      <x v="790"/>
    </i>
    <i t="grand">
      <x/>
    </i>
  </rowItems>
  <formats count="445">
    <format dxfId="889">
      <pivotArea field="3" type="button" dataOnly="0" labelOnly="1" outline="0" axis="axisRow" fieldPosition="3"/>
    </format>
    <format dxfId="888">
      <pivotArea dataOnly="0" labelOnly="1" grandRow="1" outline="0" fieldPosition="0"/>
    </format>
    <format dxfId="887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>
            <x v="0"/>
          </reference>
        </references>
      </pivotArea>
    </format>
    <format dxfId="886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  <reference field="3" count="1">
            <x v="1"/>
          </reference>
        </references>
      </pivotArea>
    </format>
    <format dxfId="885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"/>
          </reference>
          <reference field="2" count="1" selected="0">
            <x v="2"/>
          </reference>
          <reference field="3" count="3">
            <x v="2"/>
            <x v="3"/>
            <x v="4"/>
          </reference>
        </references>
      </pivotArea>
    </format>
    <format dxfId="884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"/>
          </reference>
          <reference field="2" count="1" selected="0">
            <x v="3"/>
          </reference>
          <reference field="3" count="5">
            <x v="5"/>
            <x v="6"/>
            <x v="7"/>
            <x v="8"/>
            <x v="9"/>
          </reference>
        </references>
      </pivotArea>
    </format>
    <format dxfId="883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2"/>
          </reference>
          <reference field="2" count="1" selected="0">
            <x v="4"/>
          </reference>
          <reference field="3" count="4">
            <x v="10"/>
            <x v="11"/>
            <x v="12"/>
            <x v="13"/>
          </reference>
        </references>
      </pivotArea>
    </format>
    <format dxfId="882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3"/>
          </reference>
          <reference field="2" count="1" selected="0">
            <x v="5"/>
          </reference>
          <reference field="3" count="1">
            <x v="14"/>
          </reference>
        </references>
      </pivotArea>
    </format>
    <format dxfId="881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2"/>
          </reference>
          <reference field="2" count="1" selected="0">
            <x v="6"/>
          </reference>
          <reference field="3" count="1">
            <x v="15"/>
          </reference>
        </references>
      </pivotArea>
    </format>
    <format dxfId="880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4"/>
          </reference>
          <reference field="2" count="1" selected="0">
            <x v="7"/>
          </reference>
          <reference field="3" count="7">
            <x v="16"/>
            <x v="17"/>
            <x v="18"/>
            <x v="19"/>
            <x v="20"/>
            <x v="21"/>
            <x v="22"/>
          </reference>
        </references>
      </pivotArea>
    </format>
    <format dxfId="879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5"/>
          </reference>
          <reference field="2" count="1" selected="0">
            <x v="8"/>
          </reference>
          <reference field="3" count="4">
            <x v="19"/>
            <x v="23"/>
            <x v="24"/>
            <x v="25"/>
          </reference>
        </references>
      </pivotArea>
    </format>
    <format dxfId="878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4"/>
          </reference>
          <reference field="2" count="1" selected="0">
            <x v="9"/>
          </reference>
          <reference field="3" count="1">
            <x v="26"/>
          </reference>
        </references>
      </pivotArea>
    </format>
    <format dxfId="877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5"/>
          </reference>
          <reference field="2" count="1" selected="0">
            <x v="10"/>
          </reference>
          <reference field="3" count="1">
            <x v="27"/>
          </reference>
        </references>
      </pivotArea>
    </format>
    <format dxfId="876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6"/>
          </reference>
          <reference field="2" count="1" selected="0">
            <x v="11"/>
          </reference>
          <reference field="3" count="3">
            <x v="28"/>
            <x v="29"/>
            <x v="30"/>
          </reference>
        </references>
      </pivotArea>
    </format>
    <format dxfId="875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7"/>
          </reference>
          <reference field="2" count="1" selected="0">
            <x v="11"/>
          </reference>
          <reference field="3" count="1">
            <x v="4"/>
          </reference>
        </references>
      </pivotArea>
    </format>
    <format dxfId="874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8"/>
          </reference>
          <reference field="2" count="1" selected="0">
            <x v="11"/>
          </reference>
          <reference field="3" count="8">
            <x v="3"/>
            <x v="21"/>
            <x v="31"/>
            <x v="32"/>
            <x v="33"/>
            <x v="34"/>
            <x v="35"/>
            <x v="36"/>
          </reference>
        </references>
      </pivotArea>
    </format>
    <format dxfId="873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9"/>
          </reference>
          <reference field="2" count="1" selected="0">
            <x v="12"/>
          </reference>
          <reference field="3" count="5">
            <x v="37"/>
            <x v="38"/>
            <x v="39"/>
            <x v="40"/>
            <x v="41"/>
          </reference>
        </references>
      </pivotArea>
    </format>
    <format dxfId="872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0"/>
          </reference>
          <reference field="2" count="1" selected="0">
            <x v="13"/>
          </reference>
          <reference field="3" count="4">
            <x v="42"/>
            <x v="43"/>
            <x v="44"/>
            <x v="45"/>
          </reference>
        </references>
      </pivotArea>
    </format>
    <format dxfId="871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9"/>
          </reference>
          <reference field="2" count="1" selected="0">
            <x v="13"/>
          </reference>
          <reference field="3" count="1">
            <x v="46"/>
          </reference>
        </references>
      </pivotArea>
    </format>
    <format dxfId="870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8"/>
          </reference>
          <reference field="2" count="1" selected="0">
            <x v="14"/>
          </reference>
          <reference field="3" count="2">
            <x v="44"/>
            <x v="47"/>
          </reference>
        </references>
      </pivotArea>
    </format>
    <format dxfId="869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6"/>
          </reference>
          <reference field="2" count="1" selected="0">
            <x v="15"/>
          </reference>
          <reference field="3" count="2">
            <x v="48"/>
            <x v="49"/>
          </reference>
        </references>
      </pivotArea>
    </format>
    <format dxfId="868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1"/>
          </reference>
          <reference field="2" count="1" selected="0">
            <x v="15"/>
          </reference>
          <reference field="3" count="2">
            <x v="50"/>
            <x v="51"/>
          </reference>
        </references>
      </pivotArea>
    </format>
    <format dxfId="867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2"/>
          </reference>
          <reference field="2" count="1" selected="0">
            <x v="15"/>
          </reference>
          <reference field="3" count="1">
            <x v="52"/>
          </reference>
        </references>
      </pivotArea>
    </format>
    <format dxfId="866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9"/>
          </reference>
          <reference field="2" count="1" selected="0">
            <x v="15"/>
          </reference>
          <reference field="3" count="6">
            <x v="40"/>
            <x v="53"/>
            <x v="54"/>
            <x v="55"/>
            <x v="56"/>
            <x v="57"/>
          </reference>
        </references>
      </pivotArea>
    </format>
    <format dxfId="865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3"/>
          </reference>
          <reference field="2" count="1" selected="0">
            <x v="16"/>
          </reference>
          <reference field="3" count="3">
            <x v="58"/>
            <x v="59"/>
            <x v="60"/>
          </reference>
        </references>
      </pivotArea>
    </format>
    <format dxfId="864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4"/>
          </reference>
          <reference field="2" count="1" selected="0">
            <x v="16"/>
          </reference>
          <reference field="3" count="1">
            <x v="61"/>
          </reference>
        </references>
      </pivotArea>
    </format>
    <format dxfId="863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5"/>
          </reference>
          <reference field="2" count="1" selected="0">
            <x v="17"/>
          </reference>
          <reference field="3" count="1">
            <x v="62"/>
          </reference>
        </references>
      </pivotArea>
    </format>
    <format dxfId="862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0"/>
          </reference>
          <reference field="2" count="1" selected="0">
            <x v="18"/>
          </reference>
          <reference field="3" count="1">
            <x v="63"/>
          </reference>
        </references>
      </pivotArea>
    </format>
    <format dxfId="861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6"/>
          </reference>
          <reference field="2" count="1" selected="0">
            <x v="18"/>
          </reference>
          <reference field="3" count="3">
            <x v="64"/>
            <x v="65"/>
            <x v="66"/>
          </reference>
        </references>
      </pivotArea>
    </format>
    <format dxfId="860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7"/>
          </reference>
          <reference field="2" count="1" selected="0">
            <x v="18"/>
          </reference>
          <reference field="3" count="4">
            <x v="67"/>
            <x v="68"/>
            <x v="69"/>
            <x v="70"/>
          </reference>
        </references>
      </pivotArea>
    </format>
    <format dxfId="859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8"/>
          </reference>
          <reference field="2" count="1" selected="0">
            <x v="19"/>
          </reference>
          <reference field="3" count="1">
            <x v="71"/>
          </reference>
        </references>
      </pivotArea>
    </format>
    <format dxfId="858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8"/>
          </reference>
          <reference field="2" count="1" selected="0">
            <x v="20"/>
          </reference>
          <reference field="3" count="1">
            <x v="72"/>
          </reference>
        </references>
      </pivotArea>
    </format>
    <format dxfId="857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6"/>
          </reference>
          <reference field="2" count="1" selected="0">
            <x v="21"/>
          </reference>
          <reference field="3" count="3">
            <x v="73"/>
            <x v="74"/>
            <x v="75"/>
          </reference>
        </references>
      </pivotArea>
    </format>
    <format dxfId="856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9"/>
          </reference>
          <reference field="2" count="1" selected="0">
            <x v="21"/>
          </reference>
          <reference field="3" count="1">
            <x v="1"/>
          </reference>
        </references>
      </pivotArea>
    </format>
    <format dxfId="855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3"/>
          </reference>
          <reference field="2" count="1" selected="0">
            <x v="22"/>
          </reference>
          <reference field="3" count="4">
            <x v="60"/>
            <x v="76"/>
            <x v="77"/>
            <x v="78"/>
          </reference>
        </references>
      </pivotArea>
    </format>
    <format dxfId="854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4"/>
          </reference>
          <reference field="2" count="1" selected="0">
            <x v="22"/>
          </reference>
          <reference field="3" count="1">
            <x v="79"/>
          </reference>
        </references>
      </pivotArea>
    </format>
    <format dxfId="853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8"/>
          </reference>
          <reference field="2" count="1" selected="0">
            <x v="22"/>
          </reference>
          <reference field="3" count="1">
            <x v="80"/>
          </reference>
        </references>
      </pivotArea>
    </format>
    <format dxfId="852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9"/>
          </reference>
          <reference field="2" count="1" selected="0">
            <x v="22"/>
          </reference>
          <reference field="3" count="1">
            <x v="81"/>
          </reference>
        </references>
      </pivotArea>
    </format>
    <format dxfId="851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5"/>
          </reference>
          <reference field="2" count="1" selected="0">
            <x v="23"/>
          </reference>
          <reference field="3" count="1">
            <x v="82"/>
          </reference>
        </references>
      </pivotArea>
    </format>
    <format dxfId="850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0"/>
          </reference>
          <reference field="2" count="1" selected="0">
            <x v="24"/>
          </reference>
          <reference field="3" count="1">
            <x v="83"/>
          </reference>
        </references>
      </pivotArea>
    </format>
    <format dxfId="849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6"/>
          </reference>
          <reference field="2" count="1" selected="0">
            <x v="24"/>
          </reference>
          <reference field="3" count="3">
            <x v="47"/>
            <x v="84"/>
            <x v="85"/>
          </reference>
        </references>
      </pivotArea>
    </format>
    <format dxfId="848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7"/>
          </reference>
          <reference field="2" count="1" selected="0">
            <x v="24"/>
          </reference>
          <reference field="3" count="1">
            <x v="86"/>
          </reference>
        </references>
      </pivotArea>
    </format>
    <format dxfId="847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20"/>
          </reference>
          <reference field="2" count="1" selected="0">
            <x v="25"/>
          </reference>
          <reference field="3" count="2">
            <x v="19"/>
            <x v="87"/>
          </reference>
        </references>
      </pivotArea>
    </format>
    <format dxfId="846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21"/>
          </reference>
          <reference field="2" count="1" selected="0">
            <x v="26"/>
          </reference>
          <reference field="3" count="3">
            <x v="88"/>
            <x v="89"/>
            <x v="90"/>
          </reference>
        </references>
      </pivotArea>
    </format>
    <format dxfId="845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22"/>
          </reference>
          <reference field="2" count="1" selected="0">
            <x v="27"/>
          </reference>
          <reference field="3" count="5">
            <x v="91"/>
            <x v="92"/>
            <x v="93"/>
            <x v="94"/>
            <x v="95"/>
          </reference>
        </references>
      </pivotArea>
    </format>
    <format dxfId="844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5"/>
          </reference>
          <reference field="2" count="1" selected="0">
            <x v="27"/>
          </reference>
          <reference field="3" count="1">
            <x v="96"/>
          </reference>
        </references>
      </pivotArea>
    </format>
    <format dxfId="843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23"/>
          </reference>
          <reference field="2" count="1" selected="0">
            <x v="27"/>
          </reference>
          <reference field="3" count="1">
            <x v="97"/>
          </reference>
        </references>
      </pivotArea>
    </format>
    <format dxfId="842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24"/>
          </reference>
          <reference field="2" count="1" selected="0">
            <x v="27"/>
          </reference>
          <reference field="3" count="1">
            <x v="98"/>
          </reference>
        </references>
      </pivotArea>
    </format>
    <format dxfId="841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25"/>
          </reference>
          <reference field="2" count="1" selected="0">
            <x v="27"/>
          </reference>
          <reference field="3" count="2">
            <x v="99"/>
            <x v="100"/>
          </reference>
        </references>
      </pivotArea>
    </format>
    <format dxfId="840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26"/>
          </reference>
          <reference field="2" count="1" selected="0">
            <x v="27"/>
          </reference>
          <reference field="3" count="2">
            <x v="101"/>
            <x v="102"/>
          </reference>
        </references>
      </pivotArea>
    </format>
    <format dxfId="839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27"/>
          </reference>
          <reference field="2" count="1" selected="0">
            <x v="28"/>
          </reference>
          <reference field="3" count="1">
            <x v="103"/>
          </reference>
        </references>
      </pivotArea>
    </format>
    <format dxfId="838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28"/>
          </reference>
          <reference field="2" count="1" selected="0">
            <x v="28"/>
          </reference>
          <reference field="3" count="1">
            <x v="104"/>
          </reference>
        </references>
      </pivotArea>
    </format>
    <format dxfId="837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29"/>
          </reference>
          <reference field="2" count="1" selected="0">
            <x v="28"/>
          </reference>
          <reference field="3" count="1">
            <x v="105"/>
          </reference>
        </references>
      </pivotArea>
    </format>
    <format dxfId="836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30"/>
          </reference>
          <reference field="2" count="1" selected="0">
            <x v="28"/>
          </reference>
          <reference field="3" count="1">
            <x v="106"/>
          </reference>
        </references>
      </pivotArea>
    </format>
    <format dxfId="835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31"/>
          </reference>
          <reference field="2" count="1" selected="0">
            <x v="29"/>
          </reference>
          <reference field="3" count="2">
            <x v="107"/>
            <x v="108"/>
          </reference>
        </references>
      </pivotArea>
    </format>
    <format dxfId="834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32"/>
          </reference>
          <reference field="2" count="1" selected="0">
            <x v="29"/>
          </reference>
          <reference field="3" count="2">
            <x v="109"/>
            <x v="110"/>
          </reference>
        </references>
      </pivotArea>
    </format>
    <format dxfId="833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5"/>
          </reference>
          <reference field="2" count="1" selected="0">
            <x v="30"/>
          </reference>
          <reference field="3" count="1">
            <x v="111"/>
          </reference>
        </references>
      </pivotArea>
    </format>
    <format dxfId="832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33"/>
          </reference>
          <reference field="2" count="1" selected="0">
            <x v="31"/>
          </reference>
          <reference field="3" count="1">
            <x v="112"/>
          </reference>
        </references>
      </pivotArea>
    </format>
    <format dxfId="831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34"/>
          </reference>
          <reference field="2" count="1" selected="0">
            <x v="3"/>
          </reference>
          <reference field="3" count="2">
            <x v="4"/>
            <x v="113"/>
          </reference>
        </references>
      </pivotArea>
    </format>
    <format dxfId="830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35"/>
          </reference>
          <reference field="2" count="1" selected="0">
            <x v="32"/>
          </reference>
          <reference field="3" count="1">
            <x v="114"/>
          </reference>
        </references>
      </pivotArea>
    </format>
    <format dxfId="829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36"/>
          </reference>
          <reference field="2" count="1" selected="0">
            <x v="33"/>
          </reference>
          <reference field="3" count="1">
            <x v="19"/>
          </reference>
        </references>
      </pivotArea>
    </format>
    <format dxfId="828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35"/>
          </reference>
          <reference field="2" count="1" selected="0">
            <x v="34"/>
          </reference>
          <reference field="3" count="1">
            <x v="11"/>
          </reference>
        </references>
      </pivotArea>
    </format>
    <format dxfId="827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37"/>
          </reference>
          <reference field="2" count="1" selected="0">
            <x v="35"/>
          </reference>
          <reference field="3" count="1">
            <x v="115"/>
          </reference>
        </references>
      </pivotArea>
    </format>
    <format dxfId="826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38"/>
          </reference>
          <reference field="2" count="1" selected="0">
            <x v="36"/>
          </reference>
          <reference field="3" count="1">
            <x v="116"/>
          </reference>
        </references>
      </pivotArea>
    </format>
    <format dxfId="825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38"/>
          </reference>
          <reference field="2" count="1" selected="0">
            <x v="37"/>
          </reference>
          <reference field="3" count="3">
            <x v="61"/>
            <x v="117"/>
            <x v="118"/>
          </reference>
        </references>
      </pivotArea>
    </format>
    <format dxfId="824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4"/>
          </reference>
          <reference field="2" count="1" selected="0">
            <x v="38"/>
          </reference>
          <reference field="3" count="1">
            <x v="119"/>
          </reference>
        </references>
      </pivotArea>
    </format>
    <format dxfId="823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2"/>
          </reference>
          <reference field="2" count="1" selected="0">
            <x v="6"/>
          </reference>
          <reference field="3" count="1">
            <x v="120"/>
          </reference>
        </references>
      </pivotArea>
    </format>
    <format dxfId="822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4"/>
          </reference>
          <reference field="2" count="1" selected="0">
            <x v="7"/>
          </reference>
          <reference field="3" count="1">
            <x v="121"/>
          </reference>
        </references>
      </pivotArea>
    </format>
    <format dxfId="821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5"/>
          </reference>
          <reference field="2" count="1" selected="0">
            <x v="8"/>
          </reference>
          <reference field="3" count="15">
            <x v="14"/>
            <x v="25"/>
            <x v="88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</reference>
        </references>
      </pivotArea>
    </format>
    <format dxfId="820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39"/>
          </reference>
          <reference field="2" count="1" selected="0">
            <x v="11"/>
          </reference>
          <reference field="3" count="1">
            <x v="134"/>
          </reference>
        </references>
      </pivotArea>
    </format>
    <format dxfId="819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8"/>
          </reference>
          <reference field="2" count="1" selected="0">
            <x v="11"/>
          </reference>
          <reference field="3" count="1">
            <x v="135"/>
          </reference>
        </references>
      </pivotArea>
    </format>
    <format dxfId="818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9"/>
          </reference>
          <reference field="2" count="1" selected="0">
            <x v="11"/>
          </reference>
          <reference field="3" count="1">
            <x v="21"/>
          </reference>
        </references>
      </pivotArea>
    </format>
    <format dxfId="817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40"/>
          </reference>
          <reference field="2" count="1" selected="0">
            <x v="12"/>
          </reference>
          <reference field="3" count="1">
            <x v="136"/>
          </reference>
        </references>
      </pivotArea>
    </format>
    <format dxfId="816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6"/>
          </reference>
          <reference field="2" count="1" selected="0">
            <x v="12"/>
          </reference>
          <reference field="3" count="1">
            <x v="137"/>
          </reference>
        </references>
      </pivotArea>
    </format>
    <format dxfId="815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9"/>
          </reference>
          <reference field="2" count="1" selected="0">
            <x v="12"/>
          </reference>
          <reference field="3" count="4">
            <x v="22"/>
            <x v="138"/>
            <x v="139"/>
            <x v="140"/>
          </reference>
        </references>
      </pivotArea>
    </format>
    <format dxfId="814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41"/>
          </reference>
          <reference field="2" count="1" selected="0">
            <x v="14"/>
          </reference>
          <reference field="3" count="1">
            <x v="141"/>
          </reference>
        </references>
      </pivotArea>
    </format>
    <format dxfId="813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11"/>
          </reference>
          <reference field="2" count="1" selected="0">
            <x v="39"/>
          </reference>
          <reference field="3" count="1">
            <x v="0"/>
          </reference>
        </references>
      </pivotArea>
    </format>
    <format dxfId="812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42"/>
          </reference>
          <reference field="2" count="1" selected="0">
            <x v="15"/>
          </reference>
          <reference field="3" count="1">
            <x v="142"/>
          </reference>
        </references>
      </pivotArea>
    </format>
    <format dxfId="811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39"/>
          </reference>
          <reference field="2" count="1" selected="0">
            <x v="15"/>
          </reference>
          <reference field="3" count="1">
            <x v="140"/>
          </reference>
        </references>
      </pivotArea>
    </format>
    <format dxfId="810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6"/>
          </reference>
          <reference field="2" count="1" selected="0">
            <x v="15"/>
          </reference>
          <reference field="3" count="2">
            <x v="143"/>
            <x v="144"/>
          </reference>
        </references>
      </pivotArea>
    </format>
    <format dxfId="809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11"/>
          </reference>
          <reference field="2" count="1" selected="0">
            <x v="15"/>
          </reference>
          <reference field="3" count="1">
            <x v="145"/>
          </reference>
        </references>
      </pivotArea>
    </format>
    <format dxfId="808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8"/>
          </reference>
          <reference field="2" count="1" selected="0">
            <x v="15"/>
          </reference>
          <reference field="3" count="1">
            <x v="146"/>
          </reference>
        </references>
      </pivotArea>
    </format>
    <format dxfId="807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9"/>
          </reference>
          <reference field="2" count="1" selected="0">
            <x v="15"/>
          </reference>
          <reference field="3" count="12">
            <x v="55"/>
            <x v="94"/>
            <x v="147"/>
            <x v="148"/>
            <x v="149"/>
            <x v="150"/>
            <x v="151"/>
            <x v="152"/>
            <x v="153"/>
            <x v="154"/>
            <x v="155"/>
            <x v="156"/>
          </reference>
        </references>
      </pivotArea>
    </format>
    <format dxfId="806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13"/>
          </reference>
          <reference field="2" count="1" selected="0">
            <x v="16"/>
          </reference>
          <reference field="3" count="4">
            <x v="157"/>
            <x v="158"/>
            <x v="159"/>
            <x v="160"/>
          </reference>
        </references>
      </pivotArea>
    </format>
    <format dxfId="805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18"/>
          </reference>
          <reference field="2" count="1" selected="0">
            <x v="16"/>
          </reference>
          <reference field="3" count="2">
            <x v="161"/>
            <x v="162"/>
          </reference>
        </references>
      </pivotArea>
    </format>
    <format dxfId="804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9"/>
          </reference>
          <reference field="2" count="1" selected="0">
            <x v="18"/>
          </reference>
          <reference field="3" count="1">
            <x v="163"/>
          </reference>
        </references>
      </pivotArea>
    </format>
    <format dxfId="803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17"/>
          </reference>
          <reference field="2" count="1" selected="0">
            <x v="18"/>
          </reference>
          <reference field="3" count="1">
            <x v="164"/>
          </reference>
        </references>
      </pivotArea>
    </format>
    <format dxfId="802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40"/>
          </reference>
          <reference field="2" count="1" selected="0">
            <x v="19"/>
          </reference>
          <reference field="3" count="1">
            <x v="165"/>
          </reference>
        </references>
      </pivotArea>
    </format>
    <format dxfId="801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8"/>
          </reference>
          <reference field="2" count="1" selected="0">
            <x v="19"/>
          </reference>
          <reference field="3" count="1">
            <x v="166"/>
          </reference>
        </references>
      </pivotArea>
    </format>
    <format dxfId="800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18"/>
          </reference>
          <reference field="2" count="1" selected="0">
            <x v="20"/>
          </reference>
          <reference field="3" count="2">
            <x v="167"/>
            <x v="168"/>
          </reference>
        </references>
      </pivotArea>
    </format>
    <format dxfId="799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19"/>
          </reference>
          <reference field="2" count="1" selected="0">
            <x v="20"/>
          </reference>
          <reference field="3" count="2">
            <x v="169"/>
            <x v="170"/>
          </reference>
        </references>
      </pivotArea>
    </format>
    <format dxfId="798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43"/>
          </reference>
          <reference field="2" count="1" selected="0">
            <x v="20"/>
          </reference>
          <reference field="3" count="3">
            <x v="171"/>
            <x v="172"/>
            <x v="173"/>
          </reference>
        </references>
      </pivotArea>
    </format>
    <format dxfId="797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44"/>
          </reference>
          <reference field="2" count="1" selected="0">
            <x v="20"/>
          </reference>
          <reference field="3" count="2">
            <x v="93"/>
            <x v="174"/>
          </reference>
        </references>
      </pivotArea>
    </format>
    <format dxfId="796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45"/>
          </reference>
          <reference field="2" count="1" selected="0">
            <x v="20"/>
          </reference>
          <reference field="3" count="1">
            <x v="175"/>
          </reference>
        </references>
      </pivotArea>
    </format>
    <format dxfId="795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46"/>
          </reference>
          <reference field="2" count="1" selected="0">
            <x v="20"/>
          </reference>
          <reference field="3" count="2">
            <x v="80"/>
            <x v="176"/>
          </reference>
        </references>
      </pivotArea>
    </format>
    <format dxfId="794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47"/>
          </reference>
          <reference field="2" count="1" selected="0">
            <x v="20"/>
          </reference>
          <reference field="3" count="1">
            <x v="61"/>
          </reference>
        </references>
      </pivotArea>
    </format>
    <format dxfId="793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48"/>
          </reference>
          <reference field="2" count="1" selected="0">
            <x v="40"/>
          </reference>
          <reference field="3" count="1">
            <x v="177"/>
          </reference>
        </references>
      </pivotArea>
    </format>
    <format dxfId="792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49"/>
          </reference>
          <reference field="2" count="1" selected="0">
            <x v="40"/>
          </reference>
          <reference field="3" count="1">
            <x v="178"/>
          </reference>
        </references>
      </pivotArea>
    </format>
    <format dxfId="791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46"/>
          </reference>
          <reference field="2" count="1" selected="0">
            <x v="40"/>
          </reference>
          <reference field="3" count="1">
            <x v="107"/>
          </reference>
        </references>
      </pivotArea>
    </format>
    <format dxfId="790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6"/>
          </reference>
          <reference field="2" count="1" selected="0">
            <x v="21"/>
          </reference>
          <reference field="3" count="4">
            <x v="157"/>
            <x v="179"/>
            <x v="180"/>
            <x v="181"/>
          </reference>
        </references>
      </pivotArea>
    </format>
    <format dxfId="789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50"/>
          </reference>
          <reference field="2" count="1" selected="0">
            <x v="21"/>
          </reference>
          <reference field="3" count="1">
            <x v="94"/>
          </reference>
        </references>
      </pivotArea>
    </format>
    <format dxfId="788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51"/>
          </reference>
          <reference field="2" count="1" selected="0">
            <x v="21"/>
          </reference>
          <reference field="3" count="1">
            <x v="182"/>
          </reference>
        </references>
      </pivotArea>
    </format>
    <format dxfId="787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11"/>
          </reference>
          <reference field="2" count="1" selected="0">
            <x v="21"/>
          </reference>
          <reference field="3" count="2">
            <x v="168"/>
            <x v="183"/>
          </reference>
        </references>
      </pivotArea>
    </format>
    <format dxfId="786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43"/>
          </reference>
          <reference field="2" count="1" selected="0">
            <x v="21"/>
          </reference>
          <reference field="3" count="1">
            <x v="61"/>
          </reference>
        </references>
      </pivotArea>
    </format>
    <format dxfId="785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9"/>
          </reference>
          <reference field="2" count="1" selected="0">
            <x v="21"/>
          </reference>
          <reference field="3" count="9">
            <x v="175"/>
            <x v="184"/>
            <x v="185"/>
            <x v="186"/>
            <x v="187"/>
            <x v="188"/>
            <x v="189"/>
            <x v="190"/>
            <x v="191"/>
          </reference>
        </references>
      </pivotArea>
    </format>
    <format dxfId="784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13"/>
          </reference>
          <reference field="2" count="1" selected="0">
            <x v="22"/>
          </reference>
          <reference field="3" count="8">
            <x v="70"/>
            <x v="192"/>
            <x v="193"/>
            <x v="194"/>
            <x v="195"/>
            <x v="196"/>
            <x v="197"/>
            <x v="198"/>
          </reference>
        </references>
      </pivotArea>
    </format>
    <format dxfId="783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14"/>
          </reference>
          <reference field="2" count="1" selected="0">
            <x v="22"/>
          </reference>
          <reference field="3" count="8">
            <x v="167"/>
            <x v="168"/>
            <x v="192"/>
            <x v="199"/>
            <x v="200"/>
            <x v="201"/>
            <x v="202"/>
            <x v="203"/>
          </reference>
        </references>
      </pivotArea>
    </format>
    <format dxfId="782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18"/>
          </reference>
          <reference field="2" count="1" selected="0">
            <x v="22"/>
          </reference>
          <reference field="3" count="7">
            <x v="202"/>
            <x v="204"/>
            <x v="205"/>
            <x v="206"/>
            <x v="207"/>
            <x v="208"/>
            <x v="209"/>
          </reference>
        </references>
      </pivotArea>
    </format>
    <format dxfId="781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19"/>
          </reference>
          <reference field="2" count="1" selected="0">
            <x v="22"/>
          </reference>
          <reference field="3" count="3">
            <x v="210"/>
            <x v="211"/>
            <x v="212"/>
          </reference>
        </references>
      </pivotArea>
    </format>
    <format dxfId="780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46"/>
          </reference>
          <reference field="2" count="1" selected="0">
            <x v="22"/>
          </reference>
          <reference field="3" count="1">
            <x v="168"/>
          </reference>
        </references>
      </pivotArea>
    </format>
    <format dxfId="779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52"/>
          </reference>
          <reference field="2" count="1" selected="0">
            <x v="22"/>
          </reference>
          <reference field="3" count="1">
            <x v="213"/>
          </reference>
        </references>
      </pivotArea>
    </format>
    <format dxfId="778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53"/>
          </reference>
          <reference field="2" count="1" selected="0">
            <x v="22"/>
          </reference>
          <reference field="3" count="1">
            <x v="173"/>
          </reference>
        </references>
      </pivotArea>
    </format>
    <format dxfId="777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54"/>
          </reference>
          <reference field="2" count="1" selected="0">
            <x v="22"/>
          </reference>
          <reference field="3" count="1">
            <x v="214"/>
          </reference>
        </references>
      </pivotArea>
    </format>
    <format dxfId="776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48"/>
          </reference>
          <reference field="2" count="1" selected="0">
            <x v="41"/>
          </reference>
          <reference field="3" count="2">
            <x v="215"/>
            <x v="216"/>
          </reference>
        </references>
      </pivotArea>
    </format>
    <format dxfId="775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55"/>
          </reference>
          <reference field="2" count="1" selected="0">
            <x v="24"/>
          </reference>
          <reference field="3" count="1">
            <x v="217"/>
          </reference>
        </references>
      </pivotArea>
    </format>
    <format dxfId="774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6"/>
          </reference>
          <reference field="2" count="1" selected="0">
            <x v="24"/>
          </reference>
          <reference field="3" count="1">
            <x v="218"/>
          </reference>
        </references>
      </pivotArea>
    </format>
    <format dxfId="773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16"/>
          </reference>
          <reference field="2" count="1" selected="0">
            <x v="24"/>
          </reference>
          <reference field="3" count="2">
            <x v="219"/>
            <x v="220"/>
          </reference>
        </references>
      </pivotArea>
    </format>
    <format dxfId="772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17"/>
          </reference>
          <reference field="2" count="1" selected="0">
            <x v="24"/>
          </reference>
          <reference field="3" count="2">
            <x v="94"/>
            <x v="221"/>
          </reference>
        </references>
      </pivotArea>
    </format>
    <format dxfId="771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31"/>
          </reference>
          <reference field="2" count="1" selected="0">
            <x v="42"/>
          </reference>
          <reference field="3" count="1">
            <x v="222"/>
          </reference>
        </references>
      </pivotArea>
    </format>
    <format dxfId="770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31"/>
          </reference>
          <reference field="2" count="1" selected="0">
            <x v="43"/>
          </reference>
          <reference field="3" count="1">
            <x v="223"/>
          </reference>
        </references>
      </pivotArea>
    </format>
    <format dxfId="769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31"/>
          </reference>
          <reference field="2" count="1" selected="0">
            <x v="44"/>
          </reference>
          <reference field="3" count="1">
            <x v="224"/>
          </reference>
        </references>
      </pivotArea>
    </format>
    <format dxfId="768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21"/>
          </reference>
          <reference field="2" count="1" selected="0">
            <x v="45"/>
          </reference>
          <reference field="3" count="1">
            <x v="225"/>
          </reference>
        </references>
      </pivotArea>
    </format>
    <format dxfId="767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39"/>
          </reference>
          <reference field="2" count="1" selected="0">
            <x v="25"/>
          </reference>
          <reference field="3" count="1">
            <x v="42"/>
          </reference>
        </references>
      </pivotArea>
    </format>
    <format dxfId="766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20"/>
          </reference>
          <reference field="2" count="1" selected="0">
            <x v="25"/>
          </reference>
          <reference field="3" count="1">
            <x v="226"/>
          </reference>
        </references>
      </pivotArea>
    </format>
    <format dxfId="765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39"/>
          </reference>
          <reference field="2" count="1" selected="0">
            <x v="26"/>
          </reference>
          <reference field="3" count="2">
            <x v="227"/>
            <x v="228"/>
          </reference>
        </references>
      </pivotArea>
    </format>
    <format dxfId="764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5"/>
          </reference>
          <reference field="2" count="1" selected="0">
            <x v="26"/>
          </reference>
          <reference field="3" count="1">
            <x v="229"/>
          </reference>
        </references>
      </pivotArea>
    </format>
    <format dxfId="763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21"/>
          </reference>
          <reference field="2" count="1" selected="0">
            <x v="26"/>
          </reference>
          <reference field="3" count="2">
            <x v="3"/>
            <x v="138"/>
          </reference>
        </references>
      </pivotArea>
    </format>
    <format dxfId="762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2"/>
          </reference>
          <reference field="2" count="1" selected="0">
            <x v="46"/>
          </reference>
          <reference field="3" count="1">
            <x v="230"/>
          </reference>
        </references>
      </pivotArea>
    </format>
    <format dxfId="761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2"/>
          </reference>
          <reference field="2" count="1" selected="0">
            <x v="38"/>
          </reference>
          <reference field="3" count="1">
            <x v="231"/>
          </reference>
        </references>
      </pivotArea>
    </format>
    <format dxfId="760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5"/>
          </reference>
          <reference field="2" count="1" selected="0">
            <x v="10"/>
          </reference>
          <reference field="3" count="1">
            <x v="3"/>
          </reference>
        </references>
      </pivotArea>
    </format>
    <format dxfId="759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2"/>
          </reference>
          <reference field="2" count="1" selected="0">
            <x v="6"/>
          </reference>
          <reference field="3" count="1">
            <x v="26"/>
          </reference>
        </references>
      </pivotArea>
    </format>
    <format dxfId="758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2"/>
          </reference>
          <reference field="2" count="1" selected="0">
            <x v="7"/>
          </reference>
          <reference field="3" count="1">
            <x v="232"/>
          </reference>
        </references>
      </pivotArea>
    </format>
    <format dxfId="757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4"/>
          </reference>
          <reference field="2" count="1" selected="0">
            <x v="7"/>
          </reference>
          <reference field="3" count="2">
            <x v="226"/>
            <x v="233"/>
          </reference>
        </references>
      </pivotArea>
    </format>
    <format dxfId="756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8"/>
          </reference>
          <reference field="2" count="1" selected="0">
            <x v="11"/>
          </reference>
          <reference field="3" count="10">
            <x v="13"/>
            <x v="47"/>
            <x v="234"/>
            <x v="235"/>
            <x v="236"/>
            <x v="237"/>
            <x v="238"/>
            <x v="239"/>
            <x v="240"/>
            <x v="241"/>
          </reference>
        </references>
      </pivotArea>
    </format>
    <format dxfId="755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56"/>
          </reference>
          <reference field="2" count="1" selected="0">
            <x v="11"/>
          </reference>
          <reference field="3" count="2">
            <x v="242"/>
            <x v="243"/>
          </reference>
        </references>
      </pivotArea>
    </format>
    <format dxfId="754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57"/>
          </reference>
          <reference field="2" count="1" selected="0">
            <x v="11"/>
          </reference>
          <reference field="3" count="3">
            <x v="146"/>
            <x v="244"/>
            <x v="245"/>
          </reference>
        </references>
      </pivotArea>
    </format>
    <format dxfId="753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58"/>
          </reference>
          <reference field="2" count="1" selected="0">
            <x v="11"/>
          </reference>
          <reference field="3" count="6">
            <x v="3"/>
            <x v="87"/>
            <x v="246"/>
            <x v="247"/>
            <x v="248"/>
            <x v="249"/>
          </reference>
        </references>
      </pivotArea>
    </format>
    <format dxfId="752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59"/>
          </reference>
          <reference field="2" count="1" selected="0">
            <x v="11"/>
          </reference>
          <reference field="3" count="1">
            <x v="39"/>
          </reference>
        </references>
      </pivotArea>
    </format>
    <format dxfId="751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60"/>
          </reference>
          <reference field="2" count="1" selected="0">
            <x v="11"/>
          </reference>
          <reference field="3" count="1">
            <x v="1"/>
          </reference>
        </references>
      </pivotArea>
    </format>
    <format dxfId="750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8"/>
          </reference>
          <reference field="2" count="1" selected="0">
            <x v="47"/>
          </reference>
          <reference field="3" count="5">
            <x v="250"/>
            <x v="251"/>
            <x v="252"/>
            <x v="253"/>
            <x v="254"/>
          </reference>
        </references>
      </pivotArea>
    </format>
    <format dxfId="749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9"/>
          </reference>
          <reference field="2" count="1" selected="0">
            <x v="12"/>
          </reference>
          <reference field="3" count="7">
            <x v="139"/>
            <x v="255"/>
            <x v="256"/>
            <x v="257"/>
            <x v="258"/>
            <x v="259"/>
            <x v="260"/>
          </reference>
        </references>
      </pivotArea>
    </format>
    <format dxfId="748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8"/>
          </reference>
          <reference field="2" count="1" selected="0">
            <x v="14"/>
          </reference>
          <reference field="3" count="6">
            <x v="260"/>
            <x v="261"/>
            <x v="262"/>
            <x v="263"/>
            <x v="264"/>
            <x v="265"/>
          </reference>
        </references>
      </pivotArea>
    </format>
    <format dxfId="747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61"/>
          </reference>
          <reference field="2" count="1" selected="0">
            <x v="14"/>
          </reference>
          <reference field="3" count="1">
            <x v="266"/>
          </reference>
        </references>
      </pivotArea>
    </format>
    <format dxfId="746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62"/>
          </reference>
          <reference field="2" count="1" selected="0">
            <x v="39"/>
          </reference>
          <reference field="3" count="1">
            <x v="267"/>
          </reference>
        </references>
      </pivotArea>
    </format>
    <format dxfId="745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8"/>
          </reference>
          <reference field="2" count="1" selected="0">
            <x v="48"/>
          </reference>
          <reference field="3" count="5">
            <x v="94"/>
            <x v="268"/>
            <x v="269"/>
            <x v="270"/>
            <x v="271"/>
          </reference>
        </references>
      </pivotArea>
    </format>
    <format dxfId="744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63"/>
          </reference>
          <reference field="2" count="1" selected="0">
            <x v="49"/>
          </reference>
          <reference field="3" count="1">
            <x v="272"/>
          </reference>
        </references>
      </pivotArea>
    </format>
    <format dxfId="743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6"/>
          </reference>
          <reference field="2" count="1" selected="0">
            <x v="15"/>
          </reference>
          <reference field="3" count="1">
            <x v="273"/>
          </reference>
        </references>
      </pivotArea>
    </format>
    <format dxfId="742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2"/>
          </reference>
          <reference field="2" count="1" selected="0">
            <x v="15"/>
          </reference>
          <reference field="3" count="2">
            <x v="55"/>
            <x v="274"/>
          </reference>
        </references>
      </pivotArea>
    </format>
    <format dxfId="741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8"/>
          </reference>
          <reference field="2" count="1" selected="0">
            <x v="15"/>
          </reference>
          <reference field="3" count="1">
            <x v="275"/>
          </reference>
        </references>
      </pivotArea>
    </format>
    <format dxfId="740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9"/>
          </reference>
          <reference field="2" count="1" selected="0">
            <x v="15"/>
          </reference>
          <reference field="3" count="28">
            <x v="70"/>
            <x v="152"/>
            <x v="183"/>
            <x v="186"/>
            <x v="221"/>
            <x v="260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</reference>
        </references>
      </pivotArea>
    </format>
    <format dxfId="739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56"/>
          </reference>
          <reference field="2" count="1" selected="0">
            <x v="15"/>
          </reference>
          <reference field="3" count="3">
            <x v="298"/>
            <x v="299"/>
            <x v="300"/>
          </reference>
        </references>
      </pivotArea>
    </format>
    <format dxfId="738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58"/>
          </reference>
          <reference field="2" count="1" selected="0">
            <x v="15"/>
          </reference>
          <reference field="3" count="5">
            <x v="56"/>
            <x v="73"/>
            <x v="238"/>
            <x v="301"/>
            <x v="302"/>
          </reference>
        </references>
      </pivotArea>
    </format>
    <format dxfId="737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60"/>
          </reference>
          <reference field="2" count="1" selected="0">
            <x v="15"/>
          </reference>
          <reference field="3" count="5">
            <x v="183"/>
            <x v="303"/>
            <x v="304"/>
            <x v="305"/>
            <x v="306"/>
          </reference>
        </references>
      </pivotArea>
    </format>
    <format dxfId="736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3"/>
          </reference>
          <reference field="2" count="1" selected="0">
            <x v="16"/>
          </reference>
          <reference field="3" count="6">
            <x v="70"/>
            <x v="77"/>
            <x v="192"/>
            <x v="202"/>
            <x v="307"/>
            <x v="308"/>
          </reference>
        </references>
      </pivotArea>
    </format>
    <format dxfId="735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8"/>
          </reference>
          <reference field="2" count="1" selected="0">
            <x v="16"/>
          </reference>
          <reference field="3" count="2">
            <x v="309"/>
            <x v="310"/>
          </reference>
        </references>
      </pivotArea>
    </format>
    <format dxfId="734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9"/>
          </reference>
          <reference field="2" count="1" selected="0">
            <x v="50"/>
          </reference>
          <reference field="3" count="8">
            <x v="92"/>
            <x v="311"/>
            <x v="312"/>
            <x v="313"/>
            <x v="314"/>
            <x v="315"/>
            <x v="316"/>
            <x v="317"/>
          </reference>
        </references>
      </pivotArea>
    </format>
    <format dxfId="733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64"/>
          </reference>
          <reference field="2" count="1" selected="0">
            <x v="51"/>
          </reference>
          <reference field="3" count="2">
            <x v="314"/>
            <x v="318"/>
          </reference>
        </references>
      </pivotArea>
    </format>
    <format dxfId="732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9"/>
          </reference>
          <reference field="2" count="1" selected="0">
            <x v="51"/>
          </reference>
          <reference field="3" count="2">
            <x v="319"/>
            <x v="320"/>
          </reference>
        </references>
      </pivotArea>
    </format>
    <format dxfId="731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5"/>
          </reference>
          <reference field="2" count="1" selected="0">
            <x v="17"/>
          </reference>
          <reference field="3" count="2">
            <x v="207"/>
            <x v="321"/>
          </reference>
        </references>
      </pivotArea>
    </format>
    <format dxfId="730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55"/>
          </reference>
          <reference field="2" count="1" selected="0">
            <x v="18"/>
          </reference>
          <reference field="3" count="1">
            <x v="70"/>
          </reference>
        </references>
      </pivotArea>
    </format>
    <format dxfId="729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6"/>
          </reference>
          <reference field="2" count="1" selected="0">
            <x v="18"/>
          </reference>
          <reference field="3" count="2">
            <x v="185"/>
            <x v="322"/>
          </reference>
        </references>
      </pivotArea>
    </format>
    <format dxfId="728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65"/>
          </reference>
          <reference field="2" count="1" selected="0">
            <x v="18"/>
          </reference>
          <reference field="3" count="4">
            <x v="323"/>
            <x v="324"/>
            <x v="325"/>
            <x v="326"/>
          </reference>
        </references>
      </pivotArea>
    </format>
    <format dxfId="727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66"/>
          </reference>
          <reference field="2" count="1" selected="0">
            <x v="18"/>
          </reference>
          <reference field="3" count="12">
            <x v="79"/>
            <x v="150"/>
            <x v="183"/>
            <x v="327"/>
            <x v="328"/>
            <x v="329"/>
            <x v="330"/>
            <x v="331"/>
            <x v="332"/>
            <x v="333"/>
            <x v="334"/>
            <x v="335"/>
          </reference>
        </references>
      </pivotArea>
    </format>
    <format dxfId="726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7"/>
          </reference>
          <reference field="2" count="1" selected="0">
            <x v="18"/>
          </reference>
          <reference field="3" count="14">
            <x v="1"/>
            <x v="50"/>
            <x v="77"/>
            <x v="79"/>
            <x v="82"/>
            <x v="192"/>
            <x v="205"/>
            <x v="307"/>
            <x v="336"/>
            <x v="337"/>
            <x v="338"/>
            <x v="339"/>
            <x v="340"/>
            <x v="341"/>
          </reference>
        </references>
      </pivotArea>
    </format>
    <format dxfId="725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8"/>
          </reference>
          <reference field="2" count="1" selected="0">
            <x v="19"/>
          </reference>
          <reference field="3" count="2">
            <x v="342"/>
            <x v="343"/>
          </reference>
        </references>
      </pivotArea>
    </format>
    <format dxfId="724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8"/>
          </reference>
          <reference field="2" count="1" selected="0">
            <x v="52"/>
          </reference>
          <reference field="3" count="1">
            <x v="344"/>
          </reference>
        </references>
      </pivotArea>
    </format>
    <format dxfId="723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9"/>
          </reference>
          <reference field="2" count="1" selected="0">
            <x v="20"/>
          </reference>
          <reference field="3" count="1">
            <x v="345"/>
          </reference>
        </references>
      </pivotArea>
    </format>
    <format dxfId="722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67"/>
          </reference>
          <reference field="2" count="1" selected="0">
            <x v="20"/>
          </reference>
          <reference field="3" count="1">
            <x v="346"/>
          </reference>
        </references>
      </pivotArea>
    </format>
    <format dxfId="721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43"/>
          </reference>
          <reference field="2" count="1" selected="0">
            <x v="20"/>
          </reference>
          <reference field="3" count="1">
            <x v="94"/>
          </reference>
        </references>
      </pivotArea>
    </format>
    <format dxfId="720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45"/>
          </reference>
          <reference field="2" count="1" selected="0">
            <x v="20"/>
          </reference>
          <reference field="3" count="1">
            <x v="347"/>
          </reference>
        </references>
      </pivotArea>
    </format>
    <format dxfId="719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48"/>
          </reference>
          <reference field="2" count="1" selected="0">
            <x v="40"/>
          </reference>
          <reference field="3" count="1">
            <x v="348"/>
          </reference>
        </references>
      </pivotArea>
    </format>
    <format dxfId="718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68"/>
          </reference>
          <reference field="2" count="1" selected="0">
            <x v="53"/>
          </reference>
          <reference field="3" count="1">
            <x v="349"/>
          </reference>
        </references>
      </pivotArea>
    </format>
    <format dxfId="717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69"/>
          </reference>
          <reference field="2" count="1" selected="0">
            <x v="53"/>
          </reference>
          <reference field="3" count="2">
            <x v="350"/>
            <x v="351"/>
          </reference>
        </references>
      </pivotArea>
    </format>
    <format dxfId="716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6"/>
          </reference>
          <reference field="2" count="1" selected="0">
            <x v="21"/>
          </reference>
          <reference field="3" count="3">
            <x v="168"/>
            <x v="352"/>
            <x v="353"/>
          </reference>
        </references>
      </pivotArea>
    </format>
    <format dxfId="715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50"/>
          </reference>
          <reference field="2" count="1" selected="0">
            <x v="21"/>
          </reference>
          <reference field="3" count="2">
            <x v="354"/>
            <x v="355"/>
          </reference>
        </references>
      </pivotArea>
    </format>
    <format dxfId="714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9"/>
          </reference>
          <reference field="2" count="1" selected="0">
            <x v="21"/>
          </reference>
          <reference field="3" count="7">
            <x v="61"/>
            <x v="314"/>
            <x v="356"/>
            <x v="357"/>
            <x v="358"/>
            <x v="359"/>
            <x v="360"/>
          </reference>
        </references>
      </pivotArea>
    </format>
    <format dxfId="713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56"/>
          </reference>
          <reference field="2" count="1" selected="0">
            <x v="21"/>
          </reference>
          <reference field="3" count="1">
            <x v="146"/>
          </reference>
        </references>
      </pivotArea>
    </format>
    <format dxfId="712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58"/>
          </reference>
          <reference field="2" count="1" selected="0">
            <x v="21"/>
          </reference>
          <reference field="3" count="4">
            <x v="83"/>
            <x v="361"/>
            <x v="362"/>
            <x v="363"/>
          </reference>
        </references>
      </pivotArea>
    </format>
    <format dxfId="711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60"/>
          </reference>
          <reference field="2" count="1" selected="0">
            <x v="21"/>
          </reference>
          <reference field="3" count="7">
            <x v="150"/>
            <x v="289"/>
            <x v="364"/>
            <x v="365"/>
            <x v="366"/>
            <x v="367"/>
            <x v="368"/>
          </reference>
        </references>
      </pivotArea>
    </format>
    <format dxfId="710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25"/>
          </reference>
          <reference field="2" count="1" selected="0">
            <x v="54"/>
          </reference>
          <reference field="3" count="1">
            <x v="369"/>
          </reference>
        </references>
      </pivotArea>
    </format>
    <format dxfId="709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64"/>
          </reference>
          <reference field="2" count="1" selected="0">
            <x v="55"/>
          </reference>
          <reference field="3" count="2">
            <x v="272"/>
            <x v="370"/>
          </reference>
        </references>
      </pivotArea>
    </format>
    <format dxfId="708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2"/>
          </reference>
          <reference field="2" count="1" selected="0">
            <x v="55"/>
          </reference>
          <reference field="3" count="1">
            <x v="371"/>
          </reference>
        </references>
      </pivotArea>
    </format>
    <format dxfId="707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9"/>
          </reference>
          <reference field="2" count="1" selected="0">
            <x v="55"/>
          </reference>
          <reference field="3" count="4">
            <x v="94"/>
            <x v="372"/>
            <x v="373"/>
            <x v="374"/>
          </reference>
        </references>
      </pivotArea>
    </format>
    <format dxfId="706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25"/>
          </reference>
          <reference field="2" count="1" selected="0">
            <x v="56"/>
          </reference>
          <reference field="3" count="1">
            <x v="375"/>
          </reference>
        </references>
      </pivotArea>
    </format>
    <format dxfId="705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3"/>
          </reference>
          <reference field="2" count="1" selected="0">
            <x v="22"/>
          </reference>
          <reference field="3" count="11">
            <x v="94"/>
            <x v="207"/>
            <x v="289"/>
            <x v="376"/>
            <x v="377"/>
            <x v="378"/>
            <x v="379"/>
            <x v="380"/>
            <x v="381"/>
            <x v="382"/>
            <x v="383"/>
          </reference>
        </references>
      </pivotArea>
    </format>
    <format dxfId="704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4"/>
          </reference>
          <reference field="2" count="1" selected="0">
            <x v="22"/>
          </reference>
          <reference field="3" count="5">
            <x v="224"/>
            <x v="384"/>
            <x v="385"/>
            <x v="386"/>
            <x v="387"/>
          </reference>
        </references>
      </pivotArea>
    </format>
    <format dxfId="703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70"/>
          </reference>
          <reference field="2" count="1" selected="0">
            <x v="22"/>
          </reference>
          <reference field="3" count="2">
            <x v="294"/>
            <x v="388"/>
          </reference>
        </references>
      </pivotArea>
    </format>
    <format dxfId="702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8"/>
          </reference>
          <reference field="2" count="1" selected="0">
            <x v="22"/>
          </reference>
          <reference field="3" count="5">
            <x v="221"/>
            <x v="389"/>
            <x v="390"/>
            <x v="391"/>
            <x v="392"/>
          </reference>
        </references>
      </pivotArea>
    </format>
    <format dxfId="701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9"/>
          </reference>
          <reference field="2" count="1" selected="0">
            <x v="22"/>
          </reference>
          <reference field="3" count="9">
            <x v="393"/>
            <x v="394"/>
            <x v="395"/>
            <x v="396"/>
            <x v="397"/>
            <x v="398"/>
            <x v="399"/>
            <x v="400"/>
            <x v="401"/>
          </reference>
        </references>
      </pivotArea>
    </format>
    <format dxfId="700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71"/>
          </reference>
          <reference field="2" count="1" selected="0">
            <x v="22"/>
          </reference>
          <reference field="3" count="1">
            <x v="402"/>
          </reference>
        </references>
      </pivotArea>
    </format>
    <format dxfId="699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68"/>
          </reference>
          <reference field="2" count="1" selected="0">
            <x v="22"/>
          </reference>
          <reference field="3" count="2">
            <x v="403"/>
            <x v="404"/>
          </reference>
        </references>
      </pivotArea>
    </format>
    <format dxfId="698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69"/>
          </reference>
          <reference field="2" count="1" selected="0">
            <x v="22"/>
          </reference>
          <reference field="3" count="2">
            <x v="405"/>
            <x v="406"/>
          </reference>
        </references>
      </pivotArea>
    </format>
    <format dxfId="697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9"/>
          </reference>
          <reference field="2" count="1" selected="0">
            <x v="41"/>
          </reference>
          <reference field="3" count="2">
            <x v="177"/>
            <x v="407"/>
          </reference>
        </references>
      </pivotArea>
    </format>
    <format dxfId="696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68"/>
          </reference>
          <reference field="2" count="1" selected="0">
            <x v="57"/>
          </reference>
          <reference field="3" count="1">
            <x v="408"/>
          </reference>
        </references>
      </pivotArea>
    </format>
    <format dxfId="695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5"/>
          </reference>
          <reference field="2" count="1" selected="0">
            <x v="23"/>
          </reference>
          <reference field="3" count="3">
            <x v="161"/>
            <x v="207"/>
            <x v="409"/>
          </reference>
        </references>
      </pivotArea>
    </format>
    <format dxfId="694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55"/>
          </reference>
          <reference field="2" count="1" selected="0">
            <x v="24"/>
          </reference>
          <reference field="3" count="1">
            <x v="117"/>
          </reference>
        </references>
      </pivotArea>
    </format>
    <format dxfId="693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6"/>
          </reference>
          <reference field="2" count="1" selected="0">
            <x v="24"/>
          </reference>
          <reference field="3" count="2">
            <x v="219"/>
            <x v="410"/>
          </reference>
        </references>
      </pivotArea>
    </format>
    <format dxfId="692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65"/>
          </reference>
          <reference field="2" count="1" selected="0">
            <x v="24"/>
          </reference>
          <reference field="3" count="2">
            <x v="411"/>
            <x v="412"/>
          </reference>
        </references>
      </pivotArea>
    </format>
    <format dxfId="691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66"/>
          </reference>
          <reference field="2" count="1" selected="0">
            <x v="24"/>
          </reference>
          <reference field="3" count="16">
            <x v="52"/>
            <x v="61"/>
            <x v="79"/>
            <x v="94"/>
            <x v="154"/>
            <x v="185"/>
            <x v="290"/>
            <x v="308"/>
            <x v="335"/>
            <x v="413"/>
            <x v="414"/>
            <x v="415"/>
            <x v="416"/>
            <x v="417"/>
            <x v="418"/>
            <x v="419"/>
          </reference>
        </references>
      </pivotArea>
    </format>
    <format dxfId="690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7"/>
          </reference>
          <reference field="2" count="1" selected="0">
            <x v="24"/>
          </reference>
          <reference field="3" count="14">
            <x v="107"/>
            <x v="157"/>
            <x v="161"/>
            <x v="185"/>
            <x v="204"/>
            <x v="208"/>
            <x v="307"/>
            <x v="337"/>
            <x v="341"/>
            <x v="420"/>
            <x v="421"/>
            <x v="422"/>
            <x v="423"/>
            <x v="424"/>
          </reference>
        </references>
      </pivotArea>
    </format>
    <format dxfId="689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7"/>
          </reference>
          <reference field="2" count="1" selected="0">
            <x v="58"/>
          </reference>
          <reference field="3" count="2">
            <x v="425"/>
            <x v="426"/>
          </reference>
        </references>
      </pivotArea>
    </format>
    <format dxfId="688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5"/>
          </reference>
          <reference field="2" count="1" selected="0">
            <x v="59"/>
          </reference>
          <reference field="3" count="1">
            <x v="427"/>
          </reference>
        </references>
      </pivotArea>
    </format>
    <format dxfId="687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2"/>
          </reference>
          <reference field="2" count="1" selected="0">
            <x v="60"/>
          </reference>
          <reference field="3" count="2">
            <x v="428"/>
            <x v="429"/>
          </reference>
        </references>
      </pivotArea>
    </format>
    <format dxfId="686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2"/>
          </reference>
          <reference field="2" count="1" selected="0">
            <x v="25"/>
          </reference>
          <reference field="3" count="2">
            <x v="120"/>
            <x v="430"/>
          </reference>
        </references>
      </pivotArea>
    </format>
    <format dxfId="685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20"/>
          </reference>
          <reference field="2" count="1" selected="0">
            <x v="25"/>
          </reference>
          <reference field="3" count="1">
            <x v="38"/>
          </reference>
        </references>
      </pivotArea>
    </format>
    <format dxfId="684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21"/>
          </reference>
          <reference field="2" count="1" selected="0">
            <x v="26"/>
          </reference>
          <reference field="3" count="1">
            <x v="431"/>
          </reference>
        </references>
      </pivotArea>
    </format>
    <format dxfId="683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68"/>
          </reference>
          <reference field="2" count="1" selected="0">
            <x v="61"/>
          </reference>
          <reference field="3" count="1">
            <x v="432"/>
          </reference>
        </references>
      </pivotArea>
    </format>
    <format dxfId="682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69"/>
          </reference>
          <reference field="2" count="1" selected="0">
            <x v="61"/>
          </reference>
          <reference field="3" count="1">
            <x v="433"/>
          </reference>
        </references>
      </pivotArea>
    </format>
    <format dxfId="681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8"/>
          </reference>
          <reference field="2" count="1" selected="0">
            <x v="14"/>
          </reference>
          <reference field="3" count="1">
            <x v="260"/>
          </reference>
        </references>
      </pivotArea>
    </format>
    <format dxfId="680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9"/>
          </reference>
          <reference field="2" count="1" selected="0">
            <x v="15"/>
          </reference>
          <reference field="3" count="2">
            <x v="50"/>
            <x v="146"/>
          </reference>
        </references>
      </pivotArea>
    </format>
    <format dxfId="679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15"/>
          </reference>
          <reference field="2" count="1" selected="0">
            <x v="62"/>
          </reference>
          <reference field="3" count="2">
            <x v="434"/>
            <x v="435"/>
          </reference>
        </references>
      </pivotArea>
    </format>
    <format dxfId="678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15"/>
          </reference>
          <reference field="2" count="1" selected="0">
            <x v="23"/>
          </reference>
          <reference field="3" count="1">
            <x v="118"/>
          </reference>
        </references>
      </pivotArea>
    </format>
    <format dxfId="677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72"/>
          </reference>
          <reference field="2" count="1" selected="0">
            <x v="63"/>
          </reference>
          <reference field="3" count="1">
            <x v="298"/>
          </reference>
        </references>
      </pivotArea>
    </format>
    <format dxfId="676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73"/>
          </reference>
          <reference field="2" count="1" selected="0">
            <x v="0"/>
          </reference>
          <reference field="3" count="1">
            <x v="436"/>
          </reference>
        </references>
      </pivotArea>
    </format>
    <format dxfId="675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73"/>
          </reference>
          <reference field="2" count="1" selected="0">
            <x v="31"/>
          </reference>
          <reference field="3" count="1">
            <x v="437"/>
          </reference>
        </references>
      </pivotArea>
    </format>
    <format dxfId="674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74"/>
          </reference>
          <reference field="2" count="1" selected="0">
            <x v="64"/>
          </reference>
          <reference field="3" count="1">
            <x v="30"/>
          </reference>
        </references>
      </pivotArea>
    </format>
    <format dxfId="673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73"/>
          </reference>
          <reference field="2" count="1" selected="0">
            <x v="1"/>
          </reference>
          <reference field="3" count="1">
            <x v="438"/>
          </reference>
        </references>
      </pivotArea>
    </format>
    <format dxfId="672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73"/>
          </reference>
          <reference field="2" count="1" selected="0">
            <x v="65"/>
          </reference>
          <reference field="3" count="1">
            <x v="255"/>
          </reference>
        </references>
      </pivotArea>
    </format>
    <format dxfId="671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75"/>
          </reference>
          <reference field="2" count="1" selected="0">
            <x v="65"/>
          </reference>
          <reference field="3" count="1">
            <x v="439"/>
          </reference>
        </references>
      </pivotArea>
    </format>
    <format dxfId="670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76"/>
          </reference>
          <reference field="2" count="1" selected="0">
            <x v="65"/>
          </reference>
          <reference field="3" count="3">
            <x v="120"/>
            <x v="132"/>
            <x v="440"/>
          </reference>
        </references>
      </pivotArea>
    </format>
    <format dxfId="669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77"/>
          </reference>
          <reference field="2" count="1" selected="0">
            <x v="66"/>
          </reference>
          <reference field="3" count="1">
            <x v="441"/>
          </reference>
        </references>
      </pivotArea>
    </format>
    <format dxfId="668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76"/>
          </reference>
          <reference field="2" count="1" selected="0">
            <x v="66"/>
          </reference>
          <reference field="3" count="1">
            <x v="442"/>
          </reference>
        </references>
      </pivotArea>
    </format>
    <format dxfId="667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72"/>
          </reference>
          <reference field="2" count="1" selected="0">
            <x v="67"/>
          </reference>
          <reference field="3" count="1">
            <x v="443"/>
          </reference>
        </references>
      </pivotArea>
    </format>
    <format dxfId="666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77"/>
          </reference>
          <reference field="2" count="1" selected="0">
            <x v="3"/>
          </reference>
          <reference field="3" count="2">
            <x v="39"/>
            <x v="444"/>
          </reference>
        </references>
      </pivotArea>
    </format>
    <format dxfId="665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1"/>
          </reference>
          <reference field="2" count="1" selected="0">
            <x v="3"/>
          </reference>
          <reference field="3" count="2">
            <x v="445"/>
            <x v="446"/>
          </reference>
        </references>
      </pivotArea>
    </format>
    <format dxfId="664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77"/>
          </reference>
          <reference field="2" count="1" selected="0">
            <x v="68"/>
          </reference>
          <reference field="3" count="1">
            <x v="447"/>
          </reference>
        </references>
      </pivotArea>
    </format>
    <format dxfId="663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73"/>
          </reference>
          <reference field="2" count="1" selected="0">
            <x v="68"/>
          </reference>
          <reference field="3" count="1">
            <x v="260"/>
          </reference>
        </references>
      </pivotArea>
    </format>
    <format dxfId="662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36"/>
          </reference>
          <reference field="2" count="1" selected="0">
            <x v="33"/>
          </reference>
          <reference field="3" count="1">
            <x v="17"/>
          </reference>
        </references>
      </pivotArea>
    </format>
    <format dxfId="661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35"/>
          </reference>
          <reference field="2" count="1" selected="0">
            <x v="69"/>
          </reference>
          <reference field="3" count="1">
            <x v="18"/>
          </reference>
        </references>
      </pivotArea>
    </format>
    <format dxfId="660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35"/>
          </reference>
          <reference field="2" count="1" selected="0">
            <x v="70"/>
          </reference>
          <reference field="3" count="2">
            <x v="19"/>
            <x v="448"/>
          </reference>
        </references>
      </pivotArea>
    </format>
    <format dxfId="659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4"/>
          </reference>
          <reference field="2" count="1" selected="0">
            <x v="7"/>
          </reference>
          <reference field="3" count="9">
            <x v="12"/>
            <x v="128"/>
            <x v="449"/>
            <x v="450"/>
            <x v="451"/>
            <x v="452"/>
            <x v="453"/>
            <x v="454"/>
            <x v="455"/>
          </reference>
        </references>
      </pivotArea>
    </format>
    <format dxfId="658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5"/>
          </reference>
          <reference field="2" count="1" selected="0">
            <x v="8"/>
          </reference>
          <reference field="3" count="2">
            <x v="456"/>
            <x v="457"/>
          </reference>
        </references>
      </pivotArea>
    </format>
    <format dxfId="657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8"/>
          </reference>
          <reference field="2" count="1" selected="0">
            <x v="11"/>
          </reference>
          <reference field="3" count="13">
            <x v="4"/>
            <x v="19"/>
            <x v="47"/>
            <x v="255"/>
            <x v="444"/>
            <x v="458"/>
            <x v="459"/>
            <x v="460"/>
            <x v="461"/>
            <x v="462"/>
            <x v="463"/>
            <x v="464"/>
            <x v="465"/>
          </reference>
        </references>
      </pivotArea>
    </format>
    <format dxfId="656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65"/>
          </reference>
          <reference field="2" count="1" selected="0">
            <x v="11"/>
          </reference>
          <reference field="3" count="3">
            <x v="4"/>
            <x v="39"/>
            <x v="466"/>
          </reference>
        </references>
      </pivotArea>
    </format>
    <format dxfId="655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78"/>
          </reference>
          <reference field="2" count="1" selected="0">
            <x v="11"/>
          </reference>
          <reference field="3" count="1">
            <x v="115"/>
          </reference>
        </references>
      </pivotArea>
    </format>
    <format dxfId="654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58"/>
          </reference>
          <reference field="2" count="1" selected="0">
            <x v="11"/>
          </reference>
          <reference field="3" count="1">
            <x v="463"/>
          </reference>
        </references>
      </pivotArea>
    </format>
    <format dxfId="653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8"/>
          </reference>
          <reference field="2" count="1" selected="0">
            <x v="47"/>
          </reference>
          <reference field="3" count="2">
            <x v="447"/>
            <x v="467"/>
          </reference>
        </references>
      </pivotArea>
    </format>
    <format dxfId="652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64"/>
          </reference>
          <reference field="2" count="1" selected="0">
            <x v="12"/>
          </reference>
          <reference field="3" count="1">
            <x v="468"/>
          </reference>
        </references>
      </pivotArea>
    </format>
    <format dxfId="651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6"/>
          </reference>
          <reference field="2" count="1" selected="0">
            <x v="12"/>
          </reference>
          <reference field="3" count="1">
            <x v="115"/>
          </reference>
        </references>
      </pivotArea>
    </format>
    <format dxfId="650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9"/>
          </reference>
          <reference field="2" count="1" selected="0">
            <x v="12"/>
          </reference>
          <reference field="3" count="7">
            <x v="328"/>
            <x v="332"/>
            <x v="469"/>
            <x v="470"/>
            <x v="471"/>
            <x v="472"/>
            <x v="473"/>
          </reference>
        </references>
      </pivotArea>
    </format>
    <format dxfId="649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8"/>
          </reference>
          <reference field="2" count="1" selected="0">
            <x v="14"/>
          </reference>
          <reference field="3" count="18">
            <x v="82"/>
            <x v="110"/>
            <x v="205"/>
            <x v="294"/>
            <x v="309"/>
            <x v="372"/>
            <x v="42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</reference>
        </references>
      </pivotArea>
    </format>
    <format dxfId="648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18"/>
          </reference>
          <reference field="2" count="1" selected="0">
            <x v="39"/>
          </reference>
          <reference field="3" count="1">
            <x v="153"/>
          </reference>
        </references>
      </pivotArea>
    </format>
    <format dxfId="647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44"/>
          </reference>
          <reference field="2" count="1" selected="0">
            <x v="39"/>
          </reference>
          <reference field="3" count="1">
            <x v="337"/>
          </reference>
        </references>
      </pivotArea>
    </format>
    <format dxfId="646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8"/>
          </reference>
          <reference field="2" count="1" selected="0">
            <x v="48"/>
          </reference>
          <reference field="3" count="5">
            <x v="175"/>
            <x v="339"/>
            <x v="480"/>
            <x v="485"/>
            <x v="486"/>
          </reference>
        </references>
      </pivotArea>
    </format>
    <format dxfId="645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79"/>
          </reference>
          <reference field="2" count="1" selected="0">
            <x v="15"/>
          </reference>
          <reference field="3" count="1">
            <x v="487"/>
          </reference>
        </references>
      </pivotArea>
    </format>
    <format dxfId="644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64"/>
          </reference>
          <reference field="2" count="1" selected="0">
            <x v="15"/>
          </reference>
          <reference field="3" count="6">
            <x v="79"/>
            <x v="183"/>
            <x v="475"/>
            <x v="488"/>
            <x v="489"/>
            <x v="490"/>
          </reference>
        </references>
      </pivotArea>
    </format>
    <format dxfId="643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6"/>
          </reference>
          <reference field="2" count="1" selected="0">
            <x v="15"/>
          </reference>
          <reference field="3" count="1">
            <x v="1"/>
          </reference>
        </references>
      </pivotArea>
    </format>
    <format dxfId="642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9"/>
          </reference>
          <reference field="2" count="1" selected="0">
            <x v="15"/>
          </reference>
          <reference field="3" count="35">
            <x v="0"/>
            <x v="39"/>
            <x v="55"/>
            <x v="73"/>
            <x v="74"/>
            <x v="76"/>
            <x v="79"/>
            <x v="82"/>
            <x v="87"/>
            <x v="112"/>
            <x v="115"/>
            <x v="157"/>
            <x v="168"/>
            <x v="199"/>
            <x v="319"/>
            <x v="435"/>
            <x v="491"/>
            <x v="492"/>
            <x v="493"/>
            <x v="494"/>
            <x v="495"/>
            <x v="496"/>
            <x v="497"/>
            <x v="498"/>
            <x v="499"/>
            <x v="500"/>
            <x v="501"/>
            <x v="502"/>
            <x v="503"/>
            <x v="504"/>
            <x v="505"/>
            <x v="506"/>
            <x v="507"/>
            <x v="508"/>
            <x v="509"/>
          </reference>
        </references>
      </pivotArea>
    </format>
    <format dxfId="641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65"/>
          </reference>
          <reference field="2" count="1" selected="0">
            <x v="15"/>
          </reference>
          <reference field="3" count="3">
            <x v="115"/>
            <x v="510"/>
            <x v="511"/>
          </reference>
        </references>
      </pivotArea>
    </format>
    <format dxfId="640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13"/>
          </reference>
          <reference field="2" count="1" selected="0">
            <x v="16"/>
          </reference>
          <reference field="3" count="1">
            <x v="94"/>
          </reference>
        </references>
      </pivotArea>
    </format>
    <format dxfId="639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9"/>
          </reference>
          <reference field="2" count="1" selected="0">
            <x v="50"/>
          </reference>
          <reference field="3" count="3">
            <x v="343"/>
            <x v="512"/>
            <x v="513"/>
          </reference>
        </references>
      </pivotArea>
    </format>
    <format dxfId="638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80"/>
          </reference>
          <reference field="2" count="1" selected="0">
            <x v="50"/>
          </reference>
          <reference field="3" count="1">
            <x v="384"/>
          </reference>
        </references>
      </pivotArea>
    </format>
    <format dxfId="637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68"/>
          </reference>
          <reference field="2" count="1" selected="0">
            <x v="51"/>
          </reference>
          <reference field="3" count="1">
            <x v="514"/>
          </reference>
        </references>
      </pivotArea>
    </format>
    <format dxfId="636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9"/>
          </reference>
          <reference field="2" count="1" selected="0">
            <x v="71"/>
          </reference>
          <reference field="3" count="1">
            <x v="515"/>
          </reference>
        </references>
      </pivotArea>
    </format>
    <format dxfId="635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64"/>
          </reference>
          <reference field="2" count="1" selected="0">
            <x v="18"/>
          </reference>
          <reference field="3" count="5">
            <x v="77"/>
            <x v="144"/>
            <x v="516"/>
            <x v="517"/>
            <x v="518"/>
          </reference>
        </references>
      </pivotArea>
    </format>
    <format dxfId="634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9"/>
          </reference>
          <reference field="2" count="1" selected="0">
            <x v="18"/>
          </reference>
          <reference field="3" count="2">
            <x v="519"/>
            <x v="520"/>
          </reference>
        </references>
      </pivotArea>
    </format>
    <format dxfId="633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65"/>
          </reference>
          <reference field="2" count="1" selected="0">
            <x v="18"/>
          </reference>
          <reference field="3" count="1">
            <x v="40"/>
          </reference>
        </references>
      </pivotArea>
    </format>
    <format dxfId="632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17"/>
          </reference>
          <reference field="2" count="1" selected="0">
            <x v="18"/>
          </reference>
          <reference field="3" count="11">
            <x v="92"/>
            <x v="151"/>
            <x v="221"/>
            <x v="281"/>
            <x v="324"/>
            <x v="519"/>
            <x v="521"/>
            <x v="522"/>
            <x v="523"/>
            <x v="524"/>
            <x v="525"/>
          </reference>
        </references>
      </pivotArea>
    </format>
    <format dxfId="631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79"/>
          </reference>
          <reference field="2" count="1" selected="0">
            <x v="19"/>
          </reference>
          <reference field="3" count="1">
            <x v="220"/>
          </reference>
        </references>
      </pivotArea>
    </format>
    <format dxfId="630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8"/>
          </reference>
          <reference field="2" count="1" selected="0">
            <x v="19"/>
          </reference>
          <reference field="3" count="12">
            <x v="181"/>
            <x v="384"/>
            <x v="526"/>
            <x v="527"/>
            <x v="528"/>
            <x v="529"/>
            <x v="530"/>
            <x v="531"/>
            <x v="532"/>
            <x v="533"/>
            <x v="534"/>
            <x v="535"/>
          </reference>
        </references>
      </pivotArea>
    </format>
    <format dxfId="629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81"/>
          </reference>
          <reference field="2" count="1" selected="0">
            <x v="19"/>
          </reference>
          <reference field="3" count="1">
            <x v="536"/>
          </reference>
        </references>
      </pivotArea>
    </format>
    <format dxfId="628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82"/>
          </reference>
          <reference field="2" count="1" selected="0">
            <x v="19"/>
          </reference>
          <reference field="3" count="1">
            <x v="537"/>
          </reference>
        </references>
      </pivotArea>
    </format>
    <format dxfId="627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8"/>
          </reference>
          <reference field="2" count="1" selected="0">
            <x v="52"/>
          </reference>
          <reference field="3" count="3">
            <x v="168"/>
            <x v="204"/>
            <x v="538"/>
          </reference>
        </references>
      </pivotArea>
    </format>
    <format dxfId="626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83"/>
          </reference>
          <reference field="2" count="1" selected="0">
            <x v="20"/>
          </reference>
          <reference field="3" count="1">
            <x v="539"/>
          </reference>
        </references>
      </pivotArea>
    </format>
    <format dxfId="625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43"/>
          </reference>
          <reference field="2" count="1" selected="0">
            <x v="20"/>
          </reference>
          <reference field="3" count="1">
            <x v="50"/>
          </reference>
        </references>
      </pivotArea>
    </format>
    <format dxfId="624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84"/>
          </reference>
          <reference field="2" count="1" selected="0">
            <x v="20"/>
          </reference>
          <reference field="3" count="3">
            <x v="207"/>
            <x v="534"/>
            <x v="540"/>
          </reference>
        </references>
      </pivotArea>
    </format>
    <format dxfId="623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85"/>
          </reference>
          <reference field="2" count="1" selected="0">
            <x v="20"/>
          </reference>
          <reference field="3" count="1">
            <x v="541"/>
          </reference>
        </references>
      </pivotArea>
    </format>
    <format dxfId="622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84"/>
          </reference>
          <reference field="2" count="1" selected="0">
            <x v="53"/>
          </reference>
          <reference field="3" count="1">
            <x v="542"/>
          </reference>
        </references>
      </pivotArea>
    </format>
    <format dxfId="621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79"/>
          </reference>
          <reference field="2" count="1" selected="0">
            <x v="21"/>
          </reference>
          <reference field="3" count="1">
            <x v="174"/>
          </reference>
        </references>
      </pivotArea>
    </format>
    <format dxfId="620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64"/>
          </reference>
          <reference field="2" count="1" selected="0">
            <x v="21"/>
          </reference>
          <reference field="3" count="5">
            <x v="166"/>
            <x v="543"/>
            <x v="544"/>
            <x v="545"/>
            <x v="546"/>
          </reference>
        </references>
      </pivotArea>
    </format>
    <format dxfId="619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6"/>
          </reference>
          <reference field="2" count="1" selected="0">
            <x v="21"/>
          </reference>
          <reference field="3" count="1">
            <x v="79"/>
          </reference>
        </references>
      </pivotArea>
    </format>
    <format dxfId="618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16"/>
          </reference>
          <reference field="2" count="1" selected="0">
            <x v="21"/>
          </reference>
          <reference field="3" count="1">
            <x v="292"/>
          </reference>
        </references>
      </pivotArea>
    </format>
    <format dxfId="617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9"/>
          </reference>
          <reference field="2" count="1" selected="0">
            <x v="21"/>
          </reference>
          <reference field="3" count="20">
            <x v="0"/>
            <x v="29"/>
            <x v="30"/>
            <x v="82"/>
            <x v="217"/>
            <x v="337"/>
            <x v="384"/>
            <x v="513"/>
            <x v="547"/>
            <x v="548"/>
            <x v="549"/>
            <x v="550"/>
            <x v="551"/>
            <x v="552"/>
            <x v="553"/>
            <x v="554"/>
            <x v="555"/>
            <x v="556"/>
            <x v="557"/>
            <x v="558"/>
          </reference>
        </references>
      </pivotArea>
    </format>
    <format dxfId="616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66"/>
          </reference>
          <reference field="2" count="1" selected="0">
            <x v="21"/>
          </reference>
          <reference field="3" count="3">
            <x v="47"/>
            <x v="83"/>
            <x v="328"/>
          </reference>
        </references>
      </pivotArea>
    </format>
    <format dxfId="615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9"/>
          </reference>
          <reference field="2" count="1" selected="0">
            <x v="55"/>
          </reference>
          <reference field="3" count="3">
            <x v="202"/>
            <x v="350"/>
            <x v="559"/>
          </reference>
        </references>
      </pivotArea>
    </format>
    <format dxfId="614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13"/>
          </reference>
          <reference field="2" count="1" selected="0">
            <x v="22"/>
          </reference>
          <reference field="3" count="7">
            <x v="94"/>
            <x v="289"/>
            <x v="369"/>
            <x v="386"/>
            <x v="560"/>
            <x v="561"/>
            <x v="562"/>
          </reference>
        </references>
      </pivotArea>
    </format>
    <format dxfId="613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18"/>
          </reference>
          <reference field="2" count="1" selected="0">
            <x v="22"/>
          </reference>
          <reference field="3" count="2">
            <x v="168"/>
            <x v="563"/>
          </reference>
        </references>
      </pivotArea>
    </format>
    <format dxfId="612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19"/>
          </reference>
          <reference field="2" count="1" selected="0">
            <x v="22"/>
          </reference>
          <reference field="3" count="1">
            <x v="564"/>
          </reference>
        </references>
      </pivotArea>
    </format>
    <format dxfId="611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68"/>
          </reference>
          <reference field="2" count="1" selected="0">
            <x v="22"/>
          </reference>
          <reference field="3" count="2">
            <x v="565"/>
            <x v="566"/>
          </reference>
        </references>
      </pivotArea>
    </format>
    <format dxfId="610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86"/>
          </reference>
          <reference field="2" count="1" selected="0">
            <x v="22"/>
          </reference>
          <reference field="3" count="2">
            <x v="211"/>
            <x v="567"/>
          </reference>
        </references>
      </pivotArea>
    </format>
    <format dxfId="609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87"/>
          </reference>
          <reference field="2" count="1" selected="0">
            <x v="22"/>
          </reference>
          <reference field="3" count="1">
            <x v="202"/>
          </reference>
        </references>
      </pivotArea>
    </format>
    <format dxfId="608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9"/>
          </reference>
          <reference field="2" count="1" selected="0">
            <x v="57"/>
          </reference>
          <reference field="3" count="1">
            <x v="568"/>
          </reference>
        </references>
      </pivotArea>
    </format>
    <format dxfId="607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88"/>
          </reference>
          <reference field="2" count="1" selected="0">
            <x v="57"/>
          </reference>
          <reference field="3" count="1">
            <x v="317"/>
          </reference>
        </references>
      </pivotArea>
    </format>
    <format dxfId="606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64"/>
          </reference>
          <reference field="2" count="1" selected="0">
            <x v="24"/>
          </reference>
          <reference field="3" count="4">
            <x v="569"/>
            <x v="570"/>
            <x v="571"/>
            <x v="572"/>
          </reference>
        </references>
      </pivotArea>
    </format>
    <format dxfId="605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7"/>
          </reference>
          <reference field="2" count="1" selected="0">
            <x v="24"/>
          </reference>
          <reference field="3" count="1">
            <x v="115"/>
          </reference>
        </references>
      </pivotArea>
    </format>
    <format dxfId="604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16"/>
          </reference>
          <reference field="2" count="1" selected="0">
            <x v="24"/>
          </reference>
          <reference field="3" count="1">
            <x v="573"/>
          </reference>
        </references>
      </pivotArea>
    </format>
    <format dxfId="603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9"/>
          </reference>
          <reference field="2" count="1" selected="0">
            <x v="24"/>
          </reference>
          <reference field="3" count="1">
            <x v="1"/>
          </reference>
        </references>
      </pivotArea>
    </format>
    <format dxfId="602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17"/>
          </reference>
          <reference field="2" count="1" selected="0">
            <x v="24"/>
          </reference>
          <reference field="3" count="8">
            <x v="57"/>
            <x v="212"/>
            <x v="224"/>
            <x v="564"/>
            <x v="574"/>
            <x v="575"/>
            <x v="576"/>
            <x v="577"/>
          </reference>
        </references>
      </pivotArea>
    </format>
    <format dxfId="601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31"/>
          </reference>
          <reference field="2" count="1" selected="0">
            <x v="72"/>
          </reference>
          <reference field="3" count="1">
            <x v="563"/>
          </reference>
        </references>
      </pivotArea>
    </format>
    <format dxfId="600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31"/>
          </reference>
          <reference field="2" count="1" selected="0">
            <x v="73"/>
          </reference>
          <reference field="3" count="4">
            <x v="578"/>
            <x v="579"/>
            <x v="580"/>
            <x v="581"/>
          </reference>
        </references>
      </pivotArea>
    </format>
    <format dxfId="599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31"/>
          </reference>
          <reference field="2" count="1" selected="0">
            <x v="74"/>
          </reference>
          <reference field="3" count="1">
            <x v="457"/>
          </reference>
        </references>
      </pivotArea>
    </format>
    <format dxfId="598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20"/>
          </reference>
          <reference field="2" count="1" selected="0">
            <x v="25"/>
          </reference>
          <reference field="3" count="3">
            <x v="21"/>
            <x v="138"/>
            <x v="582"/>
          </reference>
        </references>
      </pivotArea>
    </format>
    <format dxfId="597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21"/>
          </reference>
          <reference field="2" count="1" selected="0">
            <x v="26"/>
          </reference>
          <reference field="3" count="1">
            <x v="583"/>
          </reference>
        </references>
      </pivotArea>
    </format>
    <format dxfId="596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89"/>
          </reference>
          <reference field="2" count="1" selected="0">
            <x v="75"/>
          </reference>
          <reference field="3" count="1">
            <x v="584"/>
          </reference>
        </references>
      </pivotArea>
    </format>
    <format dxfId="595">
      <pivotArea dataOnly="0" labelOnly="1" outline="0" fieldPosition="0">
        <references count="4">
          <reference field="0" count="1" selected="0">
            <x v="8"/>
          </reference>
          <reference field="1" count="1" selected="0">
            <x v="9"/>
          </reference>
          <reference field="2" count="1" selected="0">
            <x v="15"/>
          </reference>
          <reference field="3" count="1">
            <x v="384"/>
          </reference>
        </references>
      </pivotArea>
    </format>
    <format dxfId="594">
      <pivotArea dataOnly="0" labelOnly="1" outline="0" fieldPosition="0">
        <references count="4">
          <reference field="0" count="1" selected="0">
            <x v="8"/>
          </reference>
          <reference field="1" count="1" selected="0">
            <x v="9"/>
          </reference>
          <reference field="2" count="1" selected="0">
            <x v="21"/>
          </reference>
          <reference field="3" count="1">
            <x v="221"/>
          </reference>
        </references>
      </pivotArea>
    </format>
    <format dxfId="593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90"/>
          </reference>
          <reference field="2" count="1" selected="0">
            <x v="63"/>
          </reference>
          <reference field="3" count="1">
            <x v="39"/>
          </reference>
        </references>
      </pivotArea>
    </format>
    <format dxfId="592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73"/>
          </reference>
          <reference field="2" count="1" selected="0">
            <x v="1"/>
          </reference>
          <reference field="3" count="4">
            <x v="54"/>
            <x v="192"/>
            <x v="289"/>
            <x v="585"/>
          </reference>
        </references>
      </pivotArea>
    </format>
    <format dxfId="591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91"/>
          </reference>
          <reference field="2" count="1" selected="0">
            <x v="1"/>
          </reference>
          <reference field="3" count="1">
            <x v="586"/>
          </reference>
        </references>
      </pivotArea>
    </format>
    <format dxfId="590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92"/>
          </reference>
          <reference field="2" count="1" selected="0">
            <x v="76"/>
          </reference>
          <reference field="3" count="1">
            <x v="26"/>
          </reference>
        </references>
      </pivotArea>
    </format>
    <format dxfId="589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75"/>
          </reference>
          <reference field="2" count="1" selected="0">
            <x v="77"/>
          </reference>
          <reference field="3" count="1">
            <x v="88"/>
          </reference>
        </references>
      </pivotArea>
    </format>
    <format dxfId="588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93"/>
          </reference>
          <reference field="2" count="1" selected="0">
            <x v="65"/>
          </reference>
          <reference field="3" count="1">
            <x v="132"/>
          </reference>
        </references>
      </pivotArea>
    </format>
    <format dxfId="587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75"/>
          </reference>
          <reference field="2" count="1" selected="0">
            <x v="65"/>
          </reference>
          <reference field="3" count="1">
            <x v="142"/>
          </reference>
        </references>
      </pivotArea>
    </format>
    <format dxfId="586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76"/>
          </reference>
          <reference field="2" count="1" selected="0">
            <x v="65"/>
          </reference>
          <reference field="3" count="1">
            <x v="226"/>
          </reference>
        </references>
      </pivotArea>
    </format>
    <format dxfId="585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1"/>
          </reference>
          <reference field="2" count="1" selected="0">
            <x v="2"/>
          </reference>
          <reference field="3" count="1">
            <x v="444"/>
          </reference>
        </references>
      </pivotArea>
    </format>
    <format dxfId="584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73"/>
          </reference>
          <reference field="2" count="1" selected="0">
            <x v="3"/>
          </reference>
          <reference field="3" count="1">
            <x v="132"/>
          </reference>
        </references>
      </pivotArea>
    </format>
    <format dxfId="583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36"/>
          </reference>
          <reference field="2" count="1" selected="0">
            <x v="78"/>
          </reference>
          <reference field="3" count="1">
            <x v="128"/>
          </reference>
        </references>
      </pivotArea>
    </format>
    <format dxfId="582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36"/>
          </reference>
          <reference field="2" count="1" selected="0">
            <x v="79"/>
          </reference>
          <reference field="3" count="1">
            <x v="19"/>
          </reference>
        </references>
      </pivotArea>
    </format>
    <format dxfId="581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94"/>
          </reference>
          <reference field="2" count="1" selected="0">
            <x v="80"/>
          </reference>
          <reference field="3" count="1">
            <x v="70"/>
          </reference>
        </references>
      </pivotArea>
    </format>
    <format dxfId="580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4"/>
          </reference>
          <reference field="2" count="1" selected="0">
            <x v="81"/>
          </reference>
          <reference field="3" count="4">
            <x v="38"/>
            <x v="54"/>
            <x v="587"/>
            <x v="588"/>
          </reference>
        </references>
      </pivotArea>
    </format>
    <format dxfId="579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3"/>
          </reference>
          <reference field="2" count="1" selected="0">
            <x v="5"/>
          </reference>
          <reference field="3" count="2">
            <x v="589"/>
            <x v="590"/>
          </reference>
        </references>
      </pivotArea>
    </format>
    <format dxfId="578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2"/>
          </reference>
          <reference field="2" count="1" selected="0">
            <x v="6"/>
          </reference>
          <reference field="3" count="1">
            <x v="449"/>
          </reference>
        </references>
      </pivotArea>
    </format>
    <format dxfId="577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2"/>
          </reference>
          <reference field="2" count="1" selected="0">
            <x v="7"/>
          </reference>
          <reference field="3" count="1">
            <x v="591"/>
          </reference>
        </references>
      </pivotArea>
    </format>
    <format dxfId="576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4"/>
          </reference>
          <reference field="2" count="1" selected="0">
            <x v="7"/>
          </reference>
          <reference field="3" count="3">
            <x v="450"/>
            <x v="592"/>
            <x v="593"/>
          </reference>
        </references>
      </pivotArea>
    </format>
    <format dxfId="575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5"/>
          </reference>
          <reference field="2" count="1" selected="0">
            <x v="8"/>
          </reference>
          <reference field="3" count="9">
            <x v="128"/>
            <x v="133"/>
            <x v="450"/>
            <x v="594"/>
            <x v="595"/>
            <x v="596"/>
            <x v="597"/>
            <x v="598"/>
            <x v="599"/>
          </reference>
        </references>
      </pivotArea>
    </format>
    <format dxfId="574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4"/>
          </reference>
          <reference field="2" count="1" selected="0">
            <x v="9"/>
          </reference>
          <reference field="3" count="1">
            <x v="600"/>
          </reference>
        </references>
      </pivotArea>
    </format>
    <format dxfId="573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5"/>
          </reference>
          <reference field="2" count="1" selected="0">
            <x v="10"/>
          </reference>
          <reference field="3" count="1">
            <x v="601"/>
          </reference>
        </references>
      </pivotArea>
    </format>
    <format dxfId="572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20"/>
          </reference>
          <reference field="2" count="1" selected="0">
            <x v="82"/>
          </reference>
          <reference field="3" count="1">
            <x v="27"/>
          </reference>
        </references>
      </pivotArea>
    </format>
    <format dxfId="571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39"/>
          </reference>
          <reference field="2" count="1" selected="0">
            <x v="11"/>
          </reference>
          <reference field="3" count="4">
            <x v="0"/>
            <x v="39"/>
            <x v="256"/>
            <x v="602"/>
          </reference>
        </references>
      </pivotArea>
    </format>
    <format dxfId="570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8"/>
          </reference>
          <reference field="2" count="1" selected="0">
            <x v="11"/>
          </reference>
          <reference field="3" count="17">
            <x v="3"/>
            <x v="4"/>
            <x v="7"/>
            <x v="36"/>
            <x v="39"/>
            <x v="120"/>
            <x v="129"/>
            <x v="256"/>
            <x v="301"/>
            <x v="438"/>
            <x v="444"/>
            <x v="493"/>
            <x v="586"/>
            <x v="603"/>
            <x v="604"/>
            <x v="605"/>
            <x v="606"/>
          </reference>
        </references>
      </pivotArea>
    </format>
    <format dxfId="569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58"/>
          </reference>
          <reference field="2" count="1" selected="0">
            <x v="11"/>
          </reference>
          <reference field="3" count="2">
            <x v="38"/>
            <x v="607"/>
          </reference>
        </references>
      </pivotArea>
    </format>
    <format dxfId="568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39"/>
          </reference>
          <reference field="2" count="1" selected="0">
            <x v="47"/>
          </reference>
          <reference field="3" count="1">
            <x v="298"/>
          </reference>
        </references>
      </pivotArea>
    </format>
    <format dxfId="567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8"/>
          </reference>
          <reference field="2" count="1" selected="0">
            <x v="47"/>
          </reference>
          <reference field="3" count="1">
            <x v="256"/>
          </reference>
        </references>
      </pivotArea>
    </format>
    <format dxfId="566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6"/>
          </reference>
          <reference field="2" count="1" selected="0">
            <x v="12"/>
          </reference>
          <reference field="3" count="1">
            <x v="39"/>
          </reference>
        </references>
      </pivotArea>
    </format>
    <format dxfId="565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9"/>
          </reference>
          <reference field="2" count="1" selected="0">
            <x v="12"/>
          </reference>
          <reference field="3" count="4">
            <x v="30"/>
            <x v="54"/>
            <x v="192"/>
            <x v="608"/>
          </reference>
        </references>
      </pivotArea>
    </format>
    <format dxfId="564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9"/>
          </reference>
          <reference field="2" count="1" selected="0">
            <x v="13"/>
          </reference>
          <reference field="3" count="2">
            <x v="56"/>
            <x v="609"/>
          </reference>
        </references>
      </pivotArea>
    </format>
    <format dxfId="563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8"/>
          </reference>
          <reference field="2" count="1" selected="0">
            <x v="14"/>
          </reference>
          <reference field="3" count="18">
            <x v="94"/>
            <x v="294"/>
            <x v="384"/>
            <x v="43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</reference>
        </references>
      </pivotArea>
    </format>
    <format dxfId="562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81"/>
          </reference>
          <reference field="2" count="1" selected="0">
            <x v="14"/>
          </reference>
          <reference field="3" count="3">
            <x v="1"/>
            <x v="56"/>
            <x v="624"/>
          </reference>
        </references>
      </pivotArea>
    </format>
    <format dxfId="561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95"/>
          </reference>
          <reference field="2" count="1" selected="0">
            <x v="83"/>
          </reference>
          <reference field="3" count="1">
            <x v="294"/>
          </reference>
        </references>
      </pivotArea>
    </format>
    <format dxfId="560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11"/>
          </reference>
          <reference field="2" count="1" selected="0">
            <x v="39"/>
          </reference>
          <reference field="3" count="1">
            <x v="144"/>
          </reference>
        </references>
      </pivotArea>
    </format>
    <format dxfId="559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43"/>
          </reference>
          <reference field="2" count="1" selected="0">
            <x v="39"/>
          </reference>
          <reference field="3" count="1">
            <x v="625"/>
          </reference>
        </references>
      </pivotArea>
    </format>
    <format dxfId="558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8"/>
          </reference>
          <reference field="2" count="1" selected="0">
            <x v="39"/>
          </reference>
          <reference field="3" count="1">
            <x v="560"/>
          </reference>
        </references>
      </pivotArea>
    </format>
    <format dxfId="557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40"/>
          </reference>
          <reference field="2" count="1" selected="0">
            <x v="15"/>
          </reference>
          <reference field="3" count="1">
            <x v="626"/>
          </reference>
        </references>
      </pivotArea>
    </format>
    <format dxfId="556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39"/>
          </reference>
          <reference field="2" count="1" selected="0">
            <x v="15"/>
          </reference>
          <reference field="3" count="4">
            <x v="39"/>
            <x v="493"/>
            <x v="627"/>
            <x v="628"/>
          </reference>
        </references>
      </pivotArea>
    </format>
    <format dxfId="555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6"/>
          </reference>
          <reference field="2" count="1" selected="0">
            <x v="15"/>
          </reference>
          <reference field="3" count="5">
            <x v="30"/>
            <x v="54"/>
            <x v="94"/>
            <x v="307"/>
            <x v="629"/>
          </reference>
        </references>
      </pivotArea>
    </format>
    <format dxfId="554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96"/>
          </reference>
          <reference field="2" count="1" selected="0">
            <x v="15"/>
          </reference>
          <reference field="3" count="1">
            <x v="260"/>
          </reference>
        </references>
      </pivotArea>
    </format>
    <format dxfId="553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7"/>
          </reference>
          <reference field="2" count="1" selected="0">
            <x v="15"/>
          </reference>
          <reference field="3" count="2">
            <x v="328"/>
            <x v="493"/>
          </reference>
        </references>
      </pivotArea>
    </format>
    <format dxfId="552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9"/>
          </reference>
          <reference field="2" count="1" selected="0">
            <x v="15"/>
          </reference>
          <reference field="3" count="36">
            <x v="0"/>
            <x v="54"/>
            <x v="70"/>
            <x v="115"/>
            <x v="134"/>
            <x v="137"/>
            <x v="142"/>
            <x v="159"/>
            <x v="168"/>
            <x v="192"/>
            <x v="221"/>
            <x v="337"/>
            <x v="463"/>
            <x v="499"/>
            <x v="602"/>
            <x v="606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</reference>
        </references>
      </pivotArea>
    </format>
    <format dxfId="551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97"/>
          </reference>
          <reference field="2" count="1" selected="0">
            <x v="15"/>
          </reference>
          <reference field="3" count="1">
            <x v="650"/>
          </reference>
        </references>
      </pivotArea>
    </format>
    <format dxfId="550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58"/>
          </reference>
          <reference field="2" count="1" selected="0">
            <x v="15"/>
          </reference>
          <reference field="3" count="1">
            <x v="651"/>
          </reference>
        </references>
      </pivotArea>
    </format>
    <format dxfId="549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98"/>
          </reference>
          <reference field="2" count="1" selected="0">
            <x v="15"/>
          </reference>
          <reference field="3" count="1">
            <x v="92"/>
          </reference>
        </references>
      </pivotArea>
    </format>
    <format dxfId="548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13"/>
          </reference>
          <reference field="2" count="1" selected="0">
            <x v="16"/>
          </reference>
          <reference field="3" count="6">
            <x v="70"/>
            <x v="76"/>
            <x v="307"/>
            <x v="652"/>
            <x v="653"/>
            <x v="654"/>
          </reference>
        </references>
      </pivotArea>
    </format>
    <format dxfId="547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18"/>
          </reference>
          <reference field="2" count="1" selected="0">
            <x v="16"/>
          </reference>
          <reference field="3" count="1">
            <x v="62"/>
          </reference>
        </references>
      </pivotArea>
    </format>
    <format dxfId="546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88"/>
          </reference>
          <reference field="2" count="1" selected="0">
            <x v="16"/>
          </reference>
          <reference field="3" count="1">
            <x v="655"/>
          </reference>
        </references>
      </pivotArea>
    </format>
    <format dxfId="545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9"/>
          </reference>
          <reference field="2" count="1" selected="0">
            <x v="50"/>
          </reference>
          <reference field="3" count="2">
            <x v="656"/>
            <x v="657"/>
          </reference>
        </references>
      </pivotArea>
    </format>
    <format dxfId="544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16"/>
          </reference>
          <reference field="2" count="1" selected="0">
            <x v="18"/>
          </reference>
          <reference field="3" count="1">
            <x v="658"/>
          </reference>
        </references>
      </pivotArea>
    </format>
    <format dxfId="543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9"/>
          </reference>
          <reference field="2" count="1" selected="0">
            <x v="18"/>
          </reference>
          <reference field="3" count="1">
            <x v="471"/>
          </reference>
        </references>
      </pivotArea>
    </format>
    <format dxfId="542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99"/>
          </reference>
          <reference field="2" count="1" selected="0">
            <x v="18"/>
          </reference>
          <reference field="3" count="2">
            <x v="659"/>
            <x v="660"/>
          </reference>
        </references>
      </pivotArea>
    </format>
    <format dxfId="541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17"/>
          </reference>
          <reference field="2" count="1" selected="0">
            <x v="18"/>
          </reference>
          <reference field="3" count="5">
            <x v="146"/>
            <x v="185"/>
            <x v="205"/>
            <x v="289"/>
            <x v="653"/>
          </reference>
        </references>
      </pivotArea>
    </format>
    <format dxfId="540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39"/>
          </reference>
          <reference field="2" count="1" selected="0">
            <x v="19"/>
          </reference>
          <reference field="3" count="1">
            <x v="30"/>
          </reference>
        </references>
      </pivotArea>
    </format>
    <format dxfId="539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6"/>
          </reference>
          <reference field="2" count="1" selected="0">
            <x v="19"/>
          </reference>
          <reference field="3" count="1">
            <x v="223"/>
          </reference>
        </references>
      </pivotArea>
    </format>
    <format dxfId="538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8"/>
          </reference>
          <reference field="2" count="1" selected="0">
            <x v="19"/>
          </reference>
          <reference field="3" count="9">
            <x v="69"/>
            <x v="221"/>
            <x v="285"/>
            <x v="484"/>
            <x v="656"/>
            <x v="661"/>
            <x v="662"/>
            <x v="663"/>
            <x v="664"/>
          </reference>
        </references>
      </pivotArea>
    </format>
    <format dxfId="537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100"/>
          </reference>
          <reference field="2" count="1" selected="0">
            <x v="19"/>
          </reference>
          <reference field="3" count="1">
            <x v="665"/>
          </reference>
        </references>
      </pivotArea>
    </format>
    <format dxfId="536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81"/>
          </reference>
          <reference field="2" count="1" selected="0">
            <x v="19"/>
          </reference>
          <reference field="3" count="1">
            <x v="666"/>
          </reference>
        </references>
      </pivotArea>
    </format>
    <format dxfId="535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101"/>
          </reference>
          <reference field="2" count="1" selected="0">
            <x v="19"/>
          </reference>
          <reference field="3" count="1">
            <x v="94"/>
          </reference>
        </references>
      </pivotArea>
    </format>
    <format dxfId="534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23"/>
          </reference>
          <reference field="2" count="1" selected="0">
            <x v="84"/>
          </reference>
          <reference field="3" count="1">
            <x v="168"/>
          </reference>
        </references>
      </pivotArea>
    </format>
    <format dxfId="533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8"/>
          </reference>
          <reference field="2" count="1" selected="0">
            <x v="52"/>
          </reference>
          <reference field="3" count="10">
            <x v="80"/>
            <x v="198"/>
            <x v="221"/>
            <x v="424"/>
            <x v="667"/>
            <x v="668"/>
            <x v="669"/>
            <x v="670"/>
            <x v="671"/>
            <x v="672"/>
          </reference>
        </references>
      </pivotArea>
    </format>
    <format dxfId="532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102"/>
          </reference>
          <reference field="2" count="1" selected="0">
            <x v="52"/>
          </reference>
          <reference field="3" count="1">
            <x v="673"/>
          </reference>
        </references>
      </pivotArea>
    </format>
    <format dxfId="531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103"/>
          </reference>
          <reference field="2" count="1" selected="0">
            <x v="20"/>
          </reference>
          <reference field="3" count="2">
            <x v="674"/>
            <x v="675"/>
          </reference>
        </references>
      </pivotArea>
    </format>
    <format dxfId="530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67"/>
          </reference>
          <reference field="2" count="1" selected="0">
            <x v="20"/>
          </reference>
          <reference field="3" count="1">
            <x v="676"/>
          </reference>
        </references>
      </pivotArea>
    </format>
    <format dxfId="529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43"/>
          </reference>
          <reference field="2" count="1" selected="0">
            <x v="20"/>
          </reference>
          <reference field="3" count="2">
            <x v="289"/>
            <x v="677"/>
          </reference>
        </references>
      </pivotArea>
    </format>
    <format dxfId="528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46"/>
          </reference>
          <reference field="2" count="1" selected="0">
            <x v="20"/>
          </reference>
          <reference field="3" count="1">
            <x v="678"/>
          </reference>
        </references>
      </pivotArea>
    </format>
    <format dxfId="527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19"/>
          </reference>
          <reference field="2" count="1" selected="0">
            <x v="40"/>
          </reference>
          <reference field="3" count="1">
            <x v="679"/>
          </reference>
        </references>
      </pivotArea>
    </format>
    <format dxfId="526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46"/>
          </reference>
          <reference field="2" count="1" selected="0">
            <x v="40"/>
          </reference>
          <reference field="3" count="2">
            <x v="680"/>
            <x v="681"/>
          </reference>
        </references>
      </pivotArea>
    </format>
    <format dxfId="525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104"/>
          </reference>
          <reference field="2" count="1" selected="0">
            <x v="53"/>
          </reference>
          <reference field="3" count="1">
            <x v="214"/>
          </reference>
        </references>
      </pivotArea>
    </format>
    <format dxfId="524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89"/>
          </reference>
          <reference field="2" count="1" selected="0">
            <x v="53"/>
          </reference>
          <reference field="3" count="1">
            <x v="682"/>
          </reference>
        </references>
      </pivotArea>
    </format>
    <format dxfId="523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40"/>
          </reference>
          <reference field="2" count="1" selected="0">
            <x v="21"/>
          </reference>
          <reference field="3" count="1">
            <x v="683"/>
          </reference>
        </references>
      </pivotArea>
    </format>
    <format dxfId="522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39"/>
          </reference>
          <reference field="2" count="1" selected="0">
            <x v="21"/>
          </reference>
          <reference field="3" count="3">
            <x v="50"/>
            <x v="289"/>
            <x v="471"/>
          </reference>
        </references>
      </pivotArea>
    </format>
    <format dxfId="521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6"/>
          </reference>
          <reference field="2" count="1" selected="0">
            <x v="21"/>
          </reference>
          <reference field="3" count="5">
            <x v="58"/>
            <x v="192"/>
            <x v="287"/>
            <x v="625"/>
            <x v="684"/>
          </reference>
        </references>
      </pivotArea>
    </format>
    <format dxfId="520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9"/>
          </reference>
          <reference field="2" count="1" selected="0">
            <x v="21"/>
          </reference>
          <reference field="3" count="26">
            <x v="76"/>
            <x v="80"/>
            <x v="191"/>
            <x v="202"/>
            <x v="221"/>
            <x v="374"/>
            <x v="384"/>
            <x v="424"/>
            <x v="557"/>
            <x v="656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  <x v="700"/>
          </reference>
        </references>
      </pivotArea>
    </format>
    <format dxfId="519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88"/>
          </reference>
          <reference field="2" count="1" selected="0">
            <x v="21"/>
          </reference>
          <reference field="3" count="1">
            <x v="701"/>
          </reference>
        </references>
      </pivotArea>
    </format>
    <format dxfId="518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98"/>
          </reference>
          <reference field="2" count="1" selected="0">
            <x v="21"/>
          </reference>
          <reference field="3" count="1">
            <x v="50"/>
          </reference>
        </references>
      </pivotArea>
    </format>
    <format dxfId="517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6"/>
          </reference>
          <reference field="2" count="1" selected="0">
            <x v="55"/>
          </reference>
          <reference field="3" count="1">
            <x v="702"/>
          </reference>
        </references>
      </pivotArea>
    </format>
    <format dxfId="516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100"/>
          </reference>
          <reference field="2" count="1" selected="0">
            <x v="55"/>
          </reference>
          <reference field="3" count="1">
            <x v="703"/>
          </reference>
        </references>
      </pivotArea>
    </format>
    <format dxfId="515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50"/>
          </reference>
          <reference field="2" count="1" selected="0">
            <x v="22"/>
          </reference>
          <reference field="3" count="2">
            <x v="704"/>
            <x v="705"/>
          </reference>
        </references>
      </pivotArea>
    </format>
    <format dxfId="514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13"/>
          </reference>
          <reference field="2" count="1" selected="0">
            <x v="22"/>
          </reference>
          <reference field="3" count="3">
            <x v="70"/>
            <x v="207"/>
            <x v="706"/>
          </reference>
        </references>
      </pivotArea>
    </format>
    <format dxfId="513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14"/>
          </reference>
          <reference field="2" count="1" selected="0">
            <x v="22"/>
          </reference>
          <reference field="3" count="5">
            <x v="153"/>
            <x v="294"/>
            <x v="314"/>
            <x v="561"/>
            <x v="686"/>
          </reference>
        </references>
      </pivotArea>
    </format>
    <format dxfId="512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105"/>
          </reference>
          <reference field="2" count="1" selected="0">
            <x v="22"/>
          </reference>
          <reference field="3" count="3">
            <x v="311"/>
            <x v="563"/>
            <x v="707"/>
          </reference>
        </references>
      </pivotArea>
    </format>
    <format dxfId="511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18"/>
          </reference>
          <reference field="2" count="1" selected="0">
            <x v="22"/>
          </reference>
          <reference field="3" count="7">
            <x v="61"/>
            <x v="82"/>
            <x v="202"/>
            <x v="221"/>
            <x v="337"/>
            <x v="505"/>
            <x v="708"/>
          </reference>
        </references>
      </pivotArea>
    </format>
    <format dxfId="510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88"/>
          </reference>
          <reference field="2" count="1" selected="0">
            <x v="22"/>
          </reference>
          <reference field="3" count="1">
            <x v="61"/>
          </reference>
        </references>
      </pivotArea>
    </format>
    <format dxfId="509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68"/>
          </reference>
          <reference field="2" count="1" selected="0">
            <x v="22"/>
          </reference>
          <reference field="3" count="1">
            <x v="709"/>
          </reference>
        </references>
      </pivotArea>
    </format>
    <format dxfId="508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106"/>
          </reference>
          <reference field="2" count="1" selected="0">
            <x v="22"/>
          </reference>
          <reference field="3" count="1">
            <x v="215"/>
          </reference>
        </references>
      </pivotArea>
    </format>
    <format dxfId="507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107"/>
          </reference>
          <reference field="2" count="1" selected="0">
            <x v="57"/>
          </reference>
          <reference field="3" count="2">
            <x v="212"/>
            <x v="710"/>
          </reference>
        </references>
      </pivotArea>
    </format>
    <format dxfId="506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16"/>
          </reference>
          <reference field="2" count="1" selected="0">
            <x v="24"/>
          </reference>
          <reference field="3" count="1">
            <x v="241"/>
          </reference>
        </references>
      </pivotArea>
    </format>
    <format dxfId="505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9"/>
          </reference>
          <reference field="2" count="1" selected="0">
            <x v="24"/>
          </reference>
          <reference field="3" count="1">
            <x v="626"/>
          </reference>
        </references>
      </pivotArea>
    </format>
    <format dxfId="504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99"/>
          </reference>
          <reference field="2" count="1" selected="0">
            <x v="24"/>
          </reference>
          <reference field="3" count="2">
            <x v="711"/>
            <x v="712"/>
          </reference>
        </references>
      </pivotArea>
    </format>
    <format dxfId="503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17"/>
          </reference>
          <reference field="2" count="1" selected="0">
            <x v="24"/>
          </reference>
          <reference field="3" count="5">
            <x v="221"/>
            <x v="670"/>
            <x v="713"/>
            <x v="714"/>
            <x v="715"/>
          </reference>
        </references>
      </pivotArea>
    </format>
    <format dxfId="502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31"/>
          </reference>
          <reference field="2" count="1" selected="0">
            <x v="73"/>
          </reference>
          <reference field="3" count="1">
            <x v="337"/>
          </reference>
        </references>
      </pivotArea>
    </format>
    <format dxfId="501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31"/>
          </reference>
          <reference field="2" count="1" selected="0">
            <x v="44"/>
          </reference>
          <reference field="3" count="1">
            <x v="61"/>
          </reference>
        </references>
      </pivotArea>
    </format>
    <format dxfId="500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21"/>
          </reference>
          <reference field="2" count="1" selected="0">
            <x v="26"/>
          </reference>
          <reference field="3" count="4">
            <x v="19"/>
            <x v="131"/>
            <x v="226"/>
            <x v="716"/>
          </reference>
        </references>
      </pivotArea>
    </format>
    <format dxfId="499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107"/>
          </reference>
          <reference field="2" count="1" selected="0">
            <x v="85"/>
          </reference>
          <reference field="3" count="1">
            <x v="717"/>
          </reference>
        </references>
      </pivotArea>
    </format>
    <format dxfId="498">
      <pivotArea dataOnly="0" labelOnly="1" outline="0" fieldPosition="0">
        <references count="4">
          <reference field="0" count="1" selected="0">
            <x v="10"/>
          </reference>
          <reference field="1" count="1" selected="0">
            <x v="9"/>
          </reference>
          <reference field="2" count="1" selected="0">
            <x v="21"/>
          </reference>
          <reference field="3" count="2">
            <x v="207"/>
            <x v="670"/>
          </reference>
        </references>
      </pivotArea>
    </format>
    <format dxfId="497">
      <pivotArea dataOnly="0" labelOnly="1" outline="0" fieldPosition="0">
        <references count="4">
          <reference field="0" count="1" selected="0">
            <x v="10"/>
          </reference>
          <reference field="1" count="1" selected="0">
            <x v="9"/>
          </reference>
          <reference field="2" count="1" selected="0">
            <x v="24"/>
          </reference>
          <reference field="3" count="1">
            <x v="80"/>
          </reference>
        </references>
      </pivotArea>
    </format>
    <format dxfId="496">
      <pivotArea dataOnly="0" labelOnly="1" outline="0" fieldPosition="0">
        <references count="4">
          <reference field="0" count="1" selected="0">
            <x v="11"/>
          </reference>
          <reference field="1" count="1" selected="0">
            <x v="2"/>
          </reference>
          <reference field="2" count="1" selected="0">
            <x v="38"/>
          </reference>
          <reference field="3" count="3">
            <x v="450"/>
            <x v="718"/>
            <x v="719"/>
          </reference>
        </references>
      </pivotArea>
    </format>
    <format dxfId="495">
      <pivotArea dataOnly="0" labelOnly="1" outline="0" fieldPosition="0">
        <references count="4">
          <reference field="0" count="1" selected="0">
            <x v="11"/>
          </reference>
          <reference field="1" count="1" selected="0">
            <x v="4"/>
          </reference>
          <reference field="2" count="1" selected="0">
            <x v="86"/>
          </reference>
          <reference field="3" count="1">
            <x v="592"/>
          </reference>
        </references>
      </pivotArea>
    </format>
    <format dxfId="494">
      <pivotArea dataOnly="0" labelOnly="1" outline="0" fieldPosition="0">
        <references count="4">
          <reference field="0" count="1" selected="0">
            <x v="11"/>
          </reference>
          <reference field="1" count="1" selected="0">
            <x v="5"/>
          </reference>
          <reference field="2" count="1" selected="0">
            <x v="8"/>
          </reference>
          <reference field="3" count="1">
            <x v="128"/>
          </reference>
        </references>
      </pivotArea>
    </format>
    <format dxfId="493">
      <pivotArea dataOnly="0" labelOnly="1" outline="0" fieldPosition="0">
        <references count="4">
          <reference field="0" count="1" selected="0">
            <x v="11"/>
          </reference>
          <reference field="1" count="1" selected="0">
            <x v="5"/>
          </reference>
          <reference field="2" count="1" selected="0">
            <x v="10"/>
          </reference>
          <reference field="3" count="2">
            <x v="21"/>
            <x v="120"/>
          </reference>
        </references>
      </pivotArea>
    </format>
    <format dxfId="492">
      <pivotArea dataOnly="0" labelOnly="1" outline="0" fieldPosition="0">
        <references count="4">
          <reference field="0" count="1" selected="0">
            <x v="12"/>
          </reference>
          <reference field="1" count="1" selected="0">
            <x v="9"/>
          </reference>
          <reference field="2" count="1" selected="0">
            <x v="15"/>
          </reference>
          <reference field="3" count="2">
            <x v="318"/>
            <x v="621"/>
          </reference>
        </references>
      </pivotArea>
    </format>
    <format dxfId="491">
      <pivotArea dataOnly="0" labelOnly="1" outline="0" fieldPosition="0">
        <references count="4">
          <reference field="0" count="1" selected="0">
            <x v="12"/>
          </reference>
          <reference field="1" count="1" selected="0">
            <x v="25"/>
          </reference>
          <reference field="2" count="1" selected="0">
            <x v="55"/>
          </reference>
          <reference field="3" count="1">
            <x v="720"/>
          </reference>
        </references>
      </pivotArea>
    </format>
    <format dxfId="490">
      <pivotArea dataOnly="0" labelOnly="1" outline="0" fieldPosition="0">
        <references count="4">
          <reference field="0" count="1" selected="0">
            <x v="12"/>
          </reference>
          <reference field="1" count="1" selected="0">
            <x v="25"/>
          </reference>
          <reference field="2" count="1" selected="0">
            <x v="56"/>
          </reference>
          <reference field="3" count="2">
            <x v="168"/>
            <x v="721"/>
          </reference>
        </references>
      </pivotArea>
    </format>
    <format dxfId="489">
      <pivotArea dataOnly="0" labelOnly="1" outline="0" fieldPosition="0">
        <references count="4">
          <reference field="0" count="1" selected="0">
            <x v="12"/>
          </reference>
          <reference field="1" count="1" selected="0">
            <x v="15"/>
          </reference>
          <reference field="2" count="1" selected="0">
            <x v="87"/>
          </reference>
          <reference field="3" count="1">
            <x v="62"/>
          </reference>
        </references>
      </pivotArea>
    </format>
    <format dxfId="488">
      <pivotArea dataOnly="0" labelOnly="1" outline="0" fieldPosition="0">
        <references count="4">
          <reference field="0" count="1" selected="0">
            <x v="13"/>
          </reference>
          <reference field="1" count="1" selected="0">
            <x v="13"/>
          </reference>
          <reference field="2" count="1" selected="0">
            <x v="16"/>
          </reference>
          <reference field="3" count="6">
            <x v="294"/>
            <x v="318"/>
            <x v="722"/>
            <x v="723"/>
            <x v="724"/>
            <x v="725"/>
          </reference>
        </references>
      </pivotArea>
    </format>
    <format dxfId="487">
      <pivotArea dataOnly="0" labelOnly="1" outline="0" fieldPosition="0">
        <references count="4">
          <reference field="0" count="1" selected="0">
            <x v="13"/>
          </reference>
          <reference field="1" count="1" selected="0">
            <x v="18"/>
          </reference>
          <reference field="2" count="1" selected="0">
            <x v="20"/>
          </reference>
          <reference field="3" count="5">
            <x v="726"/>
            <x v="727"/>
            <x v="728"/>
            <x v="729"/>
            <x v="730"/>
          </reference>
        </references>
      </pivotArea>
    </format>
    <format dxfId="486">
      <pivotArea dataOnly="0" labelOnly="1" outline="0" fieldPosition="0">
        <references count="4">
          <reference field="0" count="1" selected="0">
            <x v="13"/>
          </reference>
          <reference field="1" count="1" selected="0">
            <x v="43"/>
          </reference>
          <reference field="2" count="1" selected="0">
            <x v="20"/>
          </reference>
          <reference field="3" count="3">
            <x v="167"/>
            <x v="270"/>
            <x v="731"/>
          </reference>
        </references>
      </pivotArea>
    </format>
    <format dxfId="485">
      <pivotArea dataOnly="0" labelOnly="1" outline="0" fieldPosition="0">
        <references count="4">
          <reference field="0" count="1" selected="0">
            <x v="13"/>
          </reference>
          <reference field="1" count="1" selected="0">
            <x v="44"/>
          </reference>
          <reference field="2" count="1" selected="0">
            <x v="20"/>
          </reference>
          <reference field="3" count="1">
            <x v="205"/>
          </reference>
        </references>
      </pivotArea>
    </format>
    <format dxfId="484">
      <pivotArea dataOnly="0" labelOnly="1" outline="0" fieldPosition="0">
        <references count="4">
          <reference field="0" count="1" selected="0">
            <x v="13"/>
          </reference>
          <reference field="1" count="1" selected="0">
            <x v="45"/>
          </reference>
          <reference field="2" count="1" selected="0">
            <x v="20"/>
          </reference>
          <reference field="3" count="2">
            <x v="732"/>
            <x v="733"/>
          </reference>
        </references>
      </pivotArea>
    </format>
    <format dxfId="483">
      <pivotArea dataOnly="0" labelOnly="1" outline="0" fieldPosition="0">
        <references count="4">
          <reference field="0" count="1" selected="0">
            <x v="13"/>
          </reference>
          <reference field="1" count="1" selected="0">
            <x v="45"/>
          </reference>
          <reference field="2" count="1" selected="0">
            <x v="40"/>
          </reference>
          <reference field="3" count="1">
            <x v="118"/>
          </reference>
        </references>
      </pivotArea>
    </format>
    <format dxfId="482">
      <pivotArea dataOnly="0" labelOnly="1" outline="0" fieldPosition="0">
        <references count="4">
          <reference field="0" count="1" selected="0">
            <x v="13"/>
          </reference>
          <reference field="1" count="1" selected="0">
            <x v="46"/>
          </reference>
          <reference field="2" count="1" selected="0">
            <x v="40"/>
          </reference>
          <reference field="3" count="2">
            <x v="734"/>
            <x v="735"/>
          </reference>
        </references>
      </pivotArea>
    </format>
    <format dxfId="481">
      <pivotArea dataOnly="0" labelOnly="1" outline="0" fieldPosition="0">
        <references count="4">
          <reference field="0" count="1" selected="0">
            <x v="13"/>
          </reference>
          <reference field="1" count="1" selected="0">
            <x v="46"/>
          </reference>
          <reference field="2" count="1" selected="0">
            <x v="53"/>
          </reference>
          <reference field="3" count="1">
            <x v="382"/>
          </reference>
        </references>
      </pivotArea>
    </format>
    <format dxfId="480">
      <pivotArea dataOnly="0" labelOnly="1" outline="0" fieldPosition="0">
        <references count="4">
          <reference field="0" count="1" selected="0">
            <x v="13"/>
          </reference>
          <reference field="1" count="1" selected="0">
            <x v="108"/>
          </reference>
          <reference field="2" count="1" selected="0">
            <x v="88"/>
          </reference>
          <reference field="3" count="1">
            <x v="177"/>
          </reference>
        </references>
      </pivotArea>
    </format>
    <format dxfId="479">
      <pivotArea dataOnly="0" labelOnly="1" outline="0" fieldPosition="0">
        <references count="4">
          <reference field="0" count="1" selected="0">
            <x v="13"/>
          </reference>
          <reference field="1" count="1" selected="0">
            <x v="13"/>
          </reference>
          <reference field="2" count="1" selected="0">
            <x v="21"/>
          </reference>
          <reference field="3" count="1">
            <x v="157"/>
          </reference>
        </references>
      </pivotArea>
    </format>
    <format dxfId="478">
      <pivotArea dataOnly="0" labelOnly="1" outline="0" fieldPosition="0">
        <references count="4">
          <reference field="0" count="1" selected="0">
            <x v="13"/>
          </reference>
          <reference field="1" count="1" selected="0">
            <x v="13"/>
          </reference>
          <reference field="2" count="1" selected="0">
            <x v="22"/>
          </reference>
          <reference field="3" count="5">
            <x v="82"/>
            <x v="294"/>
            <x v="736"/>
            <x v="737"/>
            <x v="738"/>
          </reference>
        </references>
      </pivotArea>
    </format>
    <format dxfId="477">
      <pivotArea dataOnly="0" labelOnly="1" outline="0" fieldPosition="0">
        <references count="4">
          <reference field="0" count="1" selected="0">
            <x v="13"/>
          </reference>
          <reference field="1" count="1" selected="0">
            <x v="14"/>
          </reference>
          <reference field="2" count="1" selected="0">
            <x v="22"/>
          </reference>
          <reference field="3" count="7">
            <x v="61"/>
            <x v="205"/>
            <x v="294"/>
            <x v="384"/>
            <x v="737"/>
            <x v="739"/>
            <x v="740"/>
          </reference>
        </references>
      </pivotArea>
    </format>
    <format dxfId="476">
      <pivotArea dataOnly="0" labelOnly="1" outline="0" fieldPosition="0">
        <references count="4">
          <reference field="0" count="1" selected="0">
            <x v="13"/>
          </reference>
          <reference field="1" count="1" selected="0">
            <x v="18"/>
          </reference>
          <reference field="2" count="1" selected="0">
            <x v="22"/>
          </reference>
          <reference field="3" count="9">
            <x v="80"/>
            <x v="168"/>
            <x v="741"/>
            <x v="742"/>
            <x v="743"/>
            <x v="744"/>
            <x v="745"/>
            <x v="746"/>
            <x v="747"/>
          </reference>
        </references>
      </pivotArea>
    </format>
    <format dxfId="475">
      <pivotArea dataOnly="0" labelOnly="1" outline="0" fieldPosition="0">
        <references count="4">
          <reference field="0" count="1" selected="0">
            <x v="13"/>
          </reference>
          <reference field="1" count="1" selected="0">
            <x v="19"/>
          </reference>
          <reference field="2" count="1" selected="0">
            <x v="22"/>
          </reference>
          <reference field="3" count="8">
            <x v="212"/>
            <x v="424"/>
            <x v="542"/>
            <x v="670"/>
            <x v="748"/>
            <x v="749"/>
            <x v="750"/>
            <x v="751"/>
          </reference>
        </references>
      </pivotArea>
    </format>
    <format dxfId="474">
      <pivotArea dataOnly="0" labelOnly="1" outline="0" fieldPosition="0">
        <references count="4">
          <reference field="0" count="1" selected="0">
            <x v="13"/>
          </reference>
          <reference field="1" count="1" selected="0">
            <x v="19"/>
          </reference>
          <reference field="2" count="1" selected="0">
            <x v="41"/>
          </reference>
          <reference field="3" count="1">
            <x v="752"/>
          </reference>
        </references>
      </pivotArea>
    </format>
    <format dxfId="473">
      <pivotArea dataOnly="0" labelOnly="1" outline="0" fieldPosition="0">
        <references count="4">
          <reference field="0" count="1" selected="0">
            <x v="14"/>
          </reference>
          <reference field="1" count="1" selected="0">
            <x v="8"/>
          </reference>
          <reference field="2" count="1" selected="0">
            <x v="19"/>
          </reference>
          <reference field="3" count="1">
            <x v="677"/>
          </reference>
        </references>
      </pivotArea>
    </format>
    <format dxfId="472">
      <pivotArea dataOnly="0" labelOnly="1" outline="0" fieldPosition="0">
        <references count="4">
          <reference field="0" count="1" selected="0">
            <x v="14"/>
          </reference>
          <reference field="1" count="1" selected="0">
            <x v="9"/>
          </reference>
          <reference field="2" count="1" selected="0">
            <x v="21"/>
          </reference>
          <reference field="3" count="1">
            <x v="168"/>
          </reference>
        </references>
      </pivotArea>
    </format>
    <format dxfId="471">
      <pivotArea dataOnly="0" labelOnly="1" outline="0" fieldPosition="0">
        <references count="4">
          <reference field="0" count="1" selected="0">
            <x v="14"/>
          </reference>
          <reference field="1" count="1" selected="0">
            <x v="18"/>
          </reference>
          <reference field="2" count="1" selected="0">
            <x v="22"/>
          </reference>
          <reference field="3" count="3">
            <x v="81"/>
            <x v="539"/>
            <x v="753"/>
          </reference>
        </references>
      </pivotArea>
    </format>
    <format dxfId="470">
      <pivotArea dataOnly="0" labelOnly="1" outline="0" fieldPosition="0">
        <references count="4">
          <reference field="0" count="1" selected="0">
            <x v="14"/>
          </reference>
          <reference field="1" count="1" selected="0">
            <x v="48"/>
          </reference>
          <reference field="2" count="1" selected="0">
            <x v="41"/>
          </reference>
          <reference field="3" count="2">
            <x v="754"/>
            <x v="755"/>
          </reference>
        </references>
      </pivotArea>
    </format>
    <format dxfId="469">
      <pivotArea dataOnly="0" labelOnly="1" outline="0" fieldPosition="0">
        <references count="4">
          <reference field="0" count="1" selected="0">
            <x v="15"/>
          </reference>
          <reference field="1" count="1" selected="0">
            <x v="4"/>
          </reference>
          <reference field="2" count="1" selected="0">
            <x v="7"/>
          </reference>
          <reference field="3" count="1">
            <x v="15"/>
          </reference>
        </references>
      </pivotArea>
    </format>
    <format dxfId="468">
      <pivotArea dataOnly="0" labelOnly="1" outline="0" fieldPosition="0">
        <references count="4">
          <reference field="0" count="1" selected="0">
            <x v="15"/>
          </reference>
          <reference field="1" count="1" selected="0">
            <x v="9"/>
          </reference>
          <reference field="2" count="1" selected="0">
            <x v="15"/>
          </reference>
          <reference field="3" count="1">
            <x v="221"/>
          </reference>
        </references>
      </pivotArea>
    </format>
    <format dxfId="467">
      <pivotArea dataOnly="0" labelOnly="1" outline="0" fieldPosition="0">
        <references count="4">
          <reference field="0" count="1" selected="0">
            <x v="15"/>
          </reference>
          <reference field="1" count="1" selected="0">
            <x v="6"/>
          </reference>
          <reference field="2" count="1" selected="0">
            <x v="21"/>
          </reference>
          <reference field="3" count="1">
            <x v="715"/>
          </reference>
        </references>
      </pivotArea>
    </format>
    <format dxfId="466">
      <pivotArea dataOnly="0" labelOnly="1" outline="0" fieldPosition="0">
        <references count="4">
          <reference field="0" count="1" selected="0">
            <x v="15"/>
          </reference>
          <reference field="1" count="1" selected="0">
            <x v="9"/>
          </reference>
          <reference field="2" count="1" selected="0">
            <x v="21"/>
          </reference>
          <reference field="3" count="3">
            <x v="161"/>
            <x v="205"/>
            <x v="563"/>
          </reference>
        </references>
      </pivotArea>
    </format>
    <format dxfId="465">
      <pivotArea dataOnly="0" labelOnly="1" outline="0" fieldPosition="0">
        <references count="4">
          <reference field="0" count="1" selected="0">
            <x v="15"/>
          </reference>
          <reference field="1" count="1" selected="0">
            <x v="109"/>
          </reference>
          <reference field="2" count="1" selected="0">
            <x v="21"/>
          </reference>
          <reference field="3" count="1">
            <x v="168"/>
          </reference>
        </references>
      </pivotArea>
    </format>
    <format dxfId="464">
      <pivotArea dataOnly="0" labelOnly="1" outline="0" fieldPosition="0">
        <references count="4">
          <reference field="0" count="1" selected="0">
            <x v="15"/>
          </reference>
          <reference field="1" count="1" selected="0">
            <x v="13"/>
          </reference>
          <reference field="2" count="1" selected="0">
            <x v="22"/>
          </reference>
          <reference field="3" count="1">
            <x v="563"/>
          </reference>
        </references>
      </pivotArea>
    </format>
    <format dxfId="463">
      <pivotArea dataOnly="0" labelOnly="1" outline="0" fieldPosition="0">
        <references count="4">
          <reference field="0" count="1" selected="0">
            <x v="15"/>
          </reference>
          <reference field="1" count="1" selected="0">
            <x v="110"/>
          </reference>
          <reference field="2" count="1" selected="0">
            <x v="89"/>
          </reference>
          <reference field="3" count="1">
            <x v="1"/>
          </reference>
        </references>
      </pivotArea>
    </format>
    <format dxfId="462">
      <pivotArea dataOnly="0" labelOnly="1" outline="0" fieldPosition="0">
        <references count="4">
          <reference field="0" count="1" selected="0">
            <x v="16"/>
          </reference>
          <reference field="1" count="1" selected="0">
            <x v="8"/>
          </reference>
          <reference field="2" count="1" selected="0">
            <x v="11"/>
          </reference>
          <reference field="3" count="1">
            <x v="35"/>
          </reference>
        </references>
      </pivotArea>
    </format>
    <format dxfId="461">
      <pivotArea dataOnly="0" labelOnly="1" outline="0" fieldPosition="0">
        <references count="4">
          <reference field="0" count="1" selected="0">
            <x v="16"/>
          </reference>
          <reference field="1" count="1" selected="0">
            <x v="8"/>
          </reference>
          <reference field="2" count="1" selected="0">
            <x v="47"/>
          </reference>
          <reference field="3" count="1">
            <x v="631"/>
          </reference>
        </references>
      </pivotArea>
    </format>
    <format dxfId="460">
      <pivotArea dataOnly="0" labelOnly="1" outline="0" fieldPosition="0">
        <references count="4">
          <reference field="0" count="1" selected="0">
            <x v="16"/>
          </reference>
          <reference field="1" count="1" selected="0">
            <x v="9"/>
          </reference>
          <reference field="2" count="1" selected="0">
            <x v="12"/>
          </reference>
          <reference field="3" count="2">
            <x v="223"/>
            <x v="444"/>
          </reference>
        </references>
      </pivotArea>
    </format>
    <format dxfId="459">
      <pivotArea dataOnly="0" labelOnly="1" outline="0" fieldPosition="0">
        <references count="4">
          <reference field="0" count="1" selected="0">
            <x v="16"/>
          </reference>
          <reference field="1" count="1" selected="0">
            <x v="8"/>
          </reference>
          <reference field="2" count="1" selected="0">
            <x v="14"/>
          </reference>
          <reference field="3" count="14">
            <x v="292"/>
            <x v="309"/>
            <x v="507"/>
            <x v="724"/>
            <x v="756"/>
            <x v="757"/>
            <x v="758"/>
            <x v="759"/>
            <x v="760"/>
            <x v="761"/>
            <x v="762"/>
            <x v="763"/>
            <x v="764"/>
            <x v="765"/>
          </reference>
        </references>
      </pivotArea>
    </format>
    <format dxfId="458">
      <pivotArea dataOnly="0" labelOnly="1" outline="0" fieldPosition="0">
        <references count="4">
          <reference field="0" count="1" selected="0">
            <x v="16"/>
          </reference>
          <reference field="1" count="1" selected="0">
            <x v="8"/>
          </reference>
          <reference field="2" count="1" selected="0">
            <x v="48"/>
          </reference>
          <reference field="3" count="1">
            <x v="766"/>
          </reference>
        </references>
      </pivotArea>
    </format>
    <format dxfId="457">
      <pivotArea dataOnly="0" labelOnly="1" outline="0" fieldPosition="0">
        <references count="4">
          <reference field="0" count="1" selected="0">
            <x v="16"/>
          </reference>
          <reference field="1" count="1" selected="0">
            <x v="9"/>
          </reference>
          <reference field="2" count="1" selected="0">
            <x v="15"/>
          </reference>
          <reference field="3" count="11">
            <x v="422"/>
            <x v="500"/>
            <x v="520"/>
            <x v="549"/>
            <x v="766"/>
            <x v="767"/>
            <x v="768"/>
            <x v="769"/>
            <x v="770"/>
            <x v="771"/>
            <x v="772"/>
          </reference>
        </references>
      </pivotArea>
    </format>
    <format dxfId="456">
      <pivotArea dataOnly="0" labelOnly="1" outline="0" fieldPosition="0">
        <references count="4">
          <reference field="0" count="1" selected="0">
            <x v="16"/>
          </reference>
          <reference field="1" count="1" selected="0">
            <x v="111"/>
          </reference>
          <reference field="2" count="1" selected="0">
            <x v="19"/>
          </reference>
          <reference field="3" count="4">
            <x v="524"/>
            <x v="773"/>
            <x v="774"/>
            <x v="775"/>
          </reference>
        </references>
      </pivotArea>
    </format>
    <format dxfId="455">
      <pivotArea dataOnly="0" labelOnly="1" outline="0" fieldPosition="0">
        <references count="4">
          <reference field="0" count="1" selected="0">
            <x v="16"/>
          </reference>
          <reference field="1" count="1" selected="0">
            <x v="8"/>
          </reference>
          <reference field="2" count="1" selected="0">
            <x v="19"/>
          </reference>
          <reference field="3" count="4">
            <x v="337"/>
            <x v="776"/>
            <x v="777"/>
            <x v="778"/>
          </reference>
        </references>
      </pivotArea>
    </format>
    <format dxfId="454">
      <pivotArea dataOnly="0" labelOnly="1" outline="0" fieldPosition="0">
        <references count="4">
          <reference field="0" count="1" selected="0">
            <x v="16"/>
          </reference>
          <reference field="1" count="1" selected="0">
            <x v="111"/>
          </reference>
          <reference field="2" count="1" selected="0">
            <x v="52"/>
          </reference>
          <reference field="3" count="2">
            <x v="350"/>
            <x v="779"/>
          </reference>
        </references>
      </pivotArea>
    </format>
    <format dxfId="453">
      <pivotArea dataOnly="0" labelOnly="1" outline="0" fieldPosition="0">
        <references count="4">
          <reference field="0" count="1" selected="0">
            <x v="16"/>
          </reference>
          <reference field="1" count="1" selected="0">
            <x v="8"/>
          </reference>
          <reference field="2" count="1" selected="0">
            <x v="52"/>
          </reference>
          <reference field="3" count="1">
            <x v="780"/>
          </reference>
        </references>
      </pivotArea>
    </format>
    <format dxfId="452">
      <pivotArea dataOnly="0" labelOnly="1" outline="0" fieldPosition="0">
        <references count="4">
          <reference field="0" count="1" selected="0">
            <x v="16"/>
          </reference>
          <reference field="1" count="1" selected="0">
            <x v="9"/>
          </reference>
          <reference field="2" count="1" selected="0">
            <x v="21"/>
          </reference>
          <reference field="3" count="5">
            <x v="177"/>
            <x v="781"/>
            <x v="782"/>
            <x v="783"/>
            <x v="784"/>
          </reference>
        </references>
      </pivotArea>
    </format>
    <format dxfId="451">
      <pivotArea dataOnly="0" labelOnly="1" outline="0" fieldPosition="0">
        <references count="4">
          <reference field="0" count="1" selected="0">
            <x v="16"/>
          </reference>
          <reference field="1" count="1" selected="0">
            <x v="3"/>
          </reference>
          <reference field="2" count="1" selected="0">
            <x v="90"/>
          </reference>
          <reference field="3" count="1">
            <x v="39"/>
          </reference>
        </references>
      </pivotArea>
    </format>
    <format dxfId="450">
      <pivotArea dataOnly="0" labelOnly="1" outline="0" fieldPosition="0">
        <references count="4">
          <reference field="0" count="1" selected="0">
            <x v="17"/>
          </reference>
          <reference field="1" count="1" selected="0">
            <x v="4"/>
          </reference>
          <reference field="2" count="1" selected="0">
            <x v="38"/>
          </reference>
          <reference field="3" count="2">
            <x v="785"/>
            <x v="786"/>
          </reference>
        </references>
      </pivotArea>
    </format>
    <format dxfId="449">
      <pivotArea dataOnly="0" labelOnly="1" outline="0" fieldPosition="0">
        <references count="4">
          <reference field="0" count="1" selected="0">
            <x v="17"/>
          </reference>
          <reference field="1" count="1" selected="0">
            <x v="5"/>
          </reference>
          <reference field="2" count="1" selected="0">
            <x v="8"/>
          </reference>
          <reference field="3" count="2">
            <x v="787"/>
            <x v="788"/>
          </reference>
        </references>
      </pivotArea>
    </format>
    <format dxfId="448">
      <pivotArea dataOnly="0" labelOnly="1" outline="0" fieldPosition="0">
        <references count="4">
          <reference field="0" count="1" selected="0">
            <x v="18"/>
          </reference>
          <reference field="1" count="1" selected="0">
            <x v="6"/>
          </reference>
          <reference field="2" count="1" selected="0">
            <x v="14"/>
          </reference>
          <reference field="3" count="1">
            <x v="312"/>
          </reference>
        </references>
      </pivotArea>
    </format>
    <format dxfId="447">
      <pivotArea dataOnly="0" labelOnly="1" outline="0" fieldPosition="0">
        <references count="4">
          <reference field="0" count="1" selected="0">
            <x v="18"/>
          </reference>
          <reference field="1" count="1" selected="0">
            <x v="16"/>
          </reference>
          <reference field="2" count="1" selected="0">
            <x v="15"/>
          </reference>
          <reference field="3" count="1">
            <x v="789"/>
          </reference>
        </references>
      </pivotArea>
    </format>
    <format dxfId="446">
      <pivotArea dataOnly="0" labelOnly="1" outline="0" fieldPosition="0">
        <references count="4">
          <reference field="0" count="1" selected="0">
            <x v="18"/>
          </reference>
          <reference field="1" count="1" selected="0">
            <x v="16"/>
          </reference>
          <reference field="2" count="1" selected="0">
            <x v="18"/>
          </reference>
          <reference field="3" count="1">
            <x v="294"/>
          </reference>
        </references>
      </pivotArea>
    </format>
    <format dxfId="445">
      <pivotArea dataOnly="0" labelOnly="1" outline="0" fieldPosition="0">
        <references count="4">
          <reference field="0" count="1" selected="0">
            <x v="18"/>
          </reference>
          <reference field="1" count="1" selected="0">
            <x v="16"/>
          </reference>
          <reference field="2" count="1" selected="0">
            <x v="24"/>
          </reference>
          <reference field="3" count="1">
            <x v="790"/>
          </reference>
        </references>
      </pivotArea>
    </format>
  </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4">
    <rowHierarchyUsage hierarchyUsage="0"/>
    <rowHierarchyUsage hierarchyUsage="17"/>
    <rowHierarchyUsage hierarchyUsage="25"/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lapto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D594C3-6F69-4C50-8905-32B236D4BF4A}" name="price_analysis" cacheId="286" applyNumberFormats="0" applyBorderFormats="0" applyFontFormats="0" applyPatternFormats="0" applyAlignmentFormats="0" applyWidthHeightFormats="1" dataCaption="Values" tag="ffe82500-2ca3-4899-bea5-c1f28127e139" updatedVersion="8" minRefreshableVersion="3" useAutoFormatting="1" itemPrintTitles="1" createdVersion="8" indent="0" outline="1" outlineData="1" multipleFieldFilters="0" chartFormat="9">
  <location ref="A1:B21" firstHeaderRow="1" firstDataRow="1" firstDataCol="1"/>
  <pivotFields count="2">
    <pivotField name="Brand" axis="axisRow" allDrilled="1" subtotalTop="0" showAll="0" sortType="ascending" defaultSubtotal="0" defaultAttributeDrillState="1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20">
    <i>
      <x v="17"/>
    </i>
    <i>
      <x v="3"/>
    </i>
    <i>
      <x v="11"/>
    </i>
    <i>
      <x/>
    </i>
    <i>
      <x v="5"/>
    </i>
    <i>
      <x v="9"/>
    </i>
    <i>
      <x v="7"/>
    </i>
    <i>
      <x v="4"/>
    </i>
    <i>
      <x v="2"/>
    </i>
    <i>
      <x v="18"/>
    </i>
    <i>
      <x v="16"/>
    </i>
    <i>
      <x v="1"/>
    </i>
    <i>
      <x v="8"/>
    </i>
    <i>
      <x v="6"/>
    </i>
    <i>
      <x v="12"/>
    </i>
    <i>
      <x v="13"/>
    </i>
    <i>
      <x v="15"/>
    </i>
    <i>
      <x v="10"/>
    </i>
    <i>
      <x v="14"/>
    </i>
    <i t="grand">
      <x/>
    </i>
  </rowItems>
  <colItems count="1">
    <i/>
  </colItems>
  <dataFields count="1">
    <dataField fld="1" subtotal="count" baseField="0" baseItem="0" numFmtId="170"/>
  </dataFields>
  <chartFormats count="4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5">
    <pivotHierarchy dragToData="1" caption="Bran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Median Price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laptop_analysis.xlsx!laptop">
        <x15:activeTabTopLevelEntity name="[lapto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4196EEB-82BF-4DCB-9961-AADF01646041}" autoFormatId="16" applyNumberFormats="0" applyBorderFormats="0" applyFontFormats="0" applyPatternFormats="0" applyAlignmentFormats="0" applyWidthHeightFormats="0">
  <queryTableRefresh nextId="27" unboundColumnsRight="1">
    <queryTableFields count="26">
      <queryTableField id="1" name="Company" tableColumnId="1"/>
      <queryTableField id="2" name="Product" tableColumnId="2"/>
      <queryTableField id="3" name="TypeName" tableColumnId="3"/>
      <queryTableField id="4" name="Inches" tableColumnId="4"/>
      <queryTableField id="5" name="Ram" tableColumnId="5"/>
      <queryTableField id="6" name="OS" tableColumnId="6"/>
      <queryTableField id="7" name="Weight" tableColumnId="7"/>
      <queryTableField id="8" name="Price_euros" tableColumnId="8"/>
      <queryTableField id="9" name="Screen" tableColumnId="9"/>
      <queryTableField id="10" name="ScreenW" tableColumnId="10"/>
      <queryTableField id="11" name="ScreenH" tableColumnId="11"/>
      <queryTableField id="12" name="Touchscreen" tableColumnId="12"/>
      <queryTableField id="13" name="IPSpanel" tableColumnId="13"/>
      <queryTableField id="14" name="RetinaDisplay" tableColumnId="14"/>
      <queryTableField id="15" name="CPU_company" tableColumnId="15"/>
      <queryTableField id="16" name="CPU_freq" tableColumnId="16"/>
      <queryTableField id="17" name="CPU_model" tableColumnId="17"/>
      <queryTableField id="23" dataBound="0" tableColumnId="23"/>
      <queryTableField id="18" name="PrimaryStorage" tableColumnId="18"/>
      <queryTableField id="19" name="SecondaryStorage" tableColumnId="19"/>
      <queryTableField id="24" dataBound="0" tableColumnId="24"/>
      <queryTableField id="20" name="PrimaryStorageType" tableColumnId="20"/>
      <queryTableField id="21" name="SecondaryStorageType" tableColumnId="21"/>
      <queryTableField id="25" dataBound="0" tableColumnId="25"/>
      <queryTableField id="22" name="GPU_model" tableColumnId="22"/>
      <queryTableField id="26" dataBound="0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AE5D0D-938A-4055-A9A2-B4C4DAF851CD}" name="laptop" displayName="laptop" ref="A1:Z1276" tableType="queryTable" totalsRowShown="0">
  <autoFilter ref="A1:Z1276" xr:uid="{D2AE5D0D-938A-4055-A9A2-B4C4DAF851CD}"/>
  <tableColumns count="26">
    <tableColumn id="1" xr3:uid="{6C455AA5-CDC1-4C74-B6EA-6AE96B190D1A}" uniqueName="1" name="Company" queryTableFieldId="1" dataDxfId="907"/>
    <tableColumn id="2" xr3:uid="{51C0C374-8428-45C4-AD12-F7945BDA01AB}" uniqueName="2" name="Product" queryTableFieldId="2" dataDxfId="906"/>
    <tableColumn id="3" xr3:uid="{09BF5439-89AA-4FE3-B066-74CEE4E992BE}" uniqueName="3" name="TypeName" queryTableFieldId="3" dataDxfId="905"/>
    <tableColumn id="4" xr3:uid="{072BB9C0-D747-4ACA-8E40-834C3472AA5B}" uniqueName="4" name="Inches" queryTableFieldId="4"/>
    <tableColumn id="5" xr3:uid="{03C36CC3-3B4E-4498-9999-A0D82E0528D7}" uniqueName="5" name="Ram" queryTableFieldId="5"/>
    <tableColumn id="6" xr3:uid="{1C1E7DF3-F4CA-4C2F-A27F-BF8B5B1DE3BE}" uniqueName="6" name="OS" queryTableFieldId="6" dataDxfId="904"/>
    <tableColumn id="7" xr3:uid="{34647D34-535A-4DEC-89D4-851DF0094F6E}" uniqueName="7" name="Weight" queryTableFieldId="7"/>
    <tableColumn id="8" xr3:uid="{2241AC88-EA43-4878-84A7-A93EF9CE7922}" uniqueName="8" name="Price_euros" queryTableFieldId="8" dataDxfId="891"/>
    <tableColumn id="9" xr3:uid="{547B30E9-47E8-4D58-9A6D-358045B4D038}" uniqueName="9" name="Screen" queryTableFieldId="9" dataDxfId="892"/>
    <tableColumn id="10" xr3:uid="{0F4B6075-4D72-4B2B-858F-EE2AF3CA361A}" uniqueName="10" name="ScreenW" queryTableFieldId="10"/>
    <tableColumn id="11" xr3:uid="{3AA201A0-9F09-45B9-ADEF-57300BDDEFF3}" uniqueName="11" name="ScreenH" queryTableFieldId="11"/>
    <tableColumn id="12" xr3:uid="{690C8092-5E70-421F-B021-4CE6928DB9B8}" uniqueName="12" name="Touchscreen" queryTableFieldId="12" dataDxfId="903"/>
    <tableColumn id="13" xr3:uid="{CB57DCFE-FB15-42D4-90C5-6D518CE229F9}" uniqueName="13" name="IPSpanel" queryTableFieldId="13" dataDxfId="902"/>
    <tableColumn id="14" xr3:uid="{3A7AC8D9-36BC-4E0E-A99D-E6B02BC5D214}" uniqueName="14" name="RetinaDisplay" queryTableFieldId="14" dataDxfId="901"/>
    <tableColumn id="15" xr3:uid="{53DB6262-835C-4B0D-B7C1-D3E718A42F97}" uniqueName="15" name="CPU_company" queryTableFieldId="15" dataDxfId="900"/>
    <tableColumn id="16" xr3:uid="{20FA01E8-694A-4DF7-9D9E-EED5D4A6047B}" uniqueName="16" name="CPU_freq" queryTableFieldId="16"/>
    <tableColumn id="17" xr3:uid="{7CD10A08-25EB-45B7-905A-7B847A4C6DCD}" uniqueName="17" name="CPU_model" queryTableFieldId="17" dataDxfId="899"/>
    <tableColumn id="23" xr3:uid="{535E8F83-920A-44F2-977E-B6A09AA74671}" uniqueName="23" name="CPU_Combined" queryTableFieldId="23" dataDxfId="898">
      <calculatedColumnFormula>_xlfn.CONCAT(laptop[[#This Row],[CPU_company]]," ",laptop[[#This Row],[CPU_model]])</calculatedColumnFormula>
    </tableColumn>
    <tableColumn id="18" xr3:uid="{9E74C990-8808-4BD4-A358-AD3E76A91631}" uniqueName="18" name="PrimaryStorage" queryTableFieldId="18"/>
    <tableColumn id="19" xr3:uid="{75E518E5-1AB9-405C-A8BC-3FC8DE8CD149}" uniqueName="19" name="SecondaryStorage" queryTableFieldId="19"/>
    <tableColumn id="24" xr3:uid="{E3795B58-A457-4B47-AA74-27E689AB33F9}" uniqueName="24" name="Total_Storage" queryTableFieldId="24" dataDxfId="897">
      <calculatedColumnFormula>laptop[[#This Row],[PrimaryStorage]]+laptop[[#This Row],[SecondaryStorage]]</calculatedColumnFormula>
    </tableColumn>
    <tableColumn id="20" xr3:uid="{9B5A2900-6F3F-47EF-A4B5-4524F550F150}" uniqueName="20" name="PrimaryStorageType" queryTableFieldId="20" dataDxfId="896"/>
    <tableColumn id="21" xr3:uid="{B48716F0-0075-4E05-8A50-2753F0336416}" uniqueName="21" name="SecondaryStorageType" queryTableFieldId="21" dataDxfId="895"/>
    <tableColumn id="25" xr3:uid="{00190817-31AC-4651-8DC9-76E18C39BA9E}" uniqueName="25" name="Storage_Type_Combined" queryTableFieldId="25" dataDxfId="894">
      <calculatedColumnFormula>IF(laptop[[#This Row],[PrimaryStorageType]]=laptop[[#This Row],[SecondaryStorageType]],laptop[[#This Row],[PrimaryStorageType]],"SSD &amp; HDD")</calculatedColumnFormula>
    </tableColumn>
    <tableColumn id="22" xr3:uid="{2B8CE4C9-1FC7-49DE-8434-3C897556ABA2}" uniqueName="22" name="GPU_model" queryTableFieldId="22" dataDxfId="893"/>
    <tableColumn id="26" xr3:uid="{56B94ADC-95AC-4F84-9AA6-B301BB9E8EBF}" uniqueName="26" name="GPU_Combined" queryTableFieldId="26" dataDxfId="890">
      <calculatedColumnFormula>_xlfn.CONCAT(laptop[[#This Row],[CPU_company]]," ",laptop[[#This Row],[GPU_model]])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881B7-3DD8-4877-9503-B73F10842FA5}">
  <dimension ref="B4:L27"/>
  <sheetViews>
    <sheetView showGridLines="0" showRowColHeaders="0" tabSelected="1" workbookViewId="0">
      <selection activeCell="S31" sqref="S31"/>
    </sheetView>
  </sheetViews>
  <sheetFormatPr defaultRowHeight="15" x14ac:dyDescent="0.25"/>
  <cols>
    <col min="5" max="5" width="9.140625" customWidth="1"/>
    <col min="6" max="8" width="17.140625" customWidth="1"/>
    <col min="10" max="12" width="18.5703125" customWidth="1"/>
  </cols>
  <sheetData>
    <row r="4" spans="2:12" x14ac:dyDescent="0.25">
      <c r="B4" s="28" t="s">
        <v>1102</v>
      </c>
      <c r="C4" s="28"/>
      <c r="D4" s="28"/>
      <c r="F4" s="28" t="s">
        <v>1106</v>
      </c>
      <c r="G4" s="28"/>
      <c r="H4" s="28"/>
      <c r="J4" s="18" t="s">
        <v>1107</v>
      </c>
      <c r="K4" s="18"/>
      <c r="L4" s="18"/>
    </row>
    <row r="5" spans="2:12" ht="15.75" thickBot="1" x14ac:dyDescent="0.3">
      <c r="B5" s="14" t="s">
        <v>1101</v>
      </c>
      <c r="C5" s="14"/>
      <c r="D5" s="14"/>
      <c r="F5" s="15" t="s">
        <v>895</v>
      </c>
      <c r="G5" s="15"/>
      <c r="H5" s="15"/>
      <c r="J5" s="15" t="s">
        <v>896</v>
      </c>
      <c r="K5" s="15"/>
      <c r="L5" s="15"/>
    </row>
    <row r="6" spans="2:12" ht="15" customHeight="1" x14ac:dyDescent="0.25">
      <c r="B6" s="5" t="s">
        <v>141</v>
      </c>
      <c r="C6" s="6"/>
      <c r="D6" s="7"/>
      <c r="F6" s="5" t="s">
        <v>913</v>
      </c>
      <c r="G6" s="6"/>
      <c r="H6" s="7"/>
      <c r="J6" s="19" t="s">
        <v>1002</v>
      </c>
      <c r="K6" s="20"/>
      <c r="L6" s="21"/>
    </row>
    <row r="7" spans="2:12" ht="15" customHeight="1" x14ac:dyDescent="0.25">
      <c r="B7" s="8"/>
      <c r="C7" s="9"/>
      <c r="D7" s="10"/>
      <c r="F7" s="8"/>
      <c r="G7" s="9"/>
      <c r="H7" s="10"/>
      <c r="J7" s="22"/>
      <c r="K7" s="23"/>
      <c r="L7" s="24"/>
    </row>
    <row r="8" spans="2:12" ht="15.75" customHeight="1" thickBot="1" x14ac:dyDescent="0.3">
      <c r="B8" s="11"/>
      <c r="C8" s="12"/>
      <c r="D8" s="13"/>
      <c r="F8" s="11"/>
      <c r="G8" s="12"/>
      <c r="H8" s="13"/>
      <c r="J8" s="25"/>
      <c r="K8" s="26"/>
      <c r="L8" s="27"/>
    </row>
    <row r="11" spans="2:12" x14ac:dyDescent="0.25">
      <c r="B11" s="17"/>
      <c r="C11" s="17"/>
      <c r="D11" s="17"/>
      <c r="E11" s="17"/>
      <c r="F11" s="17"/>
      <c r="G11" s="17"/>
      <c r="H11" s="17"/>
      <c r="I11" s="17"/>
    </row>
    <row r="12" spans="2:12" ht="15.75" thickBot="1" x14ac:dyDescent="0.3">
      <c r="B12" s="14" t="s">
        <v>1109</v>
      </c>
      <c r="C12" s="14"/>
      <c r="D12" s="14"/>
      <c r="E12" s="17"/>
      <c r="F12" s="17"/>
      <c r="G12" s="17"/>
      <c r="H12" s="17"/>
      <c r="I12" s="17"/>
    </row>
    <row r="13" spans="2:12" x14ac:dyDescent="0.25">
      <c r="B13" s="30">
        <f>'Data Validation'!L3</f>
        <v>997.9</v>
      </c>
      <c r="C13" s="31"/>
      <c r="D13" s="32"/>
      <c r="E13" s="17"/>
      <c r="F13" s="17"/>
      <c r="G13" s="17"/>
      <c r="H13" s="17"/>
      <c r="I13" s="17"/>
    </row>
    <row r="14" spans="2:12" x14ac:dyDescent="0.25">
      <c r="B14" s="33"/>
      <c r="C14" s="34"/>
      <c r="D14" s="35"/>
      <c r="E14" s="17"/>
      <c r="F14" s="17"/>
      <c r="G14" s="17"/>
      <c r="H14" s="17"/>
      <c r="I14" s="17"/>
    </row>
    <row r="15" spans="2:12" ht="15.75" thickBot="1" x14ac:dyDescent="0.3">
      <c r="B15" s="36"/>
      <c r="C15" s="37"/>
      <c r="D15" s="38"/>
      <c r="E15" s="17"/>
      <c r="F15" s="17"/>
      <c r="G15" s="17"/>
      <c r="H15" s="17"/>
      <c r="I15" s="17"/>
    </row>
    <row r="16" spans="2:12" x14ac:dyDescent="0.25">
      <c r="B16" s="17"/>
      <c r="C16" s="17"/>
      <c r="D16" s="17"/>
      <c r="E16" s="17"/>
      <c r="F16" s="17"/>
      <c r="G16" s="17"/>
      <c r="H16" s="17"/>
      <c r="I16" s="17"/>
    </row>
    <row r="17" spans="2:9" x14ac:dyDescent="0.25">
      <c r="B17" s="17"/>
      <c r="C17" s="17"/>
      <c r="D17" s="17"/>
      <c r="E17" s="17"/>
      <c r="F17" s="17"/>
      <c r="G17" s="17"/>
      <c r="H17" s="17"/>
      <c r="I17" s="17"/>
    </row>
    <row r="18" spans="2:9" x14ac:dyDescent="0.25">
      <c r="B18" s="17"/>
      <c r="C18" s="17"/>
      <c r="D18" s="17"/>
      <c r="E18" s="17"/>
      <c r="F18" s="17"/>
      <c r="G18" s="17"/>
      <c r="H18" s="17"/>
      <c r="I18" s="17"/>
    </row>
    <row r="19" spans="2:9" x14ac:dyDescent="0.25">
      <c r="B19" s="17"/>
      <c r="C19" s="17"/>
      <c r="D19" s="17"/>
      <c r="E19" s="17"/>
      <c r="F19" s="17"/>
      <c r="G19" s="17"/>
      <c r="H19" s="17"/>
      <c r="I19" s="17"/>
    </row>
    <row r="20" spans="2:9" x14ac:dyDescent="0.25">
      <c r="B20" s="17"/>
      <c r="C20" s="17"/>
      <c r="D20" s="17"/>
      <c r="E20" s="17"/>
      <c r="F20" s="17"/>
      <c r="G20" s="17"/>
      <c r="H20" s="17"/>
      <c r="I20" s="17"/>
    </row>
    <row r="21" spans="2:9" x14ac:dyDescent="0.25">
      <c r="B21" s="17"/>
      <c r="C21" s="17"/>
      <c r="D21" s="17"/>
      <c r="E21" s="17"/>
      <c r="F21" s="17"/>
      <c r="G21" s="17"/>
      <c r="H21" s="17"/>
      <c r="I21" s="17"/>
    </row>
    <row r="22" spans="2:9" x14ac:dyDescent="0.25">
      <c r="B22" s="17"/>
      <c r="C22" s="17"/>
      <c r="D22" s="17"/>
      <c r="E22" s="17"/>
      <c r="F22" s="17"/>
      <c r="G22" s="17"/>
      <c r="H22" s="17"/>
      <c r="I22" s="17"/>
    </row>
    <row r="23" spans="2:9" x14ac:dyDescent="0.25">
      <c r="B23" s="17"/>
      <c r="C23" s="17"/>
      <c r="D23" s="17"/>
      <c r="E23" s="17"/>
      <c r="F23" s="17"/>
      <c r="G23" s="17"/>
      <c r="H23" s="17"/>
      <c r="I23" s="17"/>
    </row>
    <row r="24" spans="2:9" x14ac:dyDescent="0.25">
      <c r="B24" s="17"/>
      <c r="C24" s="17"/>
      <c r="D24" s="17"/>
      <c r="E24" s="17"/>
      <c r="F24" s="17"/>
      <c r="G24" s="17"/>
      <c r="H24" s="17"/>
      <c r="I24" s="17"/>
    </row>
    <row r="25" spans="2:9" x14ac:dyDescent="0.25">
      <c r="B25" s="17"/>
      <c r="C25" s="17"/>
      <c r="D25" s="17"/>
      <c r="E25" s="17"/>
      <c r="F25" s="17"/>
      <c r="G25" s="17"/>
      <c r="H25" s="17"/>
      <c r="I25" s="17"/>
    </row>
    <row r="26" spans="2:9" x14ac:dyDescent="0.25">
      <c r="B26" s="17"/>
      <c r="C26" s="17"/>
      <c r="D26" s="17"/>
      <c r="E26" s="17"/>
      <c r="F26" s="17"/>
      <c r="G26" s="17"/>
      <c r="H26" s="17"/>
      <c r="I26" s="17"/>
    </row>
    <row r="27" spans="2:9" x14ac:dyDescent="0.25">
      <c r="B27" s="17"/>
      <c r="C27" s="17"/>
      <c r="D27" s="17"/>
      <c r="E27" s="17"/>
      <c r="F27" s="17"/>
      <c r="G27" s="17"/>
      <c r="H27" s="17"/>
      <c r="I27" s="17"/>
    </row>
  </sheetData>
  <mergeCells count="11">
    <mergeCell ref="B13:D15"/>
    <mergeCell ref="B12:D12"/>
    <mergeCell ref="J5:L5"/>
    <mergeCell ref="J6:L8"/>
    <mergeCell ref="B4:D4"/>
    <mergeCell ref="F4:H4"/>
    <mergeCell ref="J4:L4"/>
    <mergeCell ref="B6:D8"/>
    <mergeCell ref="F6:H8"/>
    <mergeCell ref="B5:D5"/>
    <mergeCell ref="F5:H5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B2B4768-A430-4635-B46F-F4B0E290DDAF}">
          <x14:formula1>
            <xm:f>'Data Validation'!$A$1:$A$19</xm:f>
          </x14:formula1>
          <xm:sqref>B6:D8</xm:sqref>
        </x14:dataValidation>
        <x14:dataValidation type="list" allowBlank="1" showInputMessage="1" showErrorMessage="1" xr:uid="{516EE604-BE81-4D20-B9DF-EA37B23D2377}">
          <x14:formula1>
            <xm:f>'Data Validation'!$F$2:$F$1257</xm:f>
          </x14:formula1>
          <xm:sqref>J6:L8</xm:sqref>
        </x14:dataValidation>
        <x14:dataValidation type="custom" allowBlank="1" showInputMessage="1" showErrorMessage="1" xr:uid="{B584ABB3-139D-4D40-A803-489DA6B42E3E}">
          <x14:formula1>
            <xm:f>'Data Validation'!L3</xm:f>
          </x14:formula1>
          <xm:sqref>B13:D15</xm:sqref>
        </x14:dataValidation>
        <x14:dataValidation type="list" allowBlank="1" showInputMessage="1" showErrorMessage="1" xr:uid="{9607249B-0C43-4F2B-988E-0B81C8A2EA44}">
          <x14:formula1>
            <xm:f>'Data Validation'!$C$2:$C$1257</xm:f>
          </x14:formula1>
          <xm:sqref>F6:H8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0C78A-2A2D-4924-A725-CE6CBED5F683}">
  <dimension ref="A1:Z1276"/>
  <sheetViews>
    <sheetView topLeftCell="A1213" zoomScaleNormal="100" workbookViewId="0">
      <selection activeCell="B1267" sqref="B1267"/>
    </sheetView>
  </sheetViews>
  <sheetFormatPr defaultRowHeight="15" x14ac:dyDescent="0.25"/>
  <cols>
    <col min="1" max="1" width="11.5703125" bestFit="1" customWidth="1"/>
    <col min="2" max="2" width="48.42578125" bestFit="1" customWidth="1"/>
    <col min="3" max="3" width="16.5703125" bestFit="1" customWidth="1"/>
    <col min="4" max="4" width="9" bestFit="1" customWidth="1"/>
    <col min="5" max="5" width="7.140625" bestFit="1" customWidth="1"/>
    <col min="6" max="6" width="13.28515625" bestFit="1" customWidth="1"/>
    <col min="7" max="7" width="9.85546875" bestFit="1" customWidth="1"/>
    <col min="8" max="8" width="13.7109375" style="16" bestFit="1" customWidth="1"/>
    <col min="9" max="9" width="10.85546875" bestFit="1" customWidth="1"/>
    <col min="10" max="10" width="11.28515625" bestFit="1" customWidth="1"/>
    <col min="11" max="11" width="10.5703125" bestFit="1" customWidth="1"/>
    <col min="12" max="12" width="14.42578125" bestFit="1" customWidth="1"/>
    <col min="13" max="13" width="11" bestFit="1" customWidth="1"/>
    <col min="14" max="14" width="15.5703125" bestFit="1" customWidth="1"/>
    <col min="15" max="15" width="16.140625" hidden="1" customWidth="1"/>
    <col min="16" max="16" width="11.7109375" bestFit="1" customWidth="1"/>
    <col min="17" max="17" width="24.5703125" customWidth="1"/>
    <col min="18" max="18" width="29.28515625" bestFit="1" customWidth="1"/>
    <col min="19" max="19" width="17" hidden="1" customWidth="1"/>
    <col min="20" max="20" width="19.28515625" hidden="1" customWidth="1"/>
    <col min="21" max="21" width="15.5703125" bestFit="1" customWidth="1"/>
    <col min="22" max="22" width="21.42578125" hidden="1" customWidth="1"/>
    <col min="23" max="23" width="23.85546875" hidden="1" customWidth="1"/>
    <col min="24" max="24" width="25.85546875" bestFit="1" customWidth="1"/>
    <col min="25" max="25" width="24.42578125" hidden="1" customWidth="1"/>
    <col min="26" max="26" width="29.1406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6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890</v>
      </c>
      <c r="S1" t="s">
        <v>17</v>
      </c>
      <c r="T1" t="s">
        <v>18</v>
      </c>
      <c r="U1" t="s">
        <v>889</v>
      </c>
      <c r="V1" t="s">
        <v>19</v>
      </c>
      <c r="W1" t="s">
        <v>20</v>
      </c>
      <c r="X1" t="s">
        <v>891</v>
      </c>
      <c r="Y1" t="s">
        <v>21</v>
      </c>
      <c r="Z1" t="s">
        <v>988</v>
      </c>
    </row>
    <row r="2" spans="1:26" x14ac:dyDescent="0.25">
      <c r="A2" t="s">
        <v>22</v>
      </c>
      <c r="B2" t="s">
        <v>23</v>
      </c>
      <c r="C2" t="s">
        <v>24</v>
      </c>
      <c r="D2">
        <v>13.3</v>
      </c>
      <c r="E2">
        <v>8</v>
      </c>
      <c r="F2" t="s">
        <v>25</v>
      </c>
      <c r="G2">
        <v>1.37</v>
      </c>
      <c r="H2" s="16">
        <v>1339.69</v>
      </c>
      <c r="I2" t="s">
        <v>26</v>
      </c>
      <c r="J2">
        <v>2560</v>
      </c>
      <c r="K2">
        <v>1600</v>
      </c>
      <c r="L2" t="s">
        <v>27</v>
      </c>
      <c r="M2" t="s">
        <v>28</v>
      </c>
      <c r="N2" t="s">
        <v>28</v>
      </c>
      <c r="O2" t="s">
        <v>29</v>
      </c>
      <c r="P2">
        <v>2.2999999999999998</v>
      </c>
      <c r="Q2" t="s">
        <v>30</v>
      </c>
      <c r="R2" t="str">
        <f>_xlfn.CONCAT(laptop[[#This Row],[CPU_company]]," ",laptop[[#This Row],[CPU_model]])</f>
        <v>Intel Core i5</v>
      </c>
      <c r="S2">
        <v>128</v>
      </c>
      <c r="T2">
        <v>0</v>
      </c>
      <c r="U2">
        <f>laptop[[#This Row],[PrimaryStorage]]+laptop[[#This Row],[SecondaryStorage]]</f>
        <v>128</v>
      </c>
      <c r="V2" t="s">
        <v>31</v>
      </c>
      <c r="W2" t="s">
        <v>27</v>
      </c>
      <c r="X2" t="str">
        <f>IF(laptop[[#This Row],[PrimaryStorageType]]=laptop[[#This Row],[SecondaryStorageType]],laptop[[#This Row],[PrimaryStorageType]],"SSD &amp; HDD")</f>
        <v>SSD &amp; HDD</v>
      </c>
      <c r="Y2" t="s">
        <v>32</v>
      </c>
      <c r="Z2" t="str">
        <f>_xlfn.CONCAT(laptop[[#This Row],[CPU_company]]," ",laptop[[#This Row],[GPU_model]])</f>
        <v>Intel Iris Plus Graphics 640</v>
      </c>
    </row>
    <row r="3" spans="1:26" x14ac:dyDescent="0.25">
      <c r="A3" t="s">
        <v>22</v>
      </c>
      <c r="B3" t="s">
        <v>33</v>
      </c>
      <c r="C3" t="s">
        <v>24</v>
      </c>
      <c r="D3">
        <v>13.3</v>
      </c>
      <c r="E3">
        <v>8</v>
      </c>
      <c r="F3" t="s">
        <v>25</v>
      </c>
      <c r="G3">
        <v>1.34</v>
      </c>
      <c r="H3" s="16">
        <v>898.94</v>
      </c>
      <c r="I3" t="s">
        <v>26</v>
      </c>
      <c r="J3">
        <v>1440</v>
      </c>
      <c r="K3">
        <v>900</v>
      </c>
      <c r="L3" t="s">
        <v>27</v>
      </c>
      <c r="M3" t="s">
        <v>27</v>
      </c>
      <c r="N3" t="s">
        <v>27</v>
      </c>
      <c r="O3" t="s">
        <v>29</v>
      </c>
      <c r="P3">
        <v>1.8</v>
      </c>
      <c r="Q3" t="s">
        <v>30</v>
      </c>
      <c r="R3" t="str">
        <f>_xlfn.CONCAT(laptop[[#This Row],[CPU_company]]," ",laptop[[#This Row],[CPU_model]])</f>
        <v>Intel Core i5</v>
      </c>
      <c r="S3">
        <v>128</v>
      </c>
      <c r="T3">
        <v>0</v>
      </c>
      <c r="U3">
        <f>laptop[[#This Row],[PrimaryStorage]]+laptop[[#This Row],[SecondaryStorage]]</f>
        <v>128</v>
      </c>
      <c r="V3" t="s">
        <v>34</v>
      </c>
      <c r="W3" t="s">
        <v>27</v>
      </c>
      <c r="X3" t="str">
        <f>IF(laptop[[#This Row],[PrimaryStorageType]]=laptop[[#This Row],[SecondaryStorageType]],laptop[[#This Row],[PrimaryStorageType]],"SSD &amp; HDD")</f>
        <v>SSD &amp; HDD</v>
      </c>
      <c r="Y3" t="s">
        <v>35</v>
      </c>
      <c r="Z3" s="4" t="str">
        <f>_xlfn.CONCAT(laptop[[#This Row],[CPU_company]]," ",laptop[[#This Row],[GPU_model]])</f>
        <v>Intel HD Graphics 6000</v>
      </c>
    </row>
    <row r="4" spans="1:26" x14ac:dyDescent="0.25">
      <c r="A4" t="s">
        <v>36</v>
      </c>
      <c r="B4" t="s">
        <v>37</v>
      </c>
      <c r="C4" t="s">
        <v>38</v>
      </c>
      <c r="D4">
        <v>15.6</v>
      </c>
      <c r="E4">
        <v>8</v>
      </c>
      <c r="F4" t="s">
        <v>39</v>
      </c>
      <c r="G4">
        <v>1.86</v>
      </c>
      <c r="H4" s="16">
        <v>575</v>
      </c>
      <c r="I4" t="s">
        <v>40</v>
      </c>
      <c r="J4">
        <v>1920</v>
      </c>
      <c r="K4">
        <v>1080</v>
      </c>
      <c r="L4" t="s">
        <v>27</v>
      </c>
      <c r="M4" t="s">
        <v>27</v>
      </c>
      <c r="N4" t="s">
        <v>27</v>
      </c>
      <c r="O4" t="s">
        <v>29</v>
      </c>
      <c r="P4">
        <v>2.5</v>
      </c>
      <c r="Q4" t="s">
        <v>41</v>
      </c>
      <c r="R4" t="str">
        <f>_xlfn.CONCAT(laptop[[#This Row],[CPU_company]]," ",laptop[[#This Row],[CPU_model]])</f>
        <v>Intel Core i5 7200U</v>
      </c>
      <c r="S4">
        <v>256</v>
      </c>
      <c r="T4">
        <v>0</v>
      </c>
      <c r="U4">
        <f>laptop[[#This Row],[PrimaryStorage]]+laptop[[#This Row],[SecondaryStorage]]</f>
        <v>256</v>
      </c>
      <c r="V4" t="s">
        <v>31</v>
      </c>
      <c r="W4" t="s">
        <v>27</v>
      </c>
      <c r="X4" t="str">
        <f>IF(laptop[[#This Row],[PrimaryStorageType]]=laptop[[#This Row],[SecondaryStorageType]],laptop[[#This Row],[PrimaryStorageType]],"SSD &amp; HDD")</f>
        <v>SSD &amp; HDD</v>
      </c>
      <c r="Y4" t="s">
        <v>42</v>
      </c>
      <c r="Z4" s="4" t="str">
        <f>_xlfn.CONCAT(laptop[[#This Row],[CPU_company]]," ",laptop[[#This Row],[GPU_model]])</f>
        <v>Intel HD Graphics 620</v>
      </c>
    </row>
    <row r="5" spans="1:26" x14ac:dyDescent="0.25">
      <c r="A5" t="s">
        <v>22</v>
      </c>
      <c r="B5" t="s">
        <v>23</v>
      </c>
      <c r="C5" t="s">
        <v>24</v>
      </c>
      <c r="D5">
        <v>15.4</v>
      </c>
      <c r="E5">
        <v>16</v>
      </c>
      <c r="F5" t="s">
        <v>25</v>
      </c>
      <c r="G5">
        <v>1.83</v>
      </c>
      <c r="H5" s="16">
        <v>2537.4499999999998</v>
      </c>
      <c r="I5" t="s">
        <v>26</v>
      </c>
      <c r="J5">
        <v>2880</v>
      </c>
      <c r="K5">
        <v>1800</v>
      </c>
      <c r="L5" t="s">
        <v>27</v>
      </c>
      <c r="M5" t="s">
        <v>28</v>
      </c>
      <c r="N5" t="s">
        <v>28</v>
      </c>
      <c r="O5" t="s">
        <v>29</v>
      </c>
      <c r="P5">
        <v>2.7</v>
      </c>
      <c r="Q5" t="s">
        <v>43</v>
      </c>
      <c r="R5" t="str">
        <f>_xlfn.CONCAT(laptop[[#This Row],[CPU_company]]," ",laptop[[#This Row],[CPU_model]])</f>
        <v>Intel Core i7</v>
      </c>
      <c r="S5">
        <v>512</v>
      </c>
      <c r="T5">
        <v>0</v>
      </c>
      <c r="U5">
        <f>laptop[[#This Row],[PrimaryStorage]]+laptop[[#This Row],[SecondaryStorage]]</f>
        <v>512</v>
      </c>
      <c r="V5" t="s">
        <v>31</v>
      </c>
      <c r="W5" t="s">
        <v>27</v>
      </c>
      <c r="X5" t="str">
        <f>IF(laptop[[#This Row],[PrimaryStorageType]]=laptop[[#This Row],[SecondaryStorageType]],laptop[[#This Row],[PrimaryStorageType]],"SSD &amp; HDD")</f>
        <v>SSD &amp; HDD</v>
      </c>
      <c r="Y5" t="s">
        <v>44</v>
      </c>
      <c r="Z5" s="4" t="str">
        <f>_xlfn.CONCAT(laptop[[#This Row],[CPU_company]]," ",laptop[[#This Row],[GPU_model]])</f>
        <v>Intel Radeon Pro 455</v>
      </c>
    </row>
    <row r="6" spans="1:26" x14ac:dyDescent="0.25">
      <c r="A6" t="s">
        <v>22</v>
      </c>
      <c r="B6" t="s">
        <v>23</v>
      </c>
      <c r="C6" t="s">
        <v>24</v>
      </c>
      <c r="D6">
        <v>13.3</v>
      </c>
      <c r="E6">
        <v>8</v>
      </c>
      <c r="F6" t="s">
        <v>25</v>
      </c>
      <c r="G6">
        <v>1.37</v>
      </c>
      <c r="H6" s="16">
        <v>1803.6</v>
      </c>
      <c r="I6" t="s">
        <v>26</v>
      </c>
      <c r="J6">
        <v>2560</v>
      </c>
      <c r="K6">
        <v>1600</v>
      </c>
      <c r="L6" t="s">
        <v>27</v>
      </c>
      <c r="M6" t="s">
        <v>28</v>
      </c>
      <c r="N6" t="s">
        <v>28</v>
      </c>
      <c r="O6" t="s">
        <v>29</v>
      </c>
      <c r="P6">
        <v>3.1</v>
      </c>
      <c r="Q6" t="s">
        <v>30</v>
      </c>
      <c r="R6" t="str">
        <f>_xlfn.CONCAT(laptop[[#This Row],[CPU_company]]," ",laptop[[#This Row],[CPU_model]])</f>
        <v>Intel Core i5</v>
      </c>
      <c r="S6">
        <v>256</v>
      </c>
      <c r="T6">
        <v>0</v>
      </c>
      <c r="U6">
        <f>laptop[[#This Row],[PrimaryStorage]]+laptop[[#This Row],[SecondaryStorage]]</f>
        <v>256</v>
      </c>
      <c r="V6" t="s">
        <v>31</v>
      </c>
      <c r="W6" t="s">
        <v>27</v>
      </c>
      <c r="X6" t="str">
        <f>IF(laptop[[#This Row],[PrimaryStorageType]]=laptop[[#This Row],[SecondaryStorageType]],laptop[[#This Row],[PrimaryStorageType]],"SSD &amp; HDD")</f>
        <v>SSD &amp; HDD</v>
      </c>
      <c r="Y6" t="s">
        <v>45</v>
      </c>
      <c r="Z6" s="4" t="str">
        <f>_xlfn.CONCAT(laptop[[#This Row],[CPU_company]]," ",laptop[[#This Row],[GPU_model]])</f>
        <v>Intel Iris Plus Graphics 650</v>
      </c>
    </row>
    <row r="7" spans="1:26" x14ac:dyDescent="0.25">
      <c r="A7" t="s">
        <v>46</v>
      </c>
      <c r="B7" t="s">
        <v>47</v>
      </c>
      <c r="C7" t="s">
        <v>38</v>
      </c>
      <c r="D7">
        <v>15.6</v>
      </c>
      <c r="E7">
        <v>4</v>
      </c>
      <c r="F7" t="s">
        <v>48</v>
      </c>
      <c r="G7">
        <v>2.1</v>
      </c>
      <c r="H7" s="16">
        <v>400</v>
      </c>
      <c r="I7" t="s">
        <v>26</v>
      </c>
      <c r="J7">
        <v>1366</v>
      </c>
      <c r="K7">
        <v>768</v>
      </c>
      <c r="L7" t="s">
        <v>27</v>
      </c>
      <c r="M7" t="s">
        <v>27</v>
      </c>
      <c r="N7" t="s">
        <v>27</v>
      </c>
      <c r="O7" t="s">
        <v>49</v>
      </c>
      <c r="P7">
        <v>3</v>
      </c>
      <c r="Q7" t="s">
        <v>50</v>
      </c>
      <c r="R7" t="str">
        <f>_xlfn.CONCAT(laptop[[#This Row],[CPU_company]]," ",laptop[[#This Row],[CPU_model]])</f>
        <v>AMD A9-Series 9420</v>
      </c>
      <c r="S7">
        <v>500</v>
      </c>
      <c r="T7">
        <v>0</v>
      </c>
      <c r="U7">
        <f>laptop[[#This Row],[PrimaryStorage]]+laptop[[#This Row],[SecondaryStorage]]</f>
        <v>500</v>
      </c>
      <c r="V7" t="s">
        <v>51</v>
      </c>
      <c r="W7" t="s">
        <v>27</v>
      </c>
      <c r="X7" t="str">
        <f>IF(laptop[[#This Row],[PrimaryStorageType]]=laptop[[#This Row],[SecondaryStorageType]],laptop[[#This Row],[PrimaryStorageType]],"SSD &amp; HDD")</f>
        <v>SSD &amp; HDD</v>
      </c>
      <c r="Y7" t="s">
        <v>52</v>
      </c>
      <c r="Z7" s="4" t="str">
        <f>_xlfn.CONCAT(laptop[[#This Row],[CPU_company]]," ",laptop[[#This Row],[GPU_model]])</f>
        <v>AMD Radeon R5</v>
      </c>
    </row>
    <row r="8" spans="1:26" x14ac:dyDescent="0.25">
      <c r="A8" t="s">
        <v>22</v>
      </c>
      <c r="B8" t="s">
        <v>23</v>
      </c>
      <c r="C8" t="s">
        <v>24</v>
      </c>
      <c r="D8">
        <v>15.4</v>
      </c>
      <c r="E8">
        <v>16</v>
      </c>
      <c r="F8" t="s">
        <v>53</v>
      </c>
      <c r="G8">
        <v>2.04</v>
      </c>
      <c r="H8" s="16">
        <v>2139.9699999999998</v>
      </c>
      <c r="I8" t="s">
        <v>26</v>
      </c>
      <c r="J8">
        <v>2880</v>
      </c>
      <c r="K8">
        <v>1800</v>
      </c>
      <c r="L8" t="s">
        <v>27</v>
      </c>
      <c r="M8" t="s">
        <v>28</v>
      </c>
      <c r="N8" t="s">
        <v>28</v>
      </c>
      <c r="O8" t="s">
        <v>29</v>
      </c>
      <c r="P8">
        <v>2.2000000000000002</v>
      </c>
      <c r="Q8" t="s">
        <v>43</v>
      </c>
      <c r="R8" t="str">
        <f>_xlfn.CONCAT(laptop[[#This Row],[CPU_company]]," ",laptop[[#This Row],[CPU_model]])</f>
        <v>Intel Core i7</v>
      </c>
      <c r="S8">
        <v>256</v>
      </c>
      <c r="T8">
        <v>0</v>
      </c>
      <c r="U8">
        <f>laptop[[#This Row],[PrimaryStorage]]+laptop[[#This Row],[SecondaryStorage]]</f>
        <v>256</v>
      </c>
      <c r="V8" t="s">
        <v>34</v>
      </c>
      <c r="W8" t="s">
        <v>27</v>
      </c>
      <c r="X8" t="str">
        <f>IF(laptop[[#This Row],[PrimaryStorageType]]=laptop[[#This Row],[SecondaryStorageType]],laptop[[#This Row],[PrimaryStorageType]],"SSD &amp; HDD")</f>
        <v>SSD &amp; HDD</v>
      </c>
      <c r="Y8" t="s">
        <v>54</v>
      </c>
      <c r="Z8" s="4" t="str">
        <f>_xlfn.CONCAT(laptop[[#This Row],[CPU_company]]," ",laptop[[#This Row],[GPU_model]])</f>
        <v>Intel Iris Pro Graphics</v>
      </c>
    </row>
    <row r="9" spans="1:26" x14ac:dyDescent="0.25">
      <c r="A9" t="s">
        <v>22</v>
      </c>
      <c r="B9" t="s">
        <v>33</v>
      </c>
      <c r="C9" t="s">
        <v>24</v>
      </c>
      <c r="D9">
        <v>13.3</v>
      </c>
      <c r="E9">
        <v>8</v>
      </c>
      <c r="F9" t="s">
        <v>25</v>
      </c>
      <c r="G9">
        <v>1.34</v>
      </c>
      <c r="H9" s="16">
        <v>1158.7</v>
      </c>
      <c r="I9" t="s">
        <v>26</v>
      </c>
      <c r="J9">
        <v>1440</v>
      </c>
      <c r="K9">
        <v>900</v>
      </c>
      <c r="L9" t="s">
        <v>27</v>
      </c>
      <c r="M9" t="s">
        <v>27</v>
      </c>
      <c r="N9" t="s">
        <v>27</v>
      </c>
      <c r="O9" t="s">
        <v>29</v>
      </c>
      <c r="P9">
        <v>1.8</v>
      </c>
      <c r="Q9" t="s">
        <v>30</v>
      </c>
      <c r="R9" t="str">
        <f>_xlfn.CONCAT(laptop[[#This Row],[CPU_company]]," ",laptop[[#This Row],[CPU_model]])</f>
        <v>Intel Core i5</v>
      </c>
      <c r="S9">
        <v>256</v>
      </c>
      <c r="T9">
        <v>0</v>
      </c>
      <c r="U9">
        <f>laptop[[#This Row],[PrimaryStorage]]+laptop[[#This Row],[SecondaryStorage]]</f>
        <v>256</v>
      </c>
      <c r="V9" t="s">
        <v>34</v>
      </c>
      <c r="W9" t="s">
        <v>27</v>
      </c>
      <c r="X9" t="str">
        <f>IF(laptop[[#This Row],[PrimaryStorageType]]=laptop[[#This Row],[SecondaryStorageType]],laptop[[#This Row],[PrimaryStorageType]],"SSD &amp; HDD")</f>
        <v>SSD &amp; HDD</v>
      </c>
      <c r="Y9" t="s">
        <v>35</v>
      </c>
      <c r="Z9" s="4" t="str">
        <f>_xlfn.CONCAT(laptop[[#This Row],[CPU_company]]," ",laptop[[#This Row],[GPU_model]])</f>
        <v>Intel HD Graphics 6000</v>
      </c>
    </row>
    <row r="10" spans="1:26" x14ac:dyDescent="0.25">
      <c r="A10" t="s">
        <v>55</v>
      </c>
      <c r="B10" t="s">
        <v>56</v>
      </c>
      <c r="C10" t="s">
        <v>24</v>
      </c>
      <c r="D10">
        <v>14</v>
      </c>
      <c r="E10">
        <v>16</v>
      </c>
      <c r="F10" t="s">
        <v>48</v>
      </c>
      <c r="G10">
        <v>1.3</v>
      </c>
      <c r="H10" s="16">
        <v>1495</v>
      </c>
      <c r="I10" t="s">
        <v>40</v>
      </c>
      <c r="J10">
        <v>1920</v>
      </c>
      <c r="K10">
        <v>1080</v>
      </c>
      <c r="L10" t="s">
        <v>27</v>
      </c>
      <c r="M10" t="s">
        <v>27</v>
      </c>
      <c r="N10" t="s">
        <v>27</v>
      </c>
      <c r="O10" t="s">
        <v>29</v>
      </c>
      <c r="P10">
        <v>1.8</v>
      </c>
      <c r="Q10" t="s">
        <v>57</v>
      </c>
      <c r="R10" t="str">
        <f>_xlfn.CONCAT(laptop[[#This Row],[CPU_company]]," ",laptop[[#This Row],[CPU_model]])</f>
        <v>Intel Core i7 8550U</v>
      </c>
      <c r="S10">
        <v>512</v>
      </c>
      <c r="T10">
        <v>0</v>
      </c>
      <c r="U10">
        <f>laptop[[#This Row],[PrimaryStorage]]+laptop[[#This Row],[SecondaryStorage]]</f>
        <v>512</v>
      </c>
      <c r="V10" t="s">
        <v>31</v>
      </c>
      <c r="W10" t="s">
        <v>27</v>
      </c>
      <c r="X10" t="str">
        <f>IF(laptop[[#This Row],[PrimaryStorageType]]=laptop[[#This Row],[SecondaryStorageType]],laptop[[#This Row],[PrimaryStorageType]],"SSD &amp; HDD")</f>
        <v>SSD &amp; HDD</v>
      </c>
      <c r="Y10" t="s">
        <v>58</v>
      </c>
      <c r="Z10" s="4" t="str">
        <f>_xlfn.CONCAT(laptop[[#This Row],[CPU_company]]," ",laptop[[#This Row],[GPU_model]])</f>
        <v>Intel GeForce MX150</v>
      </c>
    </row>
    <row r="11" spans="1:26" x14ac:dyDescent="0.25">
      <c r="A11" t="s">
        <v>46</v>
      </c>
      <c r="B11" t="s">
        <v>59</v>
      </c>
      <c r="C11" t="s">
        <v>24</v>
      </c>
      <c r="D11">
        <v>14</v>
      </c>
      <c r="E11">
        <v>8</v>
      </c>
      <c r="F11" t="s">
        <v>48</v>
      </c>
      <c r="G11">
        <v>1.6</v>
      </c>
      <c r="H11" s="16">
        <v>770</v>
      </c>
      <c r="I11" t="s">
        <v>40</v>
      </c>
      <c r="J11">
        <v>1920</v>
      </c>
      <c r="K11">
        <v>1080</v>
      </c>
      <c r="L11" t="s">
        <v>27</v>
      </c>
      <c r="M11" t="s">
        <v>28</v>
      </c>
      <c r="N11" t="s">
        <v>27</v>
      </c>
      <c r="O11" t="s">
        <v>29</v>
      </c>
      <c r="P11">
        <v>1.6</v>
      </c>
      <c r="Q11" t="s">
        <v>60</v>
      </c>
      <c r="R11" t="str">
        <f>_xlfn.CONCAT(laptop[[#This Row],[CPU_company]]," ",laptop[[#This Row],[CPU_model]])</f>
        <v>Intel Core i5 8250U</v>
      </c>
      <c r="S11">
        <v>256</v>
      </c>
      <c r="T11">
        <v>0</v>
      </c>
      <c r="U11">
        <f>laptop[[#This Row],[PrimaryStorage]]+laptop[[#This Row],[SecondaryStorage]]</f>
        <v>256</v>
      </c>
      <c r="V11" t="s">
        <v>31</v>
      </c>
      <c r="W11" t="s">
        <v>27</v>
      </c>
      <c r="X11" t="str">
        <f>IF(laptop[[#This Row],[PrimaryStorageType]]=laptop[[#This Row],[SecondaryStorageType]],laptop[[#This Row],[PrimaryStorageType]],"SSD &amp; HDD")</f>
        <v>SSD &amp; HDD</v>
      </c>
      <c r="Y11" t="s">
        <v>61</v>
      </c>
      <c r="Z11" s="4" t="str">
        <f>_xlfn.CONCAT(laptop[[#This Row],[CPU_company]]," ",laptop[[#This Row],[GPU_model]])</f>
        <v>Intel UHD Graphics 620</v>
      </c>
    </row>
    <row r="12" spans="1:26" x14ac:dyDescent="0.25">
      <c r="A12" t="s">
        <v>36</v>
      </c>
      <c r="B12" t="s">
        <v>37</v>
      </c>
      <c r="C12" t="s">
        <v>38</v>
      </c>
      <c r="D12">
        <v>15.6</v>
      </c>
      <c r="E12">
        <v>4</v>
      </c>
      <c r="F12" t="s">
        <v>39</v>
      </c>
      <c r="G12">
        <v>1.86</v>
      </c>
      <c r="H12" s="16">
        <v>393.9</v>
      </c>
      <c r="I12" t="s">
        <v>26</v>
      </c>
      <c r="J12">
        <v>1366</v>
      </c>
      <c r="K12">
        <v>768</v>
      </c>
      <c r="L12" t="s">
        <v>27</v>
      </c>
      <c r="M12" t="s">
        <v>27</v>
      </c>
      <c r="N12" t="s">
        <v>27</v>
      </c>
      <c r="O12" t="s">
        <v>29</v>
      </c>
      <c r="P12">
        <v>2.5</v>
      </c>
      <c r="Q12" t="s">
        <v>41</v>
      </c>
      <c r="R12" t="str">
        <f>_xlfn.CONCAT(laptop[[#This Row],[CPU_company]]," ",laptop[[#This Row],[CPU_model]])</f>
        <v>Intel Core i5 7200U</v>
      </c>
      <c r="S12">
        <v>500</v>
      </c>
      <c r="T12">
        <v>0</v>
      </c>
      <c r="U12">
        <f>laptop[[#This Row],[PrimaryStorage]]+laptop[[#This Row],[SecondaryStorage]]</f>
        <v>500</v>
      </c>
      <c r="V12" t="s">
        <v>51</v>
      </c>
      <c r="W12" t="s">
        <v>27</v>
      </c>
      <c r="X12" t="str">
        <f>IF(laptop[[#This Row],[PrimaryStorageType]]=laptop[[#This Row],[SecondaryStorageType]],laptop[[#This Row],[PrimaryStorageType]],"SSD &amp; HDD")</f>
        <v>SSD &amp; HDD</v>
      </c>
      <c r="Y12" t="s">
        <v>42</v>
      </c>
      <c r="Z12" s="4" t="str">
        <f>_xlfn.CONCAT(laptop[[#This Row],[CPU_company]]," ",laptop[[#This Row],[GPU_model]])</f>
        <v>Intel HD Graphics 620</v>
      </c>
    </row>
    <row r="13" spans="1:26" x14ac:dyDescent="0.25">
      <c r="A13" t="s">
        <v>36</v>
      </c>
      <c r="B13" t="s">
        <v>37</v>
      </c>
      <c r="C13" t="s">
        <v>38</v>
      </c>
      <c r="D13">
        <v>15.6</v>
      </c>
      <c r="E13">
        <v>4</v>
      </c>
      <c r="F13" t="s">
        <v>39</v>
      </c>
      <c r="G13">
        <v>1.86</v>
      </c>
      <c r="H13" s="16">
        <v>344.99</v>
      </c>
      <c r="I13" t="s">
        <v>40</v>
      </c>
      <c r="J13">
        <v>1920</v>
      </c>
      <c r="K13">
        <v>1080</v>
      </c>
      <c r="L13" t="s">
        <v>27</v>
      </c>
      <c r="M13" t="s">
        <v>27</v>
      </c>
      <c r="N13" t="s">
        <v>27</v>
      </c>
      <c r="O13" t="s">
        <v>29</v>
      </c>
      <c r="P13">
        <v>2</v>
      </c>
      <c r="Q13" t="s">
        <v>62</v>
      </c>
      <c r="R13" t="str">
        <f>_xlfn.CONCAT(laptop[[#This Row],[CPU_company]]," ",laptop[[#This Row],[CPU_model]])</f>
        <v>Intel Core i3 6006U</v>
      </c>
      <c r="S13">
        <v>500</v>
      </c>
      <c r="T13">
        <v>0</v>
      </c>
      <c r="U13">
        <f>laptop[[#This Row],[PrimaryStorage]]+laptop[[#This Row],[SecondaryStorage]]</f>
        <v>500</v>
      </c>
      <c r="V13" t="s">
        <v>51</v>
      </c>
      <c r="W13" t="s">
        <v>27</v>
      </c>
      <c r="X13" t="str">
        <f>IF(laptop[[#This Row],[PrimaryStorageType]]=laptop[[#This Row],[SecondaryStorageType]],laptop[[#This Row],[PrimaryStorageType]],"SSD &amp; HDD")</f>
        <v>SSD &amp; HDD</v>
      </c>
      <c r="Y13" t="s">
        <v>63</v>
      </c>
      <c r="Z13" s="4" t="str">
        <f>_xlfn.CONCAT(laptop[[#This Row],[CPU_company]]," ",laptop[[#This Row],[GPU_model]])</f>
        <v>Intel HD Graphics 520</v>
      </c>
    </row>
    <row r="14" spans="1:26" x14ac:dyDescent="0.25">
      <c r="A14" t="s">
        <v>22</v>
      </c>
      <c r="B14" t="s">
        <v>23</v>
      </c>
      <c r="C14" t="s">
        <v>24</v>
      </c>
      <c r="D14">
        <v>15.4</v>
      </c>
      <c r="E14">
        <v>16</v>
      </c>
      <c r="F14" t="s">
        <v>25</v>
      </c>
      <c r="G14">
        <v>1.83</v>
      </c>
      <c r="H14" s="16">
        <v>2439.9699999999998</v>
      </c>
      <c r="I14" t="s">
        <v>26</v>
      </c>
      <c r="J14">
        <v>2880</v>
      </c>
      <c r="K14">
        <v>1800</v>
      </c>
      <c r="L14" t="s">
        <v>27</v>
      </c>
      <c r="M14" t="s">
        <v>28</v>
      </c>
      <c r="N14" t="s">
        <v>28</v>
      </c>
      <c r="O14" t="s">
        <v>29</v>
      </c>
      <c r="P14">
        <v>2.8</v>
      </c>
      <c r="Q14" t="s">
        <v>43</v>
      </c>
      <c r="R14" t="str">
        <f>_xlfn.CONCAT(laptop[[#This Row],[CPU_company]]," ",laptop[[#This Row],[CPU_model]])</f>
        <v>Intel Core i7</v>
      </c>
      <c r="S14">
        <v>256</v>
      </c>
      <c r="T14">
        <v>0</v>
      </c>
      <c r="U14">
        <f>laptop[[#This Row],[PrimaryStorage]]+laptop[[#This Row],[SecondaryStorage]]</f>
        <v>256</v>
      </c>
      <c r="V14" t="s">
        <v>31</v>
      </c>
      <c r="W14" t="s">
        <v>27</v>
      </c>
      <c r="X14" t="str">
        <f>IF(laptop[[#This Row],[PrimaryStorageType]]=laptop[[#This Row],[SecondaryStorageType]],laptop[[#This Row],[PrimaryStorageType]],"SSD &amp; HDD")</f>
        <v>SSD &amp; HDD</v>
      </c>
      <c r="Y14" t="s">
        <v>64</v>
      </c>
      <c r="Z14" s="4" t="str">
        <f>_xlfn.CONCAT(laptop[[#This Row],[CPU_company]]," ",laptop[[#This Row],[GPU_model]])</f>
        <v>Intel Radeon Pro 555</v>
      </c>
    </row>
    <row r="15" spans="1:26" x14ac:dyDescent="0.25">
      <c r="A15" t="s">
        <v>65</v>
      </c>
      <c r="B15" t="s">
        <v>66</v>
      </c>
      <c r="C15" t="s">
        <v>38</v>
      </c>
      <c r="D15">
        <v>15.6</v>
      </c>
      <c r="E15">
        <v>4</v>
      </c>
      <c r="F15" t="s">
        <v>48</v>
      </c>
      <c r="G15">
        <v>2.2000000000000002</v>
      </c>
      <c r="H15" s="16">
        <v>498.9</v>
      </c>
      <c r="I15" t="s">
        <v>40</v>
      </c>
      <c r="J15">
        <v>1920</v>
      </c>
      <c r="K15">
        <v>1080</v>
      </c>
      <c r="L15" t="s">
        <v>27</v>
      </c>
      <c r="M15" t="s">
        <v>27</v>
      </c>
      <c r="N15" t="s">
        <v>27</v>
      </c>
      <c r="O15" t="s">
        <v>29</v>
      </c>
      <c r="P15">
        <v>2</v>
      </c>
      <c r="Q15" t="s">
        <v>62</v>
      </c>
      <c r="R15" t="str">
        <f>_xlfn.CONCAT(laptop[[#This Row],[CPU_company]]," ",laptop[[#This Row],[CPU_model]])</f>
        <v>Intel Core i3 6006U</v>
      </c>
      <c r="S15">
        <v>256</v>
      </c>
      <c r="T15">
        <v>0</v>
      </c>
      <c r="U15">
        <f>laptop[[#This Row],[PrimaryStorage]]+laptop[[#This Row],[SecondaryStorage]]</f>
        <v>256</v>
      </c>
      <c r="V15" t="s">
        <v>31</v>
      </c>
      <c r="W15" t="s">
        <v>27</v>
      </c>
      <c r="X15" t="str">
        <f>IF(laptop[[#This Row],[PrimaryStorageType]]=laptop[[#This Row],[SecondaryStorageType]],laptop[[#This Row],[PrimaryStorageType]],"SSD &amp; HDD")</f>
        <v>SSD &amp; HDD</v>
      </c>
      <c r="Y15" t="s">
        <v>67</v>
      </c>
      <c r="Z15" s="4" t="str">
        <f>_xlfn.CONCAT(laptop[[#This Row],[CPU_company]]," ",laptop[[#This Row],[GPU_model]])</f>
        <v>Intel Radeon R5 M430</v>
      </c>
    </row>
    <row r="16" spans="1:26" x14ac:dyDescent="0.25">
      <c r="A16" t="s">
        <v>22</v>
      </c>
      <c r="B16" t="s">
        <v>68</v>
      </c>
      <c r="C16" t="s">
        <v>24</v>
      </c>
      <c r="D16">
        <v>12</v>
      </c>
      <c r="E16">
        <v>8</v>
      </c>
      <c r="F16" t="s">
        <v>25</v>
      </c>
      <c r="G16">
        <v>0.92</v>
      </c>
      <c r="H16" s="16">
        <v>1262.4000000000001</v>
      </c>
      <c r="I16" t="s">
        <v>26</v>
      </c>
      <c r="J16">
        <v>2304</v>
      </c>
      <c r="K16">
        <v>1440</v>
      </c>
      <c r="L16" t="s">
        <v>27</v>
      </c>
      <c r="M16" t="s">
        <v>28</v>
      </c>
      <c r="N16" t="s">
        <v>28</v>
      </c>
      <c r="O16" t="s">
        <v>29</v>
      </c>
      <c r="P16">
        <v>1.2</v>
      </c>
      <c r="Q16" t="s">
        <v>69</v>
      </c>
      <c r="R16" t="str">
        <f>_xlfn.CONCAT(laptop[[#This Row],[CPU_company]]," ",laptop[[#This Row],[CPU_model]])</f>
        <v>Intel Core M m3</v>
      </c>
      <c r="S16">
        <v>256</v>
      </c>
      <c r="T16">
        <v>0</v>
      </c>
      <c r="U16">
        <f>laptop[[#This Row],[PrimaryStorage]]+laptop[[#This Row],[SecondaryStorage]]</f>
        <v>256</v>
      </c>
      <c r="V16" t="s">
        <v>31</v>
      </c>
      <c r="W16" t="s">
        <v>27</v>
      </c>
      <c r="X16" t="str">
        <f>IF(laptop[[#This Row],[PrimaryStorageType]]=laptop[[#This Row],[SecondaryStorageType]],laptop[[#This Row],[PrimaryStorageType]],"SSD &amp; HDD")</f>
        <v>SSD &amp; HDD</v>
      </c>
      <c r="Y16" t="s">
        <v>70</v>
      </c>
      <c r="Z16" s="4" t="str">
        <f>_xlfn.CONCAT(laptop[[#This Row],[CPU_company]]," ",laptop[[#This Row],[GPU_model]])</f>
        <v>Intel HD Graphics 615</v>
      </c>
    </row>
    <row r="17" spans="1:26" x14ac:dyDescent="0.25">
      <c r="A17" t="s">
        <v>22</v>
      </c>
      <c r="B17" t="s">
        <v>23</v>
      </c>
      <c r="C17" t="s">
        <v>24</v>
      </c>
      <c r="D17">
        <v>13.3</v>
      </c>
      <c r="E17">
        <v>8</v>
      </c>
      <c r="F17" t="s">
        <v>25</v>
      </c>
      <c r="G17">
        <v>1.37</v>
      </c>
      <c r="H17" s="16">
        <v>1518.55</v>
      </c>
      <c r="I17" t="s">
        <v>26</v>
      </c>
      <c r="J17">
        <v>2560</v>
      </c>
      <c r="K17">
        <v>1600</v>
      </c>
      <c r="L17" t="s">
        <v>27</v>
      </c>
      <c r="M17" t="s">
        <v>28</v>
      </c>
      <c r="N17" t="s">
        <v>28</v>
      </c>
      <c r="O17" t="s">
        <v>29</v>
      </c>
      <c r="P17">
        <v>2.2999999999999998</v>
      </c>
      <c r="Q17" t="s">
        <v>30</v>
      </c>
      <c r="R17" t="str">
        <f>_xlfn.CONCAT(laptop[[#This Row],[CPU_company]]," ",laptop[[#This Row],[CPU_model]])</f>
        <v>Intel Core i5</v>
      </c>
      <c r="S17">
        <v>256</v>
      </c>
      <c r="T17">
        <v>0</v>
      </c>
      <c r="U17">
        <f>laptop[[#This Row],[PrimaryStorage]]+laptop[[#This Row],[SecondaryStorage]]</f>
        <v>256</v>
      </c>
      <c r="V17" t="s">
        <v>31</v>
      </c>
      <c r="W17" t="s">
        <v>27</v>
      </c>
      <c r="X17" t="str">
        <f>IF(laptop[[#This Row],[PrimaryStorageType]]=laptop[[#This Row],[SecondaryStorageType]],laptop[[#This Row],[PrimaryStorageType]],"SSD &amp; HDD")</f>
        <v>SSD &amp; HDD</v>
      </c>
      <c r="Y17" t="s">
        <v>32</v>
      </c>
      <c r="Z17" s="4" t="str">
        <f>_xlfn.CONCAT(laptop[[#This Row],[CPU_company]]," ",laptop[[#This Row],[GPU_model]])</f>
        <v>Intel Iris Plus Graphics 640</v>
      </c>
    </row>
    <row r="18" spans="1:26" x14ac:dyDescent="0.25">
      <c r="A18" t="s">
        <v>65</v>
      </c>
      <c r="B18" t="s">
        <v>66</v>
      </c>
      <c r="C18" t="s">
        <v>38</v>
      </c>
      <c r="D18">
        <v>15.6</v>
      </c>
      <c r="E18">
        <v>8</v>
      </c>
      <c r="F18" t="s">
        <v>48</v>
      </c>
      <c r="G18">
        <v>2.2000000000000002</v>
      </c>
      <c r="H18" s="16">
        <v>745</v>
      </c>
      <c r="I18" t="s">
        <v>40</v>
      </c>
      <c r="J18">
        <v>1920</v>
      </c>
      <c r="K18">
        <v>1080</v>
      </c>
      <c r="L18" t="s">
        <v>27</v>
      </c>
      <c r="M18" t="s">
        <v>27</v>
      </c>
      <c r="N18" t="s">
        <v>27</v>
      </c>
      <c r="O18" t="s">
        <v>29</v>
      </c>
      <c r="P18">
        <v>2.7</v>
      </c>
      <c r="Q18" t="s">
        <v>71</v>
      </c>
      <c r="R18" t="str">
        <f>_xlfn.CONCAT(laptop[[#This Row],[CPU_company]]," ",laptop[[#This Row],[CPU_model]])</f>
        <v>Intel Core i7 7500U</v>
      </c>
      <c r="S18">
        <v>256</v>
      </c>
      <c r="T18">
        <v>0</v>
      </c>
      <c r="U18">
        <f>laptop[[#This Row],[PrimaryStorage]]+laptop[[#This Row],[SecondaryStorage]]</f>
        <v>256</v>
      </c>
      <c r="V18" t="s">
        <v>31</v>
      </c>
      <c r="W18" t="s">
        <v>27</v>
      </c>
      <c r="X18" t="str">
        <f>IF(laptop[[#This Row],[PrimaryStorageType]]=laptop[[#This Row],[SecondaryStorageType]],laptop[[#This Row],[PrimaryStorageType]],"SSD &amp; HDD")</f>
        <v>SSD &amp; HDD</v>
      </c>
      <c r="Y18" t="s">
        <v>67</v>
      </c>
      <c r="Z18" s="4" t="str">
        <f>_xlfn.CONCAT(laptop[[#This Row],[CPU_company]]," ",laptop[[#This Row],[GPU_model]])</f>
        <v>Intel Radeon R5 M430</v>
      </c>
    </row>
    <row r="19" spans="1:26" x14ac:dyDescent="0.25">
      <c r="A19" t="s">
        <v>22</v>
      </c>
      <c r="B19" t="s">
        <v>23</v>
      </c>
      <c r="C19" t="s">
        <v>24</v>
      </c>
      <c r="D19">
        <v>15.4</v>
      </c>
      <c r="E19">
        <v>16</v>
      </c>
      <c r="F19" t="s">
        <v>25</v>
      </c>
      <c r="G19">
        <v>1.83</v>
      </c>
      <c r="H19" s="16">
        <v>2858</v>
      </c>
      <c r="I19" t="s">
        <v>26</v>
      </c>
      <c r="J19">
        <v>2880</v>
      </c>
      <c r="K19">
        <v>1800</v>
      </c>
      <c r="L19" t="s">
        <v>27</v>
      </c>
      <c r="M19" t="s">
        <v>28</v>
      </c>
      <c r="N19" t="s">
        <v>28</v>
      </c>
      <c r="O19" t="s">
        <v>29</v>
      </c>
      <c r="P19">
        <v>2.9</v>
      </c>
      <c r="Q19" t="s">
        <v>43</v>
      </c>
      <c r="R19" t="str">
        <f>_xlfn.CONCAT(laptop[[#This Row],[CPU_company]]," ",laptop[[#This Row],[CPU_model]])</f>
        <v>Intel Core i7</v>
      </c>
      <c r="S19">
        <v>512</v>
      </c>
      <c r="T19">
        <v>0</v>
      </c>
      <c r="U19">
        <f>laptop[[#This Row],[PrimaryStorage]]+laptop[[#This Row],[SecondaryStorage]]</f>
        <v>512</v>
      </c>
      <c r="V19" t="s">
        <v>31</v>
      </c>
      <c r="W19" t="s">
        <v>27</v>
      </c>
      <c r="X19" t="str">
        <f>IF(laptop[[#This Row],[PrimaryStorageType]]=laptop[[#This Row],[SecondaryStorageType]],laptop[[#This Row],[PrimaryStorageType]],"SSD &amp; HDD")</f>
        <v>SSD &amp; HDD</v>
      </c>
      <c r="Y19" t="s">
        <v>72</v>
      </c>
      <c r="Z19" s="4" t="str">
        <f>_xlfn.CONCAT(laptop[[#This Row],[CPU_company]]," ",laptop[[#This Row],[GPU_model]])</f>
        <v>Intel Radeon Pro 560</v>
      </c>
    </row>
    <row r="20" spans="1:26" x14ac:dyDescent="0.25">
      <c r="A20" t="s">
        <v>73</v>
      </c>
      <c r="B20" t="s">
        <v>74</v>
      </c>
      <c r="C20" t="s">
        <v>38</v>
      </c>
      <c r="D20">
        <v>15.6</v>
      </c>
      <c r="E20">
        <v>8</v>
      </c>
      <c r="F20" t="s">
        <v>39</v>
      </c>
      <c r="G20">
        <v>2.2000000000000002</v>
      </c>
      <c r="H20" s="16">
        <v>499</v>
      </c>
      <c r="I20" t="s">
        <v>40</v>
      </c>
      <c r="J20">
        <v>1920</v>
      </c>
      <c r="K20">
        <v>1080</v>
      </c>
      <c r="L20" t="s">
        <v>27</v>
      </c>
      <c r="M20" t="s">
        <v>27</v>
      </c>
      <c r="N20" t="s">
        <v>27</v>
      </c>
      <c r="O20" t="s">
        <v>29</v>
      </c>
      <c r="P20">
        <v>2.4</v>
      </c>
      <c r="Q20" t="s">
        <v>75</v>
      </c>
      <c r="R20" t="str">
        <f>_xlfn.CONCAT(laptop[[#This Row],[CPU_company]]," ",laptop[[#This Row],[CPU_model]])</f>
        <v>Intel Core i3 7100U</v>
      </c>
      <c r="S20">
        <v>1024</v>
      </c>
      <c r="T20">
        <v>0</v>
      </c>
      <c r="U20">
        <f>laptop[[#This Row],[PrimaryStorage]]+laptop[[#This Row],[SecondaryStorage]]</f>
        <v>1024</v>
      </c>
      <c r="V20" t="s">
        <v>51</v>
      </c>
      <c r="W20" t="s">
        <v>27</v>
      </c>
      <c r="X20" t="str">
        <f>IF(laptop[[#This Row],[PrimaryStorageType]]=laptop[[#This Row],[SecondaryStorageType]],laptop[[#This Row],[PrimaryStorageType]],"SSD &amp; HDD")</f>
        <v>SSD &amp; HDD</v>
      </c>
      <c r="Y20" t="s">
        <v>76</v>
      </c>
      <c r="Z20" s="4" t="str">
        <f>_xlfn.CONCAT(laptop[[#This Row],[CPU_company]]," ",laptop[[#This Row],[GPU_model]])</f>
        <v>Intel GeForce 940MX</v>
      </c>
    </row>
    <row r="21" spans="1:26" x14ac:dyDescent="0.25">
      <c r="A21" t="s">
        <v>65</v>
      </c>
      <c r="B21" t="s">
        <v>77</v>
      </c>
      <c r="C21" t="s">
        <v>24</v>
      </c>
      <c r="D21">
        <v>13.3</v>
      </c>
      <c r="E21">
        <v>8</v>
      </c>
      <c r="F21" t="s">
        <v>48</v>
      </c>
      <c r="G21">
        <v>1.22</v>
      </c>
      <c r="H21" s="16">
        <v>979</v>
      </c>
      <c r="I21" t="s">
        <v>40</v>
      </c>
      <c r="J21">
        <v>1920</v>
      </c>
      <c r="K21">
        <v>1080</v>
      </c>
      <c r="L21" t="s">
        <v>28</v>
      </c>
      <c r="M21" t="s">
        <v>28</v>
      </c>
      <c r="N21" t="s">
        <v>27</v>
      </c>
      <c r="O21" t="s">
        <v>29</v>
      </c>
      <c r="P21">
        <v>1.6</v>
      </c>
      <c r="Q21" t="s">
        <v>60</v>
      </c>
      <c r="R21" t="str">
        <f>_xlfn.CONCAT(laptop[[#This Row],[CPU_company]]," ",laptop[[#This Row],[CPU_model]])</f>
        <v>Intel Core i5 8250U</v>
      </c>
      <c r="S21">
        <v>128</v>
      </c>
      <c r="T21">
        <v>0</v>
      </c>
      <c r="U21">
        <f>laptop[[#This Row],[PrimaryStorage]]+laptop[[#This Row],[SecondaryStorage]]</f>
        <v>128</v>
      </c>
      <c r="V21" t="s">
        <v>31</v>
      </c>
      <c r="W21" t="s">
        <v>27</v>
      </c>
      <c r="X21" t="str">
        <f>IF(laptop[[#This Row],[PrimaryStorageType]]=laptop[[#This Row],[SecondaryStorageType]],laptop[[#This Row],[PrimaryStorageType]],"SSD &amp; HDD")</f>
        <v>SSD &amp; HDD</v>
      </c>
      <c r="Y21" t="s">
        <v>61</v>
      </c>
      <c r="Z21" s="4" t="str">
        <f>_xlfn.CONCAT(laptop[[#This Row],[CPU_company]]," ",laptop[[#This Row],[GPU_model]])</f>
        <v>Intel UHD Graphics 620</v>
      </c>
    </row>
    <row r="22" spans="1:26" x14ac:dyDescent="0.25">
      <c r="A22" t="s">
        <v>55</v>
      </c>
      <c r="B22" t="s">
        <v>78</v>
      </c>
      <c r="C22" t="s">
        <v>79</v>
      </c>
      <c r="D22">
        <v>11.6</v>
      </c>
      <c r="E22">
        <v>2</v>
      </c>
      <c r="F22" t="s">
        <v>48</v>
      </c>
      <c r="G22">
        <v>0.98</v>
      </c>
      <c r="H22" s="16">
        <v>191.9</v>
      </c>
      <c r="I22" t="s">
        <v>26</v>
      </c>
      <c r="J22">
        <v>1366</v>
      </c>
      <c r="K22">
        <v>768</v>
      </c>
      <c r="L22" t="s">
        <v>27</v>
      </c>
      <c r="M22" t="s">
        <v>27</v>
      </c>
      <c r="N22" t="s">
        <v>27</v>
      </c>
      <c r="O22" t="s">
        <v>29</v>
      </c>
      <c r="P22">
        <v>1.44</v>
      </c>
      <c r="Q22" t="s">
        <v>80</v>
      </c>
      <c r="R22" t="str">
        <f>_xlfn.CONCAT(laptop[[#This Row],[CPU_company]]," ",laptop[[#This Row],[CPU_model]])</f>
        <v>Intel Atom x5-Z8350</v>
      </c>
      <c r="S22">
        <v>32</v>
      </c>
      <c r="T22">
        <v>0</v>
      </c>
      <c r="U22">
        <f>laptop[[#This Row],[PrimaryStorage]]+laptop[[#This Row],[SecondaryStorage]]</f>
        <v>32</v>
      </c>
      <c r="V22" t="s">
        <v>34</v>
      </c>
      <c r="W22" t="s">
        <v>27</v>
      </c>
      <c r="X22" t="str">
        <f>IF(laptop[[#This Row],[PrimaryStorageType]]=laptop[[#This Row],[SecondaryStorageType]],laptop[[#This Row],[PrimaryStorageType]],"SSD &amp; HDD")</f>
        <v>SSD &amp; HDD</v>
      </c>
      <c r="Y22" t="s">
        <v>81</v>
      </c>
      <c r="Z22" s="4" t="str">
        <f>_xlfn.CONCAT(laptop[[#This Row],[CPU_company]]," ",laptop[[#This Row],[GPU_model]])</f>
        <v>Intel HD Graphics 400</v>
      </c>
    </row>
    <row r="23" spans="1:26" x14ac:dyDescent="0.25">
      <c r="A23" t="s">
        <v>73</v>
      </c>
      <c r="B23" t="s">
        <v>82</v>
      </c>
      <c r="C23" t="s">
        <v>83</v>
      </c>
      <c r="D23">
        <v>15.6</v>
      </c>
      <c r="E23">
        <v>8</v>
      </c>
      <c r="F23" t="s">
        <v>48</v>
      </c>
      <c r="G23">
        <v>2.5</v>
      </c>
      <c r="H23" s="16">
        <v>999</v>
      </c>
      <c r="I23" t="s">
        <v>40</v>
      </c>
      <c r="J23">
        <v>1920</v>
      </c>
      <c r="K23">
        <v>1080</v>
      </c>
      <c r="L23" t="s">
        <v>27</v>
      </c>
      <c r="M23" t="s">
        <v>28</v>
      </c>
      <c r="N23" t="s">
        <v>27</v>
      </c>
      <c r="O23" t="s">
        <v>29</v>
      </c>
      <c r="P23">
        <v>2.5</v>
      </c>
      <c r="Q23" t="s">
        <v>84</v>
      </c>
      <c r="R23" t="str">
        <f>_xlfn.CONCAT(laptop[[#This Row],[CPU_company]]," ",laptop[[#This Row],[CPU_model]])</f>
        <v>Intel Core i5 7300HQ</v>
      </c>
      <c r="S23">
        <v>128</v>
      </c>
      <c r="T23">
        <v>1024</v>
      </c>
      <c r="U23">
        <f>laptop[[#This Row],[PrimaryStorage]]+laptop[[#This Row],[SecondaryStorage]]</f>
        <v>1152</v>
      </c>
      <c r="V23" t="s">
        <v>31</v>
      </c>
      <c r="W23" t="s">
        <v>51</v>
      </c>
      <c r="X23" t="str">
        <f>IF(laptop[[#This Row],[PrimaryStorageType]]=laptop[[#This Row],[SecondaryStorageType]],laptop[[#This Row],[PrimaryStorageType]],"SSD &amp; HDD")</f>
        <v>SSD &amp; HDD</v>
      </c>
      <c r="Y23" t="s">
        <v>85</v>
      </c>
      <c r="Z23" s="4" t="str">
        <f>_xlfn.CONCAT(laptop[[#This Row],[CPU_company]]," ",laptop[[#This Row],[GPU_model]])</f>
        <v>Intel GeForce GTX 1050</v>
      </c>
    </row>
    <row r="24" spans="1:26" x14ac:dyDescent="0.25">
      <c r="A24" t="s">
        <v>36</v>
      </c>
      <c r="B24" t="s">
        <v>86</v>
      </c>
      <c r="C24" t="s">
        <v>38</v>
      </c>
      <c r="D24">
        <v>15.6</v>
      </c>
      <c r="E24">
        <v>4</v>
      </c>
      <c r="F24" t="s">
        <v>39</v>
      </c>
      <c r="G24">
        <v>1.86</v>
      </c>
      <c r="H24" s="16">
        <v>258</v>
      </c>
      <c r="I24" t="s">
        <v>26</v>
      </c>
      <c r="J24">
        <v>1366</v>
      </c>
      <c r="K24">
        <v>768</v>
      </c>
      <c r="L24" t="s">
        <v>27</v>
      </c>
      <c r="M24" t="s">
        <v>27</v>
      </c>
      <c r="N24" t="s">
        <v>27</v>
      </c>
      <c r="O24" t="s">
        <v>49</v>
      </c>
      <c r="P24">
        <v>1.5</v>
      </c>
      <c r="Q24" t="s">
        <v>87</v>
      </c>
      <c r="R24" t="str">
        <f>_xlfn.CONCAT(laptop[[#This Row],[CPU_company]]," ",laptop[[#This Row],[CPU_model]])</f>
        <v>AMD E-Series E2-9000e</v>
      </c>
      <c r="S24">
        <v>500</v>
      </c>
      <c r="T24">
        <v>0</v>
      </c>
      <c r="U24">
        <f>laptop[[#This Row],[PrimaryStorage]]+laptop[[#This Row],[SecondaryStorage]]</f>
        <v>500</v>
      </c>
      <c r="V24" t="s">
        <v>51</v>
      </c>
      <c r="W24" t="s">
        <v>27</v>
      </c>
      <c r="X24" t="str">
        <f>IF(laptop[[#This Row],[PrimaryStorageType]]=laptop[[#This Row],[SecondaryStorageType]],laptop[[#This Row],[PrimaryStorageType]],"SSD &amp; HDD")</f>
        <v>SSD &amp; HDD</v>
      </c>
      <c r="Y24" t="s">
        <v>88</v>
      </c>
      <c r="Z24" s="4" t="str">
        <f>_xlfn.CONCAT(laptop[[#This Row],[CPU_company]]," ",laptop[[#This Row],[GPU_model]])</f>
        <v>AMD Radeon R2</v>
      </c>
    </row>
    <row r="25" spans="1:26" x14ac:dyDescent="0.25">
      <c r="A25" t="s">
        <v>65</v>
      </c>
      <c r="B25" t="s">
        <v>89</v>
      </c>
      <c r="C25" t="s">
        <v>90</v>
      </c>
      <c r="D25">
        <v>13.3</v>
      </c>
      <c r="E25">
        <v>8</v>
      </c>
      <c r="F25" t="s">
        <v>48</v>
      </c>
      <c r="G25">
        <v>1.62</v>
      </c>
      <c r="H25" s="16">
        <v>819</v>
      </c>
      <c r="I25" t="s">
        <v>40</v>
      </c>
      <c r="J25">
        <v>1920</v>
      </c>
      <c r="K25">
        <v>1080</v>
      </c>
      <c r="L25" t="s">
        <v>28</v>
      </c>
      <c r="M25" t="s">
        <v>27</v>
      </c>
      <c r="N25" t="s">
        <v>27</v>
      </c>
      <c r="O25" t="s">
        <v>29</v>
      </c>
      <c r="P25">
        <v>1.6</v>
      </c>
      <c r="Q25" t="s">
        <v>60</v>
      </c>
      <c r="R25" t="str">
        <f>_xlfn.CONCAT(laptop[[#This Row],[CPU_company]]," ",laptop[[#This Row],[CPU_model]])</f>
        <v>Intel Core i5 8250U</v>
      </c>
      <c r="S25">
        <v>256</v>
      </c>
      <c r="T25">
        <v>0</v>
      </c>
      <c r="U25">
        <f>laptop[[#This Row],[PrimaryStorage]]+laptop[[#This Row],[SecondaryStorage]]</f>
        <v>256</v>
      </c>
      <c r="V25" t="s">
        <v>31</v>
      </c>
      <c r="W25" t="s">
        <v>27</v>
      </c>
      <c r="X25" t="str">
        <f>IF(laptop[[#This Row],[PrimaryStorageType]]=laptop[[#This Row],[SecondaryStorageType]],laptop[[#This Row],[PrimaryStorageType]],"SSD &amp; HDD")</f>
        <v>SSD &amp; HDD</v>
      </c>
      <c r="Y25" t="s">
        <v>61</v>
      </c>
      <c r="Z25" s="4" t="str">
        <f>_xlfn.CONCAT(laptop[[#This Row],[CPU_company]]," ",laptop[[#This Row],[GPU_model]])</f>
        <v>Intel UHD Graphics 620</v>
      </c>
    </row>
    <row r="26" spans="1:26" x14ac:dyDescent="0.25">
      <c r="A26" t="s">
        <v>36</v>
      </c>
      <c r="B26" t="s">
        <v>91</v>
      </c>
      <c r="C26" t="s">
        <v>24</v>
      </c>
      <c r="D26">
        <v>15.6</v>
      </c>
      <c r="E26">
        <v>8</v>
      </c>
      <c r="F26" t="s">
        <v>48</v>
      </c>
      <c r="G26">
        <v>1.91</v>
      </c>
      <c r="H26" s="16">
        <v>659</v>
      </c>
      <c r="I26" t="s">
        <v>40</v>
      </c>
      <c r="J26">
        <v>1920</v>
      </c>
      <c r="K26">
        <v>1080</v>
      </c>
      <c r="L26" t="s">
        <v>27</v>
      </c>
      <c r="M26" t="s">
        <v>27</v>
      </c>
      <c r="N26" t="s">
        <v>27</v>
      </c>
      <c r="O26" t="s">
        <v>29</v>
      </c>
      <c r="P26">
        <v>1.8</v>
      </c>
      <c r="Q26" t="s">
        <v>57</v>
      </c>
      <c r="R26" t="str">
        <f>_xlfn.CONCAT(laptop[[#This Row],[CPU_company]]," ",laptop[[#This Row],[CPU_model]])</f>
        <v>Intel Core i7 8550U</v>
      </c>
      <c r="S26">
        <v>256</v>
      </c>
      <c r="T26">
        <v>0</v>
      </c>
      <c r="U26">
        <f>laptop[[#This Row],[PrimaryStorage]]+laptop[[#This Row],[SecondaryStorage]]</f>
        <v>256</v>
      </c>
      <c r="V26" t="s">
        <v>31</v>
      </c>
      <c r="W26" t="s">
        <v>27</v>
      </c>
      <c r="X26" t="str">
        <f>IF(laptop[[#This Row],[PrimaryStorageType]]=laptop[[#This Row],[SecondaryStorageType]],laptop[[#This Row],[PrimaryStorageType]],"SSD &amp; HDD")</f>
        <v>SSD &amp; HDD</v>
      </c>
      <c r="Y26" t="s">
        <v>42</v>
      </c>
      <c r="Z26" s="4" t="str">
        <f>_xlfn.CONCAT(laptop[[#This Row],[CPU_company]]," ",laptop[[#This Row],[GPU_model]])</f>
        <v>Intel HD Graphics 620</v>
      </c>
    </row>
    <row r="27" spans="1:26" x14ac:dyDescent="0.25">
      <c r="A27" t="s">
        <v>65</v>
      </c>
      <c r="B27" t="s">
        <v>66</v>
      </c>
      <c r="C27" t="s">
        <v>38</v>
      </c>
      <c r="D27">
        <v>15.6</v>
      </c>
      <c r="E27">
        <v>4</v>
      </c>
      <c r="F27" t="s">
        <v>48</v>
      </c>
      <c r="G27">
        <v>2.2999999999999998</v>
      </c>
      <c r="H27" s="16">
        <v>418.64</v>
      </c>
      <c r="I27" t="s">
        <v>26</v>
      </c>
      <c r="J27">
        <v>1366</v>
      </c>
      <c r="K27">
        <v>768</v>
      </c>
      <c r="L27" t="s">
        <v>27</v>
      </c>
      <c r="M27" t="s">
        <v>27</v>
      </c>
      <c r="N27" t="s">
        <v>27</v>
      </c>
      <c r="O27" t="s">
        <v>29</v>
      </c>
      <c r="P27">
        <v>2</v>
      </c>
      <c r="Q27" t="s">
        <v>62</v>
      </c>
      <c r="R27" t="str">
        <f>_xlfn.CONCAT(laptop[[#This Row],[CPU_company]]," ",laptop[[#This Row],[CPU_model]])</f>
        <v>Intel Core i3 6006U</v>
      </c>
      <c r="S27">
        <v>1024</v>
      </c>
      <c r="T27">
        <v>0</v>
      </c>
      <c r="U27">
        <f>laptop[[#This Row],[PrimaryStorage]]+laptop[[#This Row],[SecondaryStorage]]</f>
        <v>1024</v>
      </c>
      <c r="V27" t="s">
        <v>51</v>
      </c>
      <c r="W27" t="s">
        <v>27</v>
      </c>
      <c r="X27" t="str">
        <f>IF(laptop[[#This Row],[PrimaryStorageType]]=laptop[[#This Row],[SecondaryStorageType]],laptop[[#This Row],[PrimaryStorageType]],"SSD &amp; HDD")</f>
        <v>SSD &amp; HDD</v>
      </c>
      <c r="Y27" t="s">
        <v>63</v>
      </c>
      <c r="Z27" s="4" t="str">
        <f>_xlfn.CONCAT(laptop[[#This Row],[CPU_company]]," ",laptop[[#This Row],[GPU_model]])</f>
        <v>Intel HD Graphics 520</v>
      </c>
    </row>
    <row r="28" spans="1:26" x14ac:dyDescent="0.25">
      <c r="A28" t="s">
        <v>22</v>
      </c>
      <c r="B28" t="s">
        <v>92</v>
      </c>
      <c r="C28" t="s">
        <v>24</v>
      </c>
      <c r="D28">
        <v>13.3</v>
      </c>
      <c r="E28">
        <v>8</v>
      </c>
      <c r="F28" t="s">
        <v>53</v>
      </c>
      <c r="G28">
        <v>1.35</v>
      </c>
      <c r="H28" s="16">
        <v>1099</v>
      </c>
      <c r="I28" t="s">
        <v>26</v>
      </c>
      <c r="J28">
        <v>1440</v>
      </c>
      <c r="K28">
        <v>900</v>
      </c>
      <c r="L28" t="s">
        <v>27</v>
      </c>
      <c r="M28" t="s">
        <v>27</v>
      </c>
      <c r="N28" t="s">
        <v>27</v>
      </c>
      <c r="O28" t="s">
        <v>29</v>
      </c>
      <c r="P28">
        <v>1.6</v>
      </c>
      <c r="Q28" t="s">
        <v>30</v>
      </c>
      <c r="R28" t="str">
        <f>_xlfn.CONCAT(laptop[[#This Row],[CPU_company]]," ",laptop[[#This Row],[CPU_model]])</f>
        <v>Intel Core i5</v>
      </c>
      <c r="S28">
        <v>128</v>
      </c>
      <c r="T28">
        <v>0</v>
      </c>
      <c r="U28">
        <f>laptop[[#This Row],[PrimaryStorage]]+laptop[[#This Row],[SecondaryStorage]]</f>
        <v>128</v>
      </c>
      <c r="V28" t="s">
        <v>34</v>
      </c>
      <c r="W28" t="s">
        <v>27</v>
      </c>
      <c r="X28" t="str">
        <f>IF(laptop[[#This Row],[PrimaryStorageType]]=laptop[[#This Row],[SecondaryStorageType]],laptop[[#This Row],[PrimaryStorageType]],"SSD &amp; HDD")</f>
        <v>SSD &amp; HDD</v>
      </c>
      <c r="Y28" t="s">
        <v>35</v>
      </c>
      <c r="Z28" s="4" t="str">
        <f>_xlfn.CONCAT(laptop[[#This Row],[CPU_company]]," ",laptop[[#This Row],[GPU_model]])</f>
        <v>Intel HD Graphics 6000</v>
      </c>
    </row>
    <row r="29" spans="1:26" x14ac:dyDescent="0.25">
      <c r="A29" t="s">
        <v>65</v>
      </c>
      <c r="B29" t="s">
        <v>93</v>
      </c>
      <c r="C29" t="s">
        <v>38</v>
      </c>
      <c r="D29">
        <v>15.6</v>
      </c>
      <c r="E29">
        <v>8</v>
      </c>
      <c r="F29" t="s">
        <v>48</v>
      </c>
      <c r="G29">
        <v>2.2000000000000002</v>
      </c>
      <c r="H29" s="16">
        <v>800</v>
      </c>
      <c r="I29" t="s">
        <v>40</v>
      </c>
      <c r="J29">
        <v>1920</v>
      </c>
      <c r="K29">
        <v>1080</v>
      </c>
      <c r="L29" t="s">
        <v>27</v>
      </c>
      <c r="M29" t="s">
        <v>27</v>
      </c>
      <c r="N29" t="s">
        <v>27</v>
      </c>
      <c r="O29" t="s">
        <v>29</v>
      </c>
      <c r="P29">
        <v>1.6</v>
      </c>
      <c r="Q29" t="s">
        <v>60</v>
      </c>
      <c r="R29" t="str">
        <f>_xlfn.CONCAT(laptop[[#This Row],[CPU_company]]," ",laptop[[#This Row],[CPU_model]])</f>
        <v>Intel Core i5 8250U</v>
      </c>
      <c r="S29">
        <v>256</v>
      </c>
      <c r="T29">
        <v>0</v>
      </c>
      <c r="U29">
        <f>laptop[[#This Row],[PrimaryStorage]]+laptop[[#This Row],[SecondaryStorage]]</f>
        <v>256</v>
      </c>
      <c r="V29" t="s">
        <v>31</v>
      </c>
      <c r="W29" t="s">
        <v>27</v>
      </c>
      <c r="X29" t="str">
        <f>IF(laptop[[#This Row],[PrimaryStorageType]]=laptop[[#This Row],[SecondaryStorageType]],laptop[[#This Row],[PrimaryStorageType]],"SSD &amp; HDD")</f>
        <v>SSD &amp; HDD</v>
      </c>
      <c r="Y29" t="s">
        <v>94</v>
      </c>
      <c r="Z29" s="4" t="str">
        <f>_xlfn.CONCAT(laptop[[#This Row],[CPU_company]]," ",laptop[[#This Row],[GPU_model]])</f>
        <v>Intel Radeon 530</v>
      </c>
    </row>
    <row r="30" spans="1:26" x14ac:dyDescent="0.25">
      <c r="A30" t="s">
        <v>65</v>
      </c>
      <c r="B30" t="s">
        <v>95</v>
      </c>
      <c r="C30" t="s">
        <v>24</v>
      </c>
      <c r="D30">
        <v>15.6</v>
      </c>
      <c r="E30">
        <v>8</v>
      </c>
      <c r="F30" t="s">
        <v>48</v>
      </c>
      <c r="G30">
        <v>1.88</v>
      </c>
      <c r="H30" s="16">
        <v>1298</v>
      </c>
      <c r="I30" t="s">
        <v>40</v>
      </c>
      <c r="J30">
        <v>1920</v>
      </c>
      <c r="K30">
        <v>1080</v>
      </c>
      <c r="L30" t="s">
        <v>27</v>
      </c>
      <c r="M30" t="s">
        <v>27</v>
      </c>
      <c r="N30" t="s">
        <v>27</v>
      </c>
      <c r="O30" t="s">
        <v>29</v>
      </c>
      <c r="P30">
        <v>1.9</v>
      </c>
      <c r="Q30" t="s">
        <v>96</v>
      </c>
      <c r="R30" t="str">
        <f>_xlfn.CONCAT(laptop[[#This Row],[CPU_company]]," ",laptop[[#This Row],[CPU_model]])</f>
        <v>Intel Core i7 8650U</v>
      </c>
      <c r="S30">
        <v>256</v>
      </c>
      <c r="T30">
        <v>256</v>
      </c>
      <c r="U30">
        <f>laptop[[#This Row],[PrimaryStorage]]+laptop[[#This Row],[SecondaryStorage]]</f>
        <v>512</v>
      </c>
      <c r="V30" t="s">
        <v>31</v>
      </c>
      <c r="W30" t="s">
        <v>31</v>
      </c>
      <c r="X30" t="str">
        <f>IF(laptop[[#This Row],[PrimaryStorageType]]=laptop[[#This Row],[SecondaryStorageType]],laptop[[#This Row],[PrimaryStorageType]],"SSD &amp; HDD")</f>
        <v>SSD</v>
      </c>
      <c r="Y30" t="s">
        <v>61</v>
      </c>
      <c r="Z30" s="4" t="str">
        <f>_xlfn.CONCAT(laptop[[#This Row],[CPU_company]]," ",laptop[[#This Row],[GPU_model]])</f>
        <v>Intel UHD Graphics 620</v>
      </c>
    </row>
    <row r="31" spans="1:26" x14ac:dyDescent="0.25">
      <c r="A31" t="s">
        <v>36</v>
      </c>
      <c r="B31" t="s">
        <v>97</v>
      </c>
      <c r="C31" t="s">
        <v>38</v>
      </c>
      <c r="D31">
        <v>17.3</v>
      </c>
      <c r="E31">
        <v>8</v>
      </c>
      <c r="F31" t="s">
        <v>48</v>
      </c>
      <c r="G31">
        <v>2.5</v>
      </c>
      <c r="H31" s="16">
        <v>896</v>
      </c>
      <c r="I31" t="s">
        <v>40</v>
      </c>
      <c r="J31">
        <v>1920</v>
      </c>
      <c r="K31">
        <v>1080</v>
      </c>
      <c r="L31" t="s">
        <v>27</v>
      </c>
      <c r="M31" t="s">
        <v>27</v>
      </c>
      <c r="N31" t="s">
        <v>27</v>
      </c>
      <c r="O31" t="s">
        <v>29</v>
      </c>
      <c r="P31">
        <v>1.6</v>
      </c>
      <c r="Q31" t="s">
        <v>60</v>
      </c>
      <c r="R31" t="str">
        <f>_xlfn.CONCAT(laptop[[#This Row],[CPU_company]]," ",laptop[[#This Row],[CPU_model]])</f>
        <v>Intel Core i5 8250U</v>
      </c>
      <c r="S31">
        <v>1024</v>
      </c>
      <c r="T31">
        <v>0</v>
      </c>
      <c r="U31">
        <f>laptop[[#This Row],[PrimaryStorage]]+laptop[[#This Row],[SecondaryStorage]]</f>
        <v>1024</v>
      </c>
      <c r="V31" t="s">
        <v>51</v>
      </c>
      <c r="W31" t="s">
        <v>27</v>
      </c>
      <c r="X31" t="str">
        <f>IF(laptop[[#This Row],[PrimaryStorageType]]=laptop[[#This Row],[SecondaryStorageType]],laptop[[#This Row],[PrimaryStorageType]],"SSD &amp; HDD")</f>
        <v>SSD &amp; HDD</v>
      </c>
      <c r="Y31" t="s">
        <v>98</v>
      </c>
      <c r="Z31" s="4" t="str">
        <f>_xlfn.CONCAT(laptop[[#This Row],[CPU_company]]," ",laptop[[#This Row],[GPU_model]])</f>
        <v>Intel GeForce 930MX</v>
      </c>
    </row>
    <row r="32" spans="1:26" x14ac:dyDescent="0.25">
      <c r="A32" t="s">
        <v>99</v>
      </c>
      <c r="B32" t="s">
        <v>100</v>
      </c>
      <c r="C32" t="s">
        <v>38</v>
      </c>
      <c r="D32">
        <v>15.6</v>
      </c>
      <c r="E32">
        <v>4</v>
      </c>
      <c r="F32" t="s">
        <v>48</v>
      </c>
      <c r="G32">
        <v>1.89</v>
      </c>
      <c r="H32" s="16">
        <v>244.99</v>
      </c>
      <c r="I32" t="s">
        <v>40</v>
      </c>
      <c r="J32">
        <v>1920</v>
      </c>
      <c r="K32">
        <v>1080</v>
      </c>
      <c r="L32" t="s">
        <v>27</v>
      </c>
      <c r="M32" t="s">
        <v>27</v>
      </c>
      <c r="N32" t="s">
        <v>27</v>
      </c>
      <c r="O32" t="s">
        <v>29</v>
      </c>
      <c r="P32">
        <v>1.44</v>
      </c>
      <c r="Q32" t="s">
        <v>101</v>
      </c>
      <c r="R32" t="str">
        <f>_xlfn.CONCAT(laptop[[#This Row],[CPU_company]]," ",laptop[[#This Row],[CPU_model]])</f>
        <v>Intel Atom x5-Z8300</v>
      </c>
      <c r="S32">
        <v>64</v>
      </c>
      <c r="T32">
        <v>0</v>
      </c>
      <c r="U32">
        <f>laptop[[#This Row],[PrimaryStorage]]+laptop[[#This Row],[SecondaryStorage]]</f>
        <v>64</v>
      </c>
      <c r="V32" t="s">
        <v>34</v>
      </c>
      <c r="W32" t="s">
        <v>27</v>
      </c>
      <c r="X32" t="str">
        <f>IF(laptop[[#This Row],[PrimaryStorageType]]=laptop[[#This Row],[SecondaryStorageType]],laptop[[#This Row],[PrimaryStorageType]],"SSD &amp; HDD")</f>
        <v>SSD &amp; HDD</v>
      </c>
      <c r="Y32" t="s">
        <v>102</v>
      </c>
      <c r="Z32" s="4" t="str">
        <f>_xlfn.CONCAT(laptop[[#This Row],[CPU_company]]," ",laptop[[#This Row],[GPU_model]])</f>
        <v>Intel HD Graphics</v>
      </c>
    </row>
    <row r="33" spans="1:26" x14ac:dyDescent="0.25">
      <c r="A33" t="s">
        <v>55</v>
      </c>
      <c r="B33" t="s">
        <v>103</v>
      </c>
      <c r="C33" t="s">
        <v>38</v>
      </c>
      <c r="D33">
        <v>14</v>
      </c>
      <c r="E33">
        <v>2</v>
      </c>
      <c r="F33" t="s">
        <v>48</v>
      </c>
      <c r="G33">
        <v>1.65</v>
      </c>
      <c r="H33" s="16">
        <v>199</v>
      </c>
      <c r="I33" t="s">
        <v>26</v>
      </c>
      <c r="J33">
        <v>1366</v>
      </c>
      <c r="K33">
        <v>768</v>
      </c>
      <c r="L33" t="s">
        <v>27</v>
      </c>
      <c r="M33" t="s">
        <v>27</v>
      </c>
      <c r="N33" t="s">
        <v>27</v>
      </c>
      <c r="O33" t="s">
        <v>49</v>
      </c>
      <c r="P33">
        <v>1.5</v>
      </c>
      <c r="Q33" t="s">
        <v>104</v>
      </c>
      <c r="R33" t="str">
        <f>_xlfn.CONCAT(laptop[[#This Row],[CPU_company]]," ",laptop[[#This Row],[CPU_model]])</f>
        <v>AMD E-Series E2-6110</v>
      </c>
      <c r="S33">
        <v>32</v>
      </c>
      <c r="T33">
        <v>0</v>
      </c>
      <c r="U33">
        <f>laptop[[#This Row],[PrimaryStorage]]+laptop[[#This Row],[SecondaryStorage]]</f>
        <v>32</v>
      </c>
      <c r="V33" t="s">
        <v>34</v>
      </c>
      <c r="W33" t="s">
        <v>27</v>
      </c>
      <c r="X33" t="str">
        <f>IF(laptop[[#This Row],[PrimaryStorageType]]=laptop[[#This Row],[SecondaryStorageType]],laptop[[#This Row],[PrimaryStorageType]],"SSD &amp; HDD")</f>
        <v>SSD &amp; HDD</v>
      </c>
      <c r="Y33" t="s">
        <v>88</v>
      </c>
      <c r="Z33" s="4" t="str">
        <f>_xlfn.CONCAT(laptop[[#This Row],[CPU_company]]," ",laptop[[#This Row],[GPU_model]])</f>
        <v>AMD Radeon R2</v>
      </c>
    </row>
    <row r="34" spans="1:26" x14ac:dyDescent="0.25">
      <c r="A34" t="s">
        <v>36</v>
      </c>
      <c r="B34" t="s">
        <v>105</v>
      </c>
      <c r="C34" t="s">
        <v>38</v>
      </c>
      <c r="D34">
        <v>17.3</v>
      </c>
      <c r="E34">
        <v>4</v>
      </c>
      <c r="F34" t="s">
        <v>48</v>
      </c>
      <c r="G34">
        <v>2.71</v>
      </c>
      <c r="H34" s="16">
        <v>439</v>
      </c>
      <c r="I34" t="s">
        <v>40</v>
      </c>
      <c r="J34">
        <v>1920</v>
      </c>
      <c r="K34">
        <v>1080</v>
      </c>
      <c r="L34" t="s">
        <v>27</v>
      </c>
      <c r="M34" t="s">
        <v>27</v>
      </c>
      <c r="N34" t="s">
        <v>27</v>
      </c>
      <c r="O34" t="s">
        <v>49</v>
      </c>
      <c r="P34">
        <v>2.5</v>
      </c>
      <c r="Q34" t="s">
        <v>106</v>
      </c>
      <c r="R34" t="str">
        <f>_xlfn.CONCAT(laptop[[#This Row],[CPU_company]]," ",laptop[[#This Row],[CPU_model]])</f>
        <v>AMD A6-Series 9220</v>
      </c>
      <c r="S34">
        <v>500</v>
      </c>
      <c r="T34">
        <v>0</v>
      </c>
      <c r="U34">
        <f>laptop[[#This Row],[PrimaryStorage]]+laptop[[#This Row],[SecondaryStorage]]</f>
        <v>500</v>
      </c>
      <c r="V34" t="s">
        <v>51</v>
      </c>
      <c r="W34" t="s">
        <v>27</v>
      </c>
      <c r="X34" t="str">
        <f>IF(laptop[[#This Row],[PrimaryStorageType]]=laptop[[#This Row],[SecondaryStorageType]],laptop[[#This Row],[PrimaryStorageType]],"SSD &amp; HDD")</f>
        <v>SSD &amp; HDD</v>
      </c>
      <c r="Y34" t="s">
        <v>94</v>
      </c>
      <c r="Z34" s="4" t="str">
        <f>_xlfn.CONCAT(laptop[[#This Row],[CPU_company]]," ",laptop[[#This Row],[GPU_model]])</f>
        <v>AMD Radeon 530</v>
      </c>
    </row>
    <row r="35" spans="1:26" x14ac:dyDescent="0.25">
      <c r="A35" t="s">
        <v>65</v>
      </c>
      <c r="B35" t="s">
        <v>77</v>
      </c>
      <c r="C35" t="s">
        <v>24</v>
      </c>
      <c r="D35">
        <v>13.3</v>
      </c>
      <c r="E35">
        <v>16</v>
      </c>
      <c r="F35" t="s">
        <v>48</v>
      </c>
      <c r="G35">
        <v>1.2</v>
      </c>
      <c r="H35" s="16">
        <v>1869</v>
      </c>
      <c r="I35" t="s">
        <v>107</v>
      </c>
      <c r="J35">
        <v>3200</v>
      </c>
      <c r="K35">
        <v>1800</v>
      </c>
      <c r="L35" t="s">
        <v>28</v>
      </c>
      <c r="M35" t="s">
        <v>27</v>
      </c>
      <c r="N35" t="s">
        <v>27</v>
      </c>
      <c r="O35" t="s">
        <v>29</v>
      </c>
      <c r="P35">
        <v>1.8</v>
      </c>
      <c r="Q35" t="s">
        <v>57</v>
      </c>
      <c r="R35" t="str">
        <f>_xlfn.CONCAT(laptop[[#This Row],[CPU_company]]," ",laptop[[#This Row],[CPU_model]])</f>
        <v>Intel Core i7 8550U</v>
      </c>
      <c r="S35">
        <v>512</v>
      </c>
      <c r="T35">
        <v>0</v>
      </c>
      <c r="U35">
        <f>laptop[[#This Row],[PrimaryStorage]]+laptop[[#This Row],[SecondaryStorage]]</f>
        <v>512</v>
      </c>
      <c r="V35" t="s">
        <v>31</v>
      </c>
      <c r="W35" t="s">
        <v>27</v>
      </c>
      <c r="X35" t="str">
        <f>IF(laptop[[#This Row],[PrimaryStorageType]]=laptop[[#This Row],[SecondaryStorageType]],laptop[[#This Row],[PrimaryStorageType]],"SSD &amp; HDD")</f>
        <v>SSD &amp; HDD</v>
      </c>
      <c r="Y35" t="s">
        <v>61</v>
      </c>
      <c r="Z35" s="4" t="str">
        <f>_xlfn.CONCAT(laptop[[#This Row],[CPU_company]]," ",laptop[[#This Row],[GPU_model]])</f>
        <v>Intel UHD Graphics 620</v>
      </c>
    </row>
    <row r="36" spans="1:26" x14ac:dyDescent="0.25">
      <c r="A36" t="s">
        <v>22</v>
      </c>
      <c r="B36" t="s">
        <v>92</v>
      </c>
      <c r="C36" t="s">
        <v>24</v>
      </c>
      <c r="D36">
        <v>13.3</v>
      </c>
      <c r="E36">
        <v>8</v>
      </c>
      <c r="F36" t="s">
        <v>53</v>
      </c>
      <c r="G36">
        <v>1.35</v>
      </c>
      <c r="H36" s="16">
        <v>998</v>
      </c>
      <c r="I36" t="s">
        <v>26</v>
      </c>
      <c r="J36">
        <v>1440</v>
      </c>
      <c r="K36">
        <v>900</v>
      </c>
      <c r="L36" t="s">
        <v>27</v>
      </c>
      <c r="M36" t="s">
        <v>27</v>
      </c>
      <c r="N36" t="s">
        <v>27</v>
      </c>
      <c r="O36" t="s">
        <v>29</v>
      </c>
      <c r="P36">
        <v>1.6</v>
      </c>
      <c r="Q36" t="s">
        <v>30</v>
      </c>
      <c r="R36" t="str">
        <f>_xlfn.CONCAT(laptop[[#This Row],[CPU_company]]," ",laptop[[#This Row],[CPU_model]])</f>
        <v>Intel Core i5</v>
      </c>
      <c r="S36">
        <v>256</v>
      </c>
      <c r="T36">
        <v>0</v>
      </c>
      <c r="U36">
        <f>laptop[[#This Row],[PrimaryStorage]]+laptop[[#This Row],[SecondaryStorage]]</f>
        <v>256</v>
      </c>
      <c r="V36" t="s">
        <v>34</v>
      </c>
      <c r="W36" t="s">
        <v>27</v>
      </c>
      <c r="X36" t="str">
        <f>IF(laptop[[#This Row],[PrimaryStorageType]]=laptop[[#This Row],[SecondaryStorageType]],laptop[[#This Row],[PrimaryStorageType]],"SSD &amp; HDD")</f>
        <v>SSD &amp; HDD</v>
      </c>
      <c r="Y36" t="s">
        <v>35</v>
      </c>
      <c r="Z36" s="4" t="str">
        <f>_xlfn.CONCAT(laptop[[#This Row],[CPU_company]]," ",laptop[[#This Row],[GPU_model]])</f>
        <v>Intel HD Graphics 6000</v>
      </c>
    </row>
    <row r="37" spans="1:26" x14ac:dyDescent="0.25">
      <c r="A37" t="s">
        <v>73</v>
      </c>
      <c r="B37" t="s">
        <v>108</v>
      </c>
      <c r="C37" t="s">
        <v>38</v>
      </c>
      <c r="D37">
        <v>14</v>
      </c>
      <c r="E37">
        <v>4</v>
      </c>
      <c r="F37" t="s">
        <v>48</v>
      </c>
      <c r="G37">
        <v>1.44</v>
      </c>
      <c r="H37" s="16">
        <v>249</v>
      </c>
      <c r="I37" t="s">
        <v>26</v>
      </c>
      <c r="J37">
        <v>1366</v>
      </c>
      <c r="K37">
        <v>768</v>
      </c>
      <c r="L37" t="s">
        <v>27</v>
      </c>
      <c r="M37" t="s">
        <v>27</v>
      </c>
      <c r="N37" t="s">
        <v>27</v>
      </c>
      <c r="O37" t="s">
        <v>29</v>
      </c>
      <c r="P37">
        <v>1.1000000000000001</v>
      </c>
      <c r="Q37" t="s">
        <v>109</v>
      </c>
      <c r="R37" t="str">
        <f>_xlfn.CONCAT(laptop[[#This Row],[CPU_company]]," ",laptop[[#This Row],[CPU_model]])</f>
        <v>Intel Celeron Dual Core N3350</v>
      </c>
      <c r="S37">
        <v>64</v>
      </c>
      <c r="T37">
        <v>0</v>
      </c>
      <c r="U37">
        <f>laptop[[#This Row],[PrimaryStorage]]+laptop[[#This Row],[SecondaryStorage]]</f>
        <v>64</v>
      </c>
      <c r="V37" t="s">
        <v>34</v>
      </c>
      <c r="W37" t="s">
        <v>27</v>
      </c>
      <c r="X37" t="str">
        <f>IF(laptop[[#This Row],[PrimaryStorageType]]=laptop[[#This Row],[SecondaryStorageType]],laptop[[#This Row],[PrimaryStorageType]],"SSD &amp; HDD")</f>
        <v>SSD &amp; HDD</v>
      </c>
      <c r="Y37" t="s">
        <v>110</v>
      </c>
      <c r="Z37" s="4" t="str">
        <f>_xlfn.CONCAT(laptop[[#This Row],[CPU_company]]," ",laptop[[#This Row],[GPU_model]])</f>
        <v>Intel HD Graphics 500</v>
      </c>
    </row>
    <row r="38" spans="1:26" x14ac:dyDescent="0.25">
      <c r="A38" t="s">
        <v>46</v>
      </c>
      <c r="B38" t="s">
        <v>47</v>
      </c>
      <c r="C38" t="s">
        <v>38</v>
      </c>
      <c r="D38">
        <v>15.6</v>
      </c>
      <c r="E38">
        <v>4</v>
      </c>
      <c r="F38" t="s">
        <v>111</v>
      </c>
      <c r="G38">
        <v>2.1</v>
      </c>
      <c r="H38" s="16">
        <v>367</v>
      </c>
      <c r="I38" t="s">
        <v>26</v>
      </c>
      <c r="J38">
        <v>1366</v>
      </c>
      <c r="K38">
        <v>768</v>
      </c>
      <c r="L38" t="s">
        <v>27</v>
      </c>
      <c r="M38" t="s">
        <v>27</v>
      </c>
      <c r="N38" t="s">
        <v>27</v>
      </c>
      <c r="O38" t="s">
        <v>29</v>
      </c>
      <c r="P38">
        <v>2.7</v>
      </c>
      <c r="Q38" t="s">
        <v>112</v>
      </c>
      <c r="R38" t="str">
        <f>_xlfn.CONCAT(laptop[[#This Row],[CPU_company]]," ",laptop[[#This Row],[CPU_model]])</f>
        <v>Intel Core i3 7130U</v>
      </c>
      <c r="S38">
        <v>1024</v>
      </c>
      <c r="T38">
        <v>0</v>
      </c>
      <c r="U38">
        <f>laptop[[#This Row],[PrimaryStorage]]+laptop[[#This Row],[SecondaryStorage]]</f>
        <v>1024</v>
      </c>
      <c r="V38" t="s">
        <v>51</v>
      </c>
      <c r="W38" t="s">
        <v>27</v>
      </c>
      <c r="X38" t="str">
        <f>IF(laptop[[#This Row],[PrimaryStorageType]]=laptop[[#This Row],[SecondaryStorageType]],laptop[[#This Row],[PrimaryStorageType]],"SSD &amp; HDD")</f>
        <v>SSD &amp; HDD</v>
      </c>
      <c r="Y38" t="s">
        <v>42</v>
      </c>
      <c r="Z38" s="4" t="str">
        <f>_xlfn.CONCAT(laptop[[#This Row],[CPU_company]]," ",laptop[[#This Row],[GPU_model]])</f>
        <v>Intel HD Graphics 620</v>
      </c>
    </row>
    <row r="39" spans="1:26" x14ac:dyDescent="0.25">
      <c r="A39" t="s">
        <v>65</v>
      </c>
      <c r="B39" t="s">
        <v>113</v>
      </c>
      <c r="C39" t="s">
        <v>38</v>
      </c>
      <c r="D39">
        <v>17.3</v>
      </c>
      <c r="E39">
        <v>8</v>
      </c>
      <c r="F39" t="s">
        <v>48</v>
      </c>
      <c r="G39">
        <v>2.8</v>
      </c>
      <c r="H39" s="16">
        <v>979</v>
      </c>
      <c r="I39" t="s">
        <v>40</v>
      </c>
      <c r="J39">
        <v>1920</v>
      </c>
      <c r="K39">
        <v>1080</v>
      </c>
      <c r="L39" t="s">
        <v>27</v>
      </c>
      <c r="M39" t="s">
        <v>28</v>
      </c>
      <c r="N39" t="s">
        <v>27</v>
      </c>
      <c r="O39" t="s">
        <v>29</v>
      </c>
      <c r="P39">
        <v>1.6</v>
      </c>
      <c r="Q39" t="s">
        <v>60</v>
      </c>
      <c r="R39" t="str">
        <f>_xlfn.CONCAT(laptop[[#This Row],[CPU_company]]," ",laptop[[#This Row],[CPU_model]])</f>
        <v>Intel Core i5 8250U</v>
      </c>
      <c r="S39">
        <v>128</v>
      </c>
      <c r="T39">
        <v>1024</v>
      </c>
      <c r="U39">
        <f>laptop[[#This Row],[PrimaryStorage]]+laptop[[#This Row],[SecondaryStorage]]</f>
        <v>1152</v>
      </c>
      <c r="V39" t="s">
        <v>31</v>
      </c>
      <c r="W39" t="s">
        <v>51</v>
      </c>
      <c r="X39" t="str">
        <f>IF(laptop[[#This Row],[PrimaryStorageType]]=laptop[[#This Row],[SecondaryStorageType]],laptop[[#This Row],[PrimaryStorageType]],"SSD &amp; HDD")</f>
        <v>SSD &amp; HDD</v>
      </c>
      <c r="Y39" t="s">
        <v>94</v>
      </c>
      <c r="Z39" s="4" t="str">
        <f>_xlfn.CONCAT(laptop[[#This Row],[CPU_company]]," ",laptop[[#This Row],[GPU_model]])</f>
        <v>Intel Radeon 530</v>
      </c>
    </row>
    <row r="40" spans="1:26" x14ac:dyDescent="0.25">
      <c r="A40" t="s">
        <v>36</v>
      </c>
      <c r="B40" t="s">
        <v>37</v>
      </c>
      <c r="C40" t="s">
        <v>38</v>
      </c>
      <c r="D40">
        <v>15.6</v>
      </c>
      <c r="E40">
        <v>4</v>
      </c>
      <c r="F40" t="s">
        <v>48</v>
      </c>
      <c r="G40">
        <v>1.86</v>
      </c>
      <c r="H40" s="16">
        <v>488.69</v>
      </c>
      <c r="I40" t="s">
        <v>26</v>
      </c>
      <c r="J40">
        <v>1366</v>
      </c>
      <c r="K40">
        <v>768</v>
      </c>
      <c r="L40" t="s">
        <v>27</v>
      </c>
      <c r="M40" t="s">
        <v>27</v>
      </c>
      <c r="N40" t="s">
        <v>27</v>
      </c>
      <c r="O40" t="s">
        <v>29</v>
      </c>
      <c r="P40">
        <v>2.5</v>
      </c>
      <c r="Q40" t="s">
        <v>41</v>
      </c>
      <c r="R40" t="str">
        <f>_xlfn.CONCAT(laptop[[#This Row],[CPU_company]]," ",laptop[[#This Row],[CPU_model]])</f>
        <v>Intel Core i5 7200U</v>
      </c>
      <c r="S40">
        <v>1024</v>
      </c>
      <c r="T40">
        <v>0</v>
      </c>
      <c r="U40">
        <f>laptop[[#This Row],[PrimaryStorage]]+laptop[[#This Row],[SecondaryStorage]]</f>
        <v>1024</v>
      </c>
      <c r="V40" t="s">
        <v>51</v>
      </c>
      <c r="W40" t="s">
        <v>27</v>
      </c>
      <c r="X40" t="str">
        <f>IF(laptop[[#This Row],[PrimaryStorageType]]=laptop[[#This Row],[SecondaryStorageType]],laptop[[#This Row],[PrimaryStorageType]],"SSD &amp; HDD")</f>
        <v>SSD &amp; HDD</v>
      </c>
      <c r="Y40" t="s">
        <v>42</v>
      </c>
      <c r="Z40" s="4" t="str">
        <f>_xlfn.CONCAT(laptop[[#This Row],[CPU_company]]," ",laptop[[#This Row],[GPU_model]])</f>
        <v>Intel HD Graphics 620</v>
      </c>
    </row>
    <row r="41" spans="1:26" x14ac:dyDescent="0.25">
      <c r="A41" t="s">
        <v>36</v>
      </c>
      <c r="B41" t="s">
        <v>114</v>
      </c>
      <c r="C41" t="s">
        <v>38</v>
      </c>
      <c r="D41">
        <v>15.6</v>
      </c>
      <c r="E41">
        <v>8</v>
      </c>
      <c r="F41" t="s">
        <v>48</v>
      </c>
      <c r="G41">
        <v>2.1</v>
      </c>
      <c r="H41" s="16">
        <v>879</v>
      </c>
      <c r="I41" t="s">
        <v>40</v>
      </c>
      <c r="J41">
        <v>1920</v>
      </c>
      <c r="K41">
        <v>1080</v>
      </c>
      <c r="L41" t="s">
        <v>27</v>
      </c>
      <c r="M41" t="s">
        <v>27</v>
      </c>
      <c r="N41" t="s">
        <v>27</v>
      </c>
      <c r="O41" t="s">
        <v>29</v>
      </c>
      <c r="P41">
        <v>1.6</v>
      </c>
      <c r="Q41" t="s">
        <v>60</v>
      </c>
      <c r="R41" t="str">
        <f>_xlfn.CONCAT(laptop[[#This Row],[CPU_company]]," ",laptop[[#This Row],[CPU_model]])</f>
        <v>Intel Core i5 8250U</v>
      </c>
      <c r="S41">
        <v>256</v>
      </c>
      <c r="T41">
        <v>0</v>
      </c>
      <c r="U41">
        <f>laptop[[#This Row],[PrimaryStorage]]+laptop[[#This Row],[SecondaryStorage]]</f>
        <v>256</v>
      </c>
      <c r="V41" t="s">
        <v>31</v>
      </c>
      <c r="W41" t="s">
        <v>27</v>
      </c>
      <c r="X41" t="str">
        <f>IF(laptop[[#This Row],[PrimaryStorageType]]=laptop[[#This Row],[SecondaryStorageType]],laptop[[#This Row],[PrimaryStorageType]],"SSD &amp; HDD")</f>
        <v>SSD &amp; HDD</v>
      </c>
      <c r="Y41" t="s">
        <v>115</v>
      </c>
      <c r="Z41" s="4" t="str">
        <f>_xlfn.CONCAT(laptop[[#This Row],[CPU_company]]," ",laptop[[#This Row],[GPU_model]])</f>
        <v xml:space="preserve">Intel GeForce 930MX </v>
      </c>
    </row>
    <row r="42" spans="1:26" x14ac:dyDescent="0.25">
      <c r="A42" t="s">
        <v>55</v>
      </c>
      <c r="B42" t="s">
        <v>116</v>
      </c>
      <c r="C42" t="s">
        <v>38</v>
      </c>
      <c r="D42">
        <v>15.6</v>
      </c>
      <c r="E42">
        <v>4</v>
      </c>
      <c r="F42" t="s">
        <v>111</v>
      </c>
      <c r="G42">
        <v>2</v>
      </c>
      <c r="H42" s="16">
        <v>389</v>
      </c>
      <c r="I42" t="s">
        <v>40</v>
      </c>
      <c r="J42">
        <v>1920</v>
      </c>
      <c r="K42">
        <v>1080</v>
      </c>
      <c r="L42" t="s">
        <v>27</v>
      </c>
      <c r="M42" t="s">
        <v>27</v>
      </c>
      <c r="N42" t="s">
        <v>27</v>
      </c>
      <c r="O42" t="s">
        <v>29</v>
      </c>
      <c r="P42">
        <v>2</v>
      </c>
      <c r="Q42" t="s">
        <v>62</v>
      </c>
      <c r="R42" t="str">
        <f>_xlfn.CONCAT(laptop[[#This Row],[CPU_company]]," ",laptop[[#This Row],[CPU_model]])</f>
        <v>Intel Core i3 6006U</v>
      </c>
      <c r="S42">
        <v>1024</v>
      </c>
      <c r="T42">
        <v>0</v>
      </c>
      <c r="U42">
        <f>laptop[[#This Row],[PrimaryStorage]]+laptop[[#This Row],[SecondaryStorage]]</f>
        <v>1024</v>
      </c>
      <c r="V42" t="s">
        <v>51</v>
      </c>
      <c r="W42" t="s">
        <v>27</v>
      </c>
      <c r="X42" t="str">
        <f>IF(laptop[[#This Row],[PrimaryStorageType]]=laptop[[#This Row],[SecondaryStorageType]],laptop[[#This Row],[PrimaryStorageType]],"SSD &amp; HDD")</f>
        <v>SSD &amp; HDD</v>
      </c>
      <c r="Y42" t="s">
        <v>42</v>
      </c>
      <c r="Z42" s="4" t="str">
        <f>_xlfn.CONCAT(laptop[[#This Row],[CPU_company]]," ",laptop[[#This Row],[GPU_model]])</f>
        <v>Intel HD Graphics 620</v>
      </c>
    </row>
    <row r="43" spans="1:26" x14ac:dyDescent="0.25">
      <c r="A43" t="s">
        <v>65</v>
      </c>
      <c r="B43" t="s">
        <v>117</v>
      </c>
      <c r="C43" t="s">
        <v>83</v>
      </c>
      <c r="D43">
        <v>15.6</v>
      </c>
      <c r="E43">
        <v>16</v>
      </c>
      <c r="F43" t="s">
        <v>48</v>
      </c>
      <c r="G43">
        <v>2.65</v>
      </c>
      <c r="H43" s="16">
        <v>1499</v>
      </c>
      <c r="I43" t="s">
        <v>40</v>
      </c>
      <c r="J43">
        <v>1920</v>
      </c>
      <c r="K43">
        <v>1080</v>
      </c>
      <c r="L43" t="s">
        <v>27</v>
      </c>
      <c r="M43" t="s">
        <v>28</v>
      </c>
      <c r="N43" t="s">
        <v>27</v>
      </c>
      <c r="O43" t="s">
        <v>29</v>
      </c>
      <c r="P43">
        <v>2.8</v>
      </c>
      <c r="Q43" t="s">
        <v>118</v>
      </c>
      <c r="R43" t="str">
        <f>_xlfn.CONCAT(laptop[[#This Row],[CPU_company]]," ",laptop[[#This Row],[CPU_model]])</f>
        <v>Intel Core i7 7700HQ</v>
      </c>
      <c r="S43">
        <v>256</v>
      </c>
      <c r="T43">
        <v>1024</v>
      </c>
      <c r="U43">
        <f>laptop[[#This Row],[PrimaryStorage]]+laptop[[#This Row],[SecondaryStorage]]</f>
        <v>1280</v>
      </c>
      <c r="V43" t="s">
        <v>31</v>
      </c>
      <c r="W43" t="s">
        <v>51</v>
      </c>
      <c r="X43" t="str">
        <f>IF(laptop[[#This Row],[PrimaryStorageType]]=laptop[[#This Row],[SecondaryStorageType]],laptop[[#This Row],[PrimaryStorageType]],"SSD &amp; HDD")</f>
        <v>SSD &amp; HDD</v>
      </c>
      <c r="Y43" t="s">
        <v>119</v>
      </c>
      <c r="Z43" s="4" t="str">
        <f>_xlfn.CONCAT(laptop[[#This Row],[CPU_company]]," ",laptop[[#This Row],[GPU_model]])</f>
        <v>Intel GeForce GTX 1060</v>
      </c>
    </row>
    <row r="44" spans="1:26" x14ac:dyDescent="0.25">
      <c r="A44" t="s">
        <v>55</v>
      </c>
      <c r="B44" t="s">
        <v>120</v>
      </c>
      <c r="C44" t="s">
        <v>38</v>
      </c>
      <c r="D44">
        <v>15.6</v>
      </c>
      <c r="E44">
        <v>8</v>
      </c>
      <c r="F44" t="s">
        <v>111</v>
      </c>
      <c r="G44">
        <v>2.2999999999999998</v>
      </c>
      <c r="H44" s="16">
        <v>522.99</v>
      </c>
      <c r="I44" t="s">
        <v>26</v>
      </c>
      <c r="J44">
        <v>1366</v>
      </c>
      <c r="K44">
        <v>768</v>
      </c>
      <c r="L44" t="s">
        <v>27</v>
      </c>
      <c r="M44" t="s">
        <v>27</v>
      </c>
      <c r="N44" t="s">
        <v>27</v>
      </c>
      <c r="O44" t="s">
        <v>29</v>
      </c>
      <c r="P44">
        <v>2.5</v>
      </c>
      <c r="Q44" t="s">
        <v>41</v>
      </c>
      <c r="R44" t="str">
        <f>_xlfn.CONCAT(laptop[[#This Row],[CPU_company]]," ",laptop[[#This Row],[CPU_model]])</f>
        <v>Intel Core i5 7200U</v>
      </c>
      <c r="S44">
        <v>1024</v>
      </c>
      <c r="T44">
        <v>0</v>
      </c>
      <c r="U44">
        <f>laptop[[#This Row],[PrimaryStorage]]+laptop[[#This Row],[SecondaryStorage]]</f>
        <v>1024</v>
      </c>
      <c r="V44" t="s">
        <v>51</v>
      </c>
      <c r="W44" t="s">
        <v>27</v>
      </c>
      <c r="X44" t="str">
        <f>IF(laptop[[#This Row],[PrimaryStorageType]]=laptop[[#This Row],[SecondaryStorageType]],laptop[[#This Row],[PrimaryStorageType]],"SSD &amp; HDD")</f>
        <v>SSD &amp; HDD</v>
      </c>
      <c r="Y44" t="s">
        <v>76</v>
      </c>
      <c r="Z44" s="4" t="str">
        <f>_xlfn.CONCAT(laptop[[#This Row],[CPU_company]]," ",laptop[[#This Row],[GPU_model]])</f>
        <v>Intel GeForce 940MX</v>
      </c>
    </row>
    <row r="45" spans="1:26" x14ac:dyDescent="0.25">
      <c r="A45" t="s">
        <v>46</v>
      </c>
      <c r="B45" t="s">
        <v>121</v>
      </c>
      <c r="C45" t="s">
        <v>38</v>
      </c>
      <c r="D45">
        <v>15.6</v>
      </c>
      <c r="E45">
        <v>4</v>
      </c>
      <c r="F45" t="s">
        <v>48</v>
      </c>
      <c r="G45">
        <v>2.2000000000000002</v>
      </c>
      <c r="H45" s="16">
        <v>682</v>
      </c>
      <c r="I45" t="s">
        <v>40</v>
      </c>
      <c r="J45">
        <v>1920</v>
      </c>
      <c r="K45">
        <v>1080</v>
      </c>
      <c r="L45" t="s">
        <v>27</v>
      </c>
      <c r="M45" t="s">
        <v>28</v>
      </c>
      <c r="N45" t="s">
        <v>27</v>
      </c>
      <c r="O45" t="s">
        <v>29</v>
      </c>
      <c r="P45">
        <v>1.6</v>
      </c>
      <c r="Q45" t="s">
        <v>60</v>
      </c>
      <c r="R45" t="str">
        <f>_xlfn.CONCAT(laptop[[#This Row],[CPU_company]]," ",laptop[[#This Row],[CPU_model]])</f>
        <v>Intel Core i5 8250U</v>
      </c>
      <c r="S45">
        <v>256</v>
      </c>
      <c r="T45">
        <v>0</v>
      </c>
      <c r="U45">
        <f>laptop[[#This Row],[PrimaryStorage]]+laptop[[#This Row],[SecondaryStorage]]</f>
        <v>256</v>
      </c>
      <c r="V45" t="s">
        <v>31</v>
      </c>
      <c r="W45" t="s">
        <v>27</v>
      </c>
      <c r="X45" t="str">
        <f>IF(laptop[[#This Row],[PrimaryStorageType]]=laptop[[#This Row],[SecondaryStorageType]],laptop[[#This Row],[PrimaryStorageType]],"SSD &amp; HDD")</f>
        <v>SSD &amp; HDD</v>
      </c>
      <c r="Y45" t="s">
        <v>61</v>
      </c>
      <c r="Z45" s="4" t="str">
        <f>_xlfn.CONCAT(laptop[[#This Row],[CPU_company]]," ",laptop[[#This Row],[GPU_model]])</f>
        <v>Intel UHD Graphics 620</v>
      </c>
    </row>
    <row r="46" spans="1:26" x14ac:dyDescent="0.25">
      <c r="A46" t="s">
        <v>65</v>
      </c>
      <c r="B46" t="s">
        <v>122</v>
      </c>
      <c r="C46" t="s">
        <v>90</v>
      </c>
      <c r="D46">
        <v>17.3</v>
      </c>
      <c r="E46">
        <v>12</v>
      </c>
      <c r="F46" t="s">
        <v>48</v>
      </c>
      <c r="G46">
        <v>2.77</v>
      </c>
      <c r="H46" s="16">
        <v>999</v>
      </c>
      <c r="I46" t="s">
        <v>40</v>
      </c>
      <c r="J46">
        <v>1920</v>
      </c>
      <c r="K46">
        <v>1080</v>
      </c>
      <c r="L46" t="s">
        <v>28</v>
      </c>
      <c r="M46" t="s">
        <v>27</v>
      </c>
      <c r="N46" t="s">
        <v>27</v>
      </c>
      <c r="O46" t="s">
        <v>29</v>
      </c>
      <c r="P46">
        <v>1.6</v>
      </c>
      <c r="Q46" t="s">
        <v>60</v>
      </c>
      <c r="R46" t="str">
        <f>_xlfn.CONCAT(laptop[[#This Row],[CPU_company]]," ",laptop[[#This Row],[CPU_model]])</f>
        <v>Intel Core i5 8250U</v>
      </c>
      <c r="S46">
        <v>1024</v>
      </c>
      <c r="T46">
        <v>0</v>
      </c>
      <c r="U46">
        <f>laptop[[#This Row],[PrimaryStorage]]+laptop[[#This Row],[SecondaryStorage]]</f>
        <v>1024</v>
      </c>
      <c r="V46" t="s">
        <v>51</v>
      </c>
      <c r="W46" t="s">
        <v>27</v>
      </c>
      <c r="X46" t="str">
        <f>IF(laptop[[#This Row],[PrimaryStorageType]]=laptop[[#This Row],[SecondaryStorageType]],laptop[[#This Row],[PrimaryStorageType]],"SSD &amp; HDD")</f>
        <v>SSD &amp; HDD</v>
      </c>
      <c r="Y46" t="s">
        <v>123</v>
      </c>
      <c r="Z46" s="4" t="str">
        <f>_xlfn.CONCAT(laptop[[#This Row],[CPU_company]]," ",laptop[[#This Row],[GPU_model]])</f>
        <v>Intel GeForce 150MX</v>
      </c>
    </row>
    <row r="47" spans="1:26" x14ac:dyDescent="0.25">
      <c r="A47" t="s">
        <v>22</v>
      </c>
      <c r="B47" t="s">
        <v>23</v>
      </c>
      <c r="C47" t="s">
        <v>24</v>
      </c>
      <c r="D47">
        <v>13.3</v>
      </c>
      <c r="E47">
        <v>8</v>
      </c>
      <c r="F47" t="s">
        <v>25</v>
      </c>
      <c r="G47">
        <v>1.37</v>
      </c>
      <c r="H47" s="16">
        <v>1419</v>
      </c>
      <c r="I47" t="s">
        <v>26</v>
      </c>
      <c r="J47">
        <v>2560</v>
      </c>
      <c r="K47">
        <v>1600</v>
      </c>
      <c r="L47" t="s">
        <v>27</v>
      </c>
      <c r="M47" t="s">
        <v>28</v>
      </c>
      <c r="N47" t="s">
        <v>28</v>
      </c>
      <c r="O47" t="s">
        <v>29</v>
      </c>
      <c r="P47">
        <v>2</v>
      </c>
      <c r="Q47" t="s">
        <v>30</v>
      </c>
      <c r="R47" t="str">
        <f>_xlfn.CONCAT(laptop[[#This Row],[CPU_company]]," ",laptop[[#This Row],[CPU_model]])</f>
        <v>Intel Core i5</v>
      </c>
      <c r="S47">
        <v>256</v>
      </c>
      <c r="T47">
        <v>0</v>
      </c>
      <c r="U47">
        <f>laptop[[#This Row],[PrimaryStorage]]+laptop[[#This Row],[SecondaryStorage]]</f>
        <v>256</v>
      </c>
      <c r="V47" t="s">
        <v>31</v>
      </c>
      <c r="W47" t="s">
        <v>27</v>
      </c>
      <c r="X47" t="str">
        <f>IF(laptop[[#This Row],[PrimaryStorageType]]=laptop[[#This Row],[SecondaryStorageType]],laptop[[#This Row],[PrimaryStorageType]],"SSD &amp; HDD")</f>
        <v>SSD &amp; HDD</v>
      </c>
      <c r="Y47" t="s">
        <v>124</v>
      </c>
      <c r="Z47" s="4" t="str">
        <f>_xlfn.CONCAT(laptop[[#This Row],[CPU_company]]," ",laptop[[#This Row],[GPU_model]])</f>
        <v>Intel Iris Graphics 540</v>
      </c>
    </row>
    <row r="48" spans="1:26" x14ac:dyDescent="0.25">
      <c r="A48" t="s">
        <v>73</v>
      </c>
      <c r="B48" t="s">
        <v>125</v>
      </c>
      <c r="C48" t="s">
        <v>38</v>
      </c>
      <c r="D48">
        <v>15.6</v>
      </c>
      <c r="E48">
        <v>4</v>
      </c>
      <c r="F48" t="s">
        <v>39</v>
      </c>
      <c r="G48">
        <v>2.2000000000000002</v>
      </c>
      <c r="H48" s="16">
        <v>369</v>
      </c>
      <c r="I48" t="s">
        <v>26</v>
      </c>
      <c r="J48">
        <v>1366</v>
      </c>
      <c r="K48">
        <v>768</v>
      </c>
      <c r="L48" t="s">
        <v>27</v>
      </c>
      <c r="M48" t="s">
        <v>27</v>
      </c>
      <c r="N48" t="s">
        <v>27</v>
      </c>
      <c r="O48" t="s">
        <v>29</v>
      </c>
      <c r="P48">
        <v>2</v>
      </c>
      <c r="Q48" t="s">
        <v>62</v>
      </c>
      <c r="R48" t="str">
        <f>_xlfn.CONCAT(laptop[[#This Row],[CPU_company]]," ",laptop[[#This Row],[CPU_model]])</f>
        <v>Intel Core i3 6006U</v>
      </c>
      <c r="S48">
        <v>128</v>
      </c>
      <c r="T48">
        <v>0</v>
      </c>
      <c r="U48">
        <f>laptop[[#This Row],[PrimaryStorage]]+laptop[[#This Row],[SecondaryStorage]]</f>
        <v>128</v>
      </c>
      <c r="V48" t="s">
        <v>31</v>
      </c>
      <c r="W48" t="s">
        <v>27</v>
      </c>
      <c r="X48" t="str">
        <f>IF(laptop[[#This Row],[PrimaryStorageType]]=laptop[[#This Row],[SecondaryStorageType]],laptop[[#This Row],[PrimaryStorageType]],"SSD &amp; HDD")</f>
        <v>SSD &amp; HDD</v>
      </c>
      <c r="Y48" t="s">
        <v>63</v>
      </c>
      <c r="Z48" s="4" t="str">
        <f>_xlfn.CONCAT(laptop[[#This Row],[CPU_company]]," ",laptop[[#This Row],[GPU_model]])</f>
        <v>Intel HD Graphics 520</v>
      </c>
    </row>
    <row r="49" spans="1:26" x14ac:dyDescent="0.25">
      <c r="A49" t="s">
        <v>55</v>
      </c>
      <c r="B49" t="s">
        <v>126</v>
      </c>
      <c r="C49" t="s">
        <v>83</v>
      </c>
      <c r="D49">
        <v>17.3</v>
      </c>
      <c r="E49">
        <v>8</v>
      </c>
      <c r="F49" t="s">
        <v>48</v>
      </c>
      <c r="G49">
        <v>3.2</v>
      </c>
      <c r="H49" s="16">
        <v>1299</v>
      </c>
      <c r="I49" t="s">
        <v>40</v>
      </c>
      <c r="J49">
        <v>1920</v>
      </c>
      <c r="K49">
        <v>1080</v>
      </c>
      <c r="L49" t="s">
        <v>27</v>
      </c>
      <c r="M49" t="s">
        <v>27</v>
      </c>
      <c r="N49" t="s">
        <v>27</v>
      </c>
      <c r="O49" t="s">
        <v>49</v>
      </c>
      <c r="P49">
        <v>3</v>
      </c>
      <c r="Q49" t="s">
        <v>127</v>
      </c>
      <c r="R49" t="str">
        <f>_xlfn.CONCAT(laptop[[#This Row],[CPU_company]]," ",laptop[[#This Row],[CPU_model]])</f>
        <v>AMD Ryzen 1700</v>
      </c>
      <c r="S49">
        <v>256</v>
      </c>
      <c r="T49">
        <v>1024</v>
      </c>
      <c r="U49">
        <f>laptop[[#This Row],[PrimaryStorage]]+laptop[[#This Row],[SecondaryStorage]]</f>
        <v>1280</v>
      </c>
      <c r="V49" t="s">
        <v>31</v>
      </c>
      <c r="W49" t="s">
        <v>51</v>
      </c>
      <c r="X49" t="str">
        <f>IF(laptop[[#This Row],[PrimaryStorageType]]=laptop[[#This Row],[SecondaryStorageType]],laptop[[#This Row],[PrimaryStorageType]],"SSD &amp; HDD")</f>
        <v>SSD &amp; HDD</v>
      </c>
      <c r="Y49" t="s">
        <v>128</v>
      </c>
      <c r="Z49" s="4" t="str">
        <f>_xlfn.CONCAT(laptop[[#This Row],[CPU_company]]," ",laptop[[#This Row],[GPU_model]])</f>
        <v>AMD Radeon RX 580</v>
      </c>
    </row>
    <row r="50" spans="1:26" x14ac:dyDescent="0.25">
      <c r="A50" t="s">
        <v>65</v>
      </c>
      <c r="B50" t="s">
        <v>66</v>
      </c>
      <c r="C50" t="s">
        <v>38</v>
      </c>
      <c r="D50">
        <v>15.6</v>
      </c>
      <c r="E50">
        <v>4</v>
      </c>
      <c r="F50" t="s">
        <v>48</v>
      </c>
      <c r="G50">
        <v>2.2999999999999998</v>
      </c>
      <c r="H50" s="16">
        <v>639</v>
      </c>
      <c r="I50" t="s">
        <v>40</v>
      </c>
      <c r="J50">
        <v>1920</v>
      </c>
      <c r="K50">
        <v>1080</v>
      </c>
      <c r="L50" t="s">
        <v>27</v>
      </c>
      <c r="M50" t="s">
        <v>27</v>
      </c>
      <c r="N50" t="s">
        <v>27</v>
      </c>
      <c r="O50" t="s">
        <v>29</v>
      </c>
      <c r="P50">
        <v>2.5</v>
      </c>
      <c r="Q50" t="s">
        <v>41</v>
      </c>
      <c r="R50" t="str">
        <f>_xlfn.CONCAT(laptop[[#This Row],[CPU_company]]," ",laptop[[#This Row],[CPU_model]])</f>
        <v>Intel Core i5 7200U</v>
      </c>
      <c r="S50">
        <v>256</v>
      </c>
      <c r="T50">
        <v>0</v>
      </c>
      <c r="U50">
        <f>laptop[[#This Row],[PrimaryStorage]]+laptop[[#This Row],[SecondaryStorage]]</f>
        <v>256</v>
      </c>
      <c r="V50" t="s">
        <v>31</v>
      </c>
      <c r="W50" t="s">
        <v>27</v>
      </c>
      <c r="X50" t="str">
        <f>IF(laptop[[#This Row],[PrimaryStorageType]]=laptop[[#This Row],[SecondaryStorageType]],laptop[[#This Row],[PrimaryStorageType]],"SSD &amp; HDD")</f>
        <v>SSD &amp; HDD</v>
      </c>
      <c r="Y50" t="s">
        <v>67</v>
      </c>
      <c r="Z50" s="4" t="str">
        <f>_xlfn.CONCAT(laptop[[#This Row],[CPU_company]]," ",laptop[[#This Row],[GPU_model]])</f>
        <v>Intel Radeon R5 M430</v>
      </c>
    </row>
    <row r="51" spans="1:26" x14ac:dyDescent="0.25">
      <c r="A51" t="s">
        <v>55</v>
      </c>
      <c r="B51" t="s">
        <v>129</v>
      </c>
      <c r="C51" t="s">
        <v>38</v>
      </c>
      <c r="D51">
        <v>17.3</v>
      </c>
      <c r="E51">
        <v>4</v>
      </c>
      <c r="F51" t="s">
        <v>48</v>
      </c>
      <c r="G51">
        <v>2.8</v>
      </c>
      <c r="H51" s="16">
        <v>466</v>
      </c>
      <c r="I51" t="s">
        <v>26</v>
      </c>
      <c r="J51">
        <v>1366</v>
      </c>
      <c r="K51">
        <v>768</v>
      </c>
      <c r="L51" t="s">
        <v>27</v>
      </c>
      <c r="M51" t="s">
        <v>27</v>
      </c>
      <c r="N51" t="s">
        <v>27</v>
      </c>
      <c r="O51" t="s">
        <v>29</v>
      </c>
      <c r="P51">
        <v>1.1000000000000001</v>
      </c>
      <c r="Q51" t="s">
        <v>130</v>
      </c>
      <c r="R51" t="str">
        <f>_xlfn.CONCAT(laptop[[#This Row],[CPU_company]]," ",laptop[[#This Row],[CPU_model]])</f>
        <v>Intel Pentium Quad Core N4200</v>
      </c>
      <c r="S51">
        <v>1024</v>
      </c>
      <c r="T51">
        <v>0</v>
      </c>
      <c r="U51">
        <f>laptop[[#This Row],[PrimaryStorage]]+laptop[[#This Row],[SecondaryStorage]]</f>
        <v>1024</v>
      </c>
      <c r="V51" t="s">
        <v>51</v>
      </c>
      <c r="W51" t="s">
        <v>27</v>
      </c>
      <c r="X51" t="str">
        <f>IF(laptop[[#This Row],[PrimaryStorageType]]=laptop[[#This Row],[SecondaryStorageType]],laptop[[#This Row],[PrimaryStorageType]],"SSD &amp; HDD")</f>
        <v>SSD &amp; HDD</v>
      </c>
      <c r="Y51" t="s">
        <v>131</v>
      </c>
      <c r="Z51" s="4" t="str">
        <f>_xlfn.CONCAT(laptop[[#This Row],[CPU_company]]," ",laptop[[#This Row],[GPU_model]])</f>
        <v>Intel GeForce 920MX</v>
      </c>
    </row>
    <row r="52" spans="1:26" x14ac:dyDescent="0.25">
      <c r="A52" t="s">
        <v>73</v>
      </c>
      <c r="B52" t="s">
        <v>132</v>
      </c>
      <c r="C52" t="s">
        <v>90</v>
      </c>
      <c r="D52">
        <v>10.1</v>
      </c>
      <c r="E52">
        <v>4</v>
      </c>
      <c r="F52" t="s">
        <v>133</v>
      </c>
      <c r="G52">
        <v>0.69</v>
      </c>
      <c r="H52" s="16">
        <v>319</v>
      </c>
      <c r="I52" t="s">
        <v>26</v>
      </c>
      <c r="J52">
        <v>1920</v>
      </c>
      <c r="K52">
        <v>1200</v>
      </c>
      <c r="L52" t="s">
        <v>28</v>
      </c>
      <c r="M52" t="s">
        <v>28</v>
      </c>
      <c r="N52" t="s">
        <v>27</v>
      </c>
      <c r="O52" t="s">
        <v>29</v>
      </c>
      <c r="P52">
        <v>1.44</v>
      </c>
      <c r="Q52" t="s">
        <v>134</v>
      </c>
      <c r="R52" t="str">
        <f>_xlfn.CONCAT(laptop[[#This Row],[CPU_company]]," ",laptop[[#This Row],[CPU_model]])</f>
        <v>Intel Atom x5-Z8550</v>
      </c>
      <c r="S52">
        <v>64</v>
      </c>
      <c r="T52">
        <v>0</v>
      </c>
      <c r="U52">
        <f>laptop[[#This Row],[PrimaryStorage]]+laptop[[#This Row],[SecondaryStorage]]</f>
        <v>64</v>
      </c>
      <c r="V52" t="s">
        <v>34</v>
      </c>
      <c r="W52" t="s">
        <v>27</v>
      </c>
      <c r="X52" t="str">
        <f>IF(laptop[[#This Row],[PrimaryStorageType]]=laptop[[#This Row],[SecondaryStorageType]],laptop[[#This Row],[PrimaryStorageType]],"SSD &amp; HDD")</f>
        <v>SSD &amp; HDD</v>
      </c>
      <c r="Y52" t="s">
        <v>81</v>
      </c>
      <c r="Z52" s="4" t="str">
        <f>_xlfn.CONCAT(laptop[[#This Row],[CPU_company]]," ",laptop[[#This Row],[GPU_model]])</f>
        <v>Intel HD Graphics 400</v>
      </c>
    </row>
    <row r="53" spans="1:26" x14ac:dyDescent="0.25">
      <c r="A53" t="s">
        <v>46</v>
      </c>
      <c r="B53" t="s">
        <v>121</v>
      </c>
      <c r="C53" t="s">
        <v>38</v>
      </c>
      <c r="D53">
        <v>15.6</v>
      </c>
      <c r="E53">
        <v>8</v>
      </c>
      <c r="F53" t="s">
        <v>48</v>
      </c>
      <c r="G53">
        <v>2.2000000000000002</v>
      </c>
      <c r="H53" s="16">
        <v>841</v>
      </c>
      <c r="I53" t="s">
        <v>40</v>
      </c>
      <c r="J53">
        <v>1920</v>
      </c>
      <c r="K53">
        <v>1080</v>
      </c>
      <c r="L53" t="s">
        <v>27</v>
      </c>
      <c r="M53" t="s">
        <v>28</v>
      </c>
      <c r="N53" t="s">
        <v>27</v>
      </c>
      <c r="O53" t="s">
        <v>29</v>
      </c>
      <c r="P53">
        <v>1.8</v>
      </c>
      <c r="Q53" t="s">
        <v>57</v>
      </c>
      <c r="R53" t="str">
        <f>_xlfn.CONCAT(laptop[[#This Row],[CPU_company]]," ",laptop[[#This Row],[CPU_model]])</f>
        <v>Intel Core i7 8550U</v>
      </c>
      <c r="S53">
        <v>256</v>
      </c>
      <c r="T53">
        <v>0</v>
      </c>
      <c r="U53">
        <f>laptop[[#This Row],[PrimaryStorage]]+laptop[[#This Row],[SecondaryStorage]]</f>
        <v>256</v>
      </c>
      <c r="V53" t="s">
        <v>31</v>
      </c>
      <c r="W53" t="s">
        <v>27</v>
      </c>
      <c r="X53" t="str">
        <f>IF(laptop[[#This Row],[PrimaryStorageType]]=laptop[[#This Row],[SecondaryStorageType]],laptop[[#This Row],[PrimaryStorageType]],"SSD &amp; HDD")</f>
        <v>SSD &amp; HDD</v>
      </c>
      <c r="Y53" t="s">
        <v>58</v>
      </c>
      <c r="Z53" s="4" t="str">
        <f>_xlfn.CONCAT(laptop[[#This Row],[CPU_company]]," ",laptop[[#This Row],[GPU_model]])</f>
        <v>Intel GeForce MX150</v>
      </c>
    </row>
    <row r="54" spans="1:26" x14ac:dyDescent="0.25">
      <c r="A54" t="s">
        <v>36</v>
      </c>
      <c r="B54" t="s">
        <v>86</v>
      </c>
      <c r="C54" t="s">
        <v>38</v>
      </c>
      <c r="D54">
        <v>15.6</v>
      </c>
      <c r="E54">
        <v>4</v>
      </c>
      <c r="F54" t="s">
        <v>48</v>
      </c>
      <c r="G54">
        <v>1.86</v>
      </c>
      <c r="H54" s="16">
        <v>398.49</v>
      </c>
      <c r="I54" t="s">
        <v>40</v>
      </c>
      <c r="J54">
        <v>1920</v>
      </c>
      <c r="K54">
        <v>1080</v>
      </c>
      <c r="L54" t="s">
        <v>27</v>
      </c>
      <c r="M54" t="s">
        <v>27</v>
      </c>
      <c r="N54" t="s">
        <v>27</v>
      </c>
      <c r="O54" t="s">
        <v>49</v>
      </c>
      <c r="P54">
        <v>2.5</v>
      </c>
      <c r="Q54" t="s">
        <v>106</v>
      </c>
      <c r="R54" t="str">
        <f>_xlfn.CONCAT(laptop[[#This Row],[CPU_company]]," ",laptop[[#This Row],[CPU_model]])</f>
        <v>AMD A6-Series 9220</v>
      </c>
      <c r="S54">
        <v>256</v>
      </c>
      <c r="T54">
        <v>0</v>
      </c>
      <c r="U54">
        <f>laptop[[#This Row],[PrimaryStorage]]+laptop[[#This Row],[SecondaryStorage]]</f>
        <v>256</v>
      </c>
      <c r="V54" t="s">
        <v>31</v>
      </c>
      <c r="W54" t="s">
        <v>27</v>
      </c>
      <c r="X54" t="str">
        <f>IF(laptop[[#This Row],[PrimaryStorageType]]=laptop[[#This Row],[SecondaryStorageType]],laptop[[#This Row],[PrimaryStorageType]],"SSD &amp; HDD")</f>
        <v>SSD &amp; HDD</v>
      </c>
      <c r="Y54" t="s">
        <v>135</v>
      </c>
      <c r="Z54" s="4" t="str">
        <f>_xlfn.CONCAT(laptop[[#This Row],[CPU_company]]," ",laptop[[#This Row],[GPU_model]])</f>
        <v>AMD Radeon R4 Graphics</v>
      </c>
    </row>
    <row r="55" spans="1:26" x14ac:dyDescent="0.25">
      <c r="A55" t="s">
        <v>36</v>
      </c>
      <c r="B55" t="s">
        <v>136</v>
      </c>
      <c r="C55" t="s">
        <v>38</v>
      </c>
      <c r="D55">
        <v>13.3</v>
      </c>
      <c r="E55">
        <v>8</v>
      </c>
      <c r="F55" t="s">
        <v>48</v>
      </c>
      <c r="G55">
        <v>1.49</v>
      </c>
      <c r="H55" s="16">
        <v>1103</v>
      </c>
      <c r="I55" t="s">
        <v>40</v>
      </c>
      <c r="J55">
        <v>1920</v>
      </c>
      <c r="K55">
        <v>1080</v>
      </c>
      <c r="L55" t="s">
        <v>27</v>
      </c>
      <c r="M55" t="s">
        <v>27</v>
      </c>
      <c r="N55" t="s">
        <v>27</v>
      </c>
      <c r="O55" t="s">
        <v>29</v>
      </c>
      <c r="P55">
        <v>1.8</v>
      </c>
      <c r="Q55" t="s">
        <v>57</v>
      </c>
      <c r="R55" t="str">
        <f>_xlfn.CONCAT(laptop[[#This Row],[CPU_company]]," ",laptop[[#This Row],[CPU_model]])</f>
        <v>Intel Core i7 8550U</v>
      </c>
      <c r="S55">
        <v>512</v>
      </c>
      <c r="T55">
        <v>0</v>
      </c>
      <c r="U55">
        <f>laptop[[#This Row],[PrimaryStorage]]+laptop[[#This Row],[SecondaryStorage]]</f>
        <v>512</v>
      </c>
      <c r="V55" t="s">
        <v>31</v>
      </c>
      <c r="W55" t="s">
        <v>27</v>
      </c>
      <c r="X55" t="str">
        <f>IF(laptop[[#This Row],[PrimaryStorageType]]=laptop[[#This Row],[SecondaryStorageType]],laptop[[#This Row],[PrimaryStorageType]],"SSD &amp; HDD")</f>
        <v>SSD &amp; HDD</v>
      </c>
      <c r="Y55" t="s">
        <v>61</v>
      </c>
      <c r="Z55" s="4" t="str">
        <f>_xlfn.CONCAT(laptop[[#This Row],[CPU_company]]," ",laptop[[#This Row],[GPU_model]])</f>
        <v>Intel UHD Graphics 620</v>
      </c>
    </row>
    <row r="56" spans="1:26" x14ac:dyDescent="0.25">
      <c r="A56" t="s">
        <v>46</v>
      </c>
      <c r="B56" t="s">
        <v>47</v>
      </c>
      <c r="C56" t="s">
        <v>38</v>
      </c>
      <c r="D56">
        <v>15.6</v>
      </c>
      <c r="E56">
        <v>4</v>
      </c>
      <c r="F56" t="s">
        <v>48</v>
      </c>
      <c r="G56">
        <v>2.4</v>
      </c>
      <c r="H56" s="16">
        <v>384</v>
      </c>
      <c r="I56" t="s">
        <v>26</v>
      </c>
      <c r="J56">
        <v>1366</v>
      </c>
      <c r="K56">
        <v>768</v>
      </c>
      <c r="L56" t="s">
        <v>27</v>
      </c>
      <c r="M56" t="s">
        <v>27</v>
      </c>
      <c r="N56" t="s">
        <v>27</v>
      </c>
      <c r="O56" t="s">
        <v>29</v>
      </c>
      <c r="P56">
        <v>2.4</v>
      </c>
      <c r="Q56" t="s">
        <v>75</v>
      </c>
      <c r="R56" t="str">
        <f>_xlfn.CONCAT(laptop[[#This Row],[CPU_company]]," ",laptop[[#This Row],[CPU_model]])</f>
        <v>Intel Core i3 7100U</v>
      </c>
      <c r="S56">
        <v>1024</v>
      </c>
      <c r="T56">
        <v>0</v>
      </c>
      <c r="U56">
        <f>laptop[[#This Row],[PrimaryStorage]]+laptop[[#This Row],[SecondaryStorage]]</f>
        <v>1024</v>
      </c>
      <c r="V56" t="s">
        <v>51</v>
      </c>
      <c r="W56" t="s">
        <v>27</v>
      </c>
      <c r="X56" t="str">
        <f>IF(laptop[[#This Row],[PrimaryStorageType]]=laptop[[#This Row],[SecondaryStorageType]],laptop[[#This Row],[PrimaryStorageType]],"SSD &amp; HDD")</f>
        <v>SSD &amp; HDD</v>
      </c>
      <c r="Y56" t="s">
        <v>42</v>
      </c>
      <c r="Z56" s="4" t="str">
        <f>_xlfn.CONCAT(laptop[[#This Row],[CPU_company]]," ",laptop[[#This Row],[GPU_model]])</f>
        <v>Intel HD Graphics 620</v>
      </c>
    </row>
    <row r="57" spans="1:26" x14ac:dyDescent="0.25">
      <c r="A57" t="s">
        <v>65</v>
      </c>
      <c r="B57" t="s">
        <v>137</v>
      </c>
      <c r="C57" t="s">
        <v>38</v>
      </c>
      <c r="D57">
        <v>15.6</v>
      </c>
      <c r="E57">
        <v>8</v>
      </c>
      <c r="F57" t="s">
        <v>48</v>
      </c>
      <c r="G57">
        <v>2.13</v>
      </c>
      <c r="H57" s="16">
        <v>767.8</v>
      </c>
      <c r="I57" t="s">
        <v>40</v>
      </c>
      <c r="J57">
        <v>1920</v>
      </c>
      <c r="K57">
        <v>1080</v>
      </c>
      <c r="L57" t="s">
        <v>27</v>
      </c>
      <c r="M57" t="s">
        <v>27</v>
      </c>
      <c r="N57" t="s">
        <v>27</v>
      </c>
      <c r="O57" t="s">
        <v>29</v>
      </c>
      <c r="P57">
        <v>1.8</v>
      </c>
      <c r="Q57" t="s">
        <v>57</v>
      </c>
      <c r="R57" t="str">
        <f>_xlfn.CONCAT(laptop[[#This Row],[CPU_company]]," ",laptop[[#This Row],[CPU_model]])</f>
        <v>Intel Core i7 8550U</v>
      </c>
      <c r="S57">
        <v>256</v>
      </c>
      <c r="T57">
        <v>0</v>
      </c>
      <c r="U57">
        <f>laptop[[#This Row],[PrimaryStorage]]+laptop[[#This Row],[SecondaryStorage]]</f>
        <v>256</v>
      </c>
      <c r="V57" t="s">
        <v>31</v>
      </c>
      <c r="W57" t="s">
        <v>27</v>
      </c>
      <c r="X57" t="str">
        <f>IF(laptop[[#This Row],[PrimaryStorageType]]=laptop[[#This Row],[SecondaryStorageType]],laptop[[#This Row],[PrimaryStorageType]],"SSD &amp; HDD")</f>
        <v>SSD &amp; HDD</v>
      </c>
      <c r="Y57" t="s">
        <v>138</v>
      </c>
      <c r="Z57" s="4" t="str">
        <f>_xlfn.CONCAT(laptop[[#This Row],[CPU_company]]," ",laptop[[#This Row],[GPU_model]])</f>
        <v>Intel Radeon 520</v>
      </c>
    </row>
    <row r="58" spans="1:26" x14ac:dyDescent="0.25">
      <c r="A58" t="s">
        <v>36</v>
      </c>
      <c r="B58" t="s">
        <v>139</v>
      </c>
      <c r="C58" t="s">
        <v>38</v>
      </c>
      <c r="D58">
        <v>15.6</v>
      </c>
      <c r="E58">
        <v>4</v>
      </c>
      <c r="F58" t="s">
        <v>48</v>
      </c>
      <c r="G58">
        <v>1.91</v>
      </c>
      <c r="H58" s="16">
        <v>439</v>
      </c>
      <c r="I58" t="s">
        <v>40</v>
      </c>
      <c r="J58">
        <v>1920</v>
      </c>
      <c r="K58">
        <v>1080</v>
      </c>
      <c r="L58" t="s">
        <v>27</v>
      </c>
      <c r="M58" t="s">
        <v>27</v>
      </c>
      <c r="N58" t="s">
        <v>27</v>
      </c>
      <c r="O58" t="s">
        <v>29</v>
      </c>
      <c r="P58">
        <v>2</v>
      </c>
      <c r="Q58" t="s">
        <v>62</v>
      </c>
      <c r="R58" t="str">
        <f>_xlfn.CONCAT(laptop[[#This Row],[CPU_company]]," ",laptop[[#This Row],[CPU_model]])</f>
        <v>Intel Core i3 6006U</v>
      </c>
      <c r="S58">
        <v>128</v>
      </c>
      <c r="T58">
        <v>0</v>
      </c>
      <c r="U58">
        <f>laptop[[#This Row],[PrimaryStorage]]+laptop[[#This Row],[SecondaryStorage]]</f>
        <v>128</v>
      </c>
      <c r="V58" t="s">
        <v>31</v>
      </c>
      <c r="W58" t="s">
        <v>27</v>
      </c>
      <c r="X58" t="str">
        <f>IF(laptop[[#This Row],[PrimaryStorageType]]=laptop[[#This Row],[SecondaryStorageType]],laptop[[#This Row],[PrimaryStorageType]],"SSD &amp; HDD")</f>
        <v>SSD &amp; HDD</v>
      </c>
      <c r="Y58" t="s">
        <v>63</v>
      </c>
      <c r="Z58" s="4" t="str">
        <f>_xlfn.CONCAT(laptop[[#This Row],[CPU_company]]," ",laptop[[#This Row],[GPU_model]])</f>
        <v>Intel HD Graphics 520</v>
      </c>
    </row>
    <row r="59" spans="1:26" x14ac:dyDescent="0.25">
      <c r="A59" t="s">
        <v>55</v>
      </c>
      <c r="B59" t="s">
        <v>140</v>
      </c>
      <c r="C59" t="s">
        <v>38</v>
      </c>
      <c r="D59">
        <v>15.6</v>
      </c>
      <c r="E59">
        <v>4</v>
      </c>
      <c r="F59" t="s">
        <v>48</v>
      </c>
      <c r="G59">
        <v>2</v>
      </c>
      <c r="H59" s="16">
        <v>586.19000000000005</v>
      </c>
      <c r="I59" t="s">
        <v>26</v>
      </c>
      <c r="J59">
        <v>1366</v>
      </c>
      <c r="K59">
        <v>768</v>
      </c>
      <c r="L59" t="s">
        <v>27</v>
      </c>
      <c r="M59" t="s">
        <v>27</v>
      </c>
      <c r="N59" t="s">
        <v>27</v>
      </c>
      <c r="O59" t="s">
        <v>29</v>
      </c>
      <c r="P59">
        <v>2.5</v>
      </c>
      <c r="Q59" t="s">
        <v>41</v>
      </c>
      <c r="R59" t="str">
        <f>_xlfn.CONCAT(laptop[[#This Row],[CPU_company]]," ",laptop[[#This Row],[CPU_model]])</f>
        <v>Intel Core i5 7200U</v>
      </c>
      <c r="S59">
        <v>256</v>
      </c>
      <c r="T59">
        <v>0</v>
      </c>
      <c r="U59">
        <f>laptop[[#This Row],[PrimaryStorage]]+laptop[[#This Row],[SecondaryStorage]]</f>
        <v>256</v>
      </c>
      <c r="V59" t="s">
        <v>31</v>
      </c>
      <c r="W59" t="s">
        <v>27</v>
      </c>
      <c r="X59" t="str">
        <f>IF(laptop[[#This Row],[PrimaryStorageType]]=laptop[[#This Row],[SecondaryStorageType]],laptop[[#This Row],[PrimaryStorageType]],"SSD &amp; HDD")</f>
        <v>SSD &amp; HDD</v>
      </c>
      <c r="Y59" t="s">
        <v>42</v>
      </c>
      <c r="Z59" s="4" t="str">
        <f>_xlfn.CONCAT(laptop[[#This Row],[CPU_company]]," ",laptop[[#This Row],[GPU_model]])</f>
        <v>Intel HD Graphics 620</v>
      </c>
    </row>
    <row r="60" spans="1:26" x14ac:dyDescent="0.25">
      <c r="A60" t="s">
        <v>141</v>
      </c>
      <c r="B60" t="s">
        <v>142</v>
      </c>
      <c r="C60" t="s">
        <v>83</v>
      </c>
      <c r="D60">
        <v>17.3</v>
      </c>
      <c r="E60">
        <v>16</v>
      </c>
      <c r="F60" t="s">
        <v>48</v>
      </c>
      <c r="G60">
        <v>2.4300000000000002</v>
      </c>
      <c r="H60" s="16">
        <v>2449</v>
      </c>
      <c r="I60" t="s">
        <v>40</v>
      </c>
      <c r="J60">
        <v>1920</v>
      </c>
      <c r="K60">
        <v>1080</v>
      </c>
      <c r="L60" t="s">
        <v>27</v>
      </c>
      <c r="M60" t="s">
        <v>27</v>
      </c>
      <c r="N60" t="s">
        <v>27</v>
      </c>
      <c r="O60" t="s">
        <v>29</v>
      </c>
      <c r="P60">
        <v>2.8</v>
      </c>
      <c r="Q60" t="s">
        <v>118</v>
      </c>
      <c r="R60" t="str">
        <f>_xlfn.CONCAT(laptop[[#This Row],[CPU_company]]," ",laptop[[#This Row],[CPU_model]])</f>
        <v>Intel Core i7 7700HQ</v>
      </c>
      <c r="S60">
        <v>256</v>
      </c>
      <c r="T60">
        <v>2048</v>
      </c>
      <c r="U60">
        <f>laptop[[#This Row],[PrimaryStorage]]+laptop[[#This Row],[SecondaryStorage]]</f>
        <v>2304</v>
      </c>
      <c r="V60" t="s">
        <v>31</v>
      </c>
      <c r="W60" t="s">
        <v>51</v>
      </c>
      <c r="X60" t="str">
        <f>IF(laptop[[#This Row],[PrimaryStorageType]]=laptop[[#This Row],[SecondaryStorageType]],laptop[[#This Row],[PrimaryStorageType]],"SSD &amp; HDD")</f>
        <v>SSD &amp; HDD</v>
      </c>
      <c r="Y60" t="s">
        <v>143</v>
      </c>
      <c r="Z60" s="4" t="str">
        <f>_xlfn.CONCAT(laptop[[#This Row],[CPU_company]]," ",laptop[[#This Row],[GPU_model]])</f>
        <v>Intel GeForce GTX 1070</v>
      </c>
    </row>
    <row r="61" spans="1:26" x14ac:dyDescent="0.25">
      <c r="A61" t="s">
        <v>55</v>
      </c>
      <c r="B61" t="s">
        <v>144</v>
      </c>
      <c r="C61" t="s">
        <v>38</v>
      </c>
      <c r="D61">
        <v>15.6</v>
      </c>
      <c r="E61">
        <v>4</v>
      </c>
      <c r="F61" t="s">
        <v>111</v>
      </c>
      <c r="G61">
        <v>2</v>
      </c>
      <c r="H61" s="16">
        <v>415</v>
      </c>
      <c r="I61" t="s">
        <v>40</v>
      </c>
      <c r="J61">
        <v>1920</v>
      </c>
      <c r="K61">
        <v>1080</v>
      </c>
      <c r="L61" t="s">
        <v>27</v>
      </c>
      <c r="M61" t="s">
        <v>27</v>
      </c>
      <c r="N61" t="s">
        <v>27</v>
      </c>
      <c r="O61" t="s">
        <v>29</v>
      </c>
      <c r="P61">
        <v>2</v>
      </c>
      <c r="Q61" t="s">
        <v>62</v>
      </c>
      <c r="R61" t="str">
        <f>_xlfn.CONCAT(laptop[[#This Row],[CPU_company]]," ",laptop[[#This Row],[CPU_model]])</f>
        <v>Intel Core i3 6006U</v>
      </c>
      <c r="S61">
        <v>256</v>
      </c>
      <c r="T61">
        <v>0</v>
      </c>
      <c r="U61">
        <f>laptop[[#This Row],[PrimaryStorage]]+laptop[[#This Row],[SecondaryStorage]]</f>
        <v>256</v>
      </c>
      <c r="V61" t="s">
        <v>31</v>
      </c>
      <c r="W61" t="s">
        <v>27</v>
      </c>
      <c r="X61" t="str">
        <f>IF(laptop[[#This Row],[PrimaryStorageType]]=laptop[[#This Row],[SecondaryStorageType]],laptop[[#This Row],[PrimaryStorageType]],"SSD &amp; HDD")</f>
        <v>SSD &amp; HDD</v>
      </c>
      <c r="Y61" t="s">
        <v>63</v>
      </c>
      <c r="Z61" s="4" t="str">
        <f>_xlfn.CONCAT(laptop[[#This Row],[CPU_company]]," ",laptop[[#This Row],[GPU_model]])</f>
        <v>Intel HD Graphics 520</v>
      </c>
    </row>
    <row r="62" spans="1:26" x14ac:dyDescent="0.25">
      <c r="A62" t="s">
        <v>65</v>
      </c>
      <c r="B62" t="s">
        <v>113</v>
      </c>
      <c r="C62" t="s">
        <v>38</v>
      </c>
      <c r="D62">
        <v>17.3</v>
      </c>
      <c r="E62">
        <v>16</v>
      </c>
      <c r="F62" t="s">
        <v>48</v>
      </c>
      <c r="G62">
        <v>2.8</v>
      </c>
      <c r="H62" s="16">
        <v>1299</v>
      </c>
      <c r="I62" t="s">
        <v>40</v>
      </c>
      <c r="J62">
        <v>1920</v>
      </c>
      <c r="K62">
        <v>1080</v>
      </c>
      <c r="L62" t="s">
        <v>27</v>
      </c>
      <c r="M62" t="s">
        <v>27</v>
      </c>
      <c r="N62" t="s">
        <v>27</v>
      </c>
      <c r="O62" t="s">
        <v>29</v>
      </c>
      <c r="P62">
        <v>1.8</v>
      </c>
      <c r="Q62" t="s">
        <v>57</v>
      </c>
      <c r="R62" t="str">
        <f>_xlfn.CONCAT(laptop[[#This Row],[CPU_company]]," ",laptop[[#This Row],[CPU_model]])</f>
        <v>Intel Core i7 8550U</v>
      </c>
      <c r="S62">
        <v>256</v>
      </c>
      <c r="T62">
        <v>2048</v>
      </c>
      <c r="U62">
        <f>laptop[[#This Row],[PrimaryStorage]]+laptop[[#This Row],[SecondaryStorage]]</f>
        <v>2304</v>
      </c>
      <c r="V62" t="s">
        <v>31</v>
      </c>
      <c r="W62" t="s">
        <v>51</v>
      </c>
      <c r="X62" t="str">
        <f>IF(laptop[[#This Row],[PrimaryStorageType]]=laptop[[#This Row],[SecondaryStorageType]],laptop[[#This Row],[PrimaryStorageType]],"SSD &amp; HDD")</f>
        <v>SSD &amp; HDD</v>
      </c>
      <c r="Y62" t="s">
        <v>94</v>
      </c>
      <c r="Z62" s="4" t="str">
        <f>_xlfn.CONCAT(laptop[[#This Row],[CPU_company]]," ",laptop[[#This Row],[GPU_model]])</f>
        <v>Intel Radeon 530</v>
      </c>
    </row>
    <row r="63" spans="1:26" x14ac:dyDescent="0.25">
      <c r="A63" t="s">
        <v>65</v>
      </c>
      <c r="B63" t="s">
        <v>145</v>
      </c>
      <c r="C63" t="s">
        <v>24</v>
      </c>
      <c r="D63">
        <v>14</v>
      </c>
      <c r="E63">
        <v>8</v>
      </c>
      <c r="F63" t="s">
        <v>48</v>
      </c>
      <c r="G63">
        <v>1.7</v>
      </c>
      <c r="H63" s="16">
        <v>879</v>
      </c>
      <c r="I63" t="s">
        <v>40</v>
      </c>
      <c r="J63">
        <v>1920</v>
      </c>
      <c r="K63">
        <v>1080</v>
      </c>
      <c r="L63" t="s">
        <v>27</v>
      </c>
      <c r="M63" t="s">
        <v>27</v>
      </c>
      <c r="N63" t="s">
        <v>27</v>
      </c>
      <c r="O63" t="s">
        <v>29</v>
      </c>
      <c r="P63">
        <v>1.6</v>
      </c>
      <c r="Q63" t="s">
        <v>60</v>
      </c>
      <c r="R63" t="str">
        <f>_xlfn.CONCAT(laptop[[#This Row],[CPU_company]]," ",laptop[[#This Row],[CPU_model]])</f>
        <v>Intel Core i5 8250U</v>
      </c>
      <c r="S63">
        <v>256</v>
      </c>
      <c r="T63">
        <v>0</v>
      </c>
      <c r="U63">
        <f>laptop[[#This Row],[PrimaryStorage]]+laptop[[#This Row],[SecondaryStorage]]</f>
        <v>256</v>
      </c>
      <c r="V63" t="s">
        <v>31</v>
      </c>
      <c r="W63" t="s">
        <v>27</v>
      </c>
      <c r="X63" t="str">
        <f>IF(laptop[[#This Row],[PrimaryStorageType]]=laptop[[#This Row],[SecondaryStorageType]],laptop[[#This Row],[PrimaryStorageType]],"SSD &amp; HDD")</f>
        <v>SSD &amp; HDD</v>
      </c>
      <c r="Y63" t="s">
        <v>61</v>
      </c>
      <c r="Z63" s="4" t="str">
        <f>_xlfn.CONCAT(laptop[[#This Row],[CPU_company]]," ",laptop[[#This Row],[GPU_model]])</f>
        <v>Intel UHD Graphics 620</v>
      </c>
    </row>
    <row r="64" spans="1:26" x14ac:dyDescent="0.25">
      <c r="A64" t="s">
        <v>73</v>
      </c>
      <c r="B64" t="s">
        <v>146</v>
      </c>
      <c r="C64" t="s">
        <v>38</v>
      </c>
      <c r="D64">
        <v>14</v>
      </c>
      <c r="E64">
        <v>8</v>
      </c>
      <c r="F64" t="s">
        <v>39</v>
      </c>
      <c r="G64">
        <v>1.7</v>
      </c>
      <c r="H64" s="16">
        <v>599</v>
      </c>
      <c r="I64" t="s">
        <v>40</v>
      </c>
      <c r="J64">
        <v>1920</v>
      </c>
      <c r="K64">
        <v>1080</v>
      </c>
      <c r="L64" t="s">
        <v>27</v>
      </c>
      <c r="M64" t="s">
        <v>28</v>
      </c>
      <c r="N64" t="s">
        <v>27</v>
      </c>
      <c r="O64" t="s">
        <v>29</v>
      </c>
      <c r="P64">
        <v>2.7</v>
      </c>
      <c r="Q64" t="s">
        <v>112</v>
      </c>
      <c r="R64" t="str">
        <f>_xlfn.CONCAT(laptop[[#This Row],[CPU_company]]," ",laptop[[#This Row],[CPU_model]])</f>
        <v>Intel Core i3 7130U</v>
      </c>
      <c r="S64">
        <v>256</v>
      </c>
      <c r="T64">
        <v>0</v>
      </c>
      <c r="U64">
        <f>laptop[[#This Row],[PrimaryStorage]]+laptop[[#This Row],[SecondaryStorage]]</f>
        <v>256</v>
      </c>
      <c r="V64" t="s">
        <v>31</v>
      </c>
      <c r="W64" t="s">
        <v>27</v>
      </c>
      <c r="X64" t="str">
        <f>IF(laptop[[#This Row],[PrimaryStorageType]]=laptop[[#This Row],[SecondaryStorageType]],laptop[[#This Row],[PrimaryStorageType]],"SSD &amp; HDD")</f>
        <v>SSD &amp; HDD</v>
      </c>
      <c r="Y64" t="s">
        <v>42</v>
      </c>
      <c r="Z64" s="4" t="str">
        <f>_xlfn.CONCAT(laptop[[#This Row],[CPU_company]]," ",laptop[[#This Row],[GPU_model]])</f>
        <v>Intel HD Graphics 620</v>
      </c>
    </row>
    <row r="65" spans="1:26" x14ac:dyDescent="0.25">
      <c r="A65" t="s">
        <v>55</v>
      </c>
      <c r="B65" t="s">
        <v>147</v>
      </c>
      <c r="C65" t="s">
        <v>38</v>
      </c>
      <c r="D65">
        <v>14</v>
      </c>
      <c r="E65">
        <v>8</v>
      </c>
      <c r="F65" t="s">
        <v>48</v>
      </c>
      <c r="G65">
        <v>1.4</v>
      </c>
      <c r="H65" s="16">
        <v>941</v>
      </c>
      <c r="I65" t="s">
        <v>40</v>
      </c>
      <c r="J65">
        <v>1920</v>
      </c>
      <c r="K65">
        <v>1080</v>
      </c>
      <c r="L65" t="s">
        <v>27</v>
      </c>
      <c r="M65" t="s">
        <v>27</v>
      </c>
      <c r="N65" t="s">
        <v>27</v>
      </c>
      <c r="O65" t="s">
        <v>29</v>
      </c>
      <c r="P65">
        <v>1.6</v>
      </c>
      <c r="Q65" t="s">
        <v>60</v>
      </c>
      <c r="R65" t="str">
        <f>_xlfn.CONCAT(laptop[[#This Row],[CPU_company]]," ",laptop[[#This Row],[CPU_model]])</f>
        <v>Intel Core i5 8250U</v>
      </c>
      <c r="S65">
        <v>256</v>
      </c>
      <c r="T65">
        <v>0</v>
      </c>
      <c r="U65">
        <f>laptop[[#This Row],[PrimaryStorage]]+laptop[[#This Row],[SecondaryStorage]]</f>
        <v>256</v>
      </c>
      <c r="V65" t="s">
        <v>31</v>
      </c>
      <c r="W65" t="s">
        <v>27</v>
      </c>
      <c r="X65" t="str">
        <f>IF(laptop[[#This Row],[PrimaryStorageType]]=laptop[[#This Row],[SecondaryStorageType]],laptop[[#This Row],[PrimaryStorageType]],"SSD &amp; HDD")</f>
        <v>SSD &amp; HDD</v>
      </c>
      <c r="Y65" t="s">
        <v>61</v>
      </c>
      <c r="Z65" s="4" t="str">
        <f>_xlfn.CONCAT(laptop[[#This Row],[CPU_company]]," ",laptop[[#This Row],[GPU_model]])</f>
        <v>Intel UHD Graphics 620</v>
      </c>
    </row>
    <row r="66" spans="1:26" x14ac:dyDescent="0.25">
      <c r="A66" t="s">
        <v>36</v>
      </c>
      <c r="B66" t="s">
        <v>37</v>
      </c>
      <c r="C66" t="s">
        <v>38</v>
      </c>
      <c r="D66">
        <v>15.6</v>
      </c>
      <c r="E66">
        <v>8</v>
      </c>
      <c r="F66" t="s">
        <v>48</v>
      </c>
      <c r="G66">
        <v>1.86</v>
      </c>
      <c r="H66" s="16">
        <v>690</v>
      </c>
      <c r="I66" t="s">
        <v>40</v>
      </c>
      <c r="J66">
        <v>1920</v>
      </c>
      <c r="K66">
        <v>1080</v>
      </c>
      <c r="L66" t="s">
        <v>27</v>
      </c>
      <c r="M66" t="s">
        <v>27</v>
      </c>
      <c r="N66" t="s">
        <v>27</v>
      </c>
      <c r="O66" t="s">
        <v>29</v>
      </c>
      <c r="P66">
        <v>2.5</v>
      </c>
      <c r="Q66" t="s">
        <v>41</v>
      </c>
      <c r="R66" t="str">
        <f>_xlfn.CONCAT(laptop[[#This Row],[CPU_company]]," ",laptop[[#This Row],[CPU_model]])</f>
        <v>Intel Core i5 7200U</v>
      </c>
      <c r="S66">
        <v>256</v>
      </c>
      <c r="T66">
        <v>0</v>
      </c>
      <c r="U66">
        <f>laptop[[#This Row],[PrimaryStorage]]+laptop[[#This Row],[SecondaryStorage]]</f>
        <v>256</v>
      </c>
      <c r="V66" t="s">
        <v>31</v>
      </c>
      <c r="W66" t="s">
        <v>27</v>
      </c>
      <c r="X66" t="str">
        <f>IF(laptop[[#This Row],[PrimaryStorageType]]=laptop[[#This Row],[SecondaryStorageType]],laptop[[#This Row],[PrimaryStorageType]],"SSD &amp; HDD")</f>
        <v>SSD &amp; HDD</v>
      </c>
      <c r="Y66" t="s">
        <v>42</v>
      </c>
      <c r="Z66" s="4" t="str">
        <f>_xlfn.CONCAT(laptop[[#This Row],[CPU_company]]," ",laptop[[#This Row],[GPU_model]])</f>
        <v>Intel HD Graphics 620</v>
      </c>
    </row>
    <row r="67" spans="1:26" x14ac:dyDescent="0.25">
      <c r="A67" t="s">
        <v>55</v>
      </c>
      <c r="B67" t="s">
        <v>148</v>
      </c>
      <c r="C67" t="s">
        <v>24</v>
      </c>
      <c r="D67">
        <v>15.6</v>
      </c>
      <c r="E67">
        <v>16</v>
      </c>
      <c r="F67" t="s">
        <v>48</v>
      </c>
      <c r="G67">
        <v>1.8</v>
      </c>
      <c r="H67" s="16">
        <v>1983</v>
      </c>
      <c r="I67" t="s">
        <v>40</v>
      </c>
      <c r="J67">
        <v>1920</v>
      </c>
      <c r="K67">
        <v>1080</v>
      </c>
      <c r="L67" t="s">
        <v>27</v>
      </c>
      <c r="M67" t="s">
        <v>27</v>
      </c>
      <c r="N67" t="s">
        <v>27</v>
      </c>
      <c r="O67" t="s">
        <v>29</v>
      </c>
      <c r="P67">
        <v>2.8</v>
      </c>
      <c r="Q67" t="s">
        <v>118</v>
      </c>
      <c r="R67" t="str">
        <f>_xlfn.CONCAT(laptop[[#This Row],[CPU_company]]," ",laptop[[#This Row],[CPU_model]])</f>
        <v>Intel Core i7 7700HQ</v>
      </c>
      <c r="S67">
        <v>512</v>
      </c>
      <c r="T67">
        <v>0</v>
      </c>
      <c r="U67">
        <f>laptop[[#This Row],[PrimaryStorage]]+laptop[[#This Row],[SecondaryStorage]]</f>
        <v>512</v>
      </c>
      <c r="V67" t="s">
        <v>31</v>
      </c>
      <c r="W67" t="s">
        <v>27</v>
      </c>
      <c r="X67" t="str">
        <f>IF(laptop[[#This Row],[PrimaryStorageType]]=laptop[[#This Row],[SecondaryStorageType]],laptop[[#This Row],[PrimaryStorageType]],"SSD &amp; HDD")</f>
        <v>SSD &amp; HDD</v>
      </c>
      <c r="Y67" t="s">
        <v>149</v>
      </c>
      <c r="Z67" s="4" t="str">
        <f>_xlfn.CONCAT(laptop[[#This Row],[CPU_company]]," ",laptop[[#This Row],[GPU_model]])</f>
        <v>Intel GeForce GTX 1050 Ti</v>
      </c>
    </row>
    <row r="68" spans="1:26" x14ac:dyDescent="0.25">
      <c r="A68" t="s">
        <v>36</v>
      </c>
      <c r="B68" t="s">
        <v>37</v>
      </c>
      <c r="C68" t="s">
        <v>38</v>
      </c>
      <c r="D68">
        <v>15.6</v>
      </c>
      <c r="E68">
        <v>4</v>
      </c>
      <c r="F68" t="s">
        <v>48</v>
      </c>
      <c r="G68">
        <v>1.86</v>
      </c>
      <c r="H68" s="16">
        <v>438.69</v>
      </c>
      <c r="I68" t="s">
        <v>26</v>
      </c>
      <c r="J68">
        <v>1366</v>
      </c>
      <c r="K68">
        <v>768</v>
      </c>
      <c r="L68" t="s">
        <v>27</v>
      </c>
      <c r="M68" t="s">
        <v>27</v>
      </c>
      <c r="N68" t="s">
        <v>27</v>
      </c>
      <c r="O68" t="s">
        <v>29</v>
      </c>
      <c r="P68">
        <v>2</v>
      </c>
      <c r="Q68" t="s">
        <v>62</v>
      </c>
      <c r="R68" t="str">
        <f>_xlfn.CONCAT(laptop[[#This Row],[CPU_company]]," ",laptop[[#This Row],[CPU_model]])</f>
        <v>Intel Core i3 6006U</v>
      </c>
      <c r="S68">
        <v>500</v>
      </c>
      <c r="T68">
        <v>0</v>
      </c>
      <c r="U68">
        <f>laptop[[#This Row],[PrimaryStorage]]+laptop[[#This Row],[SecondaryStorage]]</f>
        <v>500</v>
      </c>
      <c r="V68" t="s">
        <v>51</v>
      </c>
      <c r="W68" t="s">
        <v>27</v>
      </c>
      <c r="X68" t="str">
        <f>IF(laptop[[#This Row],[PrimaryStorageType]]=laptop[[#This Row],[SecondaryStorageType]],laptop[[#This Row],[PrimaryStorageType]],"SSD &amp; HDD")</f>
        <v>SSD &amp; HDD</v>
      </c>
      <c r="Y68" t="s">
        <v>138</v>
      </c>
      <c r="Z68" s="4" t="str">
        <f>_xlfn.CONCAT(laptop[[#This Row],[CPU_company]]," ",laptop[[#This Row],[GPU_model]])</f>
        <v>Intel Radeon 520</v>
      </c>
    </row>
    <row r="69" spans="1:26" x14ac:dyDescent="0.25">
      <c r="A69" t="s">
        <v>36</v>
      </c>
      <c r="B69" t="s">
        <v>150</v>
      </c>
      <c r="C69" t="s">
        <v>38</v>
      </c>
      <c r="D69">
        <v>14</v>
      </c>
      <c r="E69">
        <v>4</v>
      </c>
      <c r="F69" t="s">
        <v>48</v>
      </c>
      <c r="G69">
        <v>1.44</v>
      </c>
      <c r="H69" s="16">
        <v>229</v>
      </c>
      <c r="I69" t="s">
        <v>26</v>
      </c>
      <c r="J69">
        <v>1366</v>
      </c>
      <c r="K69">
        <v>768</v>
      </c>
      <c r="L69" t="s">
        <v>27</v>
      </c>
      <c r="M69" t="s">
        <v>27</v>
      </c>
      <c r="N69" t="s">
        <v>27</v>
      </c>
      <c r="O69" t="s">
        <v>29</v>
      </c>
      <c r="P69">
        <v>1.6</v>
      </c>
      <c r="Q69" t="s">
        <v>151</v>
      </c>
      <c r="R69" t="str">
        <f>_xlfn.CONCAT(laptop[[#This Row],[CPU_company]]," ",laptop[[#This Row],[CPU_model]])</f>
        <v>Intel Celeron Dual Core N3060</v>
      </c>
      <c r="S69">
        <v>32</v>
      </c>
      <c r="T69">
        <v>0</v>
      </c>
      <c r="U69">
        <f>laptop[[#This Row],[PrimaryStorage]]+laptop[[#This Row],[SecondaryStorage]]</f>
        <v>32</v>
      </c>
      <c r="V69" t="s">
        <v>31</v>
      </c>
      <c r="W69" t="s">
        <v>27</v>
      </c>
      <c r="X69" t="str">
        <f>IF(laptop[[#This Row],[PrimaryStorageType]]=laptop[[#This Row],[SecondaryStorageType]],laptop[[#This Row],[PrimaryStorageType]],"SSD &amp; HDD")</f>
        <v>SSD &amp; HDD</v>
      </c>
      <c r="Y69" t="s">
        <v>81</v>
      </c>
      <c r="Z69" s="4" t="str">
        <f>_xlfn.CONCAT(laptop[[#This Row],[CPU_company]]," ",laptop[[#This Row],[GPU_model]])</f>
        <v>Intel HD Graphics 400</v>
      </c>
    </row>
    <row r="70" spans="1:26" x14ac:dyDescent="0.25">
      <c r="A70" t="s">
        <v>73</v>
      </c>
      <c r="B70" t="s">
        <v>152</v>
      </c>
      <c r="C70" t="s">
        <v>38</v>
      </c>
      <c r="D70">
        <v>15.6</v>
      </c>
      <c r="E70">
        <v>4</v>
      </c>
      <c r="F70" t="s">
        <v>48</v>
      </c>
      <c r="G70">
        <v>1.9</v>
      </c>
      <c r="H70" s="16">
        <v>549</v>
      </c>
      <c r="I70" t="s">
        <v>40</v>
      </c>
      <c r="J70">
        <v>1920</v>
      </c>
      <c r="K70">
        <v>1080</v>
      </c>
      <c r="L70" t="s">
        <v>27</v>
      </c>
      <c r="M70" t="s">
        <v>27</v>
      </c>
      <c r="N70" t="s">
        <v>27</v>
      </c>
      <c r="O70" t="s">
        <v>29</v>
      </c>
      <c r="P70">
        <v>2.5</v>
      </c>
      <c r="Q70" t="s">
        <v>41</v>
      </c>
      <c r="R70" t="str">
        <f>_xlfn.CONCAT(laptop[[#This Row],[CPU_company]]," ",laptop[[#This Row],[CPU_model]])</f>
        <v>Intel Core i5 7200U</v>
      </c>
      <c r="S70">
        <v>1024</v>
      </c>
      <c r="T70">
        <v>0</v>
      </c>
      <c r="U70">
        <f>laptop[[#This Row],[PrimaryStorage]]+laptop[[#This Row],[SecondaryStorage]]</f>
        <v>1024</v>
      </c>
      <c r="V70" t="s">
        <v>51</v>
      </c>
      <c r="W70" t="s">
        <v>27</v>
      </c>
      <c r="X70" t="str">
        <f>IF(laptop[[#This Row],[PrimaryStorageType]]=laptop[[#This Row],[SecondaryStorageType]],laptop[[#This Row],[PrimaryStorageType]],"SSD &amp; HDD")</f>
        <v>SSD &amp; HDD</v>
      </c>
      <c r="Y70" t="s">
        <v>42</v>
      </c>
      <c r="Z70" s="4" t="str">
        <f>_xlfn.CONCAT(laptop[[#This Row],[CPU_company]]," ",laptop[[#This Row],[GPU_model]])</f>
        <v>Intel HD Graphics 620</v>
      </c>
    </row>
    <row r="71" spans="1:26" x14ac:dyDescent="0.25">
      <c r="A71" t="s">
        <v>55</v>
      </c>
      <c r="B71" t="s">
        <v>153</v>
      </c>
      <c r="C71" t="s">
        <v>83</v>
      </c>
      <c r="D71">
        <v>17.3</v>
      </c>
      <c r="E71">
        <v>12</v>
      </c>
      <c r="F71" t="s">
        <v>111</v>
      </c>
      <c r="G71">
        <v>3</v>
      </c>
      <c r="H71" s="16">
        <v>949</v>
      </c>
      <c r="I71" t="s">
        <v>40</v>
      </c>
      <c r="J71">
        <v>1920</v>
      </c>
      <c r="K71">
        <v>1080</v>
      </c>
      <c r="L71" t="s">
        <v>27</v>
      </c>
      <c r="M71" t="s">
        <v>27</v>
      </c>
      <c r="N71" t="s">
        <v>27</v>
      </c>
      <c r="O71" t="s">
        <v>29</v>
      </c>
      <c r="P71">
        <v>2.8</v>
      </c>
      <c r="Q71" t="s">
        <v>118</v>
      </c>
      <c r="R71" t="str">
        <f>_xlfn.CONCAT(laptop[[#This Row],[CPU_company]]," ",laptop[[#This Row],[CPU_model]])</f>
        <v>Intel Core i7 7700HQ</v>
      </c>
      <c r="S71">
        <v>1024</v>
      </c>
      <c r="T71">
        <v>0</v>
      </c>
      <c r="U71">
        <f>laptop[[#This Row],[PrimaryStorage]]+laptop[[#This Row],[SecondaryStorage]]</f>
        <v>1024</v>
      </c>
      <c r="V71" t="s">
        <v>51</v>
      </c>
      <c r="W71" t="s">
        <v>27</v>
      </c>
      <c r="X71" t="str">
        <f>IF(laptop[[#This Row],[PrimaryStorageType]]=laptop[[#This Row],[SecondaryStorageType]],laptop[[#This Row],[PrimaryStorageType]],"SSD &amp; HDD")</f>
        <v>SSD &amp; HDD</v>
      </c>
      <c r="Y71" t="s">
        <v>149</v>
      </c>
      <c r="Z71" s="4" t="str">
        <f>_xlfn.CONCAT(laptop[[#This Row],[CPU_company]]," ",laptop[[#This Row],[GPU_model]])</f>
        <v>Intel GeForce GTX 1050 Ti</v>
      </c>
    </row>
    <row r="72" spans="1:26" x14ac:dyDescent="0.25">
      <c r="A72" t="s">
        <v>154</v>
      </c>
      <c r="B72" t="s">
        <v>155</v>
      </c>
      <c r="C72" t="s">
        <v>24</v>
      </c>
      <c r="D72">
        <v>13.5</v>
      </c>
      <c r="E72">
        <v>4</v>
      </c>
      <c r="F72" t="s">
        <v>156</v>
      </c>
      <c r="G72">
        <v>1.252</v>
      </c>
      <c r="H72" s="16">
        <v>1089</v>
      </c>
      <c r="I72" t="s">
        <v>26</v>
      </c>
      <c r="J72">
        <v>2256</v>
      </c>
      <c r="K72">
        <v>1504</v>
      </c>
      <c r="L72" t="s">
        <v>28</v>
      </c>
      <c r="M72" t="s">
        <v>27</v>
      </c>
      <c r="N72" t="s">
        <v>27</v>
      </c>
      <c r="O72" t="s">
        <v>29</v>
      </c>
      <c r="P72">
        <v>2.5</v>
      </c>
      <c r="Q72" t="s">
        <v>41</v>
      </c>
      <c r="R72" t="str">
        <f>_xlfn.CONCAT(laptop[[#This Row],[CPU_company]]," ",laptop[[#This Row],[CPU_model]])</f>
        <v>Intel Core i5 7200U</v>
      </c>
      <c r="S72">
        <v>128</v>
      </c>
      <c r="T72">
        <v>0</v>
      </c>
      <c r="U72">
        <f>laptop[[#This Row],[PrimaryStorage]]+laptop[[#This Row],[SecondaryStorage]]</f>
        <v>128</v>
      </c>
      <c r="V72" t="s">
        <v>31</v>
      </c>
      <c r="W72" t="s">
        <v>27</v>
      </c>
      <c r="X72" t="str">
        <f>IF(laptop[[#This Row],[PrimaryStorageType]]=laptop[[#This Row],[SecondaryStorageType]],laptop[[#This Row],[PrimaryStorageType]],"SSD &amp; HDD")</f>
        <v>SSD &amp; HDD</v>
      </c>
      <c r="Y72" t="s">
        <v>42</v>
      </c>
      <c r="Z72" s="4" t="str">
        <f>_xlfn.CONCAT(laptop[[#This Row],[CPU_company]]," ",laptop[[#This Row],[GPU_model]])</f>
        <v>Intel HD Graphics 620</v>
      </c>
    </row>
    <row r="73" spans="1:26" x14ac:dyDescent="0.25">
      <c r="A73" t="s">
        <v>65</v>
      </c>
      <c r="B73" t="s">
        <v>157</v>
      </c>
      <c r="C73" t="s">
        <v>24</v>
      </c>
      <c r="D73">
        <v>13.3</v>
      </c>
      <c r="E73">
        <v>8</v>
      </c>
      <c r="F73" t="s">
        <v>48</v>
      </c>
      <c r="G73">
        <v>1.4</v>
      </c>
      <c r="H73" s="16">
        <v>955</v>
      </c>
      <c r="I73" t="s">
        <v>40</v>
      </c>
      <c r="J73">
        <v>1920</v>
      </c>
      <c r="K73">
        <v>1080</v>
      </c>
      <c r="L73" t="s">
        <v>27</v>
      </c>
      <c r="M73" t="s">
        <v>28</v>
      </c>
      <c r="N73" t="s">
        <v>27</v>
      </c>
      <c r="O73" t="s">
        <v>29</v>
      </c>
      <c r="P73">
        <v>1.8</v>
      </c>
      <c r="Q73" t="s">
        <v>57</v>
      </c>
      <c r="R73" t="str">
        <f>_xlfn.CONCAT(laptop[[#This Row],[CPU_company]]," ",laptop[[#This Row],[CPU_model]])</f>
        <v>Intel Core i7 8550U</v>
      </c>
      <c r="S73">
        <v>256</v>
      </c>
      <c r="T73">
        <v>0</v>
      </c>
      <c r="U73">
        <f>laptop[[#This Row],[PrimaryStorage]]+laptop[[#This Row],[SecondaryStorage]]</f>
        <v>256</v>
      </c>
      <c r="V73" t="s">
        <v>31</v>
      </c>
      <c r="W73" t="s">
        <v>27</v>
      </c>
      <c r="X73" t="str">
        <f>IF(laptop[[#This Row],[PrimaryStorageType]]=laptop[[#This Row],[SecondaryStorageType]],laptop[[#This Row],[PrimaryStorageType]],"SSD &amp; HDD")</f>
        <v>SSD &amp; HDD</v>
      </c>
      <c r="Y73" t="s">
        <v>94</v>
      </c>
      <c r="Z73" s="4" t="str">
        <f>_xlfn.CONCAT(laptop[[#This Row],[CPU_company]]," ",laptop[[#This Row],[GPU_model]])</f>
        <v>Intel Radeon 530</v>
      </c>
    </row>
    <row r="74" spans="1:26" x14ac:dyDescent="0.25">
      <c r="A74" t="s">
        <v>65</v>
      </c>
      <c r="B74" t="s">
        <v>93</v>
      </c>
      <c r="C74" t="s">
        <v>38</v>
      </c>
      <c r="D74">
        <v>15.6</v>
      </c>
      <c r="E74">
        <v>8</v>
      </c>
      <c r="F74" t="s">
        <v>48</v>
      </c>
      <c r="G74">
        <v>2.2000000000000002</v>
      </c>
      <c r="H74" s="16">
        <v>870</v>
      </c>
      <c r="I74" t="s">
        <v>40</v>
      </c>
      <c r="J74">
        <v>1920</v>
      </c>
      <c r="K74">
        <v>1080</v>
      </c>
      <c r="L74" t="s">
        <v>27</v>
      </c>
      <c r="M74" t="s">
        <v>27</v>
      </c>
      <c r="N74" t="s">
        <v>27</v>
      </c>
      <c r="O74" t="s">
        <v>29</v>
      </c>
      <c r="P74">
        <v>1.8</v>
      </c>
      <c r="Q74" t="s">
        <v>57</v>
      </c>
      <c r="R74" t="str">
        <f>_xlfn.CONCAT(laptop[[#This Row],[CPU_company]]," ",laptop[[#This Row],[CPU_model]])</f>
        <v>Intel Core i7 8550U</v>
      </c>
      <c r="S74">
        <v>256</v>
      </c>
      <c r="T74">
        <v>0</v>
      </c>
      <c r="U74">
        <f>laptop[[#This Row],[PrimaryStorage]]+laptop[[#This Row],[SecondaryStorage]]</f>
        <v>256</v>
      </c>
      <c r="V74" t="s">
        <v>31</v>
      </c>
      <c r="W74" t="s">
        <v>27</v>
      </c>
      <c r="X74" t="str">
        <f>IF(laptop[[#This Row],[PrimaryStorageType]]=laptop[[#This Row],[SecondaryStorageType]],laptop[[#This Row],[PrimaryStorageType]],"SSD &amp; HDD")</f>
        <v>SSD &amp; HDD</v>
      </c>
      <c r="Y74" t="s">
        <v>94</v>
      </c>
      <c r="Z74" s="4" t="str">
        <f>_xlfn.CONCAT(laptop[[#This Row],[CPU_company]]," ",laptop[[#This Row],[GPU_model]])</f>
        <v>Intel Radeon 530</v>
      </c>
    </row>
    <row r="75" spans="1:26" x14ac:dyDescent="0.25">
      <c r="A75" t="s">
        <v>141</v>
      </c>
      <c r="B75" t="s">
        <v>158</v>
      </c>
      <c r="C75" t="s">
        <v>83</v>
      </c>
      <c r="D75">
        <v>17.3</v>
      </c>
      <c r="E75">
        <v>8</v>
      </c>
      <c r="F75" t="s">
        <v>48</v>
      </c>
      <c r="G75">
        <v>2.7</v>
      </c>
      <c r="H75" s="16">
        <v>1095</v>
      </c>
      <c r="I75" t="s">
        <v>40</v>
      </c>
      <c r="J75">
        <v>1920</v>
      </c>
      <c r="K75">
        <v>1080</v>
      </c>
      <c r="L75" t="s">
        <v>27</v>
      </c>
      <c r="M75" t="s">
        <v>27</v>
      </c>
      <c r="N75" t="s">
        <v>27</v>
      </c>
      <c r="O75" t="s">
        <v>29</v>
      </c>
      <c r="P75">
        <v>2.5</v>
      </c>
      <c r="Q75" t="s">
        <v>84</v>
      </c>
      <c r="R75" t="str">
        <f>_xlfn.CONCAT(laptop[[#This Row],[CPU_company]]," ",laptop[[#This Row],[CPU_model]])</f>
        <v>Intel Core i5 7300HQ</v>
      </c>
      <c r="S75">
        <v>128</v>
      </c>
      <c r="T75">
        <v>1024</v>
      </c>
      <c r="U75">
        <f>laptop[[#This Row],[PrimaryStorage]]+laptop[[#This Row],[SecondaryStorage]]</f>
        <v>1152</v>
      </c>
      <c r="V75" t="s">
        <v>31</v>
      </c>
      <c r="W75" t="s">
        <v>51</v>
      </c>
      <c r="X75" t="str">
        <f>IF(laptop[[#This Row],[PrimaryStorageType]]=laptop[[#This Row],[SecondaryStorageType]],laptop[[#This Row],[PrimaryStorageType]],"SSD &amp; HDD")</f>
        <v>SSD &amp; HDD</v>
      </c>
      <c r="Y75" t="s">
        <v>85</v>
      </c>
      <c r="Z75" s="4" t="str">
        <f>_xlfn.CONCAT(laptop[[#This Row],[CPU_company]]," ",laptop[[#This Row],[GPU_model]])</f>
        <v>Intel GeForce GTX 1050</v>
      </c>
    </row>
    <row r="76" spans="1:26" x14ac:dyDescent="0.25">
      <c r="A76" t="s">
        <v>46</v>
      </c>
      <c r="B76" t="s">
        <v>159</v>
      </c>
      <c r="C76" t="s">
        <v>38</v>
      </c>
      <c r="D76">
        <v>14</v>
      </c>
      <c r="E76">
        <v>8</v>
      </c>
      <c r="F76" t="s">
        <v>48</v>
      </c>
      <c r="G76">
        <v>2.1</v>
      </c>
      <c r="H76" s="16">
        <v>389</v>
      </c>
      <c r="I76" t="s">
        <v>26</v>
      </c>
      <c r="J76">
        <v>1366</v>
      </c>
      <c r="K76">
        <v>768</v>
      </c>
      <c r="L76" t="s">
        <v>27</v>
      </c>
      <c r="M76" t="s">
        <v>27</v>
      </c>
      <c r="N76" t="s">
        <v>27</v>
      </c>
      <c r="O76" t="s">
        <v>29</v>
      </c>
      <c r="P76">
        <v>2</v>
      </c>
      <c r="Q76" t="s">
        <v>62</v>
      </c>
      <c r="R76" t="str">
        <f>_xlfn.CONCAT(laptop[[#This Row],[CPU_company]]," ",laptop[[#This Row],[CPU_model]])</f>
        <v>Intel Core i3 6006U</v>
      </c>
      <c r="S76">
        <v>1024</v>
      </c>
      <c r="T76">
        <v>0</v>
      </c>
      <c r="U76">
        <f>laptop[[#This Row],[PrimaryStorage]]+laptop[[#This Row],[SecondaryStorage]]</f>
        <v>1024</v>
      </c>
      <c r="V76" t="s">
        <v>51</v>
      </c>
      <c r="W76" t="s">
        <v>27</v>
      </c>
      <c r="X76" t="str">
        <f>IF(laptop[[#This Row],[PrimaryStorageType]]=laptop[[#This Row],[SecondaryStorageType]],laptop[[#This Row],[PrimaryStorageType]],"SSD &amp; HDD")</f>
        <v>SSD &amp; HDD</v>
      </c>
      <c r="Y76" t="s">
        <v>63</v>
      </c>
      <c r="Z76" s="4" t="str">
        <f>_xlfn.CONCAT(laptop[[#This Row],[CPU_company]]," ",laptop[[#This Row],[GPU_model]])</f>
        <v>Intel HD Graphics 520</v>
      </c>
    </row>
    <row r="77" spans="1:26" x14ac:dyDescent="0.25">
      <c r="A77" t="s">
        <v>55</v>
      </c>
      <c r="B77" t="s">
        <v>160</v>
      </c>
      <c r="C77" t="s">
        <v>83</v>
      </c>
      <c r="D77">
        <v>15.6</v>
      </c>
      <c r="E77">
        <v>8</v>
      </c>
      <c r="F77" t="s">
        <v>48</v>
      </c>
      <c r="G77">
        <v>2.2000000000000002</v>
      </c>
      <c r="H77" s="16">
        <v>949</v>
      </c>
      <c r="I77" t="s">
        <v>40</v>
      </c>
      <c r="J77">
        <v>1920</v>
      </c>
      <c r="K77">
        <v>1080</v>
      </c>
      <c r="L77" t="s">
        <v>27</v>
      </c>
      <c r="M77" t="s">
        <v>27</v>
      </c>
      <c r="N77" t="s">
        <v>27</v>
      </c>
      <c r="O77" t="s">
        <v>29</v>
      </c>
      <c r="P77">
        <v>2.8</v>
      </c>
      <c r="Q77" t="s">
        <v>118</v>
      </c>
      <c r="R77" t="str">
        <f>_xlfn.CONCAT(laptop[[#This Row],[CPU_company]]," ",laptop[[#This Row],[CPU_model]])</f>
        <v>Intel Core i7 7700HQ</v>
      </c>
      <c r="S77">
        <v>1024</v>
      </c>
      <c r="T77">
        <v>0</v>
      </c>
      <c r="U77">
        <f>laptop[[#This Row],[PrimaryStorage]]+laptop[[#This Row],[SecondaryStorage]]</f>
        <v>1024</v>
      </c>
      <c r="V77" t="s">
        <v>51</v>
      </c>
      <c r="W77" t="s">
        <v>27</v>
      </c>
      <c r="X77" t="str">
        <f>IF(laptop[[#This Row],[PrimaryStorageType]]=laptop[[#This Row],[SecondaryStorageType]],laptop[[#This Row],[PrimaryStorageType]],"SSD &amp; HDD")</f>
        <v>SSD &amp; HDD</v>
      </c>
      <c r="Y77" t="s">
        <v>85</v>
      </c>
      <c r="Z77" s="4" t="str">
        <f>_xlfn.CONCAT(laptop[[#This Row],[CPU_company]]," ",laptop[[#This Row],[GPU_model]])</f>
        <v>Intel GeForce GTX 1050</v>
      </c>
    </row>
    <row r="78" spans="1:26" x14ac:dyDescent="0.25">
      <c r="A78" t="s">
        <v>73</v>
      </c>
      <c r="B78" t="s">
        <v>161</v>
      </c>
      <c r="C78" t="s">
        <v>38</v>
      </c>
      <c r="D78">
        <v>15.6</v>
      </c>
      <c r="E78">
        <v>8</v>
      </c>
      <c r="F78" t="s">
        <v>39</v>
      </c>
      <c r="G78">
        <v>2.2000000000000002</v>
      </c>
      <c r="H78" s="16">
        <v>519</v>
      </c>
      <c r="I78" t="s">
        <v>40</v>
      </c>
      <c r="J78">
        <v>1920</v>
      </c>
      <c r="K78">
        <v>1080</v>
      </c>
      <c r="L78" t="s">
        <v>27</v>
      </c>
      <c r="M78" t="s">
        <v>27</v>
      </c>
      <c r="N78" t="s">
        <v>27</v>
      </c>
      <c r="O78" t="s">
        <v>29</v>
      </c>
      <c r="P78">
        <v>2.5</v>
      </c>
      <c r="Q78" t="s">
        <v>41</v>
      </c>
      <c r="R78" t="str">
        <f>_xlfn.CONCAT(laptop[[#This Row],[CPU_company]]," ",laptop[[#This Row],[CPU_model]])</f>
        <v>Intel Core i5 7200U</v>
      </c>
      <c r="S78">
        <v>2048</v>
      </c>
      <c r="T78">
        <v>0</v>
      </c>
      <c r="U78">
        <f>laptop[[#This Row],[PrimaryStorage]]+laptop[[#This Row],[SecondaryStorage]]</f>
        <v>2048</v>
      </c>
      <c r="V78" t="s">
        <v>51</v>
      </c>
      <c r="W78" t="s">
        <v>27</v>
      </c>
      <c r="X78" t="str">
        <f>IF(laptop[[#This Row],[PrimaryStorageType]]=laptop[[#This Row],[SecondaryStorageType]],laptop[[#This Row],[PrimaryStorageType]],"SSD &amp; HDD")</f>
        <v>SSD &amp; HDD</v>
      </c>
      <c r="Y78" t="s">
        <v>42</v>
      </c>
      <c r="Z78" s="4" t="str">
        <f>_xlfn.CONCAT(laptop[[#This Row],[CPU_company]]," ",laptop[[#This Row],[GPU_model]])</f>
        <v>Intel HD Graphics 620</v>
      </c>
    </row>
    <row r="79" spans="1:26" x14ac:dyDescent="0.25">
      <c r="A79" t="s">
        <v>65</v>
      </c>
      <c r="B79" t="s">
        <v>93</v>
      </c>
      <c r="C79" t="s">
        <v>38</v>
      </c>
      <c r="D79">
        <v>15.6</v>
      </c>
      <c r="E79">
        <v>8</v>
      </c>
      <c r="F79" t="s">
        <v>48</v>
      </c>
      <c r="G79">
        <v>2.02</v>
      </c>
      <c r="H79" s="16">
        <v>855</v>
      </c>
      <c r="I79" t="s">
        <v>40</v>
      </c>
      <c r="J79">
        <v>1920</v>
      </c>
      <c r="K79">
        <v>1080</v>
      </c>
      <c r="L79" t="s">
        <v>27</v>
      </c>
      <c r="M79" t="s">
        <v>27</v>
      </c>
      <c r="N79" t="s">
        <v>27</v>
      </c>
      <c r="O79" t="s">
        <v>29</v>
      </c>
      <c r="P79">
        <v>1.8</v>
      </c>
      <c r="Q79" t="s">
        <v>57</v>
      </c>
      <c r="R79" t="str">
        <f>_xlfn.CONCAT(laptop[[#This Row],[CPU_company]]," ",laptop[[#This Row],[CPU_model]])</f>
        <v>Intel Core i7 8550U</v>
      </c>
      <c r="S79">
        <v>128</v>
      </c>
      <c r="T79">
        <v>1024</v>
      </c>
      <c r="U79">
        <f>laptop[[#This Row],[PrimaryStorage]]+laptop[[#This Row],[SecondaryStorage]]</f>
        <v>1152</v>
      </c>
      <c r="V79" t="s">
        <v>31</v>
      </c>
      <c r="W79" t="s">
        <v>51</v>
      </c>
      <c r="X79" t="str">
        <f>IF(laptop[[#This Row],[PrimaryStorageType]]=laptop[[#This Row],[SecondaryStorageType]],laptop[[#This Row],[PrimaryStorageType]],"SSD &amp; HDD")</f>
        <v>SSD &amp; HDD</v>
      </c>
      <c r="Y79" t="s">
        <v>61</v>
      </c>
      <c r="Z79" s="4" t="str">
        <f>_xlfn.CONCAT(laptop[[#This Row],[CPU_company]]," ",laptop[[#This Row],[GPU_model]])</f>
        <v>Intel UHD Graphics 620</v>
      </c>
    </row>
    <row r="80" spans="1:26" x14ac:dyDescent="0.25">
      <c r="A80" t="s">
        <v>46</v>
      </c>
      <c r="B80" t="s">
        <v>162</v>
      </c>
      <c r="C80" t="s">
        <v>38</v>
      </c>
      <c r="D80">
        <v>15.6</v>
      </c>
      <c r="E80">
        <v>4</v>
      </c>
      <c r="F80" t="s">
        <v>48</v>
      </c>
      <c r="G80">
        <v>2.2000000000000002</v>
      </c>
      <c r="H80" s="16">
        <v>530</v>
      </c>
      <c r="I80" t="s">
        <v>40</v>
      </c>
      <c r="J80">
        <v>1920</v>
      </c>
      <c r="K80">
        <v>1080</v>
      </c>
      <c r="L80" t="s">
        <v>27</v>
      </c>
      <c r="M80" t="s">
        <v>27</v>
      </c>
      <c r="N80" t="s">
        <v>27</v>
      </c>
      <c r="O80" t="s">
        <v>29</v>
      </c>
      <c r="P80">
        <v>2.7</v>
      </c>
      <c r="Q80" t="s">
        <v>112</v>
      </c>
      <c r="R80" t="str">
        <f>_xlfn.CONCAT(laptop[[#This Row],[CPU_company]]," ",laptop[[#This Row],[CPU_model]])</f>
        <v>Intel Core i3 7130U</v>
      </c>
      <c r="S80">
        <v>1024</v>
      </c>
      <c r="T80">
        <v>0</v>
      </c>
      <c r="U80">
        <f>laptop[[#This Row],[PrimaryStorage]]+laptop[[#This Row],[SecondaryStorage]]</f>
        <v>1024</v>
      </c>
      <c r="V80" t="s">
        <v>51</v>
      </c>
      <c r="W80" t="s">
        <v>27</v>
      </c>
      <c r="X80" t="str">
        <f>IF(laptop[[#This Row],[PrimaryStorageType]]=laptop[[#This Row],[SecondaryStorageType]],laptop[[#This Row],[PrimaryStorageType]],"SSD &amp; HDD")</f>
        <v>SSD &amp; HDD</v>
      </c>
      <c r="Y80" t="s">
        <v>163</v>
      </c>
      <c r="Z80" s="4" t="str">
        <f>_xlfn.CONCAT(laptop[[#This Row],[CPU_company]]," ",laptop[[#This Row],[GPU_model]])</f>
        <v>Intel GeForce MX130</v>
      </c>
    </row>
    <row r="81" spans="1:26" x14ac:dyDescent="0.25">
      <c r="A81" t="s">
        <v>36</v>
      </c>
      <c r="B81" t="s">
        <v>97</v>
      </c>
      <c r="C81" t="s">
        <v>38</v>
      </c>
      <c r="D81">
        <v>17.3</v>
      </c>
      <c r="E81">
        <v>8</v>
      </c>
      <c r="F81" t="s">
        <v>48</v>
      </c>
      <c r="G81">
        <v>2.5</v>
      </c>
      <c r="H81" s="16">
        <v>977</v>
      </c>
      <c r="I81" t="s">
        <v>40</v>
      </c>
      <c r="J81">
        <v>1920</v>
      </c>
      <c r="K81">
        <v>1080</v>
      </c>
      <c r="L81" t="s">
        <v>27</v>
      </c>
      <c r="M81" t="s">
        <v>27</v>
      </c>
      <c r="N81" t="s">
        <v>27</v>
      </c>
      <c r="O81" t="s">
        <v>29</v>
      </c>
      <c r="P81">
        <v>1.6</v>
      </c>
      <c r="Q81" t="s">
        <v>60</v>
      </c>
      <c r="R81" t="str">
        <f>_xlfn.CONCAT(laptop[[#This Row],[CPU_company]]," ",laptop[[#This Row],[CPU_model]])</f>
        <v>Intel Core i5 8250U</v>
      </c>
      <c r="S81">
        <v>128</v>
      </c>
      <c r="T81">
        <v>1024</v>
      </c>
      <c r="U81">
        <f>laptop[[#This Row],[PrimaryStorage]]+laptop[[#This Row],[SecondaryStorage]]</f>
        <v>1152</v>
      </c>
      <c r="V81" t="s">
        <v>31</v>
      </c>
      <c r="W81" t="s">
        <v>51</v>
      </c>
      <c r="X81" t="str">
        <f>IF(laptop[[#This Row],[PrimaryStorageType]]=laptop[[#This Row],[SecondaryStorageType]],laptop[[#This Row],[PrimaryStorageType]],"SSD &amp; HDD")</f>
        <v>SSD &amp; HDD</v>
      </c>
      <c r="Y81" t="s">
        <v>98</v>
      </c>
      <c r="Z81" s="4" t="str">
        <f>_xlfn.CONCAT(laptop[[#This Row],[CPU_company]]," ",laptop[[#This Row],[GPU_model]])</f>
        <v>Intel GeForce 930MX</v>
      </c>
    </row>
    <row r="82" spans="1:26" x14ac:dyDescent="0.25">
      <c r="A82" t="s">
        <v>65</v>
      </c>
      <c r="B82" t="s">
        <v>95</v>
      </c>
      <c r="C82" t="s">
        <v>24</v>
      </c>
      <c r="D82">
        <v>15.6</v>
      </c>
      <c r="E82">
        <v>8</v>
      </c>
      <c r="F82" t="s">
        <v>48</v>
      </c>
      <c r="G82">
        <v>1.88</v>
      </c>
      <c r="H82" s="16">
        <v>1096.1600000000001</v>
      </c>
      <c r="I82" t="s">
        <v>40</v>
      </c>
      <c r="J82">
        <v>1920</v>
      </c>
      <c r="K82">
        <v>1080</v>
      </c>
      <c r="L82" t="s">
        <v>27</v>
      </c>
      <c r="M82" t="s">
        <v>28</v>
      </c>
      <c r="N82" t="s">
        <v>27</v>
      </c>
      <c r="O82" t="s">
        <v>29</v>
      </c>
      <c r="P82">
        <v>1.6</v>
      </c>
      <c r="Q82" t="s">
        <v>60</v>
      </c>
      <c r="R82" t="str">
        <f>_xlfn.CONCAT(laptop[[#This Row],[CPU_company]]," ",laptop[[#This Row],[CPU_model]])</f>
        <v>Intel Core i5 8250U</v>
      </c>
      <c r="S82">
        <v>256</v>
      </c>
      <c r="T82">
        <v>0</v>
      </c>
      <c r="U82">
        <f>laptop[[#This Row],[PrimaryStorage]]+laptop[[#This Row],[SecondaryStorage]]</f>
        <v>256</v>
      </c>
      <c r="V82" t="s">
        <v>31</v>
      </c>
      <c r="W82" t="s">
        <v>27</v>
      </c>
      <c r="X82" t="str">
        <f>IF(laptop[[#This Row],[PrimaryStorageType]]=laptop[[#This Row],[SecondaryStorageType]],laptop[[#This Row],[PrimaryStorageType]],"SSD &amp; HDD")</f>
        <v>SSD &amp; HDD</v>
      </c>
      <c r="Y82" t="s">
        <v>61</v>
      </c>
      <c r="Z82" s="4" t="str">
        <f>_xlfn.CONCAT(laptop[[#This Row],[CPU_company]]," ",laptop[[#This Row],[GPU_model]])</f>
        <v>Intel UHD Graphics 620</v>
      </c>
    </row>
    <row r="83" spans="1:26" x14ac:dyDescent="0.25">
      <c r="A83" t="s">
        <v>22</v>
      </c>
      <c r="B83" t="s">
        <v>68</v>
      </c>
      <c r="C83" t="s">
        <v>24</v>
      </c>
      <c r="D83">
        <v>12</v>
      </c>
      <c r="E83">
        <v>8</v>
      </c>
      <c r="F83" t="s">
        <v>25</v>
      </c>
      <c r="G83">
        <v>0.92</v>
      </c>
      <c r="H83" s="16">
        <v>1510</v>
      </c>
      <c r="I83" t="s">
        <v>26</v>
      </c>
      <c r="J83">
        <v>2304</v>
      </c>
      <c r="K83">
        <v>1440</v>
      </c>
      <c r="L83" t="s">
        <v>27</v>
      </c>
      <c r="M83" t="s">
        <v>28</v>
      </c>
      <c r="N83" t="s">
        <v>28</v>
      </c>
      <c r="O83" t="s">
        <v>29</v>
      </c>
      <c r="P83">
        <v>1.3</v>
      </c>
      <c r="Q83" t="s">
        <v>30</v>
      </c>
      <c r="R83" t="str">
        <f>_xlfn.CONCAT(laptop[[#This Row],[CPU_company]]," ",laptop[[#This Row],[CPU_model]])</f>
        <v>Intel Core i5</v>
      </c>
      <c r="S83">
        <v>512</v>
      </c>
      <c r="T83">
        <v>0</v>
      </c>
      <c r="U83">
        <f>laptop[[#This Row],[PrimaryStorage]]+laptop[[#This Row],[SecondaryStorage]]</f>
        <v>512</v>
      </c>
      <c r="V83" t="s">
        <v>31</v>
      </c>
      <c r="W83" t="s">
        <v>27</v>
      </c>
      <c r="X83" t="str">
        <f>IF(laptop[[#This Row],[PrimaryStorageType]]=laptop[[#This Row],[SecondaryStorageType]],laptop[[#This Row],[PrimaryStorageType]],"SSD &amp; HDD")</f>
        <v>SSD &amp; HDD</v>
      </c>
      <c r="Y83" t="s">
        <v>70</v>
      </c>
      <c r="Z83" s="4" t="str">
        <f>_xlfn.CONCAT(laptop[[#This Row],[CPU_company]]," ",laptop[[#This Row],[GPU_model]])</f>
        <v>Intel HD Graphics 615</v>
      </c>
    </row>
    <row r="84" spans="1:26" x14ac:dyDescent="0.25">
      <c r="A84" t="s">
        <v>36</v>
      </c>
      <c r="B84" t="s">
        <v>164</v>
      </c>
      <c r="C84" t="s">
        <v>38</v>
      </c>
      <c r="D84">
        <v>14</v>
      </c>
      <c r="E84">
        <v>8</v>
      </c>
      <c r="F84" t="s">
        <v>48</v>
      </c>
      <c r="G84">
        <v>1.63</v>
      </c>
      <c r="H84" s="16">
        <v>860</v>
      </c>
      <c r="I84" t="s">
        <v>40</v>
      </c>
      <c r="J84">
        <v>1920</v>
      </c>
      <c r="K84">
        <v>1080</v>
      </c>
      <c r="L84" t="s">
        <v>27</v>
      </c>
      <c r="M84" t="s">
        <v>27</v>
      </c>
      <c r="N84" t="s">
        <v>27</v>
      </c>
      <c r="O84" t="s">
        <v>29</v>
      </c>
      <c r="P84">
        <v>1.6</v>
      </c>
      <c r="Q84" t="s">
        <v>60</v>
      </c>
      <c r="R84" t="str">
        <f>_xlfn.CONCAT(laptop[[#This Row],[CPU_company]]," ",laptop[[#This Row],[CPU_model]])</f>
        <v>Intel Core i5 8250U</v>
      </c>
      <c r="S84">
        <v>256</v>
      </c>
      <c r="T84">
        <v>0</v>
      </c>
      <c r="U84">
        <f>laptop[[#This Row],[PrimaryStorage]]+laptop[[#This Row],[SecondaryStorage]]</f>
        <v>256</v>
      </c>
      <c r="V84" t="s">
        <v>31</v>
      </c>
      <c r="W84" t="s">
        <v>27</v>
      </c>
      <c r="X84" t="str">
        <f>IF(laptop[[#This Row],[PrimaryStorageType]]=laptop[[#This Row],[SecondaryStorageType]],laptop[[#This Row],[PrimaryStorageType]],"SSD &amp; HDD")</f>
        <v>SSD &amp; HDD</v>
      </c>
      <c r="Y84" t="s">
        <v>42</v>
      </c>
      <c r="Z84" s="4" t="str">
        <f>_xlfn.CONCAT(laptop[[#This Row],[CPU_company]]," ",laptop[[#This Row],[GPU_model]])</f>
        <v>Intel HD Graphics 620</v>
      </c>
    </row>
    <row r="85" spans="1:26" x14ac:dyDescent="0.25">
      <c r="A85" t="s">
        <v>73</v>
      </c>
      <c r="B85" t="s">
        <v>165</v>
      </c>
      <c r="C85" t="s">
        <v>38</v>
      </c>
      <c r="D85">
        <v>15.6</v>
      </c>
      <c r="E85">
        <v>4</v>
      </c>
      <c r="F85" t="s">
        <v>48</v>
      </c>
      <c r="G85">
        <v>2.2000000000000002</v>
      </c>
      <c r="H85" s="16">
        <v>399</v>
      </c>
      <c r="I85" t="s">
        <v>40</v>
      </c>
      <c r="J85">
        <v>1920</v>
      </c>
      <c r="K85">
        <v>1080</v>
      </c>
      <c r="L85" t="s">
        <v>27</v>
      </c>
      <c r="M85" t="s">
        <v>27</v>
      </c>
      <c r="N85" t="s">
        <v>27</v>
      </c>
      <c r="O85" t="s">
        <v>49</v>
      </c>
      <c r="P85">
        <v>2.5</v>
      </c>
      <c r="Q85" t="s">
        <v>106</v>
      </c>
      <c r="R85" t="str">
        <f>_xlfn.CONCAT(laptop[[#This Row],[CPU_company]]," ",laptop[[#This Row],[CPU_model]])</f>
        <v>AMD A6-Series 9220</v>
      </c>
      <c r="S85">
        <v>128</v>
      </c>
      <c r="T85">
        <v>0</v>
      </c>
      <c r="U85">
        <f>laptop[[#This Row],[PrimaryStorage]]+laptop[[#This Row],[SecondaryStorage]]</f>
        <v>128</v>
      </c>
      <c r="V85" t="s">
        <v>31</v>
      </c>
      <c r="W85" t="s">
        <v>27</v>
      </c>
      <c r="X85" t="str">
        <f>IF(laptop[[#This Row],[PrimaryStorageType]]=laptop[[#This Row],[SecondaryStorageType]],laptop[[#This Row],[PrimaryStorageType]],"SSD &amp; HDD")</f>
        <v>SSD &amp; HDD</v>
      </c>
      <c r="Y85" t="s">
        <v>166</v>
      </c>
      <c r="Z85" s="4" t="str">
        <f>_xlfn.CONCAT(laptop[[#This Row],[CPU_company]]," ",laptop[[#This Row],[GPU_model]])</f>
        <v>AMD R4 Graphics</v>
      </c>
    </row>
    <row r="86" spans="1:26" x14ac:dyDescent="0.25">
      <c r="A86" t="s">
        <v>46</v>
      </c>
      <c r="B86" t="s">
        <v>47</v>
      </c>
      <c r="C86" t="s">
        <v>38</v>
      </c>
      <c r="D86">
        <v>15.6</v>
      </c>
      <c r="E86">
        <v>4</v>
      </c>
      <c r="F86" t="s">
        <v>48</v>
      </c>
      <c r="G86">
        <v>2.1</v>
      </c>
      <c r="H86" s="16">
        <v>395</v>
      </c>
      <c r="I86" t="s">
        <v>26</v>
      </c>
      <c r="J86">
        <v>1366</v>
      </c>
      <c r="K86">
        <v>768</v>
      </c>
      <c r="L86" t="s">
        <v>27</v>
      </c>
      <c r="M86" t="s">
        <v>27</v>
      </c>
      <c r="N86" t="s">
        <v>27</v>
      </c>
      <c r="O86" t="s">
        <v>49</v>
      </c>
      <c r="P86">
        <v>3</v>
      </c>
      <c r="Q86" t="s">
        <v>50</v>
      </c>
      <c r="R86" t="str">
        <f>_xlfn.CONCAT(laptop[[#This Row],[CPU_company]]," ",laptop[[#This Row],[CPU_model]])</f>
        <v>AMD A9-Series 9420</v>
      </c>
      <c r="S86">
        <v>1024</v>
      </c>
      <c r="T86">
        <v>0</v>
      </c>
      <c r="U86">
        <f>laptop[[#This Row],[PrimaryStorage]]+laptop[[#This Row],[SecondaryStorage]]</f>
        <v>1024</v>
      </c>
      <c r="V86" t="s">
        <v>51</v>
      </c>
      <c r="W86" t="s">
        <v>27</v>
      </c>
      <c r="X86" t="str">
        <f>IF(laptop[[#This Row],[PrimaryStorageType]]=laptop[[#This Row],[SecondaryStorageType]],laptop[[#This Row],[PrimaryStorageType]],"SSD &amp; HDD")</f>
        <v>SSD &amp; HDD</v>
      </c>
      <c r="Y86" t="s">
        <v>52</v>
      </c>
      <c r="Z86" s="4" t="str">
        <f>_xlfn.CONCAT(laptop[[#This Row],[CPU_company]]," ",laptop[[#This Row],[GPU_model]])</f>
        <v>AMD Radeon R5</v>
      </c>
    </row>
    <row r="87" spans="1:26" x14ac:dyDescent="0.25">
      <c r="A87" t="s">
        <v>65</v>
      </c>
      <c r="B87" t="s">
        <v>117</v>
      </c>
      <c r="C87" t="s">
        <v>83</v>
      </c>
      <c r="D87">
        <v>15.6</v>
      </c>
      <c r="E87">
        <v>16</v>
      </c>
      <c r="F87" t="s">
        <v>48</v>
      </c>
      <c r="G87">
        <v>2.65</v>
      </c>
      <c r="H87" s="16">
        <v>1349</v>
      </c>
      <c r="I87" t="s">
        <v>40</v>
      </c>
      <c r="J87">
        <v>1920</v>
      </c>
      <c r="K87">
        <v>1080</v>
      </c>
      <c r="L87" t="s">
        <v>27</v>
      </c>
      <c r="M87" t="s">
        <v>28</v>
      </c>
      <c r="N87" t="s">
        <v>27</v>
      </c>
      <c r="O87" t="s">
        <v>29</v>
      </c>
      <c r="P87">
        <v>2.8</v>
      </c>
      <c r="Q87" t="s">
        <v>118</v>
      </c>
      <c r="R87" t="str">
        <f>_xlfn.CONCAT(laptop[[#This Row],[CPU_company]]," ",laptop[[#This Row],[CPU_model]])</f>
        <v>Intel Core i7 7700HQ</v>
      </c>
      <c r="S87">
        <v>128</v>
      </c>
      <c r="T87">
        <v>1024</v>
      </c>
      <c r="U87">
        <f>laptop[[#This Row],[PrimaryStorage]]+laptop[[#This Row],[SecondaryStorage]]</f>
        <v>1152</v>
      </c>
      <c r="V87" t="s">
        <v>31</v>
      </c>
      <c r="W87" t="s">
        <v>51</v>
      </c>
      <c r="X87" t="str">
        <f>IF(laptop[[#This Row],[PrimaryStorageType]]=laptop[[#This Row],[SecondaryStorageType]],laptop[[#This Row],[PrimaryStorageType]],"SSD &amp; HDD")</f>
        <v>SSD &amp; HDD</v>
      </c>
      <c r="Y87" t="s">
        <v>149</v>
      </c>
      <c r="Z87" s="4" t="str">
        <f>_xlfn.CONCAT(laptop[[#This Row],[CPU_company]]," ",laptop[[#This Row],[GPU_model]])</f>
        <v>Intel GeForce GTX 1050 Ti</v>
      </c>
    </row>
    <row r="88" spans="1:26" x14ac:dyDescent="0.25">
      <c r="A88" t="s">
        <v>36</v>
      </c>
      <c r="B88" t="s">
        <v>167</v>
      </c>
      <c r="C88" t="s">
        <v>24</v>
      </c>
      <c r="D88">
        <v>15.6</v>
      </c>
      <c r="E88">
        <v>8</v>
      </c>
      <c r="F88" t="s">
        <v>48</v>
      </c>
      <c r="G88">
        <v>1.83</v>
      </c>
      <c r="H88" s="16">
        <v>699</v>
      </c>
      <c r="I88" t="s">
        <v>40</v>
      </c>
      <c r="J88">
        <v>1920</v>
      </c>
      <c r="K88">
        <v>1080</v>
      </c>
      <c r="L88" t="s">
        <v>27</v>
      </c>
      <c r="M88" t="s">
        <v>28</v>
      </c>
      <c r="N88" t="s">
        <v>27</v>
      </c>
      <c r="O88" t="s">
        <v>29</v>
      </c>
      <c r="P88">
        <v>1.8</v>
      </c>
      <c r="Q88" t="s">
        <v>57</v>
      </c>
      <c r="R88" t="str">
        <f>_xlfn.CONCAT(laptop[[#This Row],[CPU_company]]," ",laptop[[#This Row],[CPU_model]])</f>
        <v>Intel Core i7 8550U</v>
      </c>
      <c r="S88">
        <v>256</v>
      </c>
      <c r="T88">
        <v>0</v>
      </c>
      <c r="U88">
        <f>laptop[[#This Row],[PrimaryStorage]]+laptop[[#This Row],[SecondaryStorage]]</f>
        <v>256</v>
      </c>
      <c r="V88" t="s">
        <v>31</v>
      </c>
      <c r="W88" t="s">
        <v>27</v>
      </c>
      <c r="X88" t="str">
        <f>IF(laptop[[#This Row],[PrimaryStorageType]]=laptop[[#This Row],[SecondaryStorageType]],laptop[[#This Row],[PrimaryStorageType]],"SSD &amp; HDD")</f>
        <v>SSD &amp; HDD</v>
      </c>
      <c r="Y88" t="s">
        <v>168</v>
      </c>
      <c r="Z88" s="4" t="str">
        <f>_xlfn.CONCAT(laptop[[#This Row],[CPU_company]]," ",laptop[[#This Row],[GPU_model]])</f>
        <v>Intel GeForce GTX 940MX</v>
      </c>
    </row>
    <row r="89" spans="1:26" x14ac:dyDescent="0.25">
      <c r="A89" t="s">
        <v>36</v>
      </c>
      <c r="B89" t="s">
        <v>37</v>
      </c>
      <c r="C89" t="s">
        <v>38</v>
      </c>
      <c r="D89">
        <v>15.6</v>
      </c>
      <c r="E89">
        <v>8</v>
      </c>
      <c r="F89" t="s">
        <v>48</v>
      </c>
      <c r="G89">
        <v>1.96</v>
      </c>
      <c r="H89" s="16">
        <v>598.99</v>
      </c>
      <c r="I89" t="s">
        <v>40</v>
      </c>
      <c r="J89">
        <v>1920</v>
      </c>
      <c r="K89">
        <v>1080</v>
      </c>
      <c r="L89" t="s">
        <v>27</v>
      </c>
      <c r="M89" t="s">
        <v>27</v>
      </c>
      <c r="N89" t="s">
        <v>27</v>
      </c>
      <c r="O89" t="s">
        <v>29</v>
      </c>
      <c r="P89">
        <v>2.5</v>
      </c>
      <c r="Q89" t="s">
        <v>41</v>
      </c>
      <c r="R89" t="str">
        <f>_xlfn.CONCAT(laptop[[#This Row],[CPU_company]]," ",laptop[[#This Row],[CPU_model]])</f>
        <v>Intel Core i5 7200U</v>
      </c>
      <c r="S89">
        <v>256</v>
      </c>
      <c r="T89">
        <v>0</v>
      </c>
      <c r="U89">
        <f>laptop[[#This Row],[PrimaryStorage]]+laptop[[#This Row],[SecondaryStorage]]</f>
        <v>256</v>
      </c>
      <c r="V89" t="s">
        <v>31</v>
      </c>
      <c r="W89" t="s">
        <v>27</v>
      </c>
      <c r="X89" t="str">
        <f>IF(laptop[[#This Row],[PrimaryStorageType]]=laptop[[#This Row],[SecondaryStorageType]],laptop[[#This Row],[PrimaryStorageType]],"SSD &amp; HDD")</f>
        <v>SSD &amp; HDD</v>
      </c>
      <c r="Y89" t="s">
        <v>42</v>
      </c>
      <c r="Z89" s="4" t="str">
        <f>_xlfn.CONCAT(laptop[[#This Row],[CPU_company]]," ",laptop[[#This Row],[GPU_model]])</f>
        <v>Intel HD Graphics 620</v>
      </c>
    </row>
    <row r="90" spans="1:26" x14ac:dyDescent="0.25">
      <c r="A90" t="s">
        <v>55</v>
      </c>
      <c r="B90" t="s">
        <v>169</v>
      </c>
      <c r="C90" t="s">
        <v>83</v>
      </c>
      <c r="D90">
        <v>15.6</v>
      </c>
      <c r="E90">
        <v>16</v>
      </c>
      <c r="F90" t="s">
        <v>48</v>
      </c>
      <c r="G90">
        <v>2.2000000000000002</v>
      </c>
      <c r="H90" s="16">
        <v>1449</v>
      </c>
      <c r="I90" t="s">
        <v>40</v>
      </c>
      <c r="J90">
        <v>1920</v>
      </c>
      <c r="K90">
        <v>1080</v>
      </c>
      <c r="L90" t="s">
        <v>27</v>
      </c>
      <c r="M90" t="s">
        <v>28</v>
      </c>
      <c r="N90" t="s">
        <v>27</v>
      </c>
      <c r="O90" t="s">
        <v>29</v>
      </c>
      <c r="P90">
        <v>2.8</v>
      </c>
      <c r="Q90" t="s">
        <v>118</v>
      </c>
      <c r="R90" t="str">
        <f>_xlfn.CONCAT(laptop[[#This Row],[CPU_company]]," ",laptop[[#This Row],[CPU_model]])</f>
        <v>Intel Core i7 7700HQ</v>
      </c>
      <c r="S90">
        <v>128</v>
      </c>
      <c r="T90">
        <v>1024</v>
      </c>
      <c r="U90">
        <f>laptop[[#This Row],[PrimaryStorage]]+laptop[[#This Row],[SecondaryStorage]]</f>
        <v>1152</v>
      </c>
      <c r="V90" t="s">
        <v>31</v>
      </c>
      <c r="W90" t="s">
        <v>51</v>
      </c>
      <c r="X90" t="str">
        <f>IF(laptop[[#This Row],[PrimaryStorageType]]=laptop[[#This Row],[SecondaryStorageType]],laptop[[#This Row],[PrimaryStorageType]],"SSD &amp; HDD")</f>
        <v>SSD &amp; HDD</v>
      </c>
      <c r="Y90" t="s">
        <v>119</v>
      </c>
      <c r="Z90" s="4" t="str">
        <f>_xlfn.CONCAT(laptop[[#This Row],[CPU_company]]," ",laptop[[#This Row],[GPU_model]])</f>
        <v>Intel GeForce GTX 1060</v>
      </c>
    </row>
    <row r="91" spans="1:26" x14ac:dyDescent="0.25">
      <c r="A91" t="s">
        <v>65</v>
      </c>
      <c r="B91" t="s">
        <v>77</v>
      </c>
      <c r="C91" t="s">
        <v>24</v>
      </c>
      <c r="D91">
        <v>13.3</v>
      </c>
      <c r="E91">
        <v>8</v>
      </c>
      <c r="F91" t="s">
        <v>48</v>
      </c>
      <c r="G91">
        <v>1.21</v>
      </c>
      <c r="H91" s="16">
        <v>1649</v>
      </c>
      <c r="I91" t="s">
        <v>40</v>
      </c>
      <c r="J91">
        <v>1920</v>
      </c>
      <c r="K91">
        <v>1080</v>
      </c>
      <c r="L91" t="s">
        <v>27</v>
      </c>
      <c r="M91" t="s">
        <v>28</v>
      </c>
      <c r="N91" t="s">
        <v>27</v>
      </c>
      <c r="O91" t="s">
        <v>29</v>
      </c>
      <c r="P91">
        <v>1.8</v>
      </c>
      <c r="Q91" t="s">
        <v>57</v>
      </c>
      <c r="R91" t="str">
        <f>_xlfn.CONCAT(laptop[[#This Row],[CPU_company]]," ",laptop[[#This Row],[CPU_model]])</f>
        <v>Intel Core i7 8550U</v>
      </c>
      <c r="S91">
        <v>256</v>
      </c>
      <c r="T91">
        <v>0</v>
      </c>
      <c r="U91">
        <f>laptop[[#This Row],[PrimaryStorage]]+laptop[[#This Row],[SecondaryStorage]]</f>
        <v>256</v>
      </c>
      <c r="V91" t="s">
        <v>31</v>
      </c>
      <c r="W91" t="s">
        <v>27</v>
      </c>
      <c r="X91" t="str">
        <f>IF(laptop[[#This Row],[PrimaryStorageType]]=laptop[[#This Row],[SecondaryStorageType]],laptop[[#This Row],[PrimaryStorageType]],"SSD &amp; HDD")</f>
        <v>SSD &amp; HDD</v>
      </c>
      <c r="Y91" t="s">
        <v>61</v>
      </c>
      <c r="Z91" s="4" t="str">
        <f>_xlfn.CONCAT(laptop[[#This Row],[CPU_company]]," ",laptop[[#This Row],[GPU_model]])</f>
        <v>Intel UHD Graphics 620</v>
      </c>
    </row>
    <row r="92" spans="1:26" x14ac:dyDescent="0.25">
      <c r="A92" t="s">
        <v>55</v>
      </c>
      <c r="B92" t="s">
        <v>170</v>
      </c>
      <c r="C92" t="s">
        <v>83</v>
      </c>
      <c r="D92">
        <v>15.6</v>
      </c>
      <c r="E92">
        <v>8</v>
      </c>
      <c r="F92" t="s">
        <v>48</v>
      </c>
      <c r="G92">
        <v>2.4500000000000002</v>
      </c>
      <c r="H92" s="16">
        <v>699</v>
      </c>
      <c r="I92" t="s">
        <v>40</v>
      </c>
      <c r="J92">
        <v>1920</v>
      </c>
      <c r="K92">
        <v>1080</v>
      </c>
      <c r="L92" t="s">
        <v>27</v>
      </c>
      <c r="M92" t="s">
        <v>27</v>
      </c>
      <c r="N92" t="s">
        <v>27</v>
      </c>
      <c r="O92" t="s">
        <v>49</v>
      </c>
      <c r="P92">
        <v>3</v>
      </c>
      <c r="Q92" t="s">
        <v>171</v>
      </c>
      <c r="R92" t="str">
        <f>_xlfn.CONCAT(laptop[[#This Row],[CPU_company]]," ",laptop[[#This Row],[CPU_model]])</f>
        <v>AMD FX 9830P</v>
      </c>
      <c r="S92">
        <v>1024</v>
      </c>
      <c r="T92">
        <v>0</v>
      </c>
      <c r="U92">
        <f>laptop[[#This Row],[PrimaryStorage]]+laptop[[#This Row],[SecondaryStorage]]</f>
        <v>1024</v>
      </c>
      <c r="V92" t="s">
        <v>51</v>
      </c>
      <c r="W92" t="s">
        <v>27</v>
      </c>
      <c r="X92" t="str">
        <f>IF(laptop[[#This Row],[PrimaryStorageType]]=laptop[[#This Row],[SecondaryStorageType]],laptop[[#This Row],[PrimaryStorageType]],"SSD &amp; HDD")</f>
        <v>SSD &amp; HDD</v>
      </c>
      <c r="Y92" t="s">
        <v>172</v>
      </c>
      <c r="Z92" s="4" t="str">
        <f>_xlfn.CONCAT(laptop[[#This Row],[CPU_company]]," ",laptop[[#This Row],[GPU_model]])</f>
        <v>AMD Radeon RX 560</v>
      </c>
    </row>
    <row r="93" spans="1:26" x14ac:dyDescent="0.25">
      <c r="A93" t="s">
        <v>46</v>
      </c>
      <c r="B93" t="s">
        <v>173</v>
      </c>
      <c r="C93" t="s">
        <v>38</v>
      </c>
      <c r="D93">
        <v>15.6</v>
      </c>
      <c r="E93">
        <v>8</v>
      </c>
      <c r="F93" t="s">
        <v>48</v>
      </c>
      <c r="G93">
        <v>2.2000000000000002</v>
      </c>
      <c r="H93" s="16">
        <v>689</v>
      </c>
      <c r="I93" t="s">
        <v>40</v>
      </c>
      <c r="J93">
        <v>1920</v>
      </c>
      <c r="K93">
        <v>1080</v>
      </c>
      <c r="L93" t="s">
        <v>27</v>
      </c>
      <c r="M93" t="s">
        <v>27</v>
      </c>
      <c r="N93" t="s">
        <v>27</v>
      </c>
      <c r="O93" t="s">
        <v>29</v>
      </c>
      <c r="P93">
        <v>1.8</v>
      </c>
      <c r="Q93" t="s">
        <v>57</v>
      </c>
      <c r="R93" t="str">
        <f>_xlfn.CONCAT(laptop[[#This Row],[CPU_company]]," ",laptop[[#This Row],[CPU_model]])</f>
        <v>Intel Core i7 8550U</v>
      </c>
      <c r="S93">
        <v>1024</v>
      </c>
      <c r="T93">
        <v>0</v>
      </c>
      <c r="U93">
        <f>laptop[[#This Row],[PrimaryStorage]]+laptop[[#This Row],[SecondaryStorage]]</f>
        <v>1024</v>
      </c>
      <c r="V93" t="s">
        <v>51</v>
      </c>
      <c r="W93" t="s">
        <v>27</v>
      </c>
      <c r="X93" t="str">
        <f>IF(laptop[[#This Row],[PrimaryStorageType]]=laptop[[#This Row],[SecondaryStorageType]],laptop[[#This Row],[PrimaryStorageType]],"SSD &amp; HDD")</f>
        <v>SSD &amp; HDD</v>
      </c>
      <c r="Y93" t="s">
        <v>58</v>
      </c>
      <c r="Z93" s="4" t="str">
        <f>_xlfn.CONCAT(laptop[[#This Row],[CPU_company]]," ",laptop[[#This Row],[GPU_model]])</f>
        <v>Intel GeForce MX150</v>
      </c>
    </row>
    <row r="94" spans="1:26" x14ac:dyDescent="0.25">
      <c r="A94" t="s">
        <v>36</v>
      </c>
      <c r="B94" t="s">
        <v>174</v>
      </c>
      <c r="C94" t="s">
        <v>38</v>
      </c>
      <c r="D94">
        <v>13.3</v>
      </c>
      <c r="E94">
        <v>16</v>
      </c>
      <c r="F94" t="s">
        <v>48</v>
      </c>
      <c r="G94">
        <v>1.49</v>
      </c>
      <c r="H94" s="16">
        <v>1197</v>
      </c>
      <c r="I94" t="s">
        <v>40</v>
      </c>
      <c r="J94">
        <v>1920</v>
      </c>
      <c r="K94">
        <v>1080</v>
      </c>
      <c r="L94" t="s">
        <v>27</v>
      </c>
      <c r="M94" t="s">
        <v>27</v>
      </c>
      <c r="N94" t="s">
        <v>27</v>
      </c>
      <c r="O94" t="s">
        <v>29</v>
      </c>
      <c r="P94">
        <v>1.8</v>
      </c>
      <c r="Q94" t="s">
        <v>57</v>
      </c>
      <c r="R94" t="str">
        <f>_xlfn.CONCAT(laptop[[#This Row],[CPU_company]]," ",laptop[[#This Row],[CPU_model]])</f>
        <v>Intel Core i7 8550U</v>
      </c>
      <c r="S94">
        <v>512</v>
      </c>
      <c r="T94">
        <v>0</v>
      </c>
      <c r="U94">
        <f>laptop[[#This Row],[PrimaryStorage]]+laptop[[#This Row],[SecondaryStorage]]</f>
        <v>512</v>
      </c>
      <c r="V94" t="s">
        <v>31</v>
      </c>
      <c r="W94" t="s">
        <v>27</v>
      </c>
      <c r="X94" t="str">
        <f>IF(laptop[[#This Row],[PrimaryStorageType]]=laptop[[#This Row],[SecondaryStorageType]],laptop[[#This Row],[PrimaryStorageType]],"SSD &amp; HDD")</f>
        <v>SSD &amp; HDD</v>
      </c>
      <c r="Y94" t="s">
        <v>61</v>
      </c>
      <c r="Z94" s="4" t="str">
        <f>_xlfn.CONCAT(laptop[[#This Row],[CPU_company]]," ",laptop[[#This Row],[GPU_model]])</f>
        <v>Intel UHD Graphics 620</v>
      </c>
    </row>
    <row r="95" spans="1:26" x14ac:dyDescent="0.25">
      <c r="A95" t="s">
        <v>65</v>
      </c>
      <c r="B95" t="s">
        <v>117</v>
      </c>
      <c r="C95" t="s">
        <v>83</v>
      </c>
      <c r="D95">
        <v>15.6</v>
      </c>
      <c r="E95">
        <v>8</v>
      </c>
      <c r="F95" t="s">
        <v>48</v>
      </c>
      <c r="G95">
        <v>2.65</v>
      </c>
      <c r="H95" s="16">
        <v>1195</v>
      </c>
      <c r="I95" t="s">
        <v>40</v>
      </c>
      <c r="J95">
        <v>1920</v>
      </c>
      <c r="K95">
        <v>1080</v>
      </c>
      <c r="L95" t="s">
        <v>27</v>
      </c>
      <c r="M95" t="s">
        <v>27</v>
      </c>
      <c r="N95" t="s">
        <v>27</v>
      </c>
      <c r="O95" t="s">
        <v>29</v>
      </c>
      <c r="P95">
        <v>2.5</v>
      </c>
      <c r="Q95" t="s">
        <v>84</v>
      </c>
      <c r="R95" t="str">
        <f>_xlfn.CONCAT(laptop[[#This Row],[CPU_company]]," ",laptop[[#This Row],[CPU_model]])</f>
        <v>Intel Core i5 7300HQ</v>
      </c>
      <c r="S95">
        <v>256</v>
      </c>
      <c r="T95">
        <v>0</v>
      </c>
      <c r="U95">
        <f>laptop[[#This Row],[PrimaryStorage]]+laptop[[#This Row],[SecondaryStorage]]</f>
        <v>256</v>
      </c>
      <c r="V95" t="s">
        <v>31</v>
      </c>
      <c r="W95" t="s">
        <v>27</v>
      </c>
      <c r="X95" t="str">
        <f>IF(laptop[[#This Row],[PrimaryStorageType]]=laptop[[#This Row],[SecondaryStorageType]],laptop[[#This Row],[PrimaryStorageType]],"SSD &amp; HDD")</f>
        <v>SSD &amp; HDD</v>
      </c>
      <c r="Y95" t="s">
        <v>119</v>
      </c>
      <c r="Z95" s="4" t="str">
        <f>_xlfn.CONCAT(laptop[[#This Row],[CPU_company]]," ",laptop[[#This Row],[GPU_model]])</f>
        <v>Intel GeForce GTX 1060</v>
      </c>
    </row>
    <row r="96" spans="1:26" x14ac:dyDescent="0.25">
      <c r="A96" t="s">
        <v>55</v>
      </c>
      <c r="B96" t="s">
        <v>175</v>
      </c>
      <c r="C96" t="s">
        <v>24</v>
      </c>
      <c r="D96">
        <v>14</v>
      </c>
      <c r="E96">
        <v>8</v>
      </c>
      <c r="F96" t="s">
        <v>48</v>
      </c>
      <c r="G96">
        <v>1.25</v>
      </c>
      <c r="H96" s="16">
        <v>1049</v>
      </c>
      <c r="I96" t="s">
        <v>40</v>
      </c>
      <c r="J96">
        <v>1920</v>
      </c>
      <c r="K96">
        <v>1080</v>
      </c>
      <c r="L96" t="s">
        <v>27</v>
      </c>
      <c r="M96" t="s">
        <v>27</v>
      </c>
      <c r="N96" t="s">
        <v>27</v>
      </c>
      <c r="O96" t="s">
        <v>29</v>
      </c>
      <c r="P96">
        <v>2.7</v>
      </c>
      <c r="Q96" t="s">
        <v>71</v>
      </c>
      <c r="R96" t="str">
        <f>_xlfn.CONCAT(laptop[[#This Row],[CPU_company]]," ",laptop[[#This Row],[CPU_model]])</f>
        <v>Intel Core i7 7500U</v>
      </c>
      <c r="S96">
        <v>256</v>
      </c>
      <c r="T96">
        <v>0</v>
      </c>
      <c r="U96">
        <f>laptop[[#This Row],[PrimaryStorage]]+laptop[[#This Row],[SecondaryStorage]]</f>
        <v>256</v>
      </c>
      <c r="V96" t="s">
        <v>31</v>
      </c>
      <c r="W96" t="s">
        <v>27</v>
      </c>
      <c r="X96" t="str">
        <f>IF(laptop[[#This Row],[PrimaryStorageType]]=laptop[[#This Row],[SecondaryStorageType]],laptop[[#This Row],[PrimaryStorageType]],"SSD &amp; HDD")</f>
        <v>SSD &amp; HDD</v>
      </c>
      <c r="Y96" t="s">
        <v>42</v>
      </c>
      <c r="Z96" s="4" t="str">
        <f>_xlfn.CONCAT(laptop[[#This Row],[CPU_company]]," ",laptop[[#This Row],[GPU_model]])</f>
        <v>Intel HD Graphics 620</v>
      </c>
    </row>
    <row r="97" spans="1:26" x14ac:dyDescent="0.25">
      <c r="A97" t="s">
        <v>46</v>
      </c>
      <c r="B97" t="s">
        <v>176</v>
      </c>
      <c r="C97" t="s">
        <v>90</v>
      </c>
      <c r="D97">
        <v>13.3</v>
      </c>
      <c r="E97">
        <v>8</v>
      </c>
      <c r="F97" t="s">
        <v>48</v>
      </c>
      <c r="G97">
        <v>1.5</v>
      </c>
      <c r="H97" s="16">
        <v>847</v>
      </c>
      <c r="I97" t="s">
        <v>40</v>
      </c>
      <c r="J97">
        <v>1920</v>
      </c>
      <c r="K97">
        <v>1080</v>
      </c>
      <c r="L97" t="s">
        <v>28</v>
      </c>
      <c r="M97" t="s">
        <v>28</v>
      </c>
      <c r="N97" t="s">
        <v>27</v>
      </c>
      <c r="O97" t="s">
        <v>29</v>
      </c>
      <c r="P97">
        <v>1.6</v>
      </c>
      <c r="Q97" t="s">
        <v>60</v>
      </c>
      <c r="R97" t="str">
        <f>_xlfn.CONCAT(laptop[[#This Row],[CPU_company]]," ",laptop[[#This Row],[CPU_model]])</f>
        <v>Intel Core i5 8250U</v>
      </c>
      <c r="S97">
        <v>256</v>
      </c>
      <c r="T97">
        <v>0</v>
      </c>
      <c r="U97">
        <f>laptop[[#This Row],[PrimaryStorage]]+laptop[[#This Row],[SecondaryStorage]]</f>
        <v>256</v>
      </c>
      <c r="V97" t="s">
        <v>31</v>
      </c>
      <c r="W97" t="s">
        <v>27</v>
      </c>
      <c r="X97" t="str">
        <f>IF(laptop[[#This Row],[PrimaryStorageType]]=laptop[[#This Row],[SecondaryStorageType]],laptop[[#This Row],[PrimaryStorageType]],"SSD &amp; HDD")</f>
        <v>SSD &amp; HDD</v>
      </c>
      <c r="Y97" t="s">
        <v>61</v>
      </c>
      <c r="Z97" s="4" t="str">
        <f>_xlfn.CONCAT(laptop[[#This Row],[CPU_company]]," ",laptop[[#This Row],[GPU_model]])</f>
        <v>Intel UHD Graphics 620</v>
      </c>
    </row>
    <row r="98" spans="1:26" x14ac:dyDescent="0.25">
      <c r="A98" t="s">
        <v>65</v>
      </c>
      <c r="B98" t="s">
        <v>66</v>
      </c>
      <c r="C98" t="s">
        <v>38</v>
      </c>
      <c r="D98">
        <v>15.6</v>
      </c>
      <c r="E98">
        <v>8</v>
      </c>
      <c r="F98" t="s">
        <v>111</v>
      </c>
      <c r="G98">
        <v>2.2000000000000002</v>
      </c>
      <c r="H98" s="16">
        <v>599.9</v>
      </c>
      <c r="I98" t="s">
        <v>40</v>
      </c>
      <c r="J98">
        <v>1920</v>
      </c>
      <c r="K98">
        <v>1080</v>
      </c>
      <c r="L98" t="s">
        <v>27</v>
      </c>
      <c r="M98" t="s">
        <v>27</v>
      </c>
      <c r="N98" t="s">
        <v>27</v>
      </c>
      <c r="O98" t="s">
        <v>29</v>
      </c>
      <c r="P98">
        <v>2.7</v>
      </c>
      <c r="Q98" t="s">
        <v>71</v>
      </c>
      <c r="R98" t="str">
        <f>_xlfn.CONCAT(laptop[[#This Row],[CPU_company]]," ",laptop[[#This Row],[CPU_model]])</f>
        <v>Intel Core i7 7500U</v>
      </c>
      <c r="S98">
        <v>1024</v>
      </c>
      <c r="T98">
        <v>0</v>
      </c>
      <c r="U98">
        <f>laptop[[#This Row],[PrimaryStorage]]+laptop[[#This Row],[SecondaryStorage]]</f>
        <v>1024</v>
      </c>
      <c r="V98" t="s">
        <v>51</v>
      </c>
      <c r="W98" t="s">
        <v>27</v>
      </c>
      <c r="X98" t="str">
        <f>IF(laptop[[#This Row],[PrimaryStorageType]]=laptop[[#This Row],[SecondaryStorageType]],laptop[[#This Row],[PrimaryStorageType]],"SSD &amp; HDD")</f>
        <v>SSD &amp; HDD</v>
      </c>
      <c r="Y98" t="s">
        <v>67</v>
      </c>
      <c r="Z98" s="4" t="str">
        <f>_xlfn.CONCAT(laptop[[#This Row],[CPU_company]]," ",laptop[[#This Row],[GPU_model]])</f>
        <v>Intel Radeon R5 M430</v>
      </c>
    </row>
    <row r="99" spans="1:26" x14ac:dyDescent="0.25">
      <c r="A99" t="s">
        <v>65</v>
      </c>
      <c r="B99" t="s">
        <v>66</v>
      </c>
      <c r="C99" t="s">
        <v>38</v>
      </c>
      <c r="D99">
        <v>15.6</v>
      </c>
      <c r="E99">
        <v>4</v>
      </c>
      <c r="F99" t="s">
        <v>111</v>
      </c>
      <c r="G99">
        <v>2.2000000000000002</v>
      </c>
      <c r="H99" s="16">
        <v>485</v>
      </c>
      <c r="I99" t="s">
        <v>40</v>
      </c>
      <c r="J99">
        <v>1920</v>
      </c>
      <c r="K99">
        <v>1080</v>
      </c>
      <c r="L99" t="s">
        <v>27</v>
      </c>
      <c r="M99" t="s">
        <v>27</v>
      </c>
      <c r="N99" t="s">
        <v>27</v>
      </c>
      <c r="O99" t="s">
        <v>29</v>
      </c>
      <c r="P99">
        <v>2</v>
      </c>
      <c r="Q99" t="s">
        <v>62</v>
      </c>
      <c r="R99" t="str">
        <f>_xlfn.CONCAT(laptop[[#This Row],[CPU_company]]," ",laptop[[#This Row],[CPU_model]])</f>
        <v>Intel Core i3 6006U</v>
      </c>
      <c r="S99">
        <v>256</v>
      </c>
      <c r="T99">
        <v>0</v>
      </c>
      <c r="U99">
        <f>laptop[[#This Row],[PrimaryStorage]]+laptop[[#This Row],[SecondaryStorage]]</f>
        <v>256</v>
      </c>
      <c r="V99" t="s">
        <v>31</v>
      </c>
      <c r="W99" t="s">
        <v>27</v>
      </c>
      <c r="X99" t="str">
        <f>IF(laptop[[#This Row],[PrimaryStorageType]]=laptop[[#This Row],[SecondaryStorageType]],laptop[[#This Row],[PrimaryStorageType]],"SSD &amp; HDD")</f>
        <v>SSD &amp; HDD</v>
      </c>
      <c r="Y99" t="s">
        <v>67</v>
      </c>
      <c r="Z99" s="4" t="str">
        <f>_xlfn.CONCAT(laptop[[#This Row],[CPU_company]]," ",laptop[[#This Row],[GPU_model]])</f>
        <v>Intel Radeon R5 M430</v>
      </c>
    </row>
    <row r="100" spans="1:26" x14ac:dyDescent="0.25">
      <c r="A100" t="s">
        <v>55</v>
      </c>
      <c r="B100" t="s">
        <v>177</v>
      </c>
      <c r="C100" t="s">
        <v>38</v>
      </c>
      <c r="D100">
        <v>15.6</v>
      </c>
      <c r="E100">
        <v>6</v>
      </c>
      <c r="F100" t="s">
        <v>48</v>
      </c>
      <c r="G100">
        <v>2</v>
      </c>
      <c r="H100" s="16">
        <v>577</v>
      </c>
      <c r="I100" t="s">
        <v>40</v>
      </c>
      <c r="J100">
        <v>1920</v>
      </c>
      <c r="K100">
        <v>1080</v>
      </c>
      <c r="L100" t="s">
        <v>27</v>
      </c>
      <c r="M100" t="s">
        <v>27</v>
      </c>
      <c r="N100" t="s">
        <v>27</v>
      </c>
      <c r="O100" t="s">
        <v>29</v>
      </c>
      <c r="P100">
        <v>2.4</v>
      </c>
      <c r="Q100" t="s">
        <v>75</v>
      </c>
      <c r="R100" t="str">
        <f>_xlfn.CONCAT(laptop[[#This Row],[CPU_company]]," ",laptop[[#This Row],[CPU_model]])</f>
        <v>Intel Core i3 7100U</v>
      </c>
      <c r="S100">
        <v>256</v>
      </c>
      <c r="T100">
        <v>0</v>
      </c>
      <c r="U100">
        <f>laptop[[#This Row],[PrimaryStorage]]+laptop[[#This Row],[SecondaryStorage]]</f>
        <v>256</v>
      </c>
      <c r="V100" t="s">
        <v>31</v>
      </c>
      <c r="W100" t="s">
        <v>27</v>
      </c>
      <c r="X100" t="str">
        <f>IF(laptop[[#This Row],[PrimaryStorageType]]=laptop[[#This Row],[SecondaryStorageType]],laptop[[#This Row],[PrimaryStorageType]],"SSD &amp; HDD")</f>
        <v>SSD &amp; HDD</v>
      </c>
      <c r="Y100" t="s">
        <v>178</v>
      </c>
      <c r="Z100" s="4" t="str">
        <f>_xlfn.CONCAT(laptop[[#This Row],[CPU_company]]," ",laptop[[#This Row],[GPU_model]])</f>
        <v>Intel GeForce 920M</v>
      </c>
    </row>
    <row r="101" spans="1:26" x14ac:dyDescent="0.25">
      <c r="A101" t="s">
        <v>36</v>
      </c>
      <c r="B101" t="s">
        <v>179</v>
      </c>
      <c r="C101" t="s">
        <v>83</v>
      </c>
      <c r="D101">
        <v>15.6</v>
      </c>
      <c r="E101">
        <v>12</v>
      </c>
      <c r="F101" t="s">
        <v>48</v>
      </c>
      <c r="G101">
        <v>2.62</v>
      </c>
      <c r="H101" s="16">
        <v>1249</v>
      </c>
      <c r="I101" t="s">
        <v>40</v>
      </c>
      <c r="J101">
        <v>1920</v>
      </c>
      <c r="K101">
        <v>1080</v>
      </c>
      <c r="L101" t="s">
        <v>27</v>
      </c>
      <c r="M101" t="s">
        <v>28</v>
      </c>
      <c r="N101" t="s">
        <v>27</v>
      </c>
      <c r="O101" t="s">
        <v>29</v>
      </c>
      <c r="P101">
        <v>2.8</v>
      </c>
      <c r="Q101" t="s">
        <v>118</v>
      </c>
      <c r="R101" t="str">
        <f>_xlfn.CONCAT(laptop[[#This Row],[CPU_company]]," ",laptop[[#This Row],[CPU_model]])</f>
        <v>Intel Core i7 7700HQ</v>
      </c>
      <c r="S101">
        <v>128</v>
      </c>
      <c r="T101">
        <v>1024</v>
      </c>
      <c r="U101">
        <f>laptop[[#This Row],[PrimaryStorage]]+laptop[[#This Row],[SecondaryStorage]]</f>
        <v>1152</v>
      </c>
      <c r="V101" t="s">
        <v>31</v>
      </c>
      <c r="W101" t="s">
        <v>51</v>
      </c>
      <c r="X101" t="str">
        <f>IF(laptop[[#This Row],[PrimaryStorageType]]=laptop[[#This Row],[SecondaryStorageType]],laptop[[#This Row],[PrimaryStorageType]],"SSD &amp; HDD")</f>
        <v>SSD &amp; HDD</v>
      </c>
      <c r="Y101" t="s">
        <v>85</v>
      </c>
      <c r="Z101" s="4" t="str">
        <f>_xlfn.CONCAT(laptop[[#This Row],[CPU_company]]," ",laptop[[#This Row],[GPU_model]])</f>
        <v>Intel GeForce GTX 1050</v>
      </c>
    </row>
    <row r="102" spans="1:26" x14ac:dyDescent="0.25">
      <c r="A102" t="s">
        <v>36</v>
      </c>
      <c r="B102" t="s">
        <v>180</v>
      </c>
      <c r="C102" t="s">
        <v>38</v>
      </c>
      <c r="D102">
        <v>15.6</v>
      </c>
      <c r="E102">
        <v>8</v>
      </c>
      <c r="F102" t="s">
        <v>48</v>
      </c>
      <c r="G102">
        <v>1.91</v>
      </c>
      <c r="H102" s="16">
        <v>719</v>
      </c>
      <c r="I102" t="s">
        <v>40</v>
      </c>
      <c r="J102">
        <v>1920</v>
      </c>
      <c r="K102">
        <v>1080</v>
      </c>
      <c r="L102" t="s">
        <v>27</v>
      </c>
      <c r="M102" t="s">
        <v>27</v>
      </c>
      <c r="N102" t="s">
        <v>27</v>
      </c>
      <c r="O102" t="s">
        <v>29</v>
      </c>
      <c r="P102">
        <v>2.7</v>
      </c>
      <c r="Q102" t="s">
        <v>71</v>
      </c>
      <c r="R102" t="str">
        <f>_xlfn.CONCAT(laptop[[#This Row],[CPU_company]]," ",laptop[[#This Row],[CPU_model]])</f>
        <v>Intel Core i7 7500U</v>
      </c>
      <c r="S102">
        <v>256</v>
      </c>
      <c r="T102">
        <v>0</v>
      </c>
      <c r="U102">
        <f>laptop[[#This Row],[PrimaryStorage]]+laptop[[#This Row],[SecondaryStorage]]</f>
        <v>256</v>
      </c>
      <c r="V102" t="s">
        <v>31</v>
      </c>
      <c r="W102" t="s">
        <v>27</v>
      </c>
      <c r="X102" t="str">
        <f>IF(laptop[[#This Row],[PrimaryStorageType]]=laptop[[#This Row],[SecondaryStorageType]],laptop[[#This Row],[PrimaryStorageType]],"SSD &amp; HDD")</f>
        <v>SSD &amp; HDD</v>
      </c>
      <c r="Y102" t="s">
        <v>94</v>
      </c>
      <c r="Z102" s="4" t="str">
        <f>_xlfn.CONCAT(laptop[[#This Row],[CPU_company]]," ",laptop[[#This Row],[GPU_model]])</f>
        <v>Intel Radeon 530</v>
      </c>
    </row>
    <row r="103" spans="1:26" x14ac:dyDescent="0.25">
      <c r="A103" t="s">
        <v>36</v>
      </c>
      <c r="B103" t="s">
        <v>181</v>
      </c>
      <c r="C103" t="s">
        <v>38</v>
      </c>
      <c r="D103">
        <v>15.6</v>
      </c>
      <c r="E103">
        <v>4</v>
      </c>
      <c r="F103" t="s">
        <v>48</v>
      </c>
      <c r="G103">
        <v>2.1</v>
      </c>
      <c r="H103" s="16">
        <v>349</v>
      </c>
      <c r="I103" t="s">
        <v>40</v>
      </c>
      <c r="J103">
        <v>1920</v>
      </c>
      <c r="K103">
        <v>1080</v>
      </c>
      <c r="L103" t="s">
        <v>27</v>
      </c>
      <c r="M103" t="s">
        <v>27</v>
      </c>
      <c r="N103" t="s">
        <v>27</v>
      </c>
      <c r="O103" t="s">
        <v>49</v>
      </c>
      <c r="P103">
        <v>1.5</v>
      </c>
      <c r="Q103" t="s">
        <v>87</v>
      </c>
      <c r="R103" t="str">
        <f>_xlfn.CONCAT(laptop[[#This Row],[CPU_company]]," ",laptop[[#This Row],[CPU_model]])</f>
        <v>AMD E-Series E2-9000e</v>
      </c>
      <c r="S103">
        <v>500</v>
      </c>
      <c r="T103">
        <v>0</v>
      </c>
      <c r="U103">
        <f>laptop[[#This Row],[PrimaryStorage]]+laptop[[#This Row],[SecondaryStorage]]</f>
        <v>500</v>
      </c>
      <c r="V103" t="s">
        <v>51</v>
      </c>
      <c r="W103" t="s">
        <v>27</v>
      </c>
      <c r="X103" t="str">
        <f>IF(laptop[[#This Row],[PrimaryStorageType]]=laptop[[#This Row],[SecondaryStorageType]],laptop[[#This Row],[PrimaryStorageType]],"SSD &amp; HDD")</f>
        <v>SSD &amp; HDD</v>
      </c>
      <c r="Y103" t="s">
        <v>88</v>
      </c>
      <c r="Z103" s="4" t="str">
        <f>_xlfn.CONCAT(laptop[[#This Row],[CPU_company]]," ",laptop[[#This Row],[GPU_model]])</f>
        <v>AMD Radeon R2</v>
      </c>
    </row>
    <row r="104" spans="1:26" x14ac:dyDescent="0.25">
      <c r="A104" t="s">
        <v>65</v>
      </c>
      <c r="B104" t="s">
        <v>137</v>
      </c>
      <c r="C104" t="s">
        <v>38</v>
      </c>
      <c r="D104">
        <v>15.6</v>
      </c>
      <c r="E104">
        <v>8</v>
      </c>
      <c r="F104" t="s">
        <v>111</v>
      </c>
      <c r="G104">
        <v>2.2000000000000002</v>
      </c>
      <c r="H104" s="16">
        <v>647</v>
      </c>
      <c r="I104" t="s">
        <v>40</v>
      </c>
      <c r="J104">
        <v>1920</v>
      </c>
      <c r="K104">
        <v>1080</v>
      </c>
      <c r="L104" t="s">
        <v>27</v>
      </c>
      <c r="M104" t="s">
        <v>27</v>
      </c>
      <c r="N104" t="s">
        <v>27</v>
      </c>
      <c r="O104" t="s">
        <v>29</v>
      </c>
      <c r="P104">
        <v>1.6</v>
      </c>
      <c r="Q104" t="s">
        <v>60</v>
      </c>
      <c r="R104" t="str">
        <f>_xlfn.CONCAT(laptop[[#This Row],[CPU_company]]," ",laptop[[#This Row],[CPU_model]])</f>
        <v>Intel Core i5 8250U</v>
      </c>
      <c r="S104">
        <v>1024</v>
      </c>
      <c r="T104">
        <v>0</v>
      </c>
      <c r="U104">
        <f>laptop[[#This Row],[PrimaryStorage]]+laptop[[#This Row],[SecondaryStorage]]</f>
        <v>1024</v>
      </c>
      <c r="V104" t="s">
        <v>51</v>
      </c>
      <c r="W104" t="s">
        <v>27</v>
      </c>
      <c r="X104" t="str">
        <f>IF(laptop[[#This Row],[PrimaryStorageType]]=laptop[[#This Row],[SecondaryStorageType]],laptop[[#This Row],[PrimaryStorageType]],"SSD &amp; HDD")</f>
        <v>SSD &amp; HDD</v>
      </c>
      <c r="Y104" t="s">
        <v>138</v>
      </c>
      <c r="Z104" s="4" t="str">
        <f>_xlfn.CONCAT(laptop[[#This Row],[CPU_company]]," ",laptop[[#This Row],[GPU_model]])</f>
        <v>Intel Radeon 520</v>
      </c>
    </row>
    <row r="105" spans="1:26" x14ac:dyDescent="0.25">
      <c r="A105" t="s">
        <v>36</v>
      </c>
      <c r="B105" t="s">
        <v>182</v>
      </c>
      <c r="C105" t="s">
        <v>24</v>
      </c>
      <c r="D105">
        <v>13.3</v>
      </c>
      <c r="E105">
        <v>8</v>
      </c>
      <c r="F105" t="s">
        <v>48</v>
      </c>
      <c r="G105">
        <v>1.38</v>
      </c>
      <c r="H105" s="16">
        <v>1119</v>
      </c>
      <c r="I105" t="s">
        <v>40</v>
      </c>
      <c r="J105">
        <v>1920</v>
      </c>
      <c r="K105">
        <v>1080</v>
      </c>
      <c r="L105" t="s">
        <v>27</v>
      </c>
      <c r="M105" t="s">
        <v>28</v>
      </c>
      <c r="N105" t="s">
        <v>27</v>
      </c>
      <c r="O105" t="s">
        <v>29</v>
      </c>
      <c r="P105">
        <v>2.7</v>
      </c>
      <c r="Q105" t="s">
        <v>71</v>
      </c>
      <c r="R105" t="str">
        <f>_xlfn.CONCAT(laptop[[#This Row],[CPU_company]]," ",laptop[[#This Row],[CPU_model]])</f>
        <v>Intel Core i7 7500U</v>
      </c>
      <c r="S105">
        <v>256</v>
      </c>
      <c r="T105">
        <v>0</v>
      </c>
      <c r="U105">
        <f>laptop[[#This Row],[PrimaryStorage]]+laptop[[#This Row],[SecondaryStorage]]</f>
        <v>256</v>
      </c>
      <c r="V105" t="s">
        <v>31</v>
      </c>
      <c r="W105" t="s">
        <v>27</v>
      </c>
      <c r="X105" t="str">
        <f>IF(laptop[[#This Row],[PrimaryStorageType]]=laptop[[#This Row],[SecondaryStorageType]],laptop[[#This Row],[PrimaryStorageType]],"SSD &amp; HDD")</f>
        <v>SSD &amp; HDD</v>
      </c>
      <c r="Y105" t="s">
        <v>58</v>
      </c>
      <c r="Z105" s="4" t="str">
        <f>_xlfn.CONCAT(laptop[[#This Row],[CPU_company]]," ",laptop[[#This Row],[GPU_model]])</f>
        <v>Intel GeForce MX150</v>
      </c>
    </row>
    <row r="106" spans="1:26" x14ac:dyDescent="0.25">
      <c r="A106" t="s">
        <v>154</v>
      </c>
      <c r="B106" t="s">
        <v>155</v>
      </c>
      <c r="C106" t="s">
        <v>24</v>
      </c>
      <c r="D106">
        <v>13.5</v>
      </c>
      <c r="E106">
        <v>8</v>
      </c>
      <c r="F106" t="s">
        <v>156</v>
      </c>
      <c r="G106">
        <v>1.252</v>
      </c>
      <c r="H106" s="16">
        <v>1340</v>
      </c>
      <c r="I106" t="s">
        <v>26</v>
      </c>
      <c r="J106">
        <v>2256</v>
      </c>
      <c r="K106">
        <v>1504</v>
      </c>
      <c r="L106" t="s">
        <v>28</v>
      </c>
      <c r="M106" t="s">
        <v>27</v>
      </c>
      <c r="N106" t="s">
        <v>27</v>
      </c>
      <c r="O106" t="s">
        <v>29</v>
      </c>
      <c r="P106">
        <v>2.5</v>
      </c>
      <c r="Q106" t="s">
        <v>41</v>
      </c>
      <c r="R106" t="str">
        <f>_xlfn.CONCAT(laptop[[#This Row],[CPU_company]]," ",laptop[[#This Row],[CPU_model]])</f>
        <v>Intel Core i5 7200U</v>
      </c>
      <c r="S106">
        <v>256</v>
      </c>
      <c r="T106">
        <v>0</v>
      </c>
      <c r="U106">
        <f>laptop[[#This Row],[PrimaryStorage]]+laptop[[#This Row],[SecondaryStorage]]</f>
        <v>256</v>
      </c>
      <c r="V106" t="s">
        <v>31</v>
      </c>
      <c r="W106" t="s">
        <v>27</v>
      </c>
      <c r="X106" t="str">
        <f>IF(laptop[[#This Row],[PrimaryStorageType]]=laptop[[#This Row],[SecondaryStorageType]],laptop[[#This Row],[PrimaryStorageType]],"SSD &amp; HDD")</f>
        <v>SSD &amp; HDD</v>
      </c>
      <c r="Y106" t="s">
        <v>42</v>
      </c>
      <c r="Z106" s="4" t="str">
        <f>_xlfn.CONCAT(laptop[[#This Row],[CPU_company]]," ",laptop[[#This Row],[GPU_model]])</f>
        <v>Intel HD Graphics 620</v>
      </c>
    </row>
    <row r="107" spans="1:26" x14ac:dyDescent="0.25">
      <c r="A107" t="s">
        <v>36</v>
      </c>
      <c r="B107" t="s">
        <v>183</v>
      </c>
      <c r="C107" t="s">
        <v>38</v>
      </c>
      <c r="D107">
        <v>14</v>
      </c>
      <c r="E107">
        <v>6</v>
      </c>
      <c r="F107" t="s">
        <v>48</v>
      </c>
      <c r="G107">
        <v>1.58</v>
      </c>
      <c r="H107" s="16">
        <v>659</v>
      </c>
      <c r="I107" t="s">
        <v>40</v>
      </c>
      <c r="J107">
        <v>1920</v>
      </c>
      <c r="K107">
        <v>1080</v>
      </c>
      <c r="L107" t="s">
        <v>27</v>
      </c>
      <c r="M107" t="s">
        <v>28</v>
      </c>
      <c r="N107" t="s">
        <v>27</v>
      </c>
      <c r="O107" t="s">
        <v>29</v>
      </c>
      <c r="P107">
        <v>2.5</v>
      </c>
      <c r="Q107" t="s">
        <v>41</v>
      </c>
      <c r="R107" t="str">
        <f>_xlfn.CONCAT(laptop[[#This Row],[CPU_company]]," ",laptop[[#This Row],[CPU_model]])</f>
        <v>Intel Core i5 7200U</v>
      </c>
      <c r="S107">
        <v>256</v>
      </c>
      <c r="T107">
        <v>0</v>
      </c>
      <c r="U107">
        <f>laptop[[#This Row],[PrimaryStorage]]+laptop[[#This Row],[SecondaryStorage]]</f>
        <v>256</v>
      </c>
      <c r="V107" t="s">
        <v>31</v>
      </c>
      <c r="W107" t="s">
        <v>27</v>
      </c>
      <c r="X107" t="str">
        <f>IF(laptop[[#This Row],[PrimaryStorageType]]=laptop[[#This Row],[SecondaryStorageType]],laptop[[#This Row],[PrimaryStorageType]],"SSD &amp; HDD")</f>
        <v>SSD &amp; HDD</v>
      </c>
      <c r="Y107" t="s">
        <v>76</v>
      </c>
      <c r="Z107" s="4" t="str">
        <f>_xlfn.CONCAT(laptop[[#This Row],[CPU_company]]," ",laptop[[#This Row],[GPU_model]])</f>
        <v>Intel GeForce 940MX</v>
      </c>
    </row>
    <row r="108" spans="1:26" x14ac:dyDescent="0.25">
      <c r="A108" t="s">
        <v>73</v>
      </c>
      <c r="B108" t="s">
        <v>184</v>
      </c>
      <c r="C108" t="s">
        <v>38</v>
      </c>
      <c r="D108">
        <v>15.6</v>
      </c>
      <c r="E108">
        <v>4</v>
      </c>
      <c r="F108" t="s">
        <v>48</v>
      </c>
      <c r="G108">
        <v>1.85</v>
      </c>
      <c r="H108" s="16">
        <v>414.9</v>
      </c>
      <c r="I108" t="s">
        <v>40</v>
      </c>
      <c r="J108">
        <v>1920</v>
      </c>
      <c r="K108">
        <v>1080</v>
      </c>
      <c r="L108" t="s">
        <v>27</v>
      </c>
      <c r="M108" t="s">
        <v>27</v>
      </c>
      <c r="N108" t="s">
        <v>27</v>
      </c>
      <c r="O108" t="s">
        <v>29</v>
      </c>
      <c r="P108">
        <v>2</v>
      </c>
      <c r="Q108" t="s">
        <v>62</v>
      </c>
      <c r="R108" t="str">
        <f>_xlfn.CONCAT(laptop[[#This Row],[CPU_company]]," ",laptop[[#This Row],[CPU_model]])</f>
        <v>Intel Core i3 6006U</v>
      </c>
      <c r="S108">
        <v>1024</v>
      </c>
      <c r="T108">
        <v>0</v>
      </c>
      <c r="U108">
        <f>laptop[[#This Row],[PrimaryStorage]]+laptop[[#This Row],[SecondaryStorage]]</f>
        <v>1024</v>
      </c>
      <c r="V108" t="s">
        <v>51</v>
      </c>
      <c r="W108" t="s">
        <v>27</v>
      </c>
      <c r="X108" t="str">
        <f>IF(laptop[[#This Row],[PrimaryStorageType]]=laptop[[#This Row],[SecondaryStorageType]],laptop[[#This Row],[PrimaryStorageType]],"SSD &amp; HDD")</f>
        <v>SSD &amp; HDD</v>
      </c>
      <c r="Y108" t="s">
        <v>63</v>
      </c>
      <c r="Z108" s="4" t="str">
        <f>_xlfn.CONCAT(laptop[[#This Row],[CPU_company]]," ",laptop[[#This Row],[GPU_model]])</f>
        <v>Intel HD Graphics 520</v>
      </c>
    </row>
    <row r="109" spans="1:26" x14ac:dyDescent="0.25">
      <c r="A109" t="s">
        <v>55</v>
      </c>
      <c r="B109" t="s">
        <v>185</v>
      </c>
      <c r="C109" t="s">
        <v>24</v>
      </c>
      <c r="D109">
        <v>14</v>
      </c>
      <c r="E109">
        <v>8</v>
      </c>
      <c r="F109" t="s">
        <v>48</v>
      </c>
      <c r="G109">
        <v>1.3</v>
      </c>
      <c r="H109" s="16">
        <v>1193</v>
      </c>
      <c r="I109" t="s">
        <v>40</v>
      </c>
      <c r="J109">
        <v>1920</v>
      </c>
      <c r="K109">
        <v>1080</v>
      </c>
      <c r="L109" t="s">
        <v>27</v>
      </c>
      <c r="M109" t="s">
        <v>28</v>
      </c>
      <c r="N109" t="s">
        <v>27</v>
      </c>
      <c r="O109" t="s">
        <v>29</v>
      </c>
      <c r="P109">
        <v>2.7</v>
      </c>
      <c r="Q109" t="s">
        <v>71</v>
      </c>
      <c r="R109" t="str">
        <f>_xlfn.CONCAT(laptop[[#This Row],[CPU_company]]," ",laptop[[#This Row],[CPU_model]])</f>
        <v>Intel Core i7 7500U</v>
      </c>
      <c r="S109">
        <v>256</v>
      </c>
      <c r="T109">
        <v>0</v>
      </c>
      <c r="U109">
        <f>laptop[[#This Row],[PrimaryStorage]]+laptop[[#This Row],[SecondaryStorage]]</f>
        <v>256</v>
      </c>
      <c r="V109" t="s">
        <v>31</v>
      </c>
      <c r="W109" t="s">
        <v>27</v>
      </c>
      <c r="X109" t="str">
        <f>IF(laptop[[#This Row],[PrimaryStorageType]]=laptop[[#This Row],[SecondaryStorageType]],laptop[[#This Row],[PrimaryStorageType]],"SSD &amp; HDD")</f>
        <v>SSD &amp; HDD</v>
      </c>
      <c r="Y109" t="s">
        <v>76</v>
      </c>
      <c r="Z109" s="4" t="str">
        <f>_xlfn.CONCAT(laptop[[#This Row],[CPU_company]]," ",laptop[[#This Row],[GPU_model]])</f>
        <v>Intel GeForce 940MX</v>
      </c>
    </row>
    <row r="110" spans="1:26" x14ac:dyDescent="0.25">
      <c r="A110" t="s">
        <v>141</v>
      </c>
      <c r="B110" t="s">
        <v>186</v>
      </c>
      <c r="C110" t="s">
        <v>83</v>
      </c>
      <c r="D110">
        <v>15.6</v>
      </c>
      <c r="E110">
        <v>16</v>
      </c>
      <c r="F110" t="s">
        <v>48</v>
      </c>
      <c r="G110">
        <v>2.2000000000000002</v>
      </c>
      <c r="H110" s="16">
        <v>1299</v>
      </c>
      <c r="I110" t="s">
        <v>40</v>
      </c>
      <c r="J110">
        <v>1920</v>
      </c>
      <c r="K110">
        <v>1080</v>
      </c>
      <c r="L110" t="s">
        <v>27</v>
      </c>
      <c r="M110" t="s">
        <v>27</v>
      </c>
      <c r="N110" t="s">
        <v>27</v>
      </c>
      <c r="O110" t="s">
        <v>29</v>
      </c>
      <c r="P110">
        <v>2.8</v>
      </c>
      <c r="Q110" t="s">
        <v>118</v>
      </c>
      <c r="R110" t="str">
        <f>_xlfn.CONCAT(laptop[[#This Row],[CPU_company]]," ",laptop[[#This Row],[CPU_model]])</f>
        <v>Intel Core i7 7700HQ</v>
      </c>
      <c r="S110">
        <v>256</v>
      </c>
      <c r="T110">
        <v>1024</v>
      </c>
      <c r="U110">
        <f>laptop[[#This Row],[PrimaryStorage]]+laptop[[#This Row],[SecondaryStorage]]</f>
        <v>1280</v>
      </c>
      <c r="V110" t="s">
        <v>31</v>
      </c>
      <c r="W110" t="s">
        <v>51</v>
      </c>
      <c r="X110" t="str">
        <f>IF(laptop[[#This Row],[PrimaryStorageType]]=laptop[[#This Row],[SecondaryStorageType]],laptop[[#This Row],[PrimaryStorageType]],"SSD &amp; HDD")</f>
        <v>SSD &amp; HDD</v>
      </c>
      <c r="Y110" t="s">
        <v>149</v>
      </c>
      <c r="Z110" s="4" t="str">
        <f>_xlfn.CONCAT(laptop[[#This Row],[CPU_company]]," ",laptop[[#This Row],[GPU_model]])</f>
        <v>Intel GeForce GTX 1050 Ti</v>
      </c>
    </row>
    <row r="111" spans="1:26" x14ac:dyDescent="0.25">
      <c r="A111" t="s">
        <v>73</v>
      </c>
      <c r="B111" t="s">
        <v>187</v>
      </c>
      <c r="C111" t="s">
        <v>38</v>
      </c>
      <c r="D111">
        <v>14</v>
      </c>
      <c r="E111">
        <v>8</v>
      </c>
      <c r="F111" t="s">
        <v>48</v>
      </c>
      <c r="G111">
        <v>1.58</v>
      </c>
      <c r="H111" s="16">
        <v>1480</v>
      </c>
      <c r="I111" t="s">
        <v>40</v>
      </c>
      <c r="J111">
        <v>1920</v>
      </c>
      <c r="K111">
        <v>1080</v>
      </c>
      <c r="L111" t="s">
        <v>27</v>
      </c>
      <c r="M111" t="s">
        <v>28</v>
      </c>
      <c r="N111" t="s">
        <v>27</v>
      </c>
      <c r="O111" t="s">
        <v>29</v>
      </c>
      <c r="P111">
        <v>2.7</v>
      </c>
      <c r="Q111" t="s">
        <v>71</v>
      </c>
      <c r="R111" t="str">
        <f>_xlfn.CONCAT(laptop[[#This Row],[CPU_company]]," ",laptop[[#This Row],[CPU_model]])</f>
        <v>Intel Core i7 7500U</v>
      </c>
      <c r="S111">
        <v>256</v>
      </c>
      <c r="T111">
        <v>0</v>
      </c>
      <c r="U111">
        <f>laptop[[#This Row],[PrimaryStorage]]+laptop[[#This Row],[SecondaryStorage]]</f>
        <v>256</v>
      </c>
      <c r="V111" t="s">
        <v>31</v>
      </c>
      <c r="W111" t="s">
        <v>27</v>
      </c>
      <c r="X111" t="str">
        <f>IF(laptop[[#This Row],[PrimaryStorageType]]=laptop[[#This Row],[SecondaryStorageType]],laptop[[#This Row],[PrimaryStorageType]],"SSD &amp; HDD")</f>
        <v>SSD &amp; HDD</v>
      </c>
      <c r="Y111" t="s">
        <v>42</v>
      </c>
      <c r="Z111" s="4" t="str">
        <f>_xlfn.CONCAT(laptop[[#This Row],[CPU_company]]," ",laptop[[#This Row],[GPU_model]])</f>
        <v>Intel HD Graphics 620</v>
      </c>
    </row>
    <row r="112" spans="1:26" x14ac:dyDescent="0.25">
      <c r="A112" t="s">
        <v>55</v>
      </c>
      <c r="B112" t="s">
        <v>188</v>
      </c>
      <c r="C112" t="s">
        <v>24</v>
      </c>
      <c r="D112">
        <v>15.6</v>
      </c>
      <c r="E112">
        <v>16</v>
      </c>
      <c r="F112" t="s">
        <v>48</v>
      </c>
      <c r="G112">
        <v>1.5</v>
      </c>
      <c r="H112" s="16">
        <v>1262</v>
      </c>
      <c r="I112" t="s">
        <v>40</v>
      </c>
      <c r="J112">
        <v>1920</v>
      </c>
      <c r="K112">
        <v>1080</v>
      </c>
      <c r="L112" t="s">
        <v>27</v>
      </c>
      <c r="M112" t="s">
        <v>27</v>
      </c>
      <c r="N112" t="s">
        <v>27</v>
      </c>
      <c r="O112" t="s">
        <v>29</v>
      </c>
      <c r="P112">
        <v>1.8</v>
      </c>
      <c r="Q112" t="s">
        <v>57</v>
      </c>
      <c r="R112" t="str">
        <f>_xlfn.CONCAT(laptop[[#This Row],[CPU_company]]," ",laptop[[#This Row],[CPU_model]])</f>
        <v>Intel Core i7 8550U</v>
      </c>
      <c r="S112">
        <v>256</v>
      </c>
      <c r="T112">
        <v>1024</v>
      </c>
      <c r="U112">
        <f>laptop[[#This Row],[PrimaryStorage]]+laptop[[#This Row],[SecondaryStorage]]</f>
        <v>1280</v>
      </c>
      <c r="V112" t="s">
        <v>31</v>
      </c>
      <c r="W112" t="s">
        <v>51</v>
      </c>
      <c r="X112" t="str">
        <f>IF(laptop[[#This Row],[PrimaryStorageType]]=laptop[[#This Row],[SecondaryStorageType]],laptop[[#This Row],[PrimaryStorageType]],"SSD &amp; HDD")</f>
        <v>SSD &amp; HDD</v>
      </c>
      <c r="Y112" t="s">
        <v>58</v>
      </c>
      <c r="Z112" s="4" t="str">
        <f>_xlfn.CONCAT(laptop[[#This Row],[CPU_company]]," ",laptop[[#This Row],[GPU_model]])</f>
        <v>Intel GeForce MX150</v>
      </c>
    </row>
    <row r="113" spans="1:26" x14ac:dyDescent="0.25">
      <c r="A113" t="s">
        <v>65</v>
      </c>
      <c r="B113" t="s">
        <v>77</v>
      </c>
      <c r="C113" t="s">
        <v>24</v>
      </c>
      <c r="D113">
        <v>13.3</v>
      </c>
      <c r="E113">
        <v>8</v>
      </c>
      <c r="F113" t="s">
        <v>48</v>
      </c>
      <c r="G113">
        <v>1.23</v>
      </c>
      <c r="H113" s="16">
        <v>1379</v>
      </c>
      <c r="I113" t="s">
        <v>107</v>
      </c>
      <c r="J113">
        <v>3200</v>
      </c>
      <c r="K113">
        <v>1800</v>
      </c>
      <c r="L113" t="s">
        <v>28</v>
      </c>
      <c r="M113" t="s">
        <v>27</v>
      </c>
      <c r="N113" t="s">
        <v>27</v>
      </c>
      <c r="O113" t="s">
        <v>29</v>
      </c>
      <c r="P113">
        <v>2.4</v>
      </c>
      <c r="Q113" t="s">
        <v>189</v>
      </c>
      <c r="R113" t="str">
        <f>_xlfn.CONCAT(laptop[[#This Row],[CPU_company]]," ",laptop[[#This Row],[CPU_model]])</f>
        <v>Intel Core i7 7560U</v>
      </c>
      <c r="S113">
        <v>256</v>
      </c>
      <c r="T113">
        <v>0</v>
      </c>
      <c r="U113">
        <f>laptop[[#This Row],[PrimaryStorage]]+laptop[[#This Row],[SecondaryStorage]]</f>
        <v>256</v>
      </c>
      <c r="V113" t="s">
        <v>31</v>
      </c>
      <c r="W113" t="s">
        <v>27</v>
      </c>
      <c r="X113" t="str">
        <f>IF(laptop[[#This Row],[PrimaryStorageType]]=laptop[[#This Row],[SecondaryStorageType]],laptop[[#This Row],[PrimaryStorageType]],"SSD &amp; HDD")</f>
        <v>SSD &amp; HDD</v>
      </c>
      <c r="Y113" t="s">
        <v>32</v>
      </c>
      <c r="Z113" s="4" t="str">
        <f>_xlfn.CONCAT(laptop[[#This Row],[CPU_company]]," ",laptop[[#This Row],[GPU_model]])</f>
        <v>Intel Iris Plus Graphics 640</v>
      </c>
    </row>
    <row r="114" spans="1:26" x14ac:dyDescent="0.25">
      <c r="A114" t="s">
        <v>73</v>
      </c>
      <c r="B114" t="s">
        <v>190</v>
      </c>
      <c r="C114" t="s">
        <v>90</v>
      </c>
      <c r="D114">
        <v>13.3</v>
      </c>
      <c r="E114">
        <v>8</v>
      </c>
      <c r="F114" t="s">
        <v>48</v>
      </c>
      <c r="G114">
        <v>1.37</v>
      </c>
      <c r="H114" s="16">
        <v>1399</v>
      </c>
      <c r="I114" t="s">
        <v>40</v>
      </c>
      <c r="J114">
        <v>1920</v>
      </c>
      <c r="K114">
        <v>1080</v>
      </c>
      <c r="L114" t="s">
        <v>28</v>
      </c>
      <c r="M114" t="s">
        <v>28</v>
      </c>
      <c r="N114" t="s">
        <v>27</v>
      </c>
      <c r="O114" t="s">
        <v>29</v>
      </c>
      <c r="P114">
        <v>2.5</v>
      </c>
      <c r="Q114" t="s">
        <v>41</v>
      </c>
      <c r="R114" t="str">
        <f>_xlfn.CONCAT(laptop[[#This Row],[CPU_company]]," ",laptop[[#This Row],[CPU_model]])</f>
        <v>Intel Core i5 7200U</v>
      </c>
      <c r="S114">
        <v>256</v>
      </c>
      <c r="T114">
        <v>0</v>
      </c>
      <c r="U114">
        <f>laptop[[#This Row],[PrimaryStorage]]+laptop[[#This Row],[SecondaryStorage]]</f>
        <v>256</v>
      </c>
      <c r="V114" t="s">
        <v>31</v>
      </c>
      <c r="W114" t="s">
        <v>27</v>
      </c>
      <c r="X114" t="str">
        <f>IF(laptop[[#This Row],[PrimaryStorageType]]=laptop[[#This Row],[SecondaryStorageType]],laptop[[#This Row],[PrimaryStorageType]],"SSD &amp; HDD")</f>
        <v>SSD &amp; HDD</v>
      </c>
      <c r="Y114" t="s">
        <v>42</v>
      </c>
      <c r="Z114" s="4" t="str">
        <f>_xlfn.CONCAT(laptop[[#This Row],[CPU_company]]," ",laptop[[#This Row],[GPU_model]])</f>
        <v>Intel HD Graphics 620</v>
      </c>
    </row>
    <row r="115" spans="1:26" x14ac:dyDescent="0.25">
      <c r="A115" t="s">
        <v>36</v>
      </c>
      <c r="B115" t="s">
        <v>191</v>
      </c>
      <c r="C115" t="s">
        <v>38</v>
      </c>
      <c r="D115">
        <v>14</v>
      </c>
      <c r="E115">
        <v>4</v>
      </c>
      <c r="F115" t="s">
        <v>48</v>
      </c>
      <c r="G115">
        <v>1.63</v>
      </c>
      <c r="H115" s="16">
        <v>722</v>
      </c>
      <c r="I115" t="s">
        <v>26</v>
      </c>
      <c r="J115">
        <v>1366</v>
      </c>
      <c r="K115">
        <v>768</v>
      </c>
      <c r="L115" t="s">
        <v>27</v>
      </c>
      <c r="M115" t="s">
        <v>28</v>
      </c>
      <c r="N115" t="s">
        <v>27</v>
      </c>
      <c r="O115" t="s">
        <v>29</v>
      </c>
      <c r="P115">
        <v>1.6</v>
      </c>
      <c r="Q115" t="s">
        <v>60</v>
      </c>
      <c r="R115" t="str">
        <f>_xlfn.CONCAT(laptop[[#This Row],[CPU_company]]," ",laptop[[#This Row],[CPU_model]])</f>
        <v>Intel Core i5 8250U</v>
      </c>
      <c r="S115">
        <v>500</v>
      </c>
      <c r="T115">
        <v>0</v>
      </c>
      <c r="U115">
        <f>laptop[[#This Row],[PrimaryStorage]]+laptop[[#This Row],[SecondaryStorage]]</f>
        <v>500</v>
      </c>
      <c r="V115" t="s">
        <v>51</v>
      </c>
      <c r="W115" t="s">
        <v>27</v>
      </c>
      <c r="X115" t="str">
        <f>IF(laptop[[#This Row],[PrimaryStorageType]]=laptop[[#This Row],[SecondaryStorageType]],laptop[[#This Row],[PrimaryStorageType]],"SSD &amp; HDD")</f>
        <v>SSD &amp; HDD</v>
      </c>
      <c r="Y115" t="s">
        <v>61</v>
      </c>
      <c r="Z115" s="4" t="str">
        <f>_xlfn.CONCAT(laptop[[#This Row],[CPU_company]]," ",laptop[[#This Row],[GPU_model]])</f>
        <v>Intel UHD Graphics 620</v>
      </c>
    </row>
    <row r="116" spans="1:26" x14ac:dyDescent="0.25">
      <c r="A116" t="s">
        <v>65</v>
      </c>
      <c r="B116" t="s">
        <v>77</v>
      </c>
      <c r="C116" t="s">
        <v>24</v>
      </c>
      <c r="D116">
        <v>13.3</v>
      </c>
      <c r="E116">
        <v>8</v>
      </c>
      <c r="F116" t="s">
        <v>48</v>
      </c>
      <c r="G116">
        <v>1.21</v>
      </c>
      <c r="H116" s="16">
        <v>1629</v>
      </c>
      <c r="I116" t="s">
        <v>40</v>
      </c>
      <c r="J116">
        <v>1920</v>
      </c>
      <c r="K116">
        <v>1080</v>
      </c>
      <c r="L116" t="s">
        <v>27</v>
      </c>
      <c r="M116" t="s">
        <v>28</v>
      </c>
      <c r="N116" t="s">
        <v>27</v>
      </c>
      <c r="O116" t="s">
        <v>29</v>
      </c>
      <c r="P116">
        <v>1.6</v>
      </c>
      <c r="Q116" t="s">
        <v>60</v>
      </c>
      <c r="R116" t="str">
        <f>_xlfn.CONCAT(laptop[[#This Row],[CPU_company]]," ",laptop[[#This Row],[CPU_model]])</f>
        <v>Intel Core i5 8250U</v>
      </c>
      <c r="S116">
        <v>256</v>
      </c>
      <c r="T116">
        <v>0</v>
      </c>
      <c r="U116">
        <f>laptop[[#This Row],[PrimaryStorage]]+laptop[[#This Row],[SecondaryStorage]]</f>
        <v>256</v>
      </c>
      <c r="V116" t="s">
        <v>31</v>
      </c>
      <c r="W116" t="s">
        <v>27</v>
      </c>
      <c r="X116" t="str">
        <f>IF(laptop[[#This Row],[PrimaryStorageType]]=laptop[[#This Row],[SecondaryStorageType]],laptop[[#This Row],[PrimaryStorageType]],"SSD &amp; HDD")</f>
        <v>SSD &amp; HDD</v>
      </c>
      <c r="Y116" t="s">
        <v>61</v>
      </c>
      <c r="Z116" s="4" t="str">
        <f>_xlfn.CONCAT(laptop[[#This Row],[CPU_company]]," ",laptop[[#This Row],[GPU_model]])</f>
        <v>Intel UHD Graphics 620</v>
      </c>
    </row>
    <row r="117" spans="1:26" x14ac:dyDescent="0.25">
      <c r="A117" t="s">
        <v>36</v>
      </c>
      <c r="B117" t="s">
        <v>192</v>
      </c>
      <c r="C117" t="s">
        <v>90</v>
      </c>
      <c r="D117">
        <v>13.3</v>
      </c>
      <c r="E117">
        <v>8</v>
      </c>
      <c r="F117" t="s">
        <v>48</v>
      </c>
      <c r="G117">
        <v>1.26</v>
      </c>
      <c r="H117" s="16">
        <v>1398.99</v>
      </c>
      <c r="I117" t="s">
        <v>40</v>
      </c>
      <c r="J117">
        <v>1920</v>
      </c>
      <c r="K117">
        <v>1080</v>
      </c>
      <c r="L117" t="s">
        <v>28</v>
      </c>
      <c r="M117" t="s">
        <v>28</v>
      </c>
      <c r="N117" t="s">
        <v>27</v>
      </c>
      <c r="O117" t="s">
        <v>29</v>
      </c>
      <c r="P117">
        <v>1.6</v>
      </c>
      <c r="Q117" t="s">
        <v>60</v>
      </c>
      <c r="R117" t="str">
        <f>_xlfn.CONCAT(laptop[[#This Row],[CPU_company]]," ",laptop[[#This Row],[CPU_model]])</f>
        <v>Intel Core i5 8250U</v>
      </c>
      <c r="S117">
        <v>256</v>
      </c>
      <c r="T117">
        <v>0</v>
      </c>
      <c r="U117">
        <f>laptop[[#This Row],[PrimaryStorage]]+laptop[[#This Row],[SecondaryStorage]]</f>
        <v>256</v>
      </c>
      <c r="V117" t="s">
        <v>31</v>
      </c>
      <c r="W117" t="s">
        <v>27</v>
      </c>
      <c r="X117" t="str">
        <f>IF(laptop[[#This Row],[PrimaryStorageType]]=laptop[[#This Row],[SecondaryStorageType]],laptop[[#This Row],[PrimaryStorageType]],"SSD &amp; HDD")</f>
        <v>SSD &amp; HDD</v>
      </c>
      <c r="Y117" t="s">
        <v>61</v>
      </c>
      <c r="Z117" s="4" t="str">
        <f>_xlfn.CONCAT(laptop[[#This Row],[CPU_company]]," ",laptop[[#This Row],[GPU_model]])</f>
        <v>Intel UHD Graphics 620</v>
      </c>
    </row>
    <row r="118" spans="1:26" x14ac:dyDescent="0.25">
      <c r="A118" t="s">
        <v>36</v>
      </c>
      <c r="B118" t="s">
        <v>191</v>
      </c>
      <c r="C118" t="s">
        <v>38</v>
      </c>
      <c r="D118">
        <v>14</v>
      </c>
      <c r="E118">
        <v>8</v>
      </c>
      <c r="F118" t="s">
        <v>48</v>
      </c>
      <c r="G118">
        <v>1.63</v>
      </c>
      <c r="H118" s="16">
        <v>1084</v>
      </c>
      <c r="I118" t="s">
        <v>40</v>
      </c>
      <c r="J118">
        <v>1920</v>
      </c>
      <c r="K118">
        <v>1080</v>
      </c>
      <c r="L118" t="s">
        <v>27</v>
      </c>
      <c r="M118" t="s">
        <v>27</v>
      </c>
      <c r="N118" t="s">
        <v>27</v>
      </c>
      <c r="O118" t="s">
        <v>29</v>
      </c>
      <c r="P118">
        <v>1.8</v>
      </c>
      <c r="Q118" t="s">
        <v>57</v>
      </c>
      <c r="R118" t="str">
        <f>_xlfn.CONCAT(laptop[[#This Row],[CPU_company]]," ",laptop[[#This Row],[CPU_model]])</f>
        <v>Intel Core i7 8550U</v>
      </c>
      <c r="S118">
        <v>512</v>
      </c>
      <c r="T118">
        <v>0</v>
      </c>
      <c r="U118">
        <f>laptop[[#This Row],[PrimaryStorage]]+laptop[[#This Row],[SecondaryStorage]]</f>
        <v>512</v>
      </c>
      <c r="V118" t="s">
        <v>31</v>
      </c>
      <c r="W118" t="s">
        <v>27</v>
      </c>
      <c r="X118" t="str">
        <f>IF(laptop[[#This Row],[PrimaryStorageType]]=laptop[[#This Row],[SecondaryStorageType]],laptop[[#This Row],[PrimaryStorageType]],"SSD &amp; HDD")</f>
        <v>SSD &amp; HDD</v>
      </c>
      <c r="Y118" t="s">
        <v>61</v>
      </c>
      <c r="Z118" s="4" t="str">
        <f>_xlfn.CONCAT(laptop[[#This Row],[CPU_company]]," ",laptop[[#This Row],[GPU_model]])</f>
        <v>Intel UHD Graphics 620</v>
      </c>
    </row>
    <row r="119" spans="1:26" x14ac:dyDescent="0.25">
      <c r="A119" t="s">
        <v>65</v>
      </c>
      <c r="B119" t="s">
        <v>193</v>
      </c>
      <c r="C119" t="s">
        <v>38</v>
      </c>
      <c r="D119">
        <v>15.6</v>
      </c>
      <c r="E119">
        <v>8</v>
      </c>
      <c r="F119" t="s">
        <v>48</v>
      </c>
      <c r="G119">
        <v>2.16</v>
      </c>
      <c r="H119" s="16">
        <v>1130.33</v>
      </c>
      <c r="I119" t="s">
        <v>40</v>
      </c>
      <c r="J119">
        <v>1920</v>
      </c>
      <c r="K119">
        <v>1080</v>
      </c>
      <c r="L119" t="s">
        <v>27</v>
      </c>
      <c r="M119" t="s">
        <v>28</v>
      </c>
      <c r="N119" t="s">
        <v>27</v>
      </c>
      <c r="O119" t="s">
        <v>29</v>
      </c>
      <c r="P119">
        <v>1.8</v>
      </c>
      <c r="Q119" t="s">
        <v>57</v>
      </c>
      <c r="R119" t="str">
        <f>_xlfn.CONCAT(laptop[[#This Row],[CPU_company]]," ",laptop[[#This Row],[CPU_model]])</f>
        <v>Intel Core i7 8550U</v>
      </c>
      <c r="S119">
        <v>256</v>
      </c>
      <c r="T119">
        <v>1024</v>
      </c>
      <c r="U119">
        <f>laptop[[#This Row],[PrimaryStorage]]+laptop[[#This Row],[SecondaryStorage]]</f>
        <v>1280</v>
      </c>
      <c r="V119" t="s">
        <v>31</v>
      </c>
      <c r="W119" t="s">
        <v>51</v>
      </c>
      <c r="X119" t="str">
        <f>IF(laptop[[#This Row],[PrimaryStorageType]]=laptop[[#This Row],[SecondaryStorageType]],laptop[[#This Row],[PrimaryStorageType]],"SSD &amp; HDD")</f>
        <v>SSD &amp; HDD</v>
      </c>
      <c r="Y119" t="s">
        <v>76</v>
      </c>
      <c r="Z119" s="4" t="str">
        <f>_xlfn.CONCAT(laptop[[#This Row],[CPU_company]]," ",laptop[[#This Row],[GPU_model]])</f>
        <v>Intel GeForce 940MX</v>
      </c>
    </row>
    <row r="120" spans="1:26" x14ac:dyDescent="0.25">
      <c r="A120" t="s">
        <v>55</v>
      </c>
      <c r="B120" t="s">
        <v>194</v>
      </c>
      <c r="C120" t="s">
        <v>38</v>
      </c>
      <c r="D120">
        <v>17.3</v>
      </c>
      <c r="E120">
        <v>4</v>
      </c>
      <c r="F120" t="s">
        <v>48</v>
      </c>
      <c r="G120">
        <v>2</v>
      </c>
      <c r="H120" s="16">
        <v>564</v>
      </c>
      <c r="I120" t="s">
        <v>40</v>
      </c>
      <c r="J120">
        <v>1920</v>
      </c>
      <c r="K120">
        <v>1080</v>
      </c>
      <c r="L120" t="s">
        <v>27</v>
      </c>
      <c r="M120" t="s">
        <v>27</v>
      </c>
      <c r="N120" t="s">
        <v>27</v>
      </c>
      <c r="O120" t="s">
        <v>29</v>
      </c>
      <c r="P120">
        <v>2</v>
      </c>
      <c r="Q120" t="s">
        <v>62</v>
      </c>
      <c r="R120" t="str">
        <f>_xlfn.CONCAT(laptop[[#This Row],[CPU_company]]," ",laptop[[#This Row],[CPU_model]])</f>
        <v>Intel Core i3 6006U</v>
      </c>
      <c r="S120">
        <v>1024</v>
      </c>
      <c r="T120">
        <v>0</v>
      </c>
      <c r="U120">
        <f>laptop[[#This Row],[PrimaryStorage]]+laptop[[#This Row],[SecondaryStorage]]</f>
        <v>1024</v>
      </c>
      <c r="V120" t="s">
        <v>51</v>
      </c>
      <c r="W120" t="s">
        <v>27</v>
      </c>
      <c r="X120" t="str">
        <f>IF(laptop[[#This Row],[PrimaryStorageType]]=laptop[[#This Row],[SecondaryStorageType]],laptop[[#This Row],[PrimaryStorageType]],"SSD &amp; HDD")</f>
        <v>SSD &amp; HDD</v>
      </c>
      <c r="Y120" t="s">
        <v>131</v>
      </c>
      <c r="Z120" s="4" t="str">
        <f>_xlfn.CONCAT(laptop[[#This Row],[CPU_company]]," ",laptop[[#This Row],[GPU_model]])</f>
        <v>Intel GeForce 920MX</v>
      </c>
    </row>
    <row r="121" spans="1:26" x14ac:dyDescent="0.25">
      <c r="A121" t="s">
        <v>55</v>
      </c>
      <c r="B121" t="s">
        <v>188</v>
      </c>
      <c r="C121" t="s">
        <v>38</v>
      </c>
      <c r="D121">
        <v>15.6</v>
      </c>
      <c r="E121">
        <v>8</v>
      </c>
      <c r="F121" t="s">
        <v>48</v>
      </c>
      <c r="G121">
        <v>1.7</v>
      </c>
      <c r="H121" s="16">
        <v>1118</v>
      </c>
      <c r="I121" t="s">
        <v>40</v>
      </c>
      <c r="J121">
        <v>1920</v>
      </c>
      <c r="K121">
        <v>1080</v>
      </c>
      <c r="L121" t="s">
        <v>27</v>
      </c>
      <c r="M121" t="s">
        <v>27</v>
      </c>
      <c r="N121" t="s">
        <v>27</v>
      </c>
      <c r="O121" t="s">
        <v>29</v>
      </c>
      <c r="P121">
        <v>1.8</v>
      </c>
      <c r="Q121" t="s">
        <v>57</v>
      </c>
      <c r="R121" t="str">
        <f>_xlfn.CONCAT(laptop[[#This Row],[CPU_company]]," ",laptop[[#This Row],[CPU_model]])</f>
        <v>Intel Core i7 8550U</v>
      </c>
      <c r="S121">
        <v>256</v>
      </c>
      <c r="T121">
        <v>0</v>
      </c>
      <c r="U121">
        <f>laptop[[#This Row],[PrimaryStorage]]+laptop[[#This Row],[SecondaryStorage]]</f>
        <v>256</v>
      </c>
      <c r="V121" t="s">
        <v>31</v>
      </c>
      <c r="W121" t="s">
        <v>27</v>
      </c>
      <c r="X121" t="str">
        <f>IF(laptop[[#This Row],[PrimaryStorageType]]=laptop[[#This Row],[SecondaryStorageType]],laptop[[#This Row],[PrimaryStorageType]],"SSD &amp; HDD")</f>
        <v>SSD &amp; HDD</v>
      </c>
      <c r="Y121" t="s">
        <v>76</v>
      </c>
      <c r="Z121" s="4" t="str">
        <f>_xlfn.CONCAT(laptop[[#This Row],[CPU_company]]," ",laptop[[#This Row],[GPU_model]])</f>
        <v>Intel GeForce 940MX</v>
      </c>
    </row>
    <row r="122" spans="1:26" x14ac:dyDescent="0.25">
      <c r="A122" t="s">
        <v>46</v>
      </c>
      <c r="B122" t="s">
        <v>195</v>
      </c>
      <c r="C122" t="s">
        <v>38</v>
      </c>
      <c r="D122">
        <v>15.6</v>
      </c>
      <c r="E122">
        <v>6</v>
      </c>
      <c r="F122" t="s">
        <v>48</v>
      </c>
      <c r="G122">
        <v>2.1</v>
      </c>
      <c r="H122" s="16">
        <v>479</v>
      </c>
      <c r="I122" t="s">
        <v>40</v>
      </c>
      <c r="J122">
        <v>1920</v>
      </c>
      <c r="K122">
        <v>1080</v>
      </c>
      <c r="L122" t="s">
        <v>28</v>
      </c>
      <c r="M122" t="s">
        <v>28</v>
      </c>
      <c r="N122" t="s">
        <v>27</v>
      </c>
      <c r="O122" t="s">
        <v>29</v>
      </c>
      <c r="P122">
        <v>2.4</v>
      </c>
      <c r="Q122" t="s">
        <v>75</v>
      </c>
      <c r="R122" t="str">
        <f>_xlfn.CONCAT(laptop[[#This Row],[CPU_company]]," ",laptop[[#This Row],[CPU_model]])</f>
        <v>Intel Core i3 7100U</v>
      </c>
      <c r="S122">
        <v>1024</v>
      </c>
      <c r="T122">
        <v>0</v>
      </c>
      <c r="U122">
        <f>laptop[[#This Row],[PrimaryStorage]]+laptop[[#This Row],[SecondaryStorage]]</f>
        <v>1024</v>
      </c>
      <c r="V122" t="s">
        <v>51</v>
      </c>
      <c r="W122" t="s">
        <v>27</v>
      </c>
      <c r="X122" t="str">
        <f>IF(laptop[[#This Row],[PrimaryStorageType]]=laptop[[#This Row],[SecondaryStorageType]],laptop[[#This Row],[PrimaryStorageType]],"SSD &amp; HDD")</f>
        <v>SSD &amp; HDD</v>
      </c>
      <c r="Y122" t="s">
        <v>42</v>
      </c>
      <c r="Z122" s="4" t="str">
        <f>_xlfn.CONCAT(laptop[[#This Row],[CPU_company]]," ",laptop[[#This Row],[GPU_model]])</f>
        <v>Intel HD Graphics 620</v>
      </c>
    </row>
    <row r="123" spans="1:26" x14ac:dyDescent="0.25">
      <c r="A123" t="s">
        <v>141</v>
      </c>
      <c r="B123" t="s">
        <v>196</v>
      </c>
      <c r="C123" t="s">
        <v>83</v>
      </c>
      <c r="D123">
        <v>15.6</v>
      </c>
      <c r="E123">
        <v>16</v>
      </c>
      <c r="F123" t="s">
        <v>48</v>
      </c>
      <c r="G123">
        <v>1.8</v>
      </c>
      <c r="H123" s="16">
        <v>2241.5</v>
      </c>
      <c r="I123" t="s">
        <v>40</v>
      </c>
      <c r="J123">
        <v>1920</v>
      </c>
      <c r="K123">
        <v>1080</v>
      </c>
      <c r="L123" t="s">
        <v>27</v>
      </c>
      <c r="M123" t="s">
        <v>27</v>
      </c>
      <c r="N123" t="s">
        <v>27</v>
      </c>
      <c r="O123" t="s">
        <v>29</v>
      </c>
      <c r="P123">
        <v>2.8</v>
      </c>
      <c r="Q123" t="s">
        <v>118</v>
      </c>
      <c r="R123" t="str">
        <f>_xlfn.CONCAT(laptop[[#This Row],[CPU_company]]," ",laptop[[#This Row],[CPU_model]])</f>
        <v>Intel Core i7 7700HQ</v>
      </c>
      <c r="S123">
        <v>256</v>
      </c>
      <c r="T123">
        <v>2048</v>
      </c>
      <c r="U123">
        <f>laptop[[#This Row],[PrimaryStorage]]+laptop[[#This Row],[SecondaryStorage]]</f>
        <v>2304</v>
      </c>
      <c r="V123" t="s">
        <v>31</v>
      </c>
      <c r="W123" t="s">
        <v>51</v>
      </c>
      <c r="X123" t="str">
        <f>IF(laptop[[#This Row],[PrimaryStorageType]]=laptop[[#This Row],[SecondaryStorageType]],laptop[[#This Row],[PrimaryStorageType]],"SSD &amp; HDD")</f>
        <v>SSD &amp; HDD</v>
      </c>
      <c r="Y123" t="s">
        <v>143</v>
      </c>
      <c r="Z123" s="4" t="str">
        <f>_xlfn.CONCAT(laptop[[#This Row],[CPU_company]]," ",laptop[[#This Row],[GPU_model]])</f>
        <v>Intel GeForce GTX 1070</v>
      </c>
    </row>
    <row r="124" spans="1:26" x14ac:dyDescent="0.25">
      <c r="A124" t="s">
        <v>73</v>
      </c>
      <c r="B124" t="s">
        <v>161</v>
      </c>
      <c r="C124" t="s">
        <v>38</v>
      </c>
      <c r="D124">
        <v>15.6</v>
      </c>
      <c r="E124">
        <v>8</v>
      </c>
      <c r="F124" t="s">
        <v>39</v>
      </c>
      <c r="G124">
        <v>2.2000000000000002</v>
      </c>
      <c r="H124" s="16">
        <v>629</v>
      </c>
      <c r="I124" t="s">
        <v>40</v>
      </c>
      <c r="J124">
        <v>1920</v>
      </c>
      <c r="K124">
        <v>1080</v>
      </c>
      <c r="L124" t="s">
        <v>27</v>
      </c>
      <c r="M124" t="s">
        <v>27</v>
      </c>
      <c r="N124" t="s">
        <v>27</v>
      </c>
      <c r="O124" t="s">
        <v>29</v>
      </c>
      <c r="P124">
        <v>2.5</v>
      </c>
      <c r="Q124" t="s">
        <v>41</v>
      </c>
      <c r="R124" t="str">
        <f>_xlfn.CONCAT(laptop[[#This Row],[CPU_company]]," ",laptop[[#This Row],[CPU_model]])</f>
        <v>Intel Core i5 7200U</v>
      </c>
      <c r="S124">
        <v>256</v>
      </c>
      <c r="T124">
        <v>0</v>
      </c>
      <c r="U124">
        <f>laptop[[#This Row],[PrimaryStorage]]+laptop[[#This Row],[SecondaryStorage]]</f>
        <v>256</v>
      </c>
      <c r="V124" t="s">
        <v>31</v>
      </c>
      <c r="W124" t="s">
        <v>27</v>
      </c>
      <c r="X124" t="str">
        <f>IF(laptop[[#This Row],[PrimaryStorageType]]=laptop[[#This Row],[SecondaryStorageType]],laptop[[#This Row],[PrimaryStorageType]],"SSD &amp; HDD")</f>
        <v>SSD &amp; HDD</v>
      </c>
      <c r="Y124" t="s">
        <v>76</v>
      </c>
      <c r="Z124" s="4" t="str">
        <f>_xlfn.CONCAT(laptop[[#This Row],[CPU_company]]," ",laptop[[#This Row],[GPU_model]])</f>
        <v>Intel GeForce 940MX</v>
      </c>
    </row>
    <row r="125" spans="1:26" x14ac:dyDescent="0.25">
      <c r="A125" t="s">
        <v>36</v>
      </c>
      <c r="B125" t="s">
        <v>197</v>
      </c>
      <c r="C125" t="s">
        <v>38</v>
      </c>
      <c r="D125">
        <v>17.3</v>
      </c>
      <c r="E125">
        <v>16</v>
      </c>
      <c r="F125" t="s">
        <v>48</v>
      </c>
      <c r="G125">
        <v>2.5</v>
      </c>
      <c r="H125" s="16">
        <v>1271</v>
      </c>
      <c r="I125" t="s">
        <v>40</v>
      </c>
      <c r="J125">
        <v>1920</v>
      </c>
      <c r="K125">
        <v>1080</v>
      </c>
      <c r="L125" t="s">
        <v>27</v>
      </c>
      <c r="M125" t="s">
        <v>27</v>
      </c>
      <c r="N125" t="s">
        <v>27</v>
      </c>
      <c r="O125" t="s">
        <v>29</v>
      </c>
      <c r="P125">
        <v>1.8</v>
      </c>
      <c r="Q125" t="s">
        <v>57</v>
      </c>
      <c r="R125" t="str">
        <f>_xlfn.CONCAT(laptop[[#This Row],[CPU_company]]," ",laptop[[#This Row],[CPU_model]])</f>
        <v>Intel Core i7 8550U</v>
      </c>
      <c r="S125">
        <v>512</v>
      </c>
      <c r="T125">
        <v>0</v>
      </c>
      <c r="U125">
        <f>laptop[[#This Row],[PrimaryStorage]]+laptop[[#This Row],[SecondaryStorage]]</f>
        <v>512</v>
      </c>
      <c r="V125" t="s">
        <v>31</v>
      </c>
      <c r="W125" t="s">
        <v>27</v>
      </c>
      <c r="X125" t="str">
        <f>IF(laptop[[#This Row],[PrimaryStorageType]]=laptop[[#This Row],[SecondaryStorageType]],laptop[[#This Row],[PrimaryStorageType]],"SSD &amp; HDD")</f>
        <v>SSD &amp; HDD</v>
      </c>
      <c r="Y125" t="s">
        <v>115</v>
      </c>
      <c r="Z125" s="4" t="str">
        <f>_xlfn.CONCAT(laptop[[#This Row],[CPU_company]]," ",laptop[[#This Row],[GPU_model]])</f>
        <v xml:space="preserve">Intel GeForce 930MX </v>
      </c>
    </row>
    <row r="126" spans="1:26" x14ac:dyDescent="0.25">
      <c r="A126" t="s">
        <v>46</v>
      </c>
      <c r="B126" t="s">
        <v>47</v>
      </c>
      <c r="C126" t="s">
        <v>38</v>
      </c>
      <c r="D126">
        <v>15.6</v>
      </c>
      <c r="E126">
        <v>4</v>
      </c>
      <c r="F126" t="s">
        <v>48</v>
      </c>
      <c r="G126">
        <v>2.1</v>
      </c>
      <c r="H126" s="16">
        <v>451</v>
      </c>
      <c r="I126" t="s">
        <v>26</v>
      </c>
      <c r="J126">
        <v>1366</v>
      </c>
      <c r="K126">
        <v>768</v>
      </c>
      <c r="L126" t="s">
        <v>27</v>
      </c>
      <c r="M126" t="s">
        <v>27</v>
      </c>
      <c r="N126" t="s">
        <v>27</v>
      </c>
      <c r="O126" t="s">
        <v>49</v>
      </c>
      <c r="P126">
        <v>3</v>
      </c>
      <c r="Q126" t="s">
        <v>50</v>
      </c>
      <c r="R126" t="str">
        <f>_xlfn.CONCAT(laptop[[#This Row],[CPU_company]]," ",laptop[[#This Row],[CPU_model]])</f>
        <v>AMD A9-Series 9420</v>
      </c>
      <c r="S126">
        <v>256</v>
      </c>
      <c r="T126">
        <v>0</v>
      </c>
      <c r="U126">
        <f>laptop[[#This Row],[PrimaryStorage]]+laptop[[#This Row],[SecondaryStorage]]</f>
        <v>256</v>
      </c>
      <c r="V126" t="s">
        <v>31</v>
      </c>
      <c r="W126" t="s">
        <v>27</v>
      </c>
      <c r="X126" t="str">
        <f>IF(laptop[[#This Row],[PrimaryStorageType]]=laptop[[#This Row],[SecondaryStorageType]],laptop[[#This Row],[PrimaryStorageType]],"SSD &amp; HDD")</f>
        <v>SSD &amp; HDD</v>
      </c>
      <c r="Y126" t="s">
        <v>52</v>
      </c>
      <c r="Z126" s="4" t="str">
        <f>_xlfn.CONCAT(laptop[[#This Row],[CPU_company]]," ",laptop[[#This Row],[GPU_model]])</f>
        <v>AMD Radeon R5</v>
      </c>
    </row>
    <row r="127" spans="1:26" x14ac:dyDescent="0.25">
      <c r="A127" t="s">
        <v>36</v>
      </c>
      <c r="B127" t="s">
        <v>37</v>
      </c>
      <c r="C127" t="s">
        <v>38</v>
      </c>
      <c r="D127">
        <v>15.6</v>
      </c>
      <c r="E127">
        <v>4</v>
      </c>
      <c r="F127" t="s">
        <v>39</v>
      </c>
      <c r="G127">
        <v>1.86</v>
      </c>
      <c r="H127" s="16">
        <v>259</v>
      </c>
      <c r="I127" t="s">
        <v>26</v>
      </c>
      <c r="J127">
        <v>1366</v>
      </c>
      <c r="K127">
        <v>768</v>
      </c>
      <c r="L127" t="s">
        <v>27</v>
      </c>
      <c r="M127" t="s">
        <v>27</v>
      </c>
      <c r="N127" t="s">
        <v>27</v>
      </c>
      <c r="O127" t="s">
        <v>29</v>
      </c>
      <c r="P127">
        <v>1.6</v>
      </c>
      <c r="Q127" t="s">
        <v>151</v>
      </c>
      <c r="R127" t="str">
        <f>_xlfn.CONCAT(laptop[[#This Row],[CPU_company]]," ",laptop[[#This Row],[CPU_model]])</f>
        <v>Intel Celeron Dual Core N3060</v>
      </c>
      <c r="S127">
        <v>500</v>
      </c>
      <c r="T127">
        <v>0</v>
      </c>
      <c r="U127">
        <f>laptop[[#This Row],[PrimaryStorage]]+laptop[[#This Row],[SecondaryStorage]]</f>
        <v>500</v>
      </c>
      <c r="V127" t="s">
        <v>51</v>
      </c>
      <c r="W127" t="s">
        <v>27</v>
      </c>
      <c r="X127" t="str">
        <f>IF(laptop[[#This Row],[PrimaryStorageType]]=laptop[[#This Row],[SecondaryStorageType]],laptop[[#This Row],[PrimaryStorageType]],"SSD &amp; HDD")</f>
        <v>SSD &amp; HDD</v>
      </c>
      <c r="Y127" t="s">
        <v>81</v>
      </c>
      <c r="Z127" s="4" t="str">
        <f>_xlfn.CONCAT(laptop[[#This Row],[CPU_company]]," ",laptop[[#This Row],[GPU_model]])</f>
        <v>Intel HD Graphics 400</v>
      </c>
    </row>
    <row r="128" spans="1:26" x14ac:dyDescent="0.25">
      <c r="A128" t="s">
        <v>36</v>
      </c>
      <c r="B128" t="s">
        <v>191</v>
      </c>
      <c r="C128" t="s">
        <v>38</v>
      </c>
      <c r="D128">
        <v>14</v>
      </c>
      <c r="E128">
        <v>8</v>
      </c>
      <c r="F128" t="s">
        <v>48</v>
      </c>
      <c r="G128">
        <v>1.63</v>
      </c>
      <c r="H128" s="16">
        <v>812</v>
      </c>
      <c r="I128" t="s">
        <v>40</v>
      </c>
      <c r="J128">
        <v>1920</v>
      </c>
      <c r="K128">
        <v>1080</v>
      </c>
      <c r="L128" t="s">
        <v>27</v>
      </c>
      <c r="M128" t="s">
        <v>27</v>
      </c>
      <c r="N128" t="s">
        <v>27</v>
      </c>
      <c r="O128" t="s">
        <v>29</v>
      </c>
      <c r="P128">
        <v>1.6</v>
      </c>
      <c r="Q128" t="s">
        <v>60</v>
      </c>
      <c r="R128" t="str">
        <f>_xlfn.CONCAT(laptop[[#This Row],[CPU_company]]," ",laptop[[#This Row],[CPU_model]])</f>
        <v>Intel Core i5 8250U</v>
      </c>
      <c r="S128">
        <v>1024</v>
      </c>
      <c r="T128">
        <v>0</v>
      </c>
      <c r="U128">
        <f>laptop[[#This Row],[PrimaryStorage]]+laptop[[#This Row],[SecondaryStorage]]</f>
        <v>1024</v>
      </c>
      <c r="V128" t="s">
        <v>51</v>
      </c>
      <c r="W128" t="s">
        <v>27</v>
      </c>
      <c r="X128" t="str">
        <f>IF(laptop[[#This Row],[PrimaryStorageType]]=laptop[[#This Row],[SecondaryStorageType]],laptop[[#This Row],[PrimaryStorageType]],"SSD &amp; HDD")</f>
        <v>SSD &amp; HDD</v>
      </c>
      <c r="Y128" t="s">
        <v>61</v>
      </c>
      <c r="Z128" s="4" t="str">
        <f>_xlfn.CONCAT(laptop[[#This Row],[CPU_company]]," ",laptop[[#This Row],[GPU_model]])</f>
        <v>Intel UHD Graphics 620</v>
      </c>
    </row>
    <row r="129" spans="1:26" x14ac:dyDescent="0.25">
      <c r="A129" t="s">
        <v>55</v>
      </c>
      <c r="B129" t="s">
        <v>198</v>
      </c>
      <c r="C129" t="s">
        <v>38</v>
      </c>
      <c r="D129">
        <v>14</v>
      </c>
      <c r="E129">
        <v>4</v>
      </c>
      <c r="F129" t="s">
        <v>156</v>
      </c>
      <c r="G129">
        <v>1.65</v>
      </c>
      <c r="H129" s="16">
        <v>277.99</v>
      </c>
      <c r="I129" t="s">
        <v>26</v>
      </c>
      <c r="J129">
        <v>1366</v>
      </c>
      <c r="K129">
        <v>768</v>
      </c>
      <c r="L129" t="s">
        <v>27</v>
      </c>
      <c r="M129" t="s">
        <v>27</v>
      </c>
      <c r="N129" t="s">
        <v>27</v>
      </c>
      <c r="O129" t="s">
        <v>49</v>
      </c>
      <c r="P129">
        <v>1.5</v>
      </c>
      <c r="Q129" t="s">
        <v>199</v>
      </c>
      <c r="R129" t="str">
        <f>_xlfn.CONCAT(laptop[[#This Row],[CPU_company]]," ",laptop[[#This Row],[CPU_model]])</f>
        <v>AMD E-Series 6110</v>
      </c>
      <c r="S129">
        <v>64</v>
      </c>
      <c r="T129">
        <v>0</v>
      </c>
      <c r="U129">
        <f>laptop[[#This Row],[PrimaryStorage]]+laptop[[#This Row],[SecondaryStorage]]</f>
        <v>64</v>
      </c>
      <c r="V129" t="s">
        <v>31</v>
      </c>
      <c r="W129" t="s">
        <v>27</v>
      </c>
      <c r="X129" t="str">
        <f>IF(laptop[[#This Row],[PrimaryStorageType]]=laptop[[#This Row],[SecondaryStorageType]],laptop[[#This Row],[PrimaryStorageType]],"SSD &amp; HDD")</f>
        <v>SSD &amp; HDD</v>
      </c>
      <c r="Y129" t="s">
        <v>88</v>
      </c>
      <c r="Z129" s="4" t="str">
        <f>_xlfn.CONCAT(laptop[[#This Row],[CPU_company]]," ",laptop[[#This Row],[GPU_model]])</f>
        <v>AMD Radeon R2</v>
      </c>
    </row>
    <row r="130" spans="1:26" x14ac:dyDescent="0.25">
      <c r="A130" t="s">
        <v>65</v>
      </c>
      <c r="B130" t="s">
        <v>113</v>
      </c>
      <c r="C130" t="s">
        <v>38</v>
      </c>
      <c r="D130">
        <v>17.3</v>
      </c>
      <c r="E130">
        <v>16</v>
      </c>
      <c r="F130" t="s">
        <v>48</v>
      </c>
      <c r="G130">
        <v>2.8</v>
      </c>
      <c r="H130" s="16">
        <v>1396</v>
      </c>
      <c r="I130" t="s">
        <v>40</v>
      </c>
      <c r="J130">
        <v>1920</v>
      </c>
      <c r="K130">
        <v>1080</v>
      </c>
      <c r="L130" t="s">
        <v>27</v>
      </c>
      <c r="M130" t="s">
        <v>27</v>
      </c>
      <c r="N130" t="s">
        <v>27</v>
      </c>
      <c r="O130" t="s">
        <v>29</v>
      </c>
      <c r="P130">
        <v>1.8</v>
      </c>
      <c r="Q130" t="s">
        <v>57</v>
      </c>
      <c r="R130" t="str">
        <f>_xlfn.CONCAT(laptop[[#This Row],[CPU_company]]," ",laptop[[#This Row],[CPU_model]])</f>
        <v>Intel Core i7 8550U</v>
      </c>
      <c r="S130">
        <v>256</v>
      </c>
      <c r="T130">
        <v>2048</v>
      </c>
      <c r="U130">
        <f>laptop[[#This Row],[PrimaryStorage]]+laptop[[#This Row],[SecondaryStorage]]</f>
        <v>2304</v>
      </c>
      <c r="V130" t="s">
        <v>31</v>
      </c>
      <c r="W130" t="s">
        <v>51</v>
      </c>
      <c r="X130" t="str">
        <f>IF(laptop[[#This Row],[PrimaryStorageType]]=laptop[[#This Row],[SecondaryStorageType]],laptop[[#This Row],[PrimaryStorageType]],"SSD &amp; HDD")</f>
        <v>SSD &amp; HDD</v>
      </c>
      <c r="Y130" t="s">
        <v>94</v>
      </c>
      <c r="Z130" s="4" t="str">
        <f>_xlfn.CONCAT(laptop[[#This Row],[CPU_company]]," ",laptop[[#This Row],[GPU_model]])</f>
        <v>Intel Radeon 530</v>
      </c>
    </row>
    <row r="131" spans="1:26" x14ac:dyDescent="0.25">
      <c r="A131" t="s">
        <v>36</v>
      </c>
      <c r="B131" t="s">
        <v>97</v>
      </c>
      <c r="C131" t="s">
        <v>38</v>
      </c>
      <c r="D131">
        <v>17.3</v>
      </c>
      <c r="E131">
        <v>8</v>
      </c>
      <c r="F131" t="s">
        <v>48</v>
      </c>
      <c r="G131">
        <v>2.5</v>
      </c>
      <c r="H131" s="16">
        <v>928</v>
      </c>
      <c r="I131" t="s">
        <v>40</v>
      </c>
      <c r="J131">
        <v>1920</v>
      </c>
      <c r="K131">
        <v>1080</v>
      </c>
      <c r="L131" t="s">
        <v>27</v>
      </c>
      <c r="M131" t="s">
        <v>27</v>
      </c>
      <c r="N131" t="s">
        <v>27</v>
      </c>
      <c r="O131" t="s">
        <v>29</v>
      </c>
      <c r="P131">
        <v>1.6</v>
      </c>
      <c r="Q131" t="s">
        <v>60</v>
      </c>
      <c r="R131" t="str">
        <f>_xlfn.CONCAT(laptop[[#This Row],[CPU_company]]," ",laptop[[#This Row],[CPU_model]])</f>
        <v>Intel Core i5 8250U</v>
      </c>
      <c r="S131">
        <v>256</v>
      </c>
      <c r="T131">
        <v>0</v>
      </c>
      <c r="U131">
        <f>laptop[[#This Row],[PrimaryStorage]]+laptop[[#This Row],[SecondaryStorage]]</f>
        <v>256</v>
      </c>
      <c r="V131" t="s">
        <v>31</v>
      </c>
      <c r="W131" t="s">
        <v>27</v>
      </c>
      <c r="X131" t="str">
        <f>IF(laptop[[#This Row],[PrimaryStorageType]]=laptop[[#This Row],[SecondaryStorageType]],laptop[[#This Row],[PrimaryStorageType]],"SSD &amp; HDD")</f>
        <v>SSD &amp; HDD</v>
      </c>
      <c r="Y131" t="s">
        <v>61</v>
      </c>
      <c r="Z131" s="4" t="str">
        <f>_xlfn.CONCAT(laptop[[#This Row],[CPU_company]]," ",laptop[[#This Row],[GPU_model]])</f>
        <v>Intel UHD Graphics 620</v>
      </c>
    </row>
    <row r="132" spans="1:26" x14ac:dyDescent="0.25">
      <c r="A132" t="s">
        <v>65</v>
      </c>
      <c r="B132" t="s">
        <v>200</v>
      </c>
      <c r="C132" t="s">
        <v>38</v>
      </c>
      <c r="D132">
        <v>15.6</v>
      </c>
      <c r="E132">
        <v>8</v>
      </c>
      <c r="F132" t="s">
        <v>48</v>
      </c>
      <c r="G132">
        <v>2.36</v>
      </c>
      <c r="H132" s="16">
        <v>638.99</v>
      </c>
      <c r="I132" t="s">
        <v>26</v>
      </c>
      <c r="J132">
        <v>1366</v>
      </c>
      <c r="K132">
        <v>768</v>
      </c>
      <c r="L132" t="s">
        <v>27</v>
      </c>
      <c r="M132" t="s">
        <v>27</v>
      </c>
      <c r="N132" t="s">
        <v>27</v>
      </c>
      <c r="O132" t="s">
        <v>29</v>
      </c>
      <c r="P132">
        <v>2.5</v>
      </c>
      <c r="Q132" t="s">
        <v>41</v>
      </c>
      <c r="R132" t="str">
        <f>_xlfn.CONCAT(laptop[[#This Row],[CPU_company]]," ",laptop[[#This Row],[CPU_model]])</f>
        <v>Intel Core i5 7200U</v>
      </c>
      <c r="S132">
        <v>1024</v>
      </c>
      <c r="T132">
        <v>0</v>
      </c>
      <c r="U132">
        <f>laptop[[#This Row],[PrimaryStorage]]+laptop[[#This Row],[SecondaryStorage]]</f>
        <v>1024</v>
      </c>
      <c r="V132" t="s">
        <v>51</v>
      </c>
      <c r="W132" t="s">
        <v>27</v>
      </c>
      <c r="X132" t="str">
        <f>IF(laptop[[#This Row],[PrimaryStorageType]]=laptop[[#This Row],[SecondaryStorageType]],laptop[[#This Row],[PrimaryStorageType]],"SSD &amp; HDD")</f>
        <v>SSD &amp; HDD</v>
      </c>
      <c r="Y132" t="s">
        <v>201</v>
      </c>
      <c r="Z132" s="4" t="str">
        <f>_xlfn.CONCAT(laptop[[#This Row],[CPU_company]]," ",laptop[[#This Row],[GPU_model]])</f>
        <v>Intel Radeon R7 M445</v>
      </c>
    </row>
    <row r="133" spans="1:26" x14ac:dyDescent="0.25">
      <c r="A133" t="s">
        <v>65</v>
      </c>
      <c r="B133" t="s">
        <v>66</v>
      </c>
      <c r="C133" t="s">
        <v>38</v>
      </c>
      <c r="D133">
        <v>15.6</v>
      </c>
      <c r="E133">
        <v>4</v>
      </c>
      <c r="F133" t="s">
        <v>48</v>
      </c>
      <c r="G133">
        <v>2.2000000000000002</v>
      </c>
      <c r="H133" s="16">
        <v>449</v>
      </c>
      <c r="I133" t="s">
        <v>40</v>
      </c>
      <c r="J133">
        <v>1920</v>
      </c>
      <c r="K133">
        <v>1080</v>
      </c>
      <c r="L133" t="s">
        <v>27</v>
      </c>
      <c r="M133" t="s">
        <v>27</v>
      </c>
      <c r="N133" t="s">
        <v>27</v>
      </c>
      <c r="O133" t="s">
        <v>29</v>
      </c>
      <c r="P133">
        <v>2</v>
      </c>
      <c r="Q133" t="s">
        <v>62</v>
      </c>
      <c r="R133" t="str">
        <f>_xlfn.CONCAT(laptop[[#This Row],[CPU_company]]," ",laptop[[#This Row],[CPU_model]])</f>
        <v>Intel Core i3 6006U</v>
      </c>
      <c r="S133">
        <v>1024</v>
      </c>
      <c r="T133">
        <v>0</v>
      </c>
      <c r="U133">
        <f>laptop[[#This Row],[PrimaryStorage]]+laptop[[#This Row],[SecondaryStorage]]</f>
        <v>1024</v>
      </c>
      <c r="V133" t="s">
        <v>51</v>
      </c>
      <c r="W133" t="s">
        <v>27</v>
      </c>
      <c r="X133" t="str">
        <f>IF(laptop[[#This Row],[PrimaryStorageType]]=laptop[[#This Row],[SecondaryStorageType]],laptop[[#This Row],[PrimaryStorageType]],"SSD &amp; HDD")</f>
        <v>SSD &amp; HDD</v>
      </c>
      <c r="Y133" t="s">
        <v>67</v>
      </c>
      <c r="Z133" s="4" t="str">
        <f>_xlfn.CONCAT(laptop[[#This Row],[CPU_company]]," ",laptop[[#This Row],[GPU_model]])</f>
        <v>Intel Radeon R5 M430</v>
      </c>
    </row>
    <row r="134" spans="1:26" x14ac:dyDescent="0.25">
      <c r="A134" t="s">
        <v>46</v>
      </c>
      <c r="B134" t="s">
        <v>59</v>
      </c>
      <c r="C134" t="s">
        <v>24</v>
      </c>
      <c r="D134">
        <v>14</v>
      </c>
      <c r="E134">
        <v>8</v>
      </c>
      <c r="F134" t="s">
        <v>48</v>
      </c>
      <c r="G134">
        <v>1.6</v>
      </c>
      <c r="H134" s="16">
        <v>884</v>
      </c>
      <c r="I134" t="s">
        <v>40</v>
      </c>
      <c r="J134">
        <v>1920</v>
      </c>
      <c r="K134">
        <v>1080</v>
      </c>
      <c r="L134" t="s">
        <v>27</v>
      </c>
      <c r="M134" t="s">
        <v>28</v>
      </c>
      <c r="N134" t="s">
        <v>27</v>
      </c>
      <c r="O134" t="s">
        <v>29</v>
      </c>
      <c r="P134">
        <v>1.8</v>
      </c>
      <c r="Q134" t="s">
        <v>57</v>
      </c>
      <c r="R134" t="str">
        <f>_xlfn.CONCAT(laptop[[#This Row],[CPU_company]]," ",laptop[[#This Row],[CPU_model]])</f>
        <v>Intel Core i7 8550U</v>
      </c>
      <c r="S134">
        <v>256</v>
      </c>
      <c r="T134">
        <v>0</v>
      </c>
      <c r="U134">
        <f>laptop[[#This Row],[PrimaryStorage]]+laptop[[#This Row],[SecondaryStorage]]</f>
        <v>256</v>
      </c>
      <c r="V134" t="s">
        <v>31</v>
      </c>
      <c r="W134" t="s">
        <v>27</v>
      </c>
      <c r="X134" t="str">
        <f>IF(laptop[[#This Row],[PrimaryStorageType]]=laptop[[#This Row],[SecondaryStorageType]],laptop[[#This Row],[PrimaryStorageType]],"SSD &amp; HDD")</f>
        <v>SSD &amp; HDD</v>
      </c>
      <c r="Y134" t="s">
        <v>61</v>
      </c>
      <c r="Z134" s="4" t="str">
        <f>_xlfn.CONCAT(laptop[[#This Row],[CPU_company]]," ",laptop[[#This Row],[GPU_model]])</f>
        <v>Intel UHD Graphics 620</v>
      </c>
    </row>
    <row r="135" spans="1:26" x14ac:dyDescent="0.25">
      <c r="A135" t="s">
        <v>46</v>
      </c>
      <c r="B135" t="s">
        <v>202</v>
      </c>
      <c r="C135" t="s">
        <v>38</v>
      </c>
      <c r="D135">
        <v>15.6</v>
      </c>
      <c r="E135">
        <v>4</v>
      </c>
      <c r="F135" t="s">
        <v>48</v>
      </c>
      <c r="G135">
        <v>2.2000000000000002</v>
      </c>
      <c r="H135" s="16">
        <v>572</v>
      </c>
      <c r="I135" t="s">
        <v>40</v>
      </c>
      <c r="J135">
        <v>1920</v>
      </c>
      <c r="K135">
        <v>1080</v>
      </c>
      <c r="L135" t="s">
        <v>27</v>
      </c>
      <c r="M135" t="s">
        <v>27</v>
      </c>
      <c r="N135" t="s">
        <v>27</v>
      </c>
      <c r="O135" t="s">
        <v>29</v>
      </c>
      <c r="P135">
        <v>2.7</v>
      </c>
      <c r="Q135" t="s">
        <v>112</v>
      </c>
      <c r="R135" t="str">
        <f>_xlfn.CONCAT(laptop[[#This Row],[CPU_company]]," ",laptop[[#This Row],[CPU_model]])</f>
        <v>Intel Core i3 7130U</v>
      </c>
      <c r="S135">
        <v>256</v>
      </c>
      <c r="T135">
        <v>0</v>
      </c>
      <c r="U135">
        <f>laptop[[#This Row],[PrimaryStorage]]+laptop[[#This Row],[SecondaryStorage]]</f>
        <v>256</v>
      </c>
      <c r="V135" t="s">
        <v>31</v>
      </c>
      <c r="W135" t="s">
        <v>27</v>
      </c>
      <c r="X135" t="str">
        <f>IF(laptop[[#This Row],[PrimaryStorageType]]=laptop[[#This Row],[SecondaryStorageType]],laptop[[#This Row],[PrimaryStorageType]],"SSD &amp; HDD")</f>
        <v>SSD &amp; HDD</v>
      </c>
      <c r="Y135" t="s">
        <v>163</v>
      </c>
      <c r="Z135" s="4" t="str">
        <f>_xlfn.CONCAT(laptop[[#This Row],[CPU_company]]," ",laptop[[#This Row],[GPU_model]])</f>
        <v>Intel GeForce MX130</v>
      </c>
    </row>
    <row r="136" spans="1:26" x14ac:dyDescent="0.25">
      <c r="A136" t="s">
        <v>36</v>
      </c>
      <c r="B136" t="s">
        <v>203</v>
      </c>
      <c r="C136" t="s">
        <v>38</v>
      </c>
      <c r="D136">
        <v>15.6</v>
      </c>
      <c r="E136">
        <v>8</v>
      </c>
      <c r="F136" t="s">
        <v>48</v>
      </c>
      <c r="G136">
        <v>2.0499999999999998</v>
      </c>
      <c r="H136" s="16">
        <v>598</v>
      </c>
      <c r="I136" t="s">
        <v>26</v>
      </c>
      <c r="J136">
        <v>1366</v>
      </c>
      <c r="K136">
        <v>768</v>
      </c>
      <c r="L136" t="s">
        <v>27</v>
      </c>
      <c r="M136" t="s">
        <v>27</v>
      </c>
      <c r="N136" t="s">
        <v>27</v>
      </c>
      <c r="O136" t="s">
        <v>29</v>
      </c>
      <c r="P136">
        <v>2.7</v>
      </c>
      <c r="Q136" t="s">
        <v>71</v>
      </c>
      <c r="R136" t="str">
        <f>_xlfn.CONCAT(laptop[[#This Row],[CPU_company]]," ",laptop[[#This Row],[CPU_model]])</f>
        <v>Intel Core i7 7500U</v>
      </c>
      <c r="S136">
        <v>1024</v>
      </c>
      <c r="T136">
        <v>0</v>
      </c>
      <c r="U136">
        <f>laptop[[#This Row],[PrimaryStorage]]+laptop[[#This Row],[SecondaryStorage]]</f>
        <v>1024</v>
      </c>
      <c r="V136" t="s">
        <v>51</v>
      </c>
      <c r="W136" t="s">
        <v>27</v>
      </c>
      <c r="X136" t="str">
        <f>IF(laptop[[#This Row],[PrimaryStorageType]]=laptop[[#This Row],[SecondaryStorageType]],laptop[[#This Row],[PrimaryStorageType]],"SSD &amp; HDD")</f>
        <v>SSD &amp; HDD</v>
      </c>
      <c r="Y136" t="s">
        <v>42</v>
      </c>
      <c r="Z136" s="4" t="str">
        <f>_xlfn.CONCAT(laptop[[#This Row],[CPU_company]]," ",laptop[[#This Row],[GPU_model]])</f>
        <v>Intel HD Graphics 620</v>
      </c>
    </row>
    <row r="137" spans="1:26" x14ac:dyDescent="0.25">
      <c r="A137" t="s">
        <v>36</v>
      </c>
      <c r="B137" t="s">
        <v>191</v>
      </c>
      <c r="C137" t="s">
        <v>38</v>
      </c>
      <c r="D137">
        <v>14</v>
      </c>
      <c r="E137">
        <v>8</v>
      </c>
      <c r="F137" t="s">
        <v>48</v>
      </c>
      <c r="G137">
        <v>1.63</v>
      </c>
      <c r="H137" s="16">
        <v>988</v>
      </c>
      <c r="I137" t="s">
        <v>40</v>
      </c>
      <c r="J137">
        <v>1920</v>
      </c>
      <c r="K137">
        <v>1080</v>
      </c>
      <c r="L137" t="s">
        <v>27</v>
      </c>
      <c r="M137" t="s">
        <v>27</v>
      </c>
      <c r="N137" t="s">
        <v>27</v>
      </c>
      <c r="O137" t="s">
        <v>29</v>
      </c>
      <c r="P137">
        <v>1.8</v>
      </c>
      <c r="Q137" t="s">
        <v>57</v>
      </c>
      <c r="R137" t="str">
        <f>_xlfn.CONCAT(laptop[[#This Row],[CPU_company]]," ",laptop[[#This Row],[CPU_model]])</f>
        <v>Intel Core i7 8550U</v>
      </c>
      <c r="S137">
        <v>256</v>
      </c>
      <c r="T137">
        <v>0</v>
      </c>
      <c r="U137">
        <f>laptop[[#This Row],[PrimaryStorage]]+laptop[[#This Row],[SecondaryStorage]]</f>
        <v>256</v>
      </c>
      <c r="V137" t="s">
        <v>31</v>
      </c>
      <c r="W137" t="s">
        <v>27</v>
      </c>
      <c r="X137" t="str">
        <f>IF(laptop[[#This Row],[PrimaryStorageType]]=laptop[[#This Row],[SecondaryStorageType]],laptop[[#This Row],[PrimaryStorageType]],"SSD &amp; HDD")</f>
        <v>SSD &amp; HDD</v>
      </c>
      <c r="Y137" t="s">
        <v>61</v>
      </c>
      <c r="Z137" s="4" t="str">
        <f>_xlfn.CONCAT(laptop[[#This Row],[CPU_company]]," ",laptop[[#This Row],[GPU_model]])</f>
        <v>Intel UHD Graphics 620</v>
      </c>
    </row>
    <row r="138" spans="1:26" x14ac:dyDescent="0.25">
      <c r="A138" t="s">
        <v>73</v>
      </c>
      <c r="B138" t="s">
        <v>204</v>
      </c>
      <c r="C138" t="s">
        <v>38</v>
      </c>
      <c r="D138">
        <v>15.6</v>
      </c>
      <c r="E138">
        <v>4</v>
      </c>
      <c r="F138" t="s">
        <v>39</v>
      </c>
      <c r="G138">
        <v>1.9</v>
      </c>
      <c r="H138" s="16">
        <v>252.36</v>
      </c>
      <c r="I138" t="s">
        <v>26</v>
      </c>
      <c r="J138">
        <v>1366</v>
      </c>
      <c r="K138">
        <v>768</v>
      </c>
      <c r="L138" t="s">
        <v>27</v>
      </c>
      <c r="M138" t="s">
        <v>27</v>
      </c>
      <c r="N138" t="s">
        <v>27</v>
      </c>
      <c r="O138" t="s">
        <v>29</v>
      </c>
      <c r="P138">
        <v>1.1000000000000001</v>
      </c>
      <c r="Q138" t="s">
        <v>109</v>
      </c>
      <c r="R138" t="str">
        <f>_xlfn.CONCAT(laptop[[#This Row],[CPU_company]]," ",laptop[[#This Row],[CPU_model]])</f>
        <v>Intel Celeron Dual Core N3350</v>
      </c>
      <c r="S138">
        <v>1024</v>
      </c>
      <c r="T138">
        <v>0</v>
      </c>
      <c r="U138">
        <f>laptop[[#This Row],[PrimaryStorage]]+laptop[[#This Row],[SecondaryStorage]]</f>
        <v>1024</v>
      </c>
      <c r="V138" t="s">
        <v>51</v>
      </c>
      <c r="W138" t="s">
        <v>27</v>
      </c>
      <c r="X138" t="str">
        <f>IF(laptop[[#This Row],[PrimaryStorageType]]=laptop[[#This Row],[SecondaryStorageType]],laptop[[#This Row],[PrimaryStorageType]],"SSD &amp; HDD")</f>
        <v>SSD &amp; HDD</v>
      </c>
      <c r="Y138" t="s">
        <v>110</v>
      </c>
      <c r="Z138" s="4" t="str">
        <f>_xlfn.CONCAT(laptop[[#This Row],[CPU_company]]," ",laptop[[#This Row],[GPU_model]])</f>
        <v>Intel HD Graphics 500</v>
      </c>
    </row>
    <row r="139" spans="1:26" x14ac:dyDescent="0.25">
      <c r="A139" t="s">
        <v>55</v>
      </c>
      <c r="B139" t="s">
        <v>205</v>
      </c>
      <c r="C139" t="s">
        <v>83</v>
      </c>
      <c r="D139">
        <v>17.3</v>
      </c>
      <c r="E139">
        <v>8</v>
      </c>
      <c r="F139" t="s">
        <v>48</v>
      </c>
      <c r="G139">
        <v>3</v>
      </c>
      <c r="H139" s="16">
        <v>938</v>
      </c>
      <c r="I139" t="s">
        <v>40</v>
      </c>
      <c r="J139">
        <v>1920</v>
      </c>
      <c r="K139">
        <v>1080</v>
      </c>
      <c r="L139" t="s">
        <v>27</v>
      </c>
      <c r="M139" t="s">
        <v>27</v>
      </c>
      <c r="N139" t="s">
        <v>27</v>
      </c>
      <c r="O139" t="s">
        <v>29</v>
      </c>
      <c r="P139">
        <v>2.5</v>
      </c>
      <c r="Q139" t="s">
        <v>84</v>
      </c>
      <c r="R139" t="str">
        <f>_xlfn.CONCAT(laptop[[#This Row],[CPU_company]]," ",laptop[[#This Row],[CPU_model]])</f>
        <v>Intel Core i5 7300HQ</v>
      </c>
      <c r="S139">
        <v>128</v>
      </c>
      <c r="T139">
        <v>1024</v>
      </c>
      <c r="U139">
        <f>laptop[[#This Row],[PrimaryStorage]]+laptop[[#This Row],[SecondaryStorage]]</f>
        <v>1152</v>
      </c>
      <c r="V139" t="s">
        <v>31</v>
      </c>
      <c r="W139" t="s">
        <v>51</v>
      </c>
      <c r="X139" t="str">
        <f>IF(laptop[[#This Row],[PrimaryStorageType]]=laptop[[#This Row],[SecondaryStorageType]],laptop[[#This Row],[PrimaryStorageType]],"SSD &amp; HDD")</f>
        <v>SSD &amp; HDD</v>
      </c>
      <c r="Y139" t="s">
        <v>85</v>
      </c>
      <c r="Z139" s="4" t="str">
        <f>_xlfn.CONCAT(laptop[[#This Row],[CPU_company]]," ",laptop[[#This Row],[GPU_model]])</f>
        <v>Intel GeForce GTX 1050</v>
      </c>
    </row>
    <row r="140" spans="1:26" x14ac:dyDescent="0.25">
      <c r="A140" t="s">
        <v>73</v>
      </c>
      <c r="B140" t="s">
        <v>161</v>
      </c>
      <c r="C140" t="s">
        <v>38</v>
      </c>
      <c r="D140">
        <v>15.6</v>
      </c>
      <c r="E140">
        <v>4</v>
      </c>
      <c r="F140" t="s">
        <v>39</v>
      </c>
      <c r="G140">
        <v>2.2000000000000002</v>
      </c>
      <c r="H140" s="16">
        <v>499</v>
      </c>
      <c r="I140" t="s">
        <v>40</v>
      </c>
      <c r="J140">
        <v>1920</v>
      </c>
      <c r="K140">
        <v>1080</v>
      </c>
      <c r="L140" t="s">
        <v>27</v>
      </c>
      <c r="M140" t="s">
        <v>27</v>
      </c>
      <c r="N140" t="s">
        <v>27</v>
      </c>
      <c r="O140" t="s">
        <v>29</v>
      </c>
      <c r="P140">
        <v>2.5</v>
      </c>
      <c r="Q140" t="s">
        <v>41</v>
      </c>
      <c r="R140" t="str">
        <f>_xlfn.CONCAT(laptop[[#This Row],[CPU_company]]," ",laptop[[#This Row],[CPU_model]])</f>
        <v>Intel Core i5 7200U</v>
      </c>
      <c r="S140">
        <v>1024</v>
      </c>
      <c r="T140">
        <v>0</v>
      </c>
      <c r="U140">
        <f>laptop[[#This Row],[PrimaryStorage]]+laptop[[#This Row],[SecondaryStorage]]</f>
        <v>1024</v>
      </c>
      <c r="V140" t="s">
        <v>51</v>
      </c>
      <c r="W140" t="s">
        <v>27</v>
      </c>
      <c r="X140" t="str">
        <f>IF(laptop[[#This Row],[PrimaryStorageType]]=laptop[[#This Row],[SecondaryStorageType]],laptop[[#This Row],[PrimaryStorageType]],"SSD &amp; HDD")</f>
        <v>SSD &amp; HDD</v>
      </c>
      <c r="Y140" t="s">
        <v>131</v>
      </c>
      <c r="Z140" s="4" t="str">
        <f>_xlfn.CONCAT(laptop[[#This Row],[CPU_company]]," ",laptop[[#This Row],[GPU_model]])</f>
        <v>Intel GeForce 920MX</v>
      </c>
    </row>
    <row r="141" spans="1:26" x14ac:dyDescent="0.25">
      <c r="A141" t="s">
        <v>36</v>
      </c>
      <c r="B141" t="s">
        <v>206</v>
      </c>
      <c r="C141" t="s">
        <v>38</v>
      </c>
      <c r="D141">
        <v>13.3</v>
      </c>
      <c r="E141">
        <v>4</v>
      </c>
      <c r="F141" t="s">
        <v>48</v>
      </c>
      <c r="G141">
        <v>1.32</v>
      </c>
      <c r="H141" s="16">
        <v>699</v>
      </c>
      <c r="I141" t="s">
        <v>40</v>
      </c>
      <c r="J141">
        <v>1920</v>
      </c>
      <c r="K141">
        <v>1080</v>
      </c>
      <c r="L141" t="s">
        <v>27</v>
      </c>
      <c r="M141" t="s">
        <v>28</v>
      </c>
      <c r="N141" t="s">
        <v>27</v>
      </c>
      <c r="O141" t="s">
        <v>29</v>
      </c>
      <c r="P141">
        <v>2.5</v>
      </c>
      <c r="Q141" t="s">
        <v>41</v>
      </c>
      <c r="R141" t="str">
        <f>_xlfn.CONCAT(laptop[[#This Row],[CPU_company]]," ",laptop[[#This Row],[CPU_model]])</f>
        <v>Intel Core i5 7200U</v>
      </c>
      <c r="S141">
        <v>256</v>
      </c>
      <c r="T141">
        <v>0</v>
      </c>
      <c r="U141">
        <f>laptop[[#This Row],[PrimaryStorage]]+laptop[[#This Row],[SecondaryStorage]]</f>
        <v>256</v>
      </c>
      <c r="V141" t="s">
        <v>31</v>
      </c>
      <c r="W141" t="s">
        <v>27</v>
      </c>
      <c r="X141" t="str">
        <f>IF(laptop[[#This Row],[PrimaryStorageType]]=laptop[[#This Row],[SecondaryStorageType]],laptop[[#This Row],[PrimaryStorageType]],"SSD &amp; HDD")</f>
        <v>SSD &amp; HDD</v>
      </c>
      <c r="Y141" t="s">
        <v>42</v>
      </c>
      <c r="Z141" s="4" t="str">
        <f>_xlfn.CONCAT(laptop[[#This Row],[CPU_company]]," ",laptop[[#This Row],[GPU_model]])</f>
        <v>Intel HD Graphics 620</v>
      </c>
    </row>
    <row r="142" spans="1:26" x14ac:dyDescent="0.25">
      <c r="A142" t="s">
        <v>46</v>
      </c>
      <c r="B142" t="s">
        <v>173</v>
      </c>
      <c r="C142" t="s">
        <v>38</v>
      </c>
      <c r="D142">
        <v>17.3</v>
      </c>
      <c r="E142">
        <v>4</v>
      </c>
      <c r="F142" t="s">
        <v>48</v>
      </c>
      <c r="G142">
        <v>3</v>
      </c>
      <c r="H142" s="16">
        <v>655</v>
      </c>
      <c r="I142" t="s">
        <v>40</v>
      </c>
      <c r="J142">
        <v>1920</v>
      </c>
      <c r="K142">
        <v>1080</v>
      </c>
      <c r="L142" t="s">
        <v>27</v>
      </c>
      <c r="M142" t="s">
        <v>28</v>
      </c>
      <c r="N142" t="s">
        <v>27</v>
      </c>
      <c r="O142" t="s">
        <v>29</v>
      </c>
      <c r="P142">
        <v>2.7</v>
      </c>
      <c r="Q142" t="s">
        <v>112</v>
      </c>
      <c r="R142" t="str">
        <f>_xlfn.CONCAT(laptop[[#This Row],[CPU_company]]," ",laptop[[#This Row],[CPU_model]])</f>
        <v>Intel Core i3 7130U</v>
      </c>
      <c r="S142">
        <v>1024</v>
      </c>
      <c r="T142">
        <v>0</v>
      </c>
      <c r="U142">
        <f>laptop[[#This Row],[PrimaryStorage]]+laptop[[#This Row],[SecondaryStorage]]</f>
        <v>1024</v>
      </c>
      <c r="V142" t="s">
        <v>51</v>
      </c>
      <c r="W142" t="s">
        <v>27</v>
      </c>
      <c r="X142" t="str">
        <f>IF(laptop[[#This Row],[PrimaryStorageType]]=laptop[[#This Row],[SecondaryStorageType]],laptop[[#This Row],[PrimaryStorageType]],"SSD &amp; HDD")</f>
        <v>SSD &amp; HDD</v>
      </c>
      <c r="Y142" t="s">
        <v>163</v>
      </c>
      <c r="Z142" s="4" t="str">
        <f>_xlfn.CONCAT(laptop[[#This Row],[CPU_company]]," ",laptop[[#This Row],[GPU_model]])</f>
        <v>Intel GeForce MX130</v>
      </c>
    </row>
    <row r="143" spans="1:26" x14ac:dyDescent="0.25">
      <c r="A143" t="s">
        <v>73</v>
      </c>
      <c r="B143" t="s">
        <v>207</v>
      </c>
      <c r="C143" t="s">
        <v>38</v>
      </c>
      <c r="D143">
        <v>14</v>
      </c>
      <c r="E143">
        <v>8</v>
      </c>
      <c r="F143" t="s">
        <v>48</v>
      </c>
      <c r="G143">
        <v>1.75</v>
      </c>
      <c r="H143" s="16">
        <v>1116.02</v>
      </c>
      <c r="I143" t="s">
        <v>40</v>
      </c>
      <c r="J143">
        <v>1920</v>
      </c>
      <c r="K143">
        <v>1080</v>
      </c>
      <c r="L143" t="s">
        <v>27</v>
      </c>
      <c r="M143" t="s">
        <v>28</v>
      </c>
      <c r="N143" t="s">
        <v>27</v>
      </c>
      <c r="O143" t="s">
        <v>29</v>
      </c>
      <c r="P143">
        <v>1.6</v>
      </c>
      <c r="Q143" t="s">
        <v>60</v>
      </c>
      <c r="R143" t="str">
        <f>_xlfn.CONCAT(laptop[[#This Row],[CPU_company]]," ",laptop[[#This Row],[CPU_model]])</f>
        <v>Intel Core i5 8250U</v>
      </c>
      <c r="S143">
        <v>256</v>
      </c>
      <c r="T143">
        <v>0</v>
      </c>
      <c r="U143">
        <f>laptop[[#This Row],[PrimaryStorage]]+laptop[[#This Row],[SecondaryStorage]]</f>
        <v>256</v>
      </c>
      <c r="V143" t="s">
        <v>31</v>
      </c>
      <c r="W143" t="s">
        <v>27</v>
      </c>
      <c r="X143" t="str">
        <f>IF(laptop[[#This Row],[PrimaryStorageType]]=laptop[[#This Row],[SecondaryStorageType]],laptop[[#This Row],[PrimaryStorageType]],"SSD &amp; HDD")</f>
        <v>SSD &amp; HDD</v>
      </c>
      <c r="Y143" t="s">
        <v>208</v>
      </c>
      <c r="Z143" s="4" t="str">
        <f>_xlfn.CONCAT(laptop[[#This Row],[CPU_company]]," ",laptop[[#This Row],[GPU_model]])</f>
        <v>Intel Radeon RX 550</v>
      </c>
    </row>
    <row r="144" spans="1:26" x14ac:dyDescent="0.25">
      <c r="A144" t="s">
        <v>73</v>
      </c>
      <c r="B144" t="s">
        <v>82</v>
      </c>
      <c r="C144" t="s">
        <v>83</v>
      </c>
      <c r="D144">
        <v>15.6</v>
      </c>
      <c r="E144">
        <v>8</v>
      </c>
      <c r="F144" t="s">
        <v>39</v>
      </c>
      <c r="G144">
        <v>2.4</v>
      </c>
      <c r="H144" s="16">
        <v>869</v>
      </c>
      <c r="I144" t="s">
        <v>40</v>
      </c>
      <c r="J144">
        <v>1920</v>
      </c>
      <c r="K144">
        <v>1080</v>
      </c>
      <c r="L144" t="s">
        <v>27</v>
      </c>
      <c r="M144" t="s">
        <v>28</v>
      </c>
      <c r="N144" t="s">
        <v>27</v>
      </c>
      <c r="O144" t="s">
        <v>29</v>
      </c>
      <c r="P144">
        <v>2.8</v>
      </c>
      <c r="Q144" t="s">
        <v>118</v>
      </c>
      <c r="R144" t="str">
        <f>_xlfn.CONCAT(laptop[[#This Row],[CPU_company]]," ",laptop[[#This Row],[CPU_model]])</f>
        <v>Intel Core i7 7700HQ</v>
      </c>
      <c r="S144">
        <v>256</v>
      </c>
      <c r="T144">
        <v>0</v>
      </c>
      <c r="U144">
        <f>laptop[[#This Row],[PrimaryStorage]]+laptop[[#This Row],[SecondaryStorage]]</f>
        <v>256</v>
      </c>
      <c r="V144" t="s">
        <v>31</v>
      </c>
      <c r="W144" t="s">
        <v>27</v>
      </c>
      <c r="X144" t="str">
        <f>IF(laptop[[#This Row],[PrimaryStorageType]]=laptop[[#This Row],[SecondaryStorageType]],laptop[[#This Row],[PrimaryStorageType]],"SSD &amp; HDD")</f>
        <v>SSD &amp; HDD</v>
      </c>
      <c r="Y144" t="s">
        <v>209</v>
      </c>
      <c r="Z144" s="4" t="str">
        <f>_xlfn.CONCAT(laptop[[#This Row],[CPU_company]]," ",laptop[[#This Row],[GPU_model]])</f>
        <v>Intel GeForce GTX 1050M</v>
      </c>
    </row>
    <row r="145" spans="1:26" x14ac:dyDescent="0.25">
      <c r="A145" t="s">
        <v>210</v>
      </c>
      <c r="B145" t="s">
        <v>211</v>
      </c>
      <c r="C145" t="s">
        <v>38</v>
      </c>
      <c r="D145">
        <v>15.6</v>
      </c>
      <c r="E145">
        <v>4</v>
      </c>
      <c r="F145" t="s">
        <v>48</v>
      </c>
      <c r="G145">
        <v>2.1</v>
      </c>
      <c r="H145" s="16">
        <v>602</v>
      </c>
      <c r="I145" t="s">
        <v>26</v>
      </c>
      <c r="J145">
        <v>1366</v>
      </c>
      <c r="K145">
        <v>768</v>
      </c>
      <c r="L145" t="s">
        <v>27</v>
      </c>
      <c r="M145" t="s">
        <v>27</v>
      </c>
      <c r="N145" t="s">
        <v>27</v>
      </c>
      <c r="O145" t="s">
        <v>29</v>
      </c>
      <c r="P145">
        <v>2.2999999999999998</v>
      </c>
      <c r="Q145" t="s">
        <v>212</v>
      </c>
      <c r="R145" t="str">
        <f>_xlfn.CONCAT(laptop[[#This Row],[CPU_company]]," ",laptop[[#This Row],[CPU_model]])</f>
        <v>Intel Core i5 6200U</v>
      </c>
      <c r="S145">
        <v>500</v>
      </c>
      <c r="T145">
        <v>0</v>
      </c>
      <c r="U145">
        <f>laptop[[#This Row],[PrimaryStorage]]+laptop[[#This Row],[SecondaryStorage]]</f>
        <v>500</v>
      </c>
      <c r="V145" t="s">
        <v>51</v>
      </c>
      <c r="W145" t="s">
        <v>27</v>
      </c>
      <c r="X145" t="str">
        <f>IF(laptop[[#This Row],[PrimaryStorageType]]=laptop[[#This Row],[SecondaryStorageType]],laptop[[#This Row],[PrimaryStorageType]],"SSD &amp; HDD")</f>
        <v>SSD &amp; HDD</v>
      </c>
      <c r="Y145" t="s">
        <v>63</v>
      </c>
      <c r="Z145" s="4" t="str">
        <f>_xlfn.CONCAT(laptop[[#This Row],[CPU_company]]," ",laptop[[#This Row],[GPU_model]])</f>
        <v>Intel HD Graphics 520</v>
      </c>
    </row>
    <row r="146" spans="1:26" x14ac:dyDescent="0.25">
      <c r="A146" t="s">
        <v>36</v>
      </c>
      <c r="B146" t="s">
        <v>86</v>
      </c>
      <c r="C146" t="s">
        <v>38</v>
      </c>
      <c r="D146">
        <v>15.6</v>
      </c>
      <c r="E146">
        <v>4</v>
      </c>
      <c r="F146" t="s">
        <v>48</v>
      </c>
      <c r="G146">
        <v>1.86</v>
      </c>
      <c r="H146" s="16">
        <v>369</v>
      </c>
      <c r="I146" t="s">
        <v>26</v>
      </c>
      <c r="J146">
        <v>1366</v>
      </c>
      <c r="K146">
        <v>768</v>
      </c>
      <c r="L146" t="s">
        <v>27</v>
      </c>
      <c r="M146" t="s">
        <v>27</v>
      </c>
      <c r="N146" t="s">
        <v>27</v>
      </c>
      <c r="O146" t="s">
        <v>49</v>
      </c>
      <c r="P146">
        <v>2.5</v>
      </c>
      <c r="Q146" t="s">
        <v>106</v>
      </c>
      <c r="R146" t="str">
        <f>_xlfn.CONCAT(laptop[[#This Row],[CPU_company]]," ",laptop[[#This Row],[CPU_model]])</f>
        <v>AMD A6-Series 9220</v>
      </c>
      <c r="S146">
        <v>256</v>
      </c>
      <c r="T146">
        <v>0</v>
      </c>
      <c r="U146">
        <f>laptop[[#This Row],[PrimaryStorage]]+laptop[[#This Row],[SecondaryStorage]]</f>
        <v>256</v>
      </c>
      <c r="V146" t="s">
        <v>31</v>
      </c>
      <c r="W146" t="s">
        <v>27</v>
      </c>
      <c r="X146" t="str">
        <f>IF(laptop[[#This Row],[PrimaryStorageType]]=laptop[[#This Row],[SecondaryStorageType]],laptop[[#This Row],[PrimaryStorageType]],"SSD &amp; HDD")</f>
        <v>SSD &amp; HDD</v>
      </c>
      <c r="Y146" t="s">
        <v>135</v>
      </c>
      <c r="Z146" s="4" t="str">
        <f>_xlfn.CONCAT(laptop[[#This Row],[CPU_company]]," ",laptop[[#This Row],[GPU_model]])</f>
        <v>AMD Radeon R4 Graphics</v>
      </c>
    </row>
    <row r="147" spans="1:26" x14ac:dyDescent="0.25">
      <c r="A147" t="s">
        <v>55</v>
      </c>
      <c r="B147" t="s">
        <v>213</v>
      </c>
      <c r="C147" t="s">
        <v>24</v>
      </c>
      <c r="D147">
        <v>14</v>
      </c>
      <c r="E147">
        <v>8</v>
      </c>
      <c r="F147" t="s">
        <v>48</v>
      </c>
      <c r="G147">
        <v>1.25</v>
      </c>
      <c r="H147" s="16">
        <v>1099</v>
      </c>
      <c r="I147" t="s">
        <v>40</v>
      </c>
      <c r="J147">
        <v>1920</v>
      </c>
      <c r="K147">
        <v>1080</v>
      </c>
      <c r="L147" t="s">
        <v>27</v>
      </c>
      <c r="M147" t="s">
        <v>27</v>
      </c>
      <c r="N147" t="s">
        <v>27</v>
      </c>
      <c r="O147" t="s">
        <v>29</v>
      </c>
      <c r="P147">
        <v>1.8</v>
      </c>
      <c r="Q147" t="s">
        <v>57</v>
      </c>
      <c r="R147" t="str">
        <f>_xlfn.CONCAT(laptop[[#This Row],[CPU_company]]," ",laptop[[#This Row],[CPU_model]])</f>
        <v>Intel Core i7 8550U</v>
      </c>
      <c r="S147">
        <v>256</v>
      </c>
      <c r="T147">
        <v>0</v>
      </c>
      <c r="U147">
        <f>laptop[[#This Row],[PrimaryStorage]]+laptop[[#This Row],[SecondaryStorage]]</f>
        <v>256</v>
      </c>
      <c r="V147" t="s">
        <v>31</v>
      </c>
      <c r="W147" t="s">
        <v>27</v>
      </c>
      <c r="X147" t="str">
        <f>IF(laptop[[#This Row],[PrimaryStorageType]]=laptop[[#This Row],[SecondaryStorageType]],laptop[[#This Row],[PrimaryStorageType]],"SSD &amp; HDD")</f>
        <v>SSD &amp; HDD</v>
      </c>
      <c r="Y147" t="s">
        <v>61</v>
      </c>
      <c r="Z147" s="4" t="str">
        <f>_xlfn.CONCAT(laptop[[#This Row],[CPU_company]]," ",laptop[[#This Row],[GPU_model]])</f>
        <v>Intel UHD Graphics 620</v>
      </c>
    </row>
    <row r="148" spans="1:26" x14ac:dyDescent="0.25">
      <c r="A148" t="s">
        <v>36</v>
      </c>
      <c r="B148" t="s">
        <v>214</v>
      </c>
      <c r="C148" t="s">
        <v>24</v>
      </c>
      <c r="D148">
        <v>12.5</v>
      </c>
      <c r="E148">
        <v>8</v>
      </c>
      <c r="F148" t="s">
        <v>48</v>
      </c>
      <c r="G148">
        <v>0.97</v>
      </c>
      <c r="H148" s="16">
        <v>2014</v>
      </c>
      <c r="I148" t="s">
        <v>215</v>
      </c>
      <c r="J148">
        <v>3840</v>
      </c>
      <c r="K148">
        <v>2160</v>
      </c>
      <c r="L148" t="s">
        <v>28</v>
      </c>
      <c r="M148" t="s">
        <v>28</v>
      </c>
      <c r="N148" t="s">
        <v>27</v>
      </c>
      <c r="O148" t="s">
        <v>29</v>
      </c>
      <c r="P148">
        <v>1.2</v>
      </c>
      <c r="Q148" t="s">
        <v>216</v>
      </c>
      <c r="R148" t="str">
        <f>_xlfn.CONCAT(laptop[[#This Row],[CPU_company]]," ",laptop[[#This Row],[CPU_model]])</f>
        <v>Intel Core M 6Y75</v>
      </c>
      <c r="S148">
        <v>512</v>
      </c>
      <c r="T148">
        <v>0</v>
      </c>
      <c r="U148">
        <f>laptop[[#This Row],[PrimaryStorage]]+laptop[[#This Row],[SecondaryStorage]]</f>
        <v>512</v>
      </c>
      <c r="V148" t="s">
        <v>31</v>
      </c>
      <c r="W148" t="s">
        <v>27</v>
      </c>
      <c r="X148" t="str">
        <f>IF(laptop[[#This Row],[PrimaryStorageType]]=laptop[[#This Row],[SecondaryStorageType]],laptop[[#This Row],[PrimaryStorageType]],"SSD &amp; HDD")</f>
        <v>SSD &amp; HDD</v>
      </c>
      <c r="Y148" t="s">
        <v>217</v>
      </c>
      <c r="Z148" s="4" t="str">
        <f>_xlfn.CONCAT(laptop[[#This Row],[CPU_company]]," ",laptop[[#This Row],[GPU_model]])</f>
        <v>Intel HD Graphics 515</v>
      </c>
    </row>
    <row r="149" spans="1:26" x14ac:dyDescent="0.25">
      <c r="A149" t="s">
        <v>55</v>
      </c>
      <c r="B149" t="s">
        <v>218</v>
      </c>
      <c r="C149" t="s">
        <v>38</v>
      </c>
      <c r="D149">
        <v>15.6</v>
      </c>
      <c r="E149">
        <v>4</v>
      </c>
      <c r="F149" t="s">
        <v>48</v>
      </c>
      <c r="G149">
        <v>2</v>
      </c>
      <c r="H149" s="16">
        <v>344</v>
      </c>
      <c r="I149" t="s">
        <v>40</v>
      </c>
      <c r="J149">
        <v>1920</v>
      </c>
      <c r="K149">
        <v>1080</v>
      </c>
      <c r="L149" t="s">
        <v>27</v>
      </c>
      <c r="M149" t="s">
        <v>27</v>
      </c>
      <c r="N149" t="s">
        <v>27</v>
      </c>
      <c r="O149" t="s">
        <v>29</v>
      </c>
      <c r="P149">
        <v>1.1000000000000001</v>
      </c>
      <c r="Q149" t="s">
        <v>109</v>
      </c>
      <c r="R149" t="str">
        <f>_xlfn.CONCAT(laptop[[#This Row],[CPU_company]]," ",laptop[[#This Row],[CPU_model]])</f>
        <v>Intel Celeron Dual Core N3350</v>
      </c>
      <c r="S149">
        <v>1024</v>
      </c>
      <c r="T149">
        <v>0</v>
      </c>
      <c r="U149">
        <f>laptop[[#This Row],[PrimaryStorage]]+laptop[[#This Row],[SecondaryStorage]]</f>
        <v>1024</v>
      </c>
      <c r="V149" t="s">
        <v>51</v>
      </c>
      <c r="W149" t="s">
        <v>27</v>
      </c>
      <c r="X149" t="str">
        <f>IF(laptop[[#This Row],[PrimaryStorageType]]=laptop[[#This Row],[SecondaryStorageType]],laptop[[#This Row],[PrimaryStorageType]],"SSD &amp; HDD")</f>
        <v>SSD &amp; HDD</v>
      </c>
      <c r="Y149" t="s">
        <v>110</v>
      </c>
      <c r="Z149" s="4" t="str">
        <f>_xlfn.CONCAT(laptop[[#This Row],[CPU_company]]," ",laptop[[#This Row],[GPU_model]])</f>
        <v>Intel HD Graphics 500</v>
      </c>
    </row>
    <row r="150" spans="1:26" x14ac:dyDescent="0.25">
      <c r="A150" t="s">
        <v>141</v>
      </c>
      <c r="B150" t="s">
        <v>219</v>
      </c>
      <c r="C150" t="s">
        <v>83</v>
      </c>
      <c r="D150">
        <v>17.3</v>
      </c>
      <c r="E150">
        <v>16</v>
      </c>
      <c r="F150" t="s">
        <v>48</v>
      </c>
      <c r="G150">
        <v>2.9</v>
      </c>
      <c r="H150" s="16">
        <v>2029</v>
      </c>
      <c r="I150" t="s">
        <v>40</v>
      </c>
      <c r="J150">
        <v>1920</v>
      </c>
      <c r="K150">
        <v>1080</v>
      </c>
      <c r="L150" t="s">
        <v>27</v>
      </c>
      <c r="M150" t="s">
        <v>27</v>
      </c>
      <c r="N150" t="s">
        <v>27</v>
      </c>
      <c r="O150" t="s">
        <v>29</v>
      </c>
      <c r="P150">
        <v>2.8</v>
      </c>
      <c r="Q150" t="s">
        <v>118</v>
      </c>
      <c r="R150" t="str">
        <f>_xlfn.CONCAT(laptop[[#This Row],[CPU_company]]," ",laptop[[#This Row],[CPU_model]])</f>
        <v>Intel Core i7 7700HQ</v>
      </c>
      <c r="S150">
        <v>256</v>
      </c>
      <c r="T150">
        <v>1024</v>
      </c>
      <c r="U150">
        <f>laptop[[#This Row],[PrimaryStorage]]+laptop[[#This Row],[SecondaryStorage]]</f>
        <v>1280</v>
      </c>
      <c r="V150" t="s">
        <v>31</v>
      </c>
      <c r="W150" t="s">
        <v>51</v>
      </c>
      <c r="X150" t="str">
        <f>IF(laptop[[#This Row],[PrimaryStorageType]]=laptop[[#This Row],[SecondaryStorageType]],laptop[[#This Row],[PrimaryStorageType]],"SSD &amp; HDD")</f>
        <v>SSD &amp; HDD</v>
      </c>
      <c r="Y150" t="s">
        <v>143</v>
      </c>
      <c r="Z150" s="4" t="str">
        <f>_xlfn.CONCAT(laptop[[#This Row],[CPU_company]]," ",laptop[[#This Row],[GPU_model]])</f>
        <v>Intel GeForce GTX 1070</v>
      </c>
    </row>
    <row r="151" spans="1:26" x14ac:dyDescent="0.25">
      <c r="A151" t="s">
        <v>46</v>
      </c>
      <c r="B151" t="s">
        <v>220</v>
      </c>
      <c r="C151" t="s">
        <v>38</v>
      </c>
      <c r="D151">
        <v>15.6</v>
      </c>
      <c r="E151">
        <v>4</v>
      </c>
      <c r="F151" t="s">
        <v>48</v>
      </c>
      <c r="G151">
        <v>2.1</v>
      </c>
      <c r="H151" s="16">
        <v>447</v>
      </c>
      <c r="I151" t="s">
        <v>26</v>
      </c>
      <c r="J151">
        <v>1366</v>
      </c>
      <c r="K151">
        <v>768</v>
      </c>
      <c r="L151" t="s">
        <v>27</v>
      </c>
      <c r="M151" t="s">
        <v>27</v>
      </c>
      <c r="N151" t="s">
        <v>27</v>
      </c>
      <c r="O151" t="s">
        <v>29</v>
      </c>
      <c r="P151">
        <v>2</v>
      </c>
      <c r="Q151" t="s">
        <v>62</v>
      </c>
      <c r="R151" t="str">
        <f>_xlfn.CONCAT(laptop[[#This Row],[CPU_company]]," ",laptop[[#This Row],[CPU_model]])</f>
        <v>Intel Core i3 6006U</v>
      </c>
      <c r="S151">
        <v>1024</v>
      </c>
      <c r="T151">
        <v>0</v>
      </c>
      <c r="U151">
        <f>laptop[[#This Row],[PrimaryStorage]]+laptop[[#This Row],[SecondaryStorage]]</f>
        <v>1024</v>
      </c>
      <c r="V151" t="s">
        <v>51</v>
      </c>
      <c r="W151" t="s">
        <v>27</v>
      </c>
      <c r="X151" t="str">
        <f>IF(laptop[[#This Row],[PrimaryStorageType]]=laptop[[#This Row],[SecondaryStorageType]],laptop[[#This Row],[PrimaryStorageType]],"SSD &amp; HDD")</f>
        <v>SSD &amp; HDD</v>
      </c>
      <c r="Y151" t="s">
        <v>63</v>
      </c>
      <c r="Z151" s="4" t="str">
        <f>_xlfn.CONCAT(laptop[[#This Row],[CPU_company]]," ",laptop[[#This Row],[GPU_model]])</f>
        <v>Intel HD Graphics 520</v>
      </c>
    </row>
    <row r="152" spans="1:26" x14ac:dyDescent="0.25">
      <c r="A152" t="s">
        <v>65</v>
      </c>
      <c r="B152" t="s">
        <v>221</v>
      </c>
      <c r="C152" t="s">
        <v>83</v>
      </c>
      <c r="D152">
        <v>15.6</v>
      </c>
      <c r="E152">
        <v>16</v>
      </c>
      <c r="F152" t="s">
        <v>48</v>
      </c>
      <c r="G152">
        <v>2.56</v>
      </c>
      <c r="H152" s="16">
        <v>1249.26</v>
      </c>
      <c r="I152" t="s">
        <v>40</v>
      </c>
      <c r="J152">
        <v>1920</v>
      </c>
      <c r="K152">
        <v>1080</v>
      </c>
      <c r="L152" t="s">
        <v>27</v>
      </c>
      <c r="M152" t="s">
        <v>27</v>
      </c>
      <c r="N152" t="s">
        <v>27</v>
      </c>
      <c r="O152" t="s">
        <v>29</v>
      </c>
      <c r="P152">
        <v>2.8</v>
      </c>
      <c r="Q152" t="s">
        <v>118</v>
      </c>
      <c r="R152" t="str">
        <f>_xlfn.CONCAT(laptop[[#This Row],[CPU_company]]," ",laptop[[#This Row],[CPU_model]])</f>
        <v>Intel Core i7 7700HQ</v>
      </c>
      <c r="S152">
        <v>512</v>
      </c>
      <c r="T152">
        <v>0</v>
      </c>
      <c r="U152">
        <f>laptop[[#This Row],[PrimaryStorage]]+laptop[[#This Row],[SecondaryStorage]]</f>
        <v>512</v>
      </c>
      <c r="V152" t="s">
        <v>31</v>
      </c>
      <c r="W152" t="s">
        <v>27</v>
      </c>
      <c r="X152" t="str">
        <f>IF(laptop[[#This Row],[PrimaryStorageType]]=laptop[[#This Row],[SecondaryStorageType]],laptop[[#This Row],[PrimaryStorageType]],"SSD &amp; HDD")</f>
        <v>SSD &amp; HDD</v>
      </c>
      <c r="Y152" t="s">
        <v>85</v>
      </c>
      <c r="Z152" s="4" t="str">
        <f>_xlfn.CONCAT(laptop[[#This Row],[CPU_company]]," ",laptop[[#This Row],[GPU_model]])</f>
        <v>Intel GeForce GTX 1050</v>
      </c>
    </row>
    <row r="153" spans="1:26" x14ac:dyDescent="0.25">
      <c r="A153" t="s">
        <v>65</v>
      </c>
      <c r="B153" t="s">
        <v>222</v>
      </c>
      <c r="C153" t="s">
        <v>83</v>
      </c>
      <c r="D153">
        <v>15.6</v>
      </c>
      <c r="E153">
        <v>8</v>
      </c>
      <c r="F153" t="s">
        <v>48</v>
      </c>
      <c r="G153">
        <v>2.62</v>
      </c>
      <c r="H153" s="16">
        <v>899</v>
      </c>
      <c r="I153" t="s">
        <v>40</v>
      </c>
      <c r="J153">
        <v>1920</v>
      </c>
      <c r="K153">
        <v>1080</v>
      </c>
      <c r="L153" t="s">
        <v>27</v>
      </c>
      <c r="M153" t="s">
        <v>27</v>
      </c>
      <c r="N153" t="s">
        <v>27</v>
      </c>
      <c r="O153" t="s">
        <v>29</v>
      </c>
      <c r="P153">
        <v>2.8</v>
      </c>
      <c r="Q153" t="s">
        <v>118</v>
      </c>
      <c r="R153" t="str">
        <f>_xlfn.CONCAT(laptop[[#This Row],[CPU_company]]," ",laptop[[#This Row],[CPU_model]])</f>
        <v>Intel Core i7 7700HQ</v>
      </c>
      <c r="S153">
        <v>1024</v>
      </c>
      <c r="T153">
        <v>0</v>
      </c>
      <c r="U153">
        <f>laptop[[#This Row],[PrimaryStorage]]+laptop[[#This Row],[SecondaryStorage]]</f>
        <v>1024</v>
      </c>
      <c r="V153" t="s">
        <v>223</v>
      </c>
      <c r="W153" t="s">
        <v>27</v>
      </c>
      <c r="X153" t="str">
        <f>IF(laptop[[#This Row],[PrimaryStorageType]]=laptop[[#This Row],[SecondaryStorageType]],laptop[[#This Row],[PrimaryStorageType]],"SSD &amp; HDD")</f>
        <v>SSD &amp; HDD</v>
      </c>
      <c r="Y153" t="s">
        <v>85</v>
      </c>
      <c r="Z153" s="4" t="str">
        <f>_xlfn.CONCAT(laptop[[#This Row],[CPU_company]]," ",laptop[[#This Row],[GPU_model]])</f>
        <v>Intel GeForce GTX 1050</v>
      </c>
    </row>
    <row r="154" spans="1:26" x14ac:dyDescent="0.25">
      <c r="A154" t="s">
        <v>73</v>
      </c>
      <c r="B154" t="s">
        <v>224</v>
      </c>
      <c r="C154" t="s">
        <v>38</v>
      </c>
      <c r="D154">
        <v>15.6</v>
      </c>
      <c r="E154">
        <v>4</v>
      </c>
      <c r="F154" t="s">
        <v>48</v>
      </c>
      <c r="G154">
        <v>1.9</v>
      </c>
      <c r="H154" s="16">
        <v>498</v>
      </c>
      <c r="I154" t="s">
        <v>26</v>
      </c>
      <c r="J154">
        <v>1366</v>
      </c>
      <c r="K154">
        <v>768</v>
      </c>
      <c r="L154" t="s">
        <v>27</v>
      </c>
      <c r="M154" t="s">
        <v>27</v>
      </c>
      <c r="N154" t="s">
        <v>27</v>
      </c>
      <c r="O154" t="s">
        <v>29</v>
      </c>
      <c r="P154">
        <v>2.5</v>
      </c>
      <c r="Q154" t="s">
        <v>41</v>
      </c>
      <c r="R154" t="str">
        <f>_xlfn.CONCAT(laptop[[#This Row],[CPU_company]]," ",laptop[[#This Row],[CPU_model]])</f>
        <v>Intel Core i5 7200U</v>
      </c>
      <c r="S154">
        <v>128</v>
      </c>
      <c r="T154">
        <v>0</v>
      </c>
      <c r="U154">
        <f>laptop[[#This Row],[PrimaryStorage]]+laptop[[#This Row],[SecondaryStorage]]</f>
        <v>128</v>
      </c>
      <c r="V154" t="s">
        <v>31</v>
      </c>
      <c r="W154" t="s">
        <v>27</v>
      </c>
      <c r="X154" t="str">
        <f>IF(laptop[[#This Row],[PrimaryStorageType]]=laptop[[#This Row],[SecondaryStorageType]],laptop[[#This Row],[PrimaryStorageType]],"SSD &amp; HDD")</f>
        <v>SSD &amp; HDD</v>
      </c>
      <c r="Y154" t="s">
        <v>42</v>
      </c>
      <c r="Z154" s="4" t="str">
        <f>_xlfn.CONCAT(laptop[[#This Row],[CPU_company]]," ",laptop[[#This Row],[GPU_model]])</f>
        <v>Intel HD Graphics 620</v>
      </c>
    </row>
    <row r="155" spans="1:26" x14ac:dyDescent="0.25">
      <c r="A155" t="s">
        <v>141</v>
      </c>
      <c r="B155" t="s">
        <v>225</v>
      </c>
      <c r="C155" t="s">
        <v>83</v>
      </c>
      <c r="D155">
        <v>17.3</v>
      </c>
      <c r="E155">
        <v>16</v>
      </c>
      <c r="F155" t="s">
        <v>48</v>
      </c>
      <c r="G155">
        <v>2.8</v>
      </c>
      <c r="H155" s="16">
        <v>1890</v>
      </c>
      <c r="I155" t="s">
        <v>40</v>
      </c>
      <c r="J155">
        <v>1920</v>
      </c>
      <c r="K155">
        <v>1080</v>
      </c>
      <c r="L155" t="s">
        <v>27</v>
      </c>
      <c r="M155" t="s">
        <v>27</v>
      </c>
      <c r="N155" t="s">
        <v>27</v>
      </c>
      <c r="O155" t="s">
        <v>29</v>
      </c>
      <c r="P155">
        <v>2.8</v>
      </c>
      <c r="Q155" t="s">
        <v>118</v>
      </c>
      <c r="R155" t="str">
        <f>_xlfn.CONCAT(laptop[[#This Row],[CPU_company]]," ",laptop[[#This Row],[CPU_model]])</f>
        <v>Intel Core i7 7700HQ</v>
      </c>
      <c r="S155">
        <v>256</v>
      </c>
      <c r="T155">
        <v>1024</v>
      </c>
      <c r="U155">
        <f>laptop[[#This Row],[PrimaryStorage]]+laptop[[#This Row],[SecondaryStorage]]</f>
        <v>1280</v>
      </c>
      <c r="V155" t="s">
        <v>31</v>
      </c>
      <c r="W155" t="s">
        <v>51</v>
      </c>
      <c r="X155" t="str">
        <f>IF(laptop[[#This Row],[PrimaryStorageType]]=laptop[[#This Row],[SecondaryStorageType]],laptop[[#This Row],[PrimaryStorageType]],"SSD &amp; HDD")</f>
        <v>SSD &amp; HDD</v>
      </c>
      <c r="Y155" t="s">
        <v>119</v>
      </c>
      <c r="Z155" s="4" t="str">
        <f>_xlfn.CONCAT(laptop[[#This Row],[CPU_company]]," ",laptop[[#This Row],[GPU_model]])</f>
        <v>Intel GeForce GTX 1060</v>
      </c>
    </row>
    <row r="156" spans="1:26" x14ac:dyDescent="0.25">
      <c r="A156" t="s">
        <v>36</v>
      </c>
      <c r="B156" t="s">
        <v>226</v>
      </c>
      <c r="C156" t="s">
        <v>24</v>
      </c>
      <c r="D156">
        <v>14</v>
      </c>
      <c r="E156">
        <v>4</v>
      </c>
      <c r="F156" t="s">
        <v>48</v>
      </c>
      <c r="G156">
        <v>1.48</v>
      </c>
      <c r="H156" s="16">
        <v>1082</v>
      </c>
      <c r="I156" t="s">
        <v>40</v>
      </c>
      <c r="J156">
        <v>1920</v>
      </c>
      <c r="K156">
        <v>1080</v>
      </c>
      <c r="L156" t="s">
        <v>27</v>
      </c>
      <c r="M156" t="s">
        <v>27</v>
      </c>
      <c r="N156" t="s">
        <v>27</v>
      </c>
      <c r="O156" t="s">
        <v>29</v>
      </c>
      <c r="P156">
        <v>2.7</v>
      </c>
      <c r="Q156" t="s">
        <v>227</v>
      </c>
      <c r="R156" t="str">
        <f>_xlfn.CONCAT(laptop[[#This Row],[CPU_company]]," ",laptop[[#This Row],[CPU_model]])</f>
        <v>Intel Core i5 7500U</v>
      </c>
      <c r="S156">
        <v>256</v>
      </c>
      <c r="T156">
        <v>0</v>
      </c>
      <c r="U156">
        <f>laptop[[#This Row],[PrimaryStorage]]+laptop[[#This Row],[SecondaryStorage]]</f>
        <v>256</v>
      </c>
      <c r="V156" t="s">
        <v>31</v>
      </c>
      <c r="W156" t="s">
        <v>27</v>
      </c>
      <c r="X156" t="str">
        <f>IF(laptop[[#This Row],[PrimaryStorageType]]=laptop[[#This Row],[SecondaryStorageType]],laptop[[#This Row],[PrimaryStorageType]],"SSD &amp; HDD")</f>
        <v>SSD &amp; HDD</v>
      </c>
      <c r="Y156" t="s">
        <v>42</v>
      </c>
      <c r="Z156" s="4" t="str">
        <f>_xlfn.CONCAT(laptop[[#This Row],[CPU_company]]," ",laptop[[#This Row],[GPU_model]])</f>
        <v>Intel HD Graphics 620</v>
      </c>
    </row>
    <row r="157" spans="1:26" x14ac:dyDescent="0.25">
      <c r="A157" t="s">
        <v>36</v>
      </c>
      <c r="B157" t="s">
        <v>228</v>
      </c>
      <c r="C157" t="s">
        <v>38</v>
      </c>
      <c r="D157">
        <v>15.6</v>
      </c>
      <c r="E157">
        <v>6</v>
      </c>
      <c r="F157" t="s">
        <v>48</v>
      </c>
      <c r="G157">
        <v>1.91</v>
      </c>
      <c r="H157" s="16">
        <v>619</v>
      </c>
      <c r="I157" t="s">
        <v>40</v>
      </c>
      <c r="J157">
        <v>1920</v>
      </c>
      <c r="K157">
        <v>1080</v>
      </c>
      <c r="L157" t="s">
        <v>27</v>
      </c>
      <c r="M157" t="s">
        <v>27</v>
      </c>
      <c r="N157" t="s">
        <v>27</v>
      </c>
      <c r="O157" t="s">
        <v>29</v>
      </c>
      <c r="P157">
        <v>1.6</v>
      </c>
      <c r="Q157" t="s">
        <v>60</v>
      </c>
      <c r="R157" t="str">
        <f>_xlfn.CONCAT(laptop[[#This Row],[CPU_company]]," ",laptop[[#This Row],[CPU_model]])</f>
        <v>Intel Core i5 8250U</v>
      </c>
      <c r="S157">
        <v>256</v>
      </c>
      <c r="T157">
        <v>0</v>
      </c>
      <c r="U157">
        <f>laptop[[#This Row],[PrimaryStorage]]+laptop[[#This Row],[SecondaryStorage]]</f>
        <v>256</v>
      </c>
      <c r="V157" t="s">
        <v>31</v>
      </c>
      <c r="W157" t="s">
        <v>27</v>
      </c>
      <c r="X157" t="str">
        <f>IF(laptop[[#This Row],[PrimaryStorageType]]=laptop[[#This Row],[SecondaryStorageType]],laptop[[#This Row],[PrimaryStorageType]],"SSD &amp; HDD")</f>
        <v>SSD &amp; HDD</v>
      </c>
      <c r="Y157" t="s">
        <v>138</v>
      </c>
      <c r="Z157" s="4" t="str">
        <f>_xlfn.CONCAT(laptop[[#This Row],[CPU_company]]," ",laptop[[#This Row],[GPU_model]])</f>
        <v>Intel Radeon 520</v>
      </c>
    </row>
    <row r="158" spans="1:26" x14ac:dyDescent="0.25">
      <c r="A158" t="s">
        <v>73</v>
      </c>
      <c r="B158" t="s">
        <v>229</v>
      </c>
      <c r="C158" t="s">
        <v>90</v>
      </c>
      <c r="D158">
        <v>14</v>
      </c>
      <c r="E158">
        <v>4</v>
      </c>
      <c r="F158" t="s">
        <v>48</v>
      </c>
      <c r="G158">
        <v>1.74</v>
      </c>
      <c r="H158" s="16">
        <v>629</v>
      </c>
      <c r="I158" t="s">
        <v>40</v>
      </c>
      <c r="J158">
        <v>1920</v>
      </c>
      <c r="K158">
        <v>1080</v>
      </c>
      <c r="L158" t="s">
        <v>28</v>
      </c>
      <c r="M158" t="s">
        <v>28</v>
      </c>
      <c r="N158" t="s">
        <v>27</v>
      </c>
      <c r="O158" t="s">
        <v>29</v>
      </c>
      <c r="P158">
        <v>2.4</v>
      </c>
      <c r="Q158" t="s">
        <v>75</v>
      </c>
      <c r="R158" t="str">
        <f>_xlfn.CONCAT(laptop[[#This Row],[CPU_company]]," ",laptop[[#This Row],[CPU_model]])</f>
        <v>Intel Core i3 7100U</v>
      </c>
      <c r="S158">
        <v>256</v>
      </c>
      <c r="T158">
        <v>0</v>
      </c>
      <c r="U158">
        <f>laptop[[#This Row],[PrimaryStorage]]+laptop[[#This Row],[SecondaryStorage]]</f>
        <v>256</v>
      </c>
      <c r="V158" t="s">
        <v>31</v>
      </c>
      <c r="W158" t="s">
        <v>27</v>
      </c>
      <c r="X158" t="str">
        <f>IF(laptop[[#This Row],[PrimaryStorageType]]=laptop[[#This Row],[SecondaryStorageType]],laptop[[#This Row],[PrimaryStorageType]],"SSD &amp; HDD")</f>
        <v>SSD &amp; HDD</v>
      </c>
      <c r="Y158" t="s">
        <v>42</v>
      </c>
      <c r="Z158" s="4" t="str">
        <f>_xlfn.CONCAT(laptop[[#This Row],[CPU_company]]," ",laptop[[#This Row],[GPU_model]])</f>
        <v>Intel HD Graphics 620</v>
      </c>
    </row>
    <row r="159" spans="1:26" x14ac:dyDescent="0.25">
      <c r="A159" t="s">
        <v>55</v>
      </c>
      <c r="B159" t="s">
        <v>230</v>
      </c>
      <c r="C159" t="s">
        <v>90</v>
      </c>
      <c r="D159">
        <v>13.3</v>
      </c>
      <c r="E159">
        <v>8</v>
      </c>
      <c r="F159" t="s">
        <v>48</v>
      </c>
      <c r="G159">
        <v>1.1000000000000001</v>
      </c>
      <c r="H159" s="16">
        <v>1315</v>
      </c>
      <c r="I159" t="s">
        <v>40</v>
      </c>
      <c r="J159">
        <v>1920</v>
      </c>
      <c r="K159">
        <v>1080</v>
      </c>
      <c r="L159" t="s">
        <v>28</v>
      </c>
      <c r="M159" t="s">
        <v>27</v>
      </c>
      <c r="N159" t="s">
        <v>27</v>
      </c>
      <c r="O159" t="s">
        <v>29</v>
      </c>
      <c r="P159">
        <v>1.6</v>
      </c>
      <c r="Q159" t="s">
        <v>60</v>
      </c>
      <c r="R159" t="str">
        <f>_xlfn.CONCAT(laptop[[#This Row],[CPU_company]]," ",laptop[[#This Row],[CPU_model]])</f>
        <v>Intel Core i5 8250U</v>
      </c>
      <c r="S159">
        <v>256</v>
      </c>
      <c r="T159">
        <v>0</v>
      </c>
      <c r="U159">
        <f>laptop[[#This Row],[PrimaryStorage]]+laptop[[#This Row],[SecondaryStorage]]</f>
        <v>256</v>
      </c>
      <c r="V159" t="s">
        <v>31</v>
      </c>
      <c r="W159" t="s">
        <v>27</v>
      </c>
      <c r="X159" t="str">
        <f>IF(laptop[[#This Row],[PrimaryStorageType]]=laptop[[#This Row],[SecondaryStorageType]],laptop[[#This Row],[PrimaryStorageType]],"SSD &amp; HDD")</f>
        <v>SSD &amp; HDD</v>
      </c>
      <c r="Y159" t="s">
        <v>42</v>
      </c>
      <c r="Z159" s="4" t="str">
        <f>_xlfn.CONCAT(laptop[[#This Row],[CPU_company]]," ",laptop[[#This Row],[GPU_model]])</f>
        <v>Intel HD Graphics 620</v>
      </c>
    </row>
    <row r="160" spans="1:26" x14ac:dyDescent="0.25">
      <c r="A160" t="s">
        <v>65</v>
      </c>
      <c r="B160" t="s">
        <v>231</v>
      </c>
      <c r="C160" t="s">
        <v>90</v>
      </c>
      <c r="D160">
        <v>15.6</v>
      </c>
      <c r="E160">
        <v>8</v>
      </c>
      <c r="F160" t="s">
        <v>48</v>
      </c>
      <c r="G160">
        <v>1.56</v>
      </c>
      <c r="H160" s="16">
        <v>1049</v>
      </c>
      <c r="I160" t="s">
        <v>40</v>
      </c>
      <c r="J160">
        <v>1920</v>
      </c>
      <c r="K160">
        <v>1080</v>
      </c>
      <c r="L160" t="s">
        <v>28</v>
      </c>
      <c r="M160" t="s">
        <v>27</v>
      </c>
      <c r="N160" t="s">
        <v>27</v>
      </c>
      <c r="O160" t="s">
        <v>29</v>
      </c>
      <c r="P160">
        <v>1.8</v>
      </c>
      <c r="Q160" t="s">
        <v>57</v>
      </c>
      <c r="R160" t="str">
        <f>_xlfn.CONCAT(laptop[[#This Row],[CPU_company]]," ",laptop[[#This Row],[CPU_model]])</f>
        <v>Intel Core i7 8550U</v>
      </c>
      <c r="S160">
        <v>256</v>
      </c>
      <c r="T160">
        <v>0</v>
      </c>
      <c r="U160">
        <f>laptop[[#This Row],[PrimaryStorage]]+laptop[[#This Row],[SecondaryStorage]]</f>
        <v>256</v>
      </c>
      <c r="V160" t="s">
        <v>31</v>
      </c>
      <c r="W160" t="s">
        <v>27</v>
      </c>
      <c r="X160" t="str">
        <f>IF(laptop[[#This Row],[PrimaryStorageType]]=laptop[[#This Row],[SecondaryStorageType]],laptop[[#This Row],[PrimaryStorageType]],"SSD &amp; HDD")</f>
        <v>SSD &amp; HDD</v>
      </c>
      <c r="Y160" t="s">
        <v>61</v>
      </c>
      <c r="Z160" s="4" t="str">
        <f>_xlfn.CONCAT(laptop[[#This Row],[CPU_company]]," ",laptop[[#This Row],[GPU_model]])</f>
        <v>Intel UHD Graphics 620</v>
      </c>
    </row>
    <row r="161" spans="1:26" x14ac:dyDescent="0.25">
      <c r="A161" t="s">
        <v>210</v>
      </c>
      <c r="B161" t="s">
        <v>211</v>
      </c>
      <c r="C161" t="s">
        <v>38</v>
      </c>
      <c r="D161">
        <v>15.6</v>
      </c>
      <c r="E161">
        <v>4</v>
      </c>
      <c r="F161" t="s">
        <v>48</v>
      </c>
      <c r="G161">
        <v>2.1</v>
      </c>
      <c r="H161" s="16">
        <v>447</v>
      </c>
      <c r="I161" t="s">
        <v>26</v>
      </c>
      <c r="J161">
        <v>1366</v>
      </c>
      <c r="K161">
        <v>768</v>
      </c>
      <c r="L161" t="s">
        <v>27</v>
      </c>
      <c r="M161" t="s">
        <v>27</v>
      </c>
      <c r="N161" t="s">
        <v>27</v>
      </c>
      <c r="O161" t="s">
        <v>29</v>
      </c>
      <c r="P161">
        <v>2.2000000000000002</v>
      </c>
      <c r="Q161" t="s">
        <v>62</v>
      </c>
      <c r="R161" t="str">
        <f>_xlfn.CONCAT(laptop[[#This Row],[CPU_company]]," ",laptop[[#This Row],[CPU_model]])</f>
        <v>Intel Core i3 6006U</v>
      </c>
      <c r="S161">
        <v>500</v>
      </c>
      <c r="T161">
        <v>0</v>
      </c>
      <c r="U161">
        <f>laptop[[#This Row],[PrimaryStorage]]+laptop[[#This Row],[SecondaryStorage]]</f>
        <v>500</v>
      </c>
      <c r="V161" t="s">
        <v>51</v>
      </c>
      <c r="W161" t="s">
        <v>27</v>
      </c>
      <c r="X161" t="str">
        <f>IF(laptop[[#This Row],[PrimaryStorageType]]=laptop[[#This Row],[SecondaryStorageType]],laptop[[#This Row],[PrimaryStorageType]],"SSD &amp; HDD")</f>
        <v>SSD &amp; HDD</v>
      </c>
      <c r="Y161" t="s">
        <v>63</v>
      </c>
      <c r="Z161" s="4" t="str">
        <f>_xlfn.CONCAT(laptop[[#This Row],[CPU_company]]," ",laptop[[#This Row],[GPU_model]])</f>
        <v>Intel HD Graphics 520</v>
      </c>
    </row>
    <row r="162" spans="1:26" x14ac:dyDescent="0.25">
      <c r="A162" t="s">
        <v>55</v>
      </c>
      <c r="B162" t="s">
        <v>232</v>
      </c>
      <c r="C162" t="s">
        <v>38</v>
      </c>
      <c r="D162">
        <v>15.6</v>
      </c>
      <c r="E162">
        <v>4</v>
      </c>
      <c r="F162" t="s">
        <v>48</v>
      </c>
      <c r="G162">
        <v>2.0299999999999998</v>
      </c>
      <c r="H162" s="16">
        <v>403</v>
      </c>
      <c r="I162" t="s">
        <v>26</v>
      </c>
      <c r="J162">
        <v>1366</v>
      </c>
      <c r="K162">
        <v>768</v>
      </c>
      <c r="L162" t="s">
        <v>27</v>
      </c>
      <c r="M162" t="s">
        <v>27</v>
      </c>
      <c r="N162" t="s">
        <v>27</v>
      </c>
      <c r="O162" t="s">
        <v>49</v>
      </c>
      <c r="P162">
        <v>3</v>
      </c>
      <c r="Q162" t="s">
        <v>50</v>
      </c>
      <c r="R162" t="str">
        <f>_xlfn.CONCAT(laptop[[#This Row],[CPU_company]]," ",laptop[[#This Row],[CPU_model]])</f>
        <v>AMD A9-Series 9420</v>
      </c>
      <c r="S162">
        <v>1024</v>
      </c>
      <c r="T162">
        <v>0</v>
      </c>
      <c r="U162">
        <f>laptop[[#This Row],[PrimaryStorage]]+laptop[[#This Row],[SecondaryStorage]]</f>
        <v>1024</v>
      </c>
      <c r="V162" t="s">
        <v>51</v>
      </c>
      <c r="W162" t="s">
        <v>27</v>
      </c>
      <c r="X162" t="str">
        <f>IF(laptop[[#This Row],[PrimaryStorageType]]=laptop[[#This Row],[SecondaryStorageType]],laptop[[#This Row],[PrimaryStorageType]],"SSD &amp; HDD")</f>
        <v>SSD &amp; HDD</v>
      </c>
      <c r="Y162" t="s">
        <v>233</v>
      </c>
      <c r="Z162" s="4" t="str">
        <f>_xlfn.CONCAT(laptop[[#This Row],[CPU_company]]," ",laptop[[#This Row],[GPU_model]])</f>
        <v>AMD Radeon R5 M420</v>
      </c>
    </row>
    <row r="163" spans="1:26" x14ac:dyDescent="0.25">
      <c r="A163" t="s">
        <v>46</v>
      </c>
      <c r="B163" t="s">
        <v>234</v>
      </c>
      <c r="C163" t="s">
        <v>38</v>
      </c>
      <c r="D163">
        <v>17.3</v>
      </c>
      <c r="E163">
        <v>4</v>
      </c>
      <c r="F163" t="s">
        <v>48</v>
      </c>
      <c r="G163">
        <v>3</v>
      </c>
      <c r="H163" s="16">
        <v>805</v>
      </c>
      <c r="I163" t="s">
        <v>40</v>
      </c>
      <c r="J163">
        <v>1920</v>
      </c>
      <c r="K163">
        <v>1080</v>
      </c>
      <c r="L163" t="s">
        <v>27</v>
      </c>
      <c r="M163" t="s">
        <v>28</v>
      </c>
      <c r="N163" t="s">
        <v>27</v>
      </c>
      <c r="O163" t="s">
        <v>29</v>
      </c>
      <c r="P163">
        <v>1.6</v>
      </c>
      <c r="Q163" t="s">
        <v>60</v>
      </c>
      <c r="R163" t="str">
        <f>_xlfn.CONCAT(laptop[[#This Row],[CPU_company]]," ",laptop[[#This Row],[CPU_model]])</f>
        <v>Intel Core i5 8250U</v>
      </c>
      <c r="S163">
        <v>256</v>
      </c>
      <c r="T163">
        <v>0</v>
      </c>
      <c r="U163">
        <f>laptop[[#This Row],[PrimaryStorage]]+laptop[[#This Row],[SecondaryStorage]]</f>
        <v>256</v>
      </c>
      <c r="V163" t="s">
        <v>31</v>
      </c>
      <c r="W163" t="s">
        <v>27</v>
      </c>
      <c r="X163" t="str">
        <f>IF(laptop[[#This Row],[PrimaryStorageType]]=laptop[[#This Row],[SecondaryStorageType]],laptop[[#This Row],[PrimaryStorageType]],"SSD &amp; HDD")</f>
        <v>SSD &amp; HDD</v>
      </c>
      <c r="Y163" t="s">
        <v>58</v>
      </c>
      <c r="Z163" s="4" t="str">
        <f>_xlfn.CONCAT(laptop[[#This Row],[CPU_company]]," ",laptop[[#This Row],[GPU_model]])</f>
        <v>Intel GeForce MX150</v>
      </c>
    </row>
    <row r="164" spans="1:26" x14ac:dyDescent="0.25">
      <c r="A164" t="s">
        <v>65</v>
      </c>
      <c r="B164" t="s">
        <v>137</v>
      </c>
      <c r="C164" t="s">
        <v>38</v>
      </c>
      <c r="D164">
        <v>15.6</v>
      </c>
      <c r="E164">
        <v>8</v>
      </c>
      <c r="F164" t="s">
        <v>48</v>
      </c>
      <c r="G164">
        <v>2.13</v>
      </c>
      <c r="H164" s="16">
        <v>728</v>
      </c>
      <c r="I164" t="s">
        <v>40</v>
      </c>
      <c r="J164">
        <v>1920</v>
      </c>
      <c r="K164">
        <v>1080</v>
      </c>
      <c r="L164" t="s">
        <v>27</v>
      </c>
      <c r="M164" t="s">
        <v>27</v>
      </c>
      <c r="N164" t="s">
        <v>27</v>
      </c>
      <c r="O164" t="s">
        <v>29</v>
      </c>
      <c r="P164">
        <v>1.6</v>
      </c>
      <c r="Q164" t="s">
        <v>60</v>
      </c>
      <c r="R164" t="str">
        <f>_xlfn.CONCAT(laptop[[#This Row],[CPU_company]]," ",laptop[[#This Row],[CPU_model]])</f>
        <v>Intel Core i5 8250U</v>
      </c>
      <c r="S164">
        <v>256</v>
      </c>
      <c r="T164">
        <v>0</v>
      </c>
      <c r="U164">
        <f>laptop[[#This Row],[PrimaryStorage]]+laptop[[#This Row],[SecondaryStorage]]</f>
        <v>256</v>
      </c>
      <c r="V164" t="s">
        <v>31</v>
      </c>
      <c r="W164" t="s">
        <v>27</v>
      </c>
      <c r="X164" t="str">
        <f>IF(laptop[[#This Row],[PrimaryStorageType]]=laptop[[#This Row],[SecondaryStorageType]],laptop[[#This Row],[PrimaryStorageType]],"SSD &amp; HDD")</f>
        <v>SSD &amp; HDD</v>
      </c>
      <c r="Y164" t="s">
        <v>138</v>
      </c>
      <c r="Z164" s="4" t="str">
        <f>_xlfn.CONCAT(laptop[[#This Row],[CPU_company]]," ",laptop[[#This Row],[GPU_model]])</f>
        <v>Intel Radeon 520</v>
      </c>
    </row>
    <row r="165" spans="1:26" x14ac:dyDescent="0.25">
      <c r="A165" t="s">
        <v>73</v>
      </c>
      <c r="B165" t="s">
        <v>82</v>
      </c>
      <c r="C165" t="s">
        <v>83</v>
      </c>
      <c r="D165">
        <v>15.6</v>
      </c>
      <c r="E165">
        <v>16</v>
      </c>
      <c r="F165" t="s">
        <v>48</v>
      </c>
      <c r="G165">
        <v>2.5</v>
      </c>
      <c r="H165" s="16">
        <v>1079</v>
      </c>
      <c r="I165" t="s">
        <v>40</v>
      </c>
      <c r="J165">
        <v>1920</v>
      </c>
      <c r="K165">
        <v>1080</v>
      </c>
      <c r="L165" t="s">
        <v>27</v>
      </c>
      <c r="M165" t="s">
        <v>28</v>
      </c>
      <c r="N165" t="s">
        <v>27</v>
      </c>
      <c r="O165" t="s">
        <v>29</v>
      </c>
      <c r="P165">
        <v>2.8</v>
      </c>
      <c r="Q165" t="s">
        <v>118</v>
      </c>
      <c r="R165" t="str">
        <f>_xlfn.CONCAT(laptop[[#This Row],[CPU_company]]," ",laptop[[#This Row],[CPU_model]])</f>
        <v>Intel Core i7 7700HQ</v>
      </c>
      <c r="S165">
        <v>256</v>
      </c>
      <c r="T165">
        <v>0</v>
      </c>
      <c r="U165">
        <f>laptop[[#This Row],[PrimaryStorage]]+laptop[[#This Row],[SecondaryStorage]]</f>
        <v>256</v>
      </c>
      <c r="V165" t="s">
        <v>31</v>
      </c>
      <c r="W165" t="s">
        <v>27</v>
      </c>
      <c r="X165" t="str">
        <f>IF(laptop[[#This Row],[PrimaryStorageType]]=laptop[[#This Row],[SecondaryStorageType]],laptop[[#This Row],[PrimaryStorageType]],"SSD &amp; HDD")</f>
        <v>SSD &amp; HDD</v>
      </c>
      <c r="Y165" t="s">
        <v>149</v>
      </c>
      <c r="Z165" s="4" t="str">
        <f>_xlfn.CONCAT(laptop[[#This Row],[CPU_company]]," ",laptop[[#This Row],[GPU_model]])</f>
        <v>Intel GeForce GTX 1050 Ti</v>
      </c>
    </row>
    <row r="166" spans="1:26" x14ac:dyDescent="0.25">
      <c r="A166" t="s">
        <v>46</v>
      </c>
      <c r="B166" t="s">
        <v>235</v>
      </c>
      <c r="C166" t="s">
        <v>38</v>
      </c>
      <c r="D166">
        <v>15.6</v>
      </c>
      <c r="E166">
        <v>4</v>
      </c>
      <c r="F166" t="s">
        <v>48</v>
      </c>
      <c r="G166">
        <v>2.1</v>
      </c>
      <c r="H166" s="16">
        <v>348</v>
      </c>
      <c r="I166" t="s">
        <v>26</v>
      </c>
      <c r="J166">
        <v>1366</v>
      </c>
      <c r="K166">
        <v>768</v>
      </c>
      <c r="L166" t="s">
        <v>27</v>
      </c>
      <c r="M166" t="s">
        <v>27</v>
      </c>
      <c r="N166" t="s">
        <v>27</v>
      </c>
      <c r="O166" t="s">
        <v>29</v>
      </c>
      <c r="P166">
        <v>1.1000000000000001</v>
      </c>
      <c r="Q166" t="s">
        <v>109</v>
      </c>
      <c r="R166" t="str">
        <f>_xlfn.CONCAT(laptop[[#This Row],[CPU_company]]," ",laptop[[#This Row],[CPU_model]])</f>
        <v>Intel Celeron Dual Core N3350</v>
      </c>
      <c r="S166">
        <v>1024</v>
      </c>
      <c r="T166">
        <v>0</v>
      </c>
      <c r="U166">
        <f>laptop[[#This Row],[PrimaryStorage]]+laptop[[#This Row],[SecondaryStorage]]</f>
        <v>1024</v>
      </c>
      <c r="V166" t="s">
        <v>51</v>
      </c>
      <c r="W166" t="s">
        <v>27</v>
      </c>
      <c r="X166" t="str">
        <f>IF(laptop[[#This Row],[PrimaryStorageType]]=laptop[[#This Row],[SecondaryStorageType]],laptop[[#This Row],[PrimaryStorageType]],"SSD &amp; HDD")</f>
        <v>SSD &amp; HDD</v>
      </c>
      <c r="Y166" t="s">
        <v>110</v>
      </c>
      <c r="Z166" s="4" t="str">
        <f>_xlfn.CONCAT(laptop[[#This Row],[CPU_company]]," ",laptop[[#This Row],[GPU_model]])</f>
        <v>Intel HD Graphics 500</v>
      </c>
    </row>
    <row r="167" spans="1:26" x14ac:dyDescent="0.25">
      <c r="A167" t="s">
        <v>141</v>
      </c>
      <c r="B167" t="s">
        <v>236</v>
      </c>
      <c r="C167" t="s">
        <v>83</v>
      </c>
      <c r="D167">
        <v>15.6</v>
      </c>
      <c r="E167">
        <v>16</v>
      </c>
      <c r="F167" t="s">
        <v>48</v>
      </c>
      <c r="G167">
        <v>2.4</v>
      </c>
      <c r="H167" s="16">
        <v>1799</v>
      </c>
      <c r="I167" t="s">
        <v>40</v>
      </c>
      <c r="J167">
        <v>1920</v>
      </c>
      <c r="K167">
        <v>1080</v>
      </c>
      <c r="L167" t="s">
        <v>27</v>
      </c>
      <c r="M167" t="s">
        <v>28</v>
      </c>
      <c r="N167" t="s">
        <v>27</v>
      </c>
      <c r="O167" t="s">
        <v>29</v>
      </c>
      <c r="P167">
        <v>2.8</v>
      </c>
      <c r="Q167" t="s">
        <v>118</v>
      </c>
      <c r="R167" t="str">
        <f>_xlfn.CONCAT(laptop[[#This Row],[CPU_company]]," ",laptop[[#This Row],[CPU_model]])</f>
        <v>Intel Core i7 7700HQ</v>
      </c>
      <c r="S167">
        <v>256</v>
      </c>
      <c r="T167">
        <v>1024</v>
      </c>
      <c r="U167">
        <f>laptop[[#This Row],[PrimaryStorage]]+laptop[[#This Row],[SecondaryStorage]]</f>
        <v>1280</v>
      </c>
      <c r="V167" t="s">
        <v>31</v>
      </c>
      <c r="W167" t="s">
        <v>51</v>
      </c>
      <c r="X167" t="str">
        <f>IF(laptop[[#This Row],[PrimaryStorageType]]=laptop[[#This Row],[SecondaryStorageType]],laptop[[#This Row],[PrimaryStorageType]],"SSD &amp; HDD")</f>
        <v>SSD &amp; HDD</v>
      </c>
      <c r="Y167" t="s">
        <v>119</v>
      </c>
      <c r="Z167" s="4" t="str">
        <f>_xlfn.CONCAT(laptop[[#This Row],[CPU_company]]," ",laptop[[#This Row],[GPU_model]])</f>
        <v>Intel GeForce GTX 1060</v>
      </c>
    </row>
    <row r="168" spans="1:26" x14ac:dyDescent="0.25">
      <c r="A168" t="s">
        <v>46</v>
      </c>
      <c r="B168" t="s">
        <v>47</v>
      </c>
      <c r="C168" t="s">
        <v>38</v>
      </c>
      <c r="D168">
        <v>15.6</v>
      </c>
      <c r="E168">
        <v>4</v>
      </c>
      <c r="F168" t="s">
        <v>48</v>
      </c>
      <c r="G168">
        <v>2.1</v>
      </c>
      <c r="H168" s="16">
        <v>363.51</v>
      </c>
      <c r="I168" t="s">
        <v>26</v>
      </c>
      <c r="J168">
        <v>1366</v>
      </c>
      <c r="K168">
        <v>768</v>
      </c>
      <c r="L168" t="s">
        <v>27</v>
      </c>
      <c r="M168" t="s">
        <v>27</v>
      </c>
      <c r="N168" t="s">
        <v>27</v>
      </c>
      <c r="O168" t="s">
        <v>29</v>
      </c>
      <c r="P168">
        <v>1.1000000000000001</v>
      </c>
      <c r="Q168" t="s">
        <v>130</v>
      </c>
      <c r="R168" t="str">
        <f>_xlfn.CONCAT(laptop[[#This Row],[CPU_company]]," ",laptop[[#This Row],[CPU_model]])</f>
        <v>Intel Pentium Quad Core N4200</v>
      </c>
      <c r="S168">
        <v>1024</v>
      </c>
      <c r="T168">
        <v>0</v>
      </c>
      <c r="U168">
        <f>laptop[[#This Row],[PrimaryStorage]]+laptop[[#This Row],[SecondaryStorage]]</f>
        <v>1024</v>
      </c>
      <c r="V168" t="s">
        <v>51</v>
      </c>
      <c r="W168" t="s">
        <v>27</v>
      </c>
      <c r="X168" t="str">
        <f>IF(laptop[[#This Row],[PrimaryStorageType]]=laptop[[#This Row],[SecondaryStorageType]],laptop[[#This Row],[PrimaryStorageType]],"SSD &amp; HDD")</f>
        <v>SSD &amp; HDD</v>
      </c>
      <c r="Y168" t="s">
        <v>237</v>
      </c>
      <c r="Z168" s="4" t="str">
        <f>_xlfn.CONCAT(laptop[[#This Row],[CPU_company]]," ",laptop[[#This Row],[GPU_model]])</f>
        <v>Intel HD Graphics 505</v>
      </c>
    </row>
    <row r="169" spans="1:26" x14ac:dyDescent="0.25">
      <c r="A169" t="s">
        <v>65</v>
      </c>
      <c r="B169" t="s">
        <v>221</v>
      </c>
      <c r="C169" t="s">
        <v>83</v>
      </c>
      <c r="D169">
        <v>15.6</v>
      </c>
      <c r="E169">
        <v>8</v>
      </c>
      <c r="F169" t="s">
        <v>48</v>
      </c>
      <c r="G169">
        <v>2.56</v>
      </c>
      <c r="H169" s="16">
        <v>1060.49</v>
      </c>
      <c r="I169" t="s">
        <v>40</v>
      </c>
      <c r="J169">
        <v>1920</v>
      </c>
      <c r="K169">
        <v>1080</v>
      </c>
      <c r="L169" t="s">
        <v>27</v>
      </c>
      <c r="M169" t="s">
        <v>27</v>
      </c>
      <c r="N169" t="s">
        <v>27</v>
      </c>
      <c r="O169" t="s">
        <v>29</v>
      </c>
      <c r="P169">
        <v>2.8</v>
      </c>
      <c r="Q169" t="s">
        <v>118</v>
      </c>
      <c r="R169" t="str">
        <f>_xlfn.CONCAT(laptop[[#This Row],[CPU_company]]," ",laptop[[#This Row],[CPU_model]])</f>
        <v>Intel Core i7 7700HQ</v>
      </c>
      <c r="S169">
        <v>128</v>
      </c>
      <c r="T169">
        <v>1024</v>
      </c>
      <c r="U169">
        <f>laptop[[#This Row],[PrimaryStorage]]+laptop[[#This Row],[SecondaryStorage]]</f>
        <v>1152</v>
      </c>
      <c r="V169" t="s">
        <v>31</v>
      </c>
      <c r="W169" t="s">
        <v>51</v>
      </c>
      <c r="X169" t="str">
        <f>IF(laptop[[#This Row],[PrimaryStorageType]]=laptop[[#This Row],[SecondaryStorageType]],laptop[[#This Row],[PrimaryStorageType]],"SSD &amp; HDD")</f>
        <v>SSD &amp; HDD</v>
      </c>
      <c r="Y169" t="s">
        <v>85</v>
      </c>
      <c r="Z169" s="4" t="str">
        <f>_xlfn.CONCAT(laptop[[#This Row],[CPU_company]]," ",laptop[[#This Row],[GPU_model]])</f>
        <v>Intel GeForce GTX 1050</v>
      </c>
    </row>
    <row r="170" spans="1:26" x14ac:dyDescent="0.25">
      <c r="A170" t="s">
        <v>46</v>
      </c>
      <c r="B170" t="s">
        <v>234</v>
      </c>
      <c r="C170" t="s">
        <v>38</v>
      </c>
      <c r="D170">
        <v>17.3</v>
      </c>
      <c r="E170">
        <v>8</v>
      </c>
      <c r="F170" t="s">
        <v>48</v>
      </c>
      <c r="G170">
        <v>3</v>
      </c>
      <c r="H170" s="16">
        <v>854</v>
      </c>
      <c r="I170" t="s">
        <v>40</v>
      </c>
      <c r="J170">
        <v>1920</v>
      </c>
      <c r="K170">
        <v>1080</v>
      </c>
      <c r="L170" t="s">
        <v>27</v>
      </c>
      <c r="M170" t="s">
        <v>28</v>
      </c>
      <c r="N170" t="s">
        <v>27</v>
      </c>
      <c r="O170" t="s">
        <v>29</v>
      </c>
      <c r="P170">
        <v>1.6</v>
      </c>
      <c r="Q170" t="s">
        <v>60</v>
      </c>
      <c r="R170" t="str">
        <f>_xlfn.CONCAT(laptop[[#This Row],[CPU_company]]," ",laptop[[#This Row],[CPU_model]])</f>
        <v>Intel Core i5 8250U</v>
      </c>
      <c r="S170">
        <v>256</v>
      </c>
      <c r="T170">
        <v>0</v>
      </c>
      <c r="U170">
        <f>laptop[[#This Row],[PrimaryStorage]]+laptop[[#This Row],[SecondaryStorage]]</f>
        <v>256</v>
      </c>
      <c r="V170" t="s">
        <v>31</v>
      </c>
      <c r="W170" t="s">
        <v>27</v>
      </c>
      <c r="X170" t="str">
        <f>IF(laptop[[#This Row],[PrimaryStorageType]]=laptop[[#This Row],[SecondaryStorageType]],laptop[[#This Row],[PrimaryStorageType]],"SSD &amp; HDD")</f>
        <v>SSD &amp; HDD</v>
      </c>
      <c r="Y170" t="s">
        <v>58</v>
      </c>
      <c r="Z170" s="4" t="str">
        <f>_xlfn.CONCAT(laptop[[#This Row],[CPU_company]]," ",laptop[[#This Row],[GPU_model]])</f>
        <v>Intel GeForce MX150</v>
      </c>
    </row>
    <row r="171" spans="1:26" x14ac:dyDescent="0.25">
      <c r="A171" t="s">
        <v>36</v>
      </c>
      <c r="B171" t="s">
        <v>136</v>
      </c>
      <c r="C171" t="s">
        <v>38</v>
      </c>
      <c r="D171">
        <v>13.3</v>
      </c>
      <c r="E171">
        <v>4</v>
      </c>
      <c r="F171" t="s">
        <v>48</v>
      </c>
      <c r="G171">
        <v>1.49</v>
      </c>
      <c r="H171" s="16">
        <v>754</v>
      </c>
      <c r="I171" t="s">
        <v>40</v>
      </c>
      <c r="J171">
        <v>1920</v>
      </c>
      <c r="K171">
        <v>1080</v>
      </c>
      <c r="L171" t="s">
        <v>27</v>
      </c>
      <c r="M171" t="s">
        <v>28</v>
      </c>
      <c r="N171" t="s">
        <v>27</v>
      </c>
      <c r="O171" t="s">
        <v>29</v>
      </c>
      <c r="P171">
        <v>1.6</v>
      </c>
      <c r="Q171" t="s">
        <v>60</v>
      </c>
      <c r="R171" t="str">
        <f>_xlfn.CONCAT(laptop[[#This Row],[CPU_company]]," ",laptop[[#This Row],[CPU_model]])</f>
        <v>Intel Core i5 8250U</v>
      </c>
      <c r="S171">
        <v>500</v>
      </c>
      <c r="T171">
        <v>0</v>
      </c>
      <c r="U171">
        <f>laptop[[#This Row],[PrimaryStorage]]+laptop[[#This Row],[SecondaryStorage]]</f>
        <v>500</v>
      </c>
      <c r="V171" t="s">
        <v>51</v>
      </c>
      <c r="W171" t="s">
        <v>27</v>
      </c>
      <c r="X171" t="str">
        <f>IF(laptop[[#This Row],[PrimaryStorageType]]=laptop[[#This Row],[SecondaryStorageType]],laptop[[#This Row],[PrimaryStorageType]],"SSD &amp; HDD")</f>
        <v>SSD &amp; HDD</v>
      </c>
      <c r="Y171" t="s">
        <v>61</v>
      </c>
      <c r="Z171" s="4" t="str">
        <f>_xlfn.CONCAT(laptop[[#This Row],[CPU_company]]," ",laptop[[#This Row],[GPU_model]])</f>
        <v>Intel UHD Graphics 620</v>
      </c>
    </row>
    <row r="172" spans="1:26" x14ac:dyDescent="0.25">
      <c r="A172" t="s">
        <v>238</v>
      </c>
      <c r="B172" t="s">
        <v>239</v>
      </c>
      <c r="C172" t="s">
        <v>24</v>
      </c>
      <c r="D172">
        <v>13</v>
      </c>
      <c r="E172">
        <v>8</v>
      </c>
      <c r="F172" t="s">
        <v>48</v>
      </c>
      <c r="G172">
        <v>1.05</v>
      </c>
      <c r="H172" s="16">
        <v>1349</v>
      </c>
      <c r="I172" t="s">
        <v>40</v>
      </c>
      <c r="J172">
        <v>2160</v>
      </c>
      <c r="K172">
        <v>1440</v>
      </c>
      <c r="L172" t="s">
        <v>27</v>
      </c>
      <c r="M172" t="s">
        <v>28</v>
      </c>
      <c r="N172" t="s">
        <v>27</v>
      </c>
      <c r="O172" t="s">
        <v>29</v>
      </c>
      <c r="P172">
        <v>2.5</v>
      </c>
      <c r="Q172" t="s">
        <v>41</v>
      </c>
      <c r="R172" t="str">
        <f>_xlfn.CONCAT(laptop[[#This Row],[CPU_company]]," ",laptop[[#This Row],[CPU_model]])</f>
        <v>Intel Core i5 7200U</v>
      </c>
      <c r="S172">
        <v>256</v>
      </c>
      <c r="T172">
        <v>0</v>
      </c>
      <c r="U172">
        <f>laptop[[#This Row],[PrimaryStorage]]+laptop[[#This Row],[SecondaryStorage]]</f>
        <v>256</v>
      </c>
      <c r="V172" t="s">
        <v>31</v>
      </c>
      <c r="W172" t="s">
        <v>27</v>
      </c>
      <c r="X172" t="str">
        <f>IF(laptop[[#This Row],[PrimaryStorageType]]=laptop[[#This Row],[SecondaryStorageType]],laptop[[#This Row],[PrimaryStorageType]],"SSD &amp; HDD")</f>
        <v>SSD &amp; HDD</v>
      </c>
      <c r="Y172" t="s">
        <v>42</v>
      </c>
      <c r="Z172" s="4" t="str">
        <f>_xlfn.CONCAT(laptop[[#This Row],[CPU_company]]," ",laptop[[#This Row],[GPU_model]])</f>
        <v>Intel HD Graphics 620</v>
      </c>
    </row>
    <row r="173" spans="1:26" x14ac:dyDescent="0.25">
      <c r="A173" t="s">
        <v>36</v>
      </c>
      <c r="B173" t="s">
        <v>240</v>
      </c>
      <c r="C173" t="s">
        <v>38</v>
      </c>
      <c r="D173">
        <v>17.3</v>
      </c>
      <c r="E173">
        <v>6</v>
      </c>
      <c r="F173" t="s">
        <v>48</v>
      </c>
      <c r="G173">
        <v>2.71</v>
      </c>
      <c r="H173" s="16">
        <v>699</v>
      </c>
      <c r="I173" t="s">
        <v>40</v>
      </c>
      <c r="J173">
        <v>1920</v>
      </c>
      <c r="K173">
        <v>1080</v>
      </c>
      <c r="L173" t="s">
        <v>27</v>
      </c>
      <c r="M173" t="s">
        <v>28</v>
      </c>
      <c r="N173" t="s">
        <v>27</v>
      </c>
      <c r="O173" t="s">
        <v>29</v>
      </c>
      <c r="P173">
        <v>2.5</v>
      </c>
      <c r="Q173" t="s">
        <v>41</v>
      </c>
      <c r="R173" t="str">
        <f>_xlfn.CONCAT(laptop[[#This Row],[CPU_company]]," ",laptop[[#This Row],[CPU_model]])</f>
        <v>Intel Core i5 7200U</v>
      </c>
      <c r="S173">
        <v>2048</v>
      </c>
      <c r="T173">
        <v>0</v>
      </c>
      <c r="U173">
        <f>laptop[[#This Row],[PrimaryStorage]]+laptop[[#This Row],[SecondaryStorage]]</f>
        <v>2048</v>
      </c>
      <c r="V173" t="s">
        <v>51</v>
      </c>
      <c r="W173" t="s">
        <v>27</v>
      </c>
      <c r="X173" t="str">
        <f>IF(laptop[[#This Row],[PrimaryStorageType]]=laptop[[#This Row],[SecondaryStorageType]],laptop[[#This Row],[PrimaryStorageType]],"SSD &amp; HDD")</f>
        <v>SSD &amp; HDD</v>
      </c>
      <c r="Y173" t="s">
        <v>138</v>
      </c>
      <c r="Z173" s="4" t="str">
        <f>_xlfn.CONCAT(laptop[[#This Row],[CPU_company]]," ",laptop[[#This Row],[GPU_model]])</f>
        <v>Intel Radeon 520</v>
      </c>
    </row>
    <row r="174" spans="1:26" x14ac:dyDescent="0.25">
      <c r="A174" t="s">
        <v>73</v>
      </c>
      <c r="B174" t="s">
        <v>165</v>
      </c>
      <c r="C174" t="s">
        <v>38</v>
      </c>
      <c r="D174">
        <v>15.6</v>
      </c>
      <c r="E174">
        <v>4</v>
      </c>
      <c r="F174" t="s">
        <v>39</v>
      </c>
      <c r="G174">
        <v>2.2000000000000002</v>
      </c>
      <c r="H174" s="16">
        <v>309</v>
      </c>
      <c r="I174" t="s">
        <v>26</v>
      </c>
      <c r="J174">
        <v>1366</v>
      </c>
      <c r="K174">
        <v>768</v>
      </c>
      <c r="L174" t="s">
        <v>27</v>
      </c>
      <c r="M174" t="s">
        <v>27</v>
      </c>
      <c r="N174" t="s">
        <v>27</v>
      </c>
      <c r="O174" t="s">
        <v>49</v>
      </c>
      <c r="P174">
        <v>2.9</v>
      </c>
      <c r="Q174" t="s">
        <v>106</v>
      </c>
      <c r="R174" t="str">
        <f>_xlfn.CONCAT(laptop[[#This Row],[CPU_company]]," ",laptop[[#This Row],[CPU_model]])</f>
        <v>AMD A6-Series 9220</v>
      </c>
      <c r="S174">
        <v>500</v>
      </c>
      <c r="T174">
        <v>0</v>
      </c>
      <c r="U174">
        <f>laptop[[#This Row],[PrimaryStorage]]+laptop[[#This Row],[SecondaryStorage]]</f>
        <v>500</v>
      </c>
      <c r="V174" t="s">
        <v>51</v>
      </c>
      <c r="W174" t="s">
        <v>27</v>
      </c>
      <c r="X174" t="str">
        <f>IF(laptop[[#This Row],[PrimaryStorageType]]=laptop[[#This Row],[SecondaryStorageType]],laptop[[#This Row],[PrimaryStorageType]],"SSD &amp; HDD")</f>
        <v>SSD &amp; HDD</v>
      </c>
      <c r="Y174" t="s">
        <v>135</v>
      </c>
      <c r="Z174" s="4" t="str">
        <f>_xlfn.CONCAT(laptop[[#This Row],[CPU_company]]," ",laptop[[#This Row],[GPU_model]])</f>
        <v>AMD Radeon R4 Graphics</v>
      </c>
    </row>
    <row r="175" spans="1:26" x14ac:dyDescent="0.25">
      <c r="A175" t="s">
        <v>210</v>
      </c>
      <c r="B175" t="s">
        <v>211</v>
      </c>
      <c r="C175" t="s">
        <v>38</v>
      </c>
      <c r="D175">
        <v>15.6</v>
      </c>
      <c r="E175">
        <v>4</v>
      </c>
      <c r="F175" t="s">
        <v>48</v>
      </c>
      <c r="G175">
        <v>2</v>
      </c>
      <c r="H175" s="16">
        <v>489</v>
      </c>
      <c r="I175" t="s">
        <v>26</v>
      </c>
      <c r="J175">
        <v>1366</v>
      </c>
      <c r="K175">
        <v>768</v>
      </c>
      <c r="L175" t="s">
        <v>27</v>
      </c>
      <c r="M175" t="s">
        <v>27</v>
      </c>
      <c r="N175" t="s">
        <v>27</v>
      </c>
      <c r="O175" t="s">
        <v>29</v>
      </c>
      <c r="P175">
        <v>2.4</v>
      </c>
      <c r="Q175" t="s">
        <v>75</v>
      </c>
      <c r="R175" t="str">
        <f>_xlfn.CONCAT(laptop[[#This Row],[CPU_company]]," ",laptop[[#This Row],[CPU_model]])</f>
        <v>Intel Core i3 7100U</v>
      </c>
      <c r="S175">
        <v>500</v>
      </c>
      <c r="T175">
        <v>0</v>
      </c>
      <c r="U175">
        <f>laptop[[#This Row],[PrimaryStorage]]+laptop[[#This Row],[SecondaryStorage]]</f>
        <v>500</v>
      </c>
      <c r="V175" t="s">
        <v>51</v>
      </c>
      <c r="W175" t="s">
        <v>27</v>
      </c>
      <c r="X175" t="str">
        <f>IF(laptop[[#This Row],[PrimaryStorageType]]=laptop[[#This Row],[SecondaryStorageType]],laptop[[#This Row],[PrimaryStorageType]],"SSD &amp; HDD")</f>
        <v>SSD &amp; HDD</v>
      </c>
      <c r="Y175" t="s">
        <v>42</v>
      </c>
      <c r="Z175" s="4" t="str">
        <f>_xlfn.CONCAT(laptop[[#This Row],[CPU_company]]," ",laptop[[#This Row],[GPU_model]])</f>
        <v>Intel HD Graphics 620</v>
      </c>
    </row>
    <row r="176" spans="1:26" x14ac:dyDescent="0.25">
      <c r="A176" t="s">
        <v>36</v>
      </c>
      <c r="B176" t="s">
        <v>97</v>
      </c>
      <c r="C176" t="s">
        <v>38</v>
      </c>
      <c r="D176">
        <v>17.3</v>
      </c>
      <c r="E176">
        <v>8</v>
      </c>
      <c r="F176" t="s">
        <v>48</v>
      </c>
      <c r="G176">
        <v>2.5</v>
      </c>
      <c r="H176" s="16">
        <v>923</v>
      </c>
      <c r="I176" t="s">
        <v>40</v>
      </c>
      <c r="J176">
        <v>1920</v>
      </c>
      <c r="K176">
        <v>1080</v>
      </c>
      <c r="L176" t="s">
        <v>27</v>
      </c>
      <c r="M176" t="s">
        <v>27</v>
      </c>
      <c r="N176" t="s">
        <v>27</v>
      </c>
      <c r="O176" t="s">
        <v>29</v>
      </c>
      <c r="P176">
        <v>1.6</v>
      </c>
      <c r="Q176" t="s">
        <v>60</v>
      </c>
      <c r="R176" t="str">
        <f>_xlfn.CONCAT(laptop[[#This Row],[CPU_company]]," ",laptop[[#This Row],[CPU_model]])</f>
        <v>Intel Core i5 8250U</v>
      </c>
      <c r="S176">
        <v>256</v>
      </c>
      <c r="T176">
        <v>0</v>
      </c>
      <c r="U176">
        <f>laptop[[#This Row],[PrimaryStorage]]+laptop[[#This Row],[SecondaryStorage]]</f>
        <v>256</v>
      </c>
      <c r="V176" t="s">
        <v>31</v>
      </c>
      <c r="W176" t="s">
        <v>27</v>
      </c>
      <c r="X176" t="str">
        <f>IF(laptop[[#This Row],[PrimaryStorageType]]=laptop[[#This Row],[SecondaryStorageType]],laptop[[#This Row],[PrimaryStorageType]],"SSD &amp; HDD")</f>
        <v>SSD &amp; HDD</v>
      </c>
      <c r="Y176" t="s">
        <v>98</v>
      </c>
      <c r="Z176" s="4" t="str">
        <f>_xlfn.CONCAT(laptop[[#This Row],[CPU_company]]," ",laptop[[#This Row],[GPU_model]])</f>
        <v>Intel GeForce 930MX</v>
      </c>
    </row>
    <row r="177" spans="1:26" x14ac:dyDescent="0.25">
      <c r="A177" t="s">
        <v>65</v>
      </c>
      <c r="B177" t="s">
        <v>66</v>
      </c>
      <c r="C177" t="s">
        <v>38</v>
      </c>
      <c r="D177">
        <v>15.6</v>
      </c>
      <c r="E177">
        <v>8</v>
      </c>
      <c r="F177" t="s">
        <v>48</v>
      </c>
      <c r="G177">
        <v>2.2999999999999998</v>
      </c>
      <c r="H177" s="16">
        <v>459</v>
      </c>
      <c r="I177" t="s">
        <v>26</v>
      </c>
      <c r="J177">
        <v>1366</v>
      </c>
      <c r="K177">
        <v>768</v>
      </c>
      <c r="L177" t="s">
        <v>27</v>
      </c>
      <c r="M177" t="s">
        <v>27</v>
      </c>
      <c r="N177" t="s">
        <v>27</v>
      </c>
      <c r="O177" t="s">
        <v>29</v>
      </c>
      <c r="P177">
        <v>2.4</v>
      </c>
      <c r="Q177" t="s">
        <v>75</v>
      </c>
      <c r="R177" t="str">
        <f>_xlfn.CONCAT(laptop[[#This Row],[CPU_company]]," ",laptop[[#This Row],[CPU_model]])</f>
        <v>Intel Core i3 7100U</v>
      </c>
      <c r="S177">
        <v>1024</v>
      </c>
      <c r="T177">
        <v>0</v>
      </c>
      <c r="U177">
        <f>laptop[[#This Row],[PrimaryStorage]]+laptop[[#This Row],[SecondaryStorage]]</f>
        <v>1024</v>
      </c>
      <c r="V177" t="s">
        <v>51</v>
      </c>
      <c r="W177" t="s">
        <v>27</v>
      </c>
      <c r="X177" t="str">
        <f>IF(laptop[[#This Row],[PrimaryStorageType]]=laptop[[#This Row],[SecondaryStorageType]],laptop[[#This Row],[PrimaryStorageType]],"SSD &amp; HDD")</f>
        <v>SSD &amp; HDD</v>
      </c>
      <c r="Y177" t="s">
        <v>42</v>
      </c>
      <c r="Z177" s="4" t="str">
        <f>_xlfn.CONCAT(laptop[[#This Row],[CPU_company]]," ",laptop[[#This Row],[GPU_model]])</f>
        <v>Intel HD Graphics 620</v>
      </c>
    </row>
    <row r="178" spans="1:26" x14ac:dyDescent="0.25">
      <c r="A178" t="s">
        <v>46</v>
      </c>
      <c r="B178" t="s">
        <v>220</v>
      </c>
      <c r="C178" t="s">
        <v>38</v>
      </c>
      <c r="D178">
        <v>15.6</v>
      </c>
      <c r="E178">
        <v>4</v>
      </c>
      <c r="F178" t="s">
        <v>48</v>
      </c>
      <c r="G178">
        <v>2.1</v>
      </c>
      <c r="H178" s="16">
        <v>449</v>
      </c>
      <c r="I178" t="s">
        <v>26</v>
      </c>
      <c r="J178">
        <v>1366</v>
      </c>
      <c r="K178">
        <v>768</v>
      </c>
      <c r="L178" t="s">
        <v>27</v>
      </c>
      <c r="M178" t="s">
        <v>27</v>
      </c>
      <c r="N178" t="s">
        <v>27</v>
      </c>
      <c r="O178" t="s">
        <v>29</v>
      </c>
      <c r="P178">
        <v>2</v>
      </c>
      <c r="Q178" t="s">
        <v>62</v>
      </c>
      <c r="R178" t="str">
        <f>_xlfn.CONCAT(laptop[[#This Row],[CPU_company]]," ",laptop[[#This Row],[CPU_model]])</f>
        <v>Intel Core i3 6006U</v>
      </c>
      <c r="S178">
        <v>128</v>
      </c>
      <c r="T178">
        <v>0</v>
      </c>
      <c r="U178">
        <f>laptop[[#This Row],[PrimaryStorage]]+laptop[[#This Row],[SecondaryStorage]]</f>
        <v>128</v>
      </c>
      <c r="V178" t="s">
        <v>31</v>
      </c>
      <c r="W178" t="s">
        <v>27</v>
      </c>
      <c r="X178" t="str">
        <f>IF(laptop[[#This Row],[PrimaryStorageType]]=laptop[[#This Row],[SecondaryStorageType]],laptop[[#This Row],[PrimaryStorageType]],"SSD &amp; HDD")</f>
        <v>SSD &amp; HDD</v>
      </c>
      <c r="Y178" t="s">
        <v>63</v>
      </c>
      <c r="Z178" s="4" t="str">
        <f>_xlfn.CONCAT(laptop[[#This Row],[CPU_company]]," ",laptop[[#This Row],[GPU_model]])</f>
        <v>Intel HD Graphics 520</v>
      </c>
    </row>
    <row r="179" spans="1:26" x14ac:dyDescent="0.25">
      <c r="A179" t="s">
        <v>141</v>
      </c>
      <c r="B179" t="s">
        <v>241</v>
      </c>
      <c r="C179" t="s">
        <v>83</v>
      </c>
      <c r="D179">
        <v>18.399999999999999</v>
      </c>
      <c r="E179">
        <v>32</v>
      </c>
      <c r="F179" t="s">
        <v>48</v>
      </c>
      <c r="G179">
        <v>4.4000000000000004</v>
      </c>
      <c r="H179" s="16">
        <v>2799</v>
      </c>
      <c r="I179" t="s">
        <v>40</v>
      </c>
      <c r="J179">
        <v>1920</v>
      </c>
      <c r="K179">
        <v>1080</v>
      </c>
      <c r="L179" t="s">
        <v>27</v>
      </c>
      <c r="M179" t="s">
        <v>27</v>
      </c>
      <c r="N179" t="s">
        <v>27</v>
      </c>
      <c r="O179" t="s">
        <v>29</v>
      </c>
      <c r="P179">
        <v>2.9</v>
      </c>
      <c r="Q179" t="s">
        <v>242</v>
      </c>
      <c r="R179" t="str">
        <f>_xlfn.CONCAT(laptop[[#This Row],[CPU_company]]," ",laptop[[#This Row],[CPU_model]])</f>
        <v>Intel Core i7 6920HQ</v>
      </c>
      <c r="S179">
        <v>512</v>
      </c>
      <c r="T179">
        <v>1024</v>
      </c>
      <c r="U179">
        <f>laptop[[#This Row],[PrimaryStorage]]+laptop[[#This Row],[SecondaryStorage]]</f>
        <v>1536</v>
      </c>
      <c r="V179" t="s">
        <v>31</v>
      </c>
      <c r="W179" t="s">
        <v>51</v>
      </c>
      <c r="X179" t="str">
        <f>IF(laptop[[#This Row],[PrimaryStorageType]]=laptop[[#This Row],[SecondaryStorageType]],laptop[[#This Row],[PrimaryStorageType]],"SSD &amp; HDD")</f>
        <v>SSD &amp; HDD</v>
      </c>
      <c r="Y179" t="s">
        <v>243</v>
      </c>
      <c r="Z179" s="4" t="str">
        <f>_xlfn.CONCAT(laptop[[#This Row],[CPU_company]]," ",laptop[[#This Row],[GPU_model]])</f>
        <v>Intel GTX 980 SLI</v>
      </c>
    </row>
    <row r="180" spans="1:26" x14ac:dyDescent="0.25">
      <c r="A180" t="s">
        <v>73</v>
      </c>
      <c r="B180" t="s">
        <v>244</v>
      </c>
      <c r="C180" t="s">
        <v>38</v>
      </c>
      <c r="D180">
        <v>15.6</v>
      </c>
      <c r="E180">
        <v>8</v>
      </c>
      <c r="F180" t="s">
        <v>48</v>
      </c>
      <c r="G180">
        <v>1.9</v>
      </c>
      <c r="H180" s="16">
        <v>813</v>
      </c>
      <c r="I180" t="s">
        <v>40</v>
      </c>
      <c r="J180">
        <v>1920</v>
      </c>
      <c r="K180">
        <v>1080</v>
      </c>
      <c r="L180" t="s">
        <v>27</v>
      </c>
      <c r="M180" t="s">
        <v>27</v>
      </c>
      <c r="N180" t="s">
        <v>27</v>
      </c>
      <c r="O180" t="s">
        <v>29</v>
      </c>
      <c r="P180">
        <v>2.5</v>
      </c>
      <c r="Q180" t="s">
        <v>41</v>
      </c>
      <c r="R180" t="str">
        <f>_xlfn.CONCAT(laptop[[#This Row],[CPU_company]]," ",laptop[[#This Row],[CPU_model]])</f>
        <v>Intel Core i5 7200U</v>
      </c>
      <c r="S180">
        <v>128</v>
      </c>
      <c r="T180">
        <v>1024</v>
      </c>
      <c r="U180">
        <f>laptop[[#This Row],[PrimaryStorage]]+laptop[[#This Row],[SecondaryStorage]]</f>
        <v>1152</v>
      </c>
      <c r="V180" t="s">
        <v>31</v>
      </c>
      <c r="W180" t="s">
        <v>51</v>
      </c>
      <c r="X180" t="str">
        <f>IF(laptop[[#This Row],[PrimaryStorageType]]=laptop[[#This Row],[SecondaryStorageType]],laptop[[#This Row],[PrimaryStorageType]],"SSD &amp; HDD")</f>
        <v>SSD &amp; HDD</v>
      </c>
      <c r="Y180" t="s">
        <v>245</v>
      </c>
      <c r="Z180" s="4" t="str">
        <f>_xlfn.CONCAT(laptop[[#This Row],[CPU_company]]," ",laptop[[#This Row],[GPU_model]])</f>
        <v>Intel R17M-M1-70</v>
      </c>
    </row>
    <row r="181" spans="1:26" x14ac:dyDescent="0.25">
      <c r="A181" t="s">
        <v>36</v>
      </c>
      <c r="B181" t="s">
        <v>192</v>
      </c>
      <c r="C181" t="s">
        <v>90</v>
      </c>
      <c r="D181">
        <v>13.3</v>
      </c>
      <c r="E181">
        <v>8</v>
      </c>
      <c r="F181" t="s">
        <v>48</v>
      </c>
      <c r="G181">
        <v>1.29</v>
      </c>
      <c r="H181" s="16">
        <v>1499</v>
      </c>
      <c r="I181" t="s">
        <v>215</v>
      </c>
      <c r="J181">
        <v>3840</v>
      </c>
      <c r="K181">
        <v>2160</v>
      </c>
      <c r="L181" t="s">
        <v>28</v>
      </c>
      <c r="M181" t="s">
        <v>28</v>
      </c>
      <c r="N181" t="s">
        <v>27</v>
      </c>
      <c r="O181" t="s">
        <v>29</v>
      </c>
      <c r="P181">
        <v>1.6</v>
      </c>
      <c r="Q181" t="s">
        <v>60</v>
      </c>
      <c r="R181" t="str">
        <f>_xlfn.CONCAT(laptop[[#This Row],[CPU_company]]," ",laptop[[#This Row],[CPU_model]])</f>
        <v>Intel Core i5 8250U</v>
      </c>
      <c r="S181">
        <v>256</v>
      </c>
      <c r="T181">
        <v>0</v>
      </c>
      <c r="U181">
        <f>laptop[[#This Row],[PrimaryStorage]]+laptop[[#This Row],[SecondaryStorage]]</f>
        <v>256</v>
      </c>
      <c r="V181" t="s">
        <v>31</v>
      </c>
      <c r="W181" t="s">
        <v>27</v>
      </c>
      <c r="X181" t="str">
        <f>IF(laptop[[#This Row],[PrimaryStorageType]]=laptop[[#This Row],[SecondaryStorageType]],laptop[[#This Row],[PrimaryStorageType]],"SSD &amp; HDD")</f>
        <v>SSD &amp; HDD</v>
      </c>
      <c r="Y181" t="s">
        <v>61</v>
      </c>
      <c r="Z181" s="4" t="str">
        <f>_xlfn.CONCAT(laptop[[#This Row],[CPU_company]]," ",laptop[[#This Row],[GPU_model]])</f>
        <v>Intel UHD Graphics 620</v>
      </c>
    </row>
    <row r="182" spans="1:26" x14ac:dyDescent="0.25">
      <c r="A182" t="s">
        <v>65</v>
      </c>
      <c r="B182" t="s">
        <v>93</v>
      </c>
      <c r="C182" t="s">
        <v>38</v>
      </c>
      <c r="D182">
        <v>15.6</v>
      </c>
      <c r="E182">
        <v>16</v>
      </c>
      <c r="F182" t="s">
        <v>111</v>
      </c>
      <c r="G182">
        <v>2.02</v>
      </c>
      <c r="H182" s="16">
        <v>1049</v>
      </c>
      <c r="I182" t="s">
        <v>40</v>
      </c>
      <c r="J182">
        <v>1920</v>
      </c>
      <c r="K182">
        <v>1080</v>
      </c>
      <c r="L182" t="s">
        <v>27</v>
      </c>
      <c r="M182" t="s">
        <v>27</v>
      </c>
      <c r="N182" t="s">
        <v>27</v>
      </c>
      <c r="O182" t="s">
        <v>29</v>
      </c>
      <c r="P182">
        <v>1.8</v>
      </c>
      <c r="Q182" t="s">
        <v>57</v>
      </c>
      <c r="R182" t="str">
        <f>_xlfn.CONCAT(laptop[[#This Row],[CPU_company]]," ",laptop[[#This Row],[CPU_model]])</f>
        <v>Intel Core i7 8550U</v>
      </c>
      <c r="S182">
        <v>256</v>
      </c>
      <c r="T182">
        <v>2048</v>
      </c>
      <c r="U182">
        <f>laptop[[#This Row],[PrimaryStorage]]+laptop[[#This Row],[SecondaryStorage]]</f>
        <v>2304</v>
      </c>
      <c r="V182" t="s">
        <v>31</v>
      </c>
      <c r="W182" t="s">
        <v>51</v>
      </c>
      <c r="X182" t="str">
        <f>IF(laptop[[#This Row],[PrimaryStorageType]]=laptop[[#This Row],[SecondaryStorageType]],laptop[[#This Row],[PrimaryStorageType]],"SSD &amp; HDD")</f>
        <v>SSD &amp; HDD</v>
      </c>
      <c r="Y182" t="s">
        <v>94</v>
      </c>
      <c r="Z182" s="4" t="str">
        <f>_xlfn.CONCAT(laptop[[#This Row],[CPU_company]]," ",laptop[[#This Row],[GPU_model]])</f>
        <v>Intel Radeon 530</v>
      </c>
    </row>
    <row r="183" spans="1:26" x14ac:dyDescent="0.25">
      <c r="A183" t="s">
        <v>65</v>
      </c>
      <c r="B183" t="s">
        <v>77</v>
      </c>
      <c r="C183" t="s">
        <v>24</v>
      </c>
      <c r="D183">
        <v>13.3</v>
      </c>
      <c r="E183">
        <v>8</v>
      </c>
      <c r="F183" t="s">
        <v>48</v>
      </c>
      <c r="G183">
        <v>1.23</v>
      </c>
      <c r="H183" s="16">
        <v>1399</v>
      </c>
      <c r="I183" t="s">
        <v>40</v>
      </c>
      <c r="J183">
        <v>1920</v>
      </c>
      <c r="K183">
        <v>1080</v>
      </c>
      <c r="L183" t="s">
        <v>27</v>
      </c>
      <c r="M183" t="s">
        <v>27</v>
      </c>
      <c r="N183" t="s">
        <v>27</v>
      </c>
      <c r="O183" t="s">
        <v>29</v>
      </c>
      <c r="P183">
        <v>1.6</v>
      </c>
      <c r="Q183" t="s">
        <v>60</v>
      </c>
      <c r="R183" t="str">
        <f>_xlfn.CONCAT(laptop[[#This Row],[CPU_company]]," ",laptop[[#This Row],[CPU_model]])</f>
        <v>Intel Core i5 8250U</v>
      </c>
      <c r="S183">
        <v>256</v>
      </c>
      <c r="T183">
        <v>0</v>
      </c>
      <c r="U183">
        <f>laptop[[#This Row],[PrimaryStorage]]+laptop[[#This Row],[SecondaryStorage]]</f>
        <v>256</v>
      </c>
      <c r="V183" t="s">
        <v>31</v>
      </c>
      <c r="W183" t="s">
        <v>27</v>
      </c>
      <c r="X183" t="str">
        <f>IF(laptop[[#This Row],[PrimaryStorageType]]=laptop[[#This Row],[SecondaryStorageType]],laptop[[#This Row],[PrimaryStorageType]],"SSD &amp; HDD")</f>
        <v>SSD &amp; HDD</v>
      </c>
      <c r="Y183" t="s">
        <v>61</v>
      </c>
      <c r="Z183" s="4" t="str">
        <f>_xlfn.CONCAT(laptop[[#This Row],[CPU_company]]," ",laptop[[#This Row],[GPU_model]])</f>
        <v>Intel UHD Graphics 620</v>
      </c>
    </row>
    <row r="184" spans="1:26" x14ac:dyDescent="0.25">
      <c r="A184" t="s">
        <v>73</v>
      </c>
      <c r="B184" t="s">
        <v>246</v>
      </c>
      <c r="C184" t="s">
        <v>90</v>
      </c>
      <c r="D184">
        <v>13.9</v>
      </c>
      <c r="E184">
        <v>16</v>
      </c>
      <c r="F184" t="s">
        <v>48</v>
      </c>
      <c r="G184">
        <v>1.4</v>
      </c>
      <c r="H184" s="16">
        <v>1849</v>
      </c>
      <c r="I184" t="s">
        <v>215</v>
      </c>
      <c r="J184">
        <v>3840</v>
      </c>
      <c r="K184">
        <v>2160</v>
      </c>
      <c r="L184" t="s">
        <v>28</v>
      </c>
      <c r="M184" t="s">
        <v>28</v>
      </c>
      <c r="N184" t="s">
        <v>27</v>
      </c>
      <c r="O184" t="s">
        <v>29</v>
      </c>
      <c r="P184">
        <v>1.8</v>
      </c>
      <c r="Q184" t="s">
        <v>57</v>
      </c>
      <c r="R184" t="str">
        <f>_xlfn.CONCAT(laptop[[#This Row],[CPU_company]]," ",laptop[[#This Row],[CPU_model]])</f>
        <v>Intel Core i7 8550U</v>
      </c>
      <c r="S184">
        <v>512</v>
      </c>
      <c r="T184">
        <v>0</v>
      </c>
      <c r="U184">
        <f>laptop[[#This Row],[PrimaryStorage]]+laptop[[#This Row],[SecondaryStorage]]</f>
        <v>512</v>
      </c>
      <c r="V184" t="s">
        <v>31</v>
      </c>
      <c r="W184" t="s">
        <v>27</v>
      </c>
      <c r="X184" t="str">
        <f>IF(laptop[[#This Row],[PrimaryStorageType]]=laptop[[#This Row],[SecondaryStorageType]],laptop[[#This Row],[PrimaryStorageType]],"SSD &amp; HDD")</f>
        <v>SSD &amp; HDD</v>
      </c>
      <c r="Y184" t="s">
        <v>61</v>
      </c>
      <c r="Z184" s="4" t="str">
        <f>_xlfn.CONCAT(laptop[[#This Row],[CPU_company]]," ",laptop[[#This Row],[GPU_model]])</f>
        <v>Intel UHD Graphics 620</v>
      </c>
    </row>
    <row r="185" spans="1:26" x14ac:dyDescent="0.25">
      <c r="A185" t="s">
        <v>210</v>
      </c>
      <c r="B185" t="s">
        <v>211</v>
      </c>
      <c r="C185" t="s">
        <v>38</v>
      </c>
      <c r="D185">
        <v>15.6</v>
      </c>
      <c r="E185">
        <v>8</v>
      </c>
      <c r="F185" t="s">
        <v>48</v>
      </c>
      <c r="G185">
        <v>2</v>
      </c>
      <c r="H185" s="16">
        <v>793</v>
      </c>
      <c r="I185" t="s">
        <v>26</v>
      </c>
      <c r="J185">
        <v>1366</v>
      </c>
      <c r="K185">
        <v>768</v>
      </c>
      <c r="L185" t="s">
        <v>27</v>
      </c>
      <c r="M185" t="s">
        <v>27</v>
      </c>
      <c r="N185" t="s">
        <v>27</v>
      </c>
      <c r="O185" t="s">
        <v>29</v>
      </c>
      <c r="P185">
        <v>2.5</v>
      </c>
      <c r="Q185" t="s">
        <v>41</v>
      </c>
      <c r="R185" t="str">
        <f>_xlfn.CONCAT(laptop[[#This Row],[CPU_company]]," ",laptop[[#This Row],[CPU_model]])</f>
        <v>Intel Core i5 7200U</v>
      </c>
      <c r="S185">
        <v>128</v>
      </c>
      <c r="T185">
        <v>0</v>
      </c>
      <c r="U185">
        <f>laptop[[#This Row],[PrimaryStorage]]+laptop[[#This Row],[SecondaryStorage]]</f>
        <v>128</v>
      </c>
      <c r="V185" t="s">
        <v>31</v>
      </c>
      <c r="W185" t="s">
        <v>27</v>
      </c>
      <c r="X185" t="str">
        <f>IF(laptop[[#This Row],[PrimaryStorageType]]=laptop[[#This Row],[SecondaryStorageType]],laptop[[#This Row],[PrimaryStorageType]],"SSD &amp; HDD")</f>
        <v>SSD &amp; HDD</v>
      </c>
      <c r="Y185" t="s">
        <v>42</v>
      </c>
      <c r="Z185" s="4" t="str">
        <f>_xlfn.CONCAT(laptop[[#This Row],[CPU_company]]," ",laptop[[#This Row],[GPU_model]])</f>
        <v>Intel HD Graphics 620</v>
      </c>
    </row>
    <row r="186" spans="1:26" x14ac:dyDescent="0.25">
      <c r="A186" t="s">
        <v>247</v>
      </c>
      <c r="B186" t="s">
        <v>248</v>
      </c>
      <c r="C186" t="s">
        <v>38</v>
      </c>
      <c r="D186">
        <v>15.6</v>
      </c>
      <c r="E186">
        <v>8</v>
      </c>
      <c r="F186" t="s">
        <v>39</v>
      </c>
      <c r="G186">
        <v>1.95</v>
      </c>
      <c r="H186" s="16">
        <v>1199</v>
      </c>
      <c r="I186" t="s">
        <v>40</v>
      </c>
      <c r="J186">
        <v>1920</v>
      </c>
      <c r="K186">
        <v>1080</v>
      </c>
      <c r="L186" t="s">
        <v>27</v>
      </c>
      <c r="M186" t="s">
        <v>28</v>
      </c>
      <c r="N186" t="s">
        <v>27</v>
      </c>
      <c r="O186" t="s">
        <v>29</v>
      </c>
      <c r="P186">
        <v>1.6</v>
      </c>
      <c r="Q186" t="s">
        <v>60</v>
      </c>
      <c r="R186" t="str">
        <f>_xlfn.CONCAT(laptop[[#This Row],[CPU_company]]," ",laptop[[#This Row],[CPU_model]])</f>
        <v>Intel Core i5 8250U</v>
      </c>
      <c r="S186">
        <v>256</v>
      </c>
      <c r="T186">
        <v>0</v>
      </c>
      <c r="U186">
        <f>laptop[[#This Row],[PrimaryStorage]]+laptop[[#This Row],[SecondaryStorage]]</f>
        <v>256</v>
      </c>
      <c r="V186" t="s">
        <v>31</v>
      </c>
      <c r="W186" t="s">
        <v>27</v>
      </c>
      <c r="X186" t="str">
        <f>IF(laptop[[#This Row],[PrimaryStorageType]]=laptop[[#This Row],[SecondaryStorageType]],laptop[[#This Row],[PrimaryStorageType]],"SSD &amp; HDD")</f>
        <v>SSD &amp; HDD</v>
      </c>
      <c r="Y186" t="s">
        <v>58</v>
      </c>
      <c r="Z186" s="4" t="str">
        <f>_xlfn.CONCAT(laptop[[#This Row],[CPU_company]]," ",laptop[[#This Row],[GPU_model]])</f>
        <v>Intel GeForce MX150</v>
      </c>
    </row>
    <row r="187" spans="1:26" x14ac:dyDescent="0.25">
      <c r="A187" t="s">
        <v>65</v>
      </c>
      <c r="B187" t="s">
        <v>122</v>
      </c>
      <c r="C187" t="s">
        <v>38</v>
      </c>
      <c r="D187">
        <v>17.3</v>
      </c>
      <c r="E187">
        <v>16</v>
      </c>
      <c r="F187" t="s">
        <v>48</v>
      </c>
      <c r="G187">
        <v>2.77</v>
      </c>
      <c r="H187" s="16">
        <v>1549</v>
      </c>
      <c r="I187" t="s">
        <v>40</v>
      </c>
      <c r="J187">
        <v>1920</v>
      </c>
      <c r="K187">
        <v>1080</v>
      </c>
      <c r="L187" t="s">
        <v>28</v>
      </c>
      <c r="M187" t="s">
        <v>27</v>
      </c>
      <c r="N187" t="s">
        <v>27</v>
      </c>
      <c r="O187" t="s">
        <v>29</v>
      </c>
      <c r="P187">
        <v>1.8</v>
      </c>
      <c r="Q187" t="s">
        <v>57</v>
      </c>
      <c r="R187" t="str">
        <f>_xlfn.CONCAT(laptop[[#This Row],[CPU_company]]," ",laptop[[#This Row],[CPU_model]])</f>
        <v>Intel Core i7 8550U</v>
      </c>
      <c r="S187">
        <v>512</v>
      </c>
      <c r="T187">
        <v>0</v>
      </c>
      <c r="U187">
        <f>laptop[[#This Row],[PrimaryStorage]]+laptop[[#This Row],[SecondaryStorage]]</f>
        <v>512</v>
      </c>
      <c r="V187" t="s">
        <v>31</v>
      </c>
      <c r="W187" t="s">
        <v>27</v>
      </c>
      <c r="X187" t="str">
        <f>IF(laptop[[#This Row],[PrimaryStorageType]]=laptop[[#This Row],[SecondaryStorageType]],laptop[[#This Row],[PrimaryStorageType]],"SSD &amp; HDD")</f>
        <v>SSD &amp; HDD</v>
      </c>
      <c r="Y187" t="s">
        <v>123</v>
      </c>
      <c r="Z187" s="4" t="str">
        <f>_xlfn.CONCAT(laptop[[#This Row],[CPU_company]]," ",laptop[[#This Row],[GPU_model]])</f>
        <v>Intel GeForce 150MX</v>
      </c>
    </row>
    <row r="188" spans="1:26" x14ac:dyDescent="0.25">
      <c r="A188" t="s">
        <v>65</v>
      </c>
      <c r="B188" t="s">
        <v>249</v>
      </c>
      <c r="C188" t="s">
        <v>38</v>
      </c>
      <c r="D188">
        <v>15.6</v>
      </c>
      <c r="E188">
        <v>16</v>
      </c>
      <c r="F188" t="s">
        <v>48</v>
      </c>
      <c r="G188">
        <v>2.06</v>
      </c>
      <c r="H188" s="16">
        <v>2397</v>
      </c>
      <c r="I188" t="s">
        <v>215</v>
      </c>
      <c r="J188">
        <v>3840</v>
      </c>
      <c r="K188">
        <v>2160</v>
      </c>
      <c r="L188" t="s">
        <v>28</v>
      </c>
      <c r="M188" t="s">
        <v>27</v>
      </c>
      <c r="N188" t="s">
        <v>27</v>
      </c>
      <c r="O188" t="s">
        <v>29</v>
      </c>
      <c r="P188">
        <v>2.8</v>
      </c>
      <c r="Q188" t="s">
        <v>118</v>
      </c>
      <c r="R188" t="str">
        <f>_xlfn.CONCAT(laptop[[#This Row],[CPU_company]]," ",laptop[[#This Row],[CPU_model]])</f>
        <v>Intel Core i7 7700HQ</v>
      </c>
      <c r="S188">
        <v>512</v>
      </c>
      <c r="T188">
        <v>0</v>
      </c>
      <c r="U188">
        <f>laptop[[#This Row],[PrimaryStorage]]+laptop[[#This Row],[SecondaryStorage]]</f>
        <v>512</v>
      </c>
      <c r="V188" t="s">
        <v>31</v>
      </c>
      <c r="W188" t="s">
        <v>27</v>
      </c>
      <c r="X188" t="str">
        <f>IF(laptop[[#This Row],[PrimaryStorageType]]=laptop[[#This Row],[SecondaryStorageType]],laptop[[#This Row],[PrimaryStorageType]],"SSD &amp; HDD")</f>
        <v>SSD &amp; HDD</v>
      </c>
      <c r="Y188" t="s">
        <v>85</v>
      </c>
      <c r="Z188" s="4" t="str">
        <f>_xlfn.CONCAT(laptop[[#This Row],[CPU_company]]," ",laptop[[#This Row],[GPU_model]])</f>
        <v>Intel GeForce GTX 1050</v>
      </c>
    </row>
    <row r="189" spans="1:26" x14ac:dyDescent="0.25">
      <c r="A189" t="s">
        <v>73</v>
      </c>
      <c r="B189" t="s">
        <v>82</v>
      </c>
      <c r="C189" t="s">
        <v>83</v>
      </c>
      <c r="D189">
        <v>15.6</v>
      </c>
      <c r="E189">
        <v>8</v>
      </c>
      <c r="F189" t="s">
        <v>39</v>
      </c>
      <c r="G189">
        <v>2.4</v>
      </c>
      <c r="H189" s="16">
        <v>779</v>
      </c>
      <c r="I189" t="s">
        <v>40</v>
      </c>
      <c r="J189">
        <v>1920</v>
      </c>
      <c r="K189">
        <v>1080</v>
      </c>
      <c r="L189" t="s">
        <v>27</v>
      </c>
      <c r="M189" t="s">
        <v>28</v>
      </c>
      <c r="N189" t="s">
        <v>27</v>
      </c>
      <c r="O189" t="s">
        <v>29</v>
      </c>
      <c r="P189">
        <v>2.5</v>
      </c>
      <c r="Q189" t="s">
        <v>84</v>
      </c>
      <c r="R189" t="str">
        <f>_xlfn.CONCAT(laptop[[#This Row],[CPU_company]]," ",laptop[[#This Row],[CPU_model]])</f>
        <v>Intel Core i5 7300HQ</v>
      </c>
      <c r="S189">
        <v>256</v>
      </c>
      <c r="T189">
        <v>0</v>
      </c>
      <c r="U189">
        <f>laptop[[#This Row],[PrimaryStorage]]+laptop[[#This Row],[SecondaryStorage]]</f>
        <v>256</v>
      </c>
      <c r="V189" t="s">
        <v>31</v>
      </c>
      <c r="W189" t="s">
        <v>27</v>
      </c>
      <c r="X189" t="str">
        <f>IF(laptop[[#This Row],[PrimaryStorageType]]=laptop[[#This Row],[SecondaryStorageType]],laptop[[#This Row],[PrimaryStorageType]],"SSD &amp; HDD")</f>
        <v>SSD &amp; HDD</v>
      </c>
      <c r="Y189" t="s">
        <v>85</v>
      </c>
      <c r="Z189" s="4" t="str">
        <f>_xlfn.CONCAT(laptop[[#This Row],[CPU_company]]," ",laptop[[#This Row],[GPU_model]])</f>
        <v>Intel GeForce GTX 1050</v>
      </c>
    </row>
    <row r="190" spans="1:26" x14ac:dyDescent="0.25">
      <c r="A190" t="s">
        <v>46</v>
      </c>
      <c r="B190" t="s">
        <v>250</v>
      </c>
      <c r="C190" t="s">
        <v>24</v>
      </c>
      <c r="D190">
        <v>13.3</v>
      </c>
      <c r="E190">
        <v>8</v>
      </c>
      <c r="F190" t="s">
        <v>48</v>
      </c>
      <c r="G190">
        <v>1.1200000000000001</v>
      </c>
      <c r="H190" s="16">
        <v>989</v>
      </c>
      <c r="I190" t="s">
        <v>40</v>
      </c>
      <c r="J190">
        <v>1920</v>
      </c>
      <c r="K190">
        <v>1080</v>
      </c>
      <c r="L190" t="s">
        <v>27</v>
      </c>
      <c r="M190" t="s">
        <v>28</v>
      </c>
      <c r="N190" t="s">
        <v>27</v>
      </c>
      <c r="O190" t="s">
        <v>29</v>
      </c>
      <c r="P190">
        <v>1.2</v>
      </c>
      <c r="Q190" t="s">
        <v>251</v>
      </c>
      <c r="R190" t="str">
        <f>_xlfn.CONCAT(laptop[[#This Row],[CPU_company]]," ",laptop[[#This Row],[CPU_model]])</f>
        <v>Intel Core i5 7Y54</v>
      </c>
      <c r="S190">
        <v>256</v>
      </c>
      <c r="T190">
        <v>0</v>
      </c>
      <c r="U190">
        <f>laptop[[#This Row],[PrimaryStorage]]+laptop[[#This Row],[SecondaryStorage]]</f>
        <v>256</v>
      </c>
      <c r="V190" t="s">
        <v>31</v>
      </c>
      <c r="W190" t="s">
        <v>27</v>
      </c>
      <c r="X190" t="str">
        <f>IF(laptop[[#This Row],[PrimaryStorageType]]=laptop[[#This Row],[SecondaryStorageType]],laptop[[#This Row],[PrimaryStorageType]],"SSD &amp; HDD")</f>
        <v>SSD &amp; HDD</v>
      </c>
      <c r="Y190" t="s">
        <v>70</v>
      </c>
      <c r="Z190" s="4" t="str">
        <f>_xlfn.CONCAT(laptop[[#This Row],[CPU_company]]," ",laptop[[#This Row],[GPU_model]])</f>
        <v>Intel HD Graphics 615</v>
      </c>
    </row>
    <row r="191" spans="1:26" x14ac:dyDescent="0.25">
      <c r="A191" t="s">
        <v>65</v>
      </c>
      <c r="B191" t="s">
        <v>113</v>
      </c>
      <c r="C191" t="s">
        <v>38</v>
      </c>
      <c r="D191">
        <v>17.3</v>
      </c>
      <c r="E191">
        <v>8</v>
      </c>
      <c r="F191" t="s">
        <v>48</v>
      </c>
      <c r="G191">
        <v>2.8</v>
      </c>
      <c r="H191" s="16">
        <v>1085</v>
      </c>
      <c r="I191" t="s">
        <v>40</v>
      </c>
      <c r="J191">
        <v>1920</v>
      </c>
      <c r="K191">
        <v>1080</v>
      </c>
      <c r="L191" t="s">
        <v>27</v>
      </c>
      <c r="M191" t="s">
        <v>27</v>
      </c>
      <c r="N191" t="s">
        <v>27</v>
      </c>
      <c r="O191" t="s">
        <v>29</v>
      </c>
      <c r="P191">
        <v>1.8</v>
      </c>
      <c r="Q191" t="s">
        <v>57</v>
      </c>
      <c r="R191" t="str">
        <f>_xlfn.CONCAT(laptop[[#This Row],[CPU_company]]," ",laptop[[#This Row],[CPU_model]])</f>
        <v>Intel Core i7 8550U</v>
      </c>
      <c r="S191">
        <v>128</v>
      </c>
      <c r="T191">
        <v>1024</v>
      </c>
      <c r="U191">
        <f>laptop[[#This Row],[PrimaryStorage]]+laptop[[#This Row],[SecondaryStorage]]</f>
        <v>1152</v>
      </c>
      <c r="V191" t="s">
        <v>31</v>
      </c>
      <c r="W191" t="s">
        <v>51</v>
      </c>
      <c r="X191" t="str">
        <f>IF(laptop[[#This Row],[PrimaryStorageType]]=laptop[[#This Row],[SecondaryStorageType]],laptop[[#This Row],[PrimaryStorageType]],"SSD &amp; HDD")</f>
        <v>SSD &amp; HDD</v>
      </c>
      <c r="Y191" t="s">
        <v>94</v>
      </c>
      <c r="Z191" s="4" t="str">
        <f>_xlfn.CONCAT(laptop[[#This Row],[CPU_company]]," ",laptop[[#This Row],[GPU_model]])</f>
        <v>Intel Radeon 530</v>
      </c>
    </row>
    <row r="192" spans="1:26" x14ac:dyDescent="0.25">
      <c r="A192" t="s">
        <v>73</v>
      </c>
      <c r="B192" t="s">
        <v>252</v>
      </c>
      <c r="C192" t="s">
        <v>90</v>
      </c>
      <c r="D192">
        <v>14</v>
      </c>
      <c r="E192">
        <v>16</v>
      </c>
      <c r="F192" t="s">
        <v>48</v>
      </c>
      <c r="G192">
        <v>1.42</v>
      </c>
      <c r="H192" s="16">
        <v>2824</v>
      </c>
      <c r="I192" t="s">
        <v>26</v>
      </c>
      <c r="J192">
        <v>2560</v>
      </c>
      <c r="K192">
        <v>1440</v>
      </c>
      <c r="L192" t="s">
        <v>28</v>
      </c>
      <c r="M192" t="s">
        <v>27</v>
      </c>
      <c r="N192" t="s">
        <v>27</v>
      </c>
      <c r="O192" t="s">
        <v>29</v>
      </c>
      <c r="P192">
        <v>2.7</v>
      </c>
      <c r="Q192" t="s">
        <v>71</v>
      </c>
      <c r="R192" t="str">
        <f>_xlfn.CONCAT(laptop[[#This Row],[CPU_company]]," ",laptop[[#This Row],[CPU_model]])</f>
        <v>Intel Core i7 7500U</v>
      </c>
      <c r="S192">
        <v>1024</v>
      </c>
      <c r="T192">
        <v>0</v>
      </c>
      <c r="U192">
        <f>laptop[[#This Row],[PrimaryStorage]]+laptop[[#This Row],[SecondaryStorage]]</f>
        <v>1024</v>
      </c>
      <c r="V192" t="s">
        <v>31</v>
      </c>
      <c r="W192" t="s">
        <v>27</v>
      </c>
      <c r="X192" t="str">
        <f>IF(laptop[[#This Row],[PrimaryStorageType]]=laptop[[#This Row],[SecondaryStorageType]],laptop[[#This Row],[PrimaryStorageType]],"SSD &amp; HDD")</f>
        <v>SSD &amp; HDD</v>
      </c>
      <c r="Y192" t="s">
        <v>42</v>
      </c>
      <c r="Z192" s="4" t="str">
        <f>_xlfn.CONCAT(laptop[[#This Row],[CPU_company]]," ",laptop[[#This Row],[GPU_model]])</f>
        <v>Intel HD Graphics 620</v>
      </c>
    </row>
    <row r="193" spans="1:26" x14ac:dyDescent="0.25">
      <c r="A193" t="s">
        <v>253</v>
      </c>
      <c r="B193" t="s">
        <v>254</v>
      </c>
      <c r="C193" t="s">
        <v>38</v>
      </c>
      <c r="D193">
        <v>14</v>
      </c>
      <c r="E193">
        <v>4</v>
      </c>
      <c r="F193" t="s">
        <v>48</v>
      </c>
      <c r="G193">
        <v>1.3</v>
      </c>
      <c r="H193" s="16">
        <v>260</v>
      </c>
      <c r="I193" t="s">
        <v>40</v>
      </c>
      <c r="J193">
        <v>1920</v>
      </c>
      <c r="K193">
        <v>1080</v>
      </c>
      <c r="L193" t="s">
        <v>27</v>
      </c>
      <c r="M193" t="s">
        <v>28</v>
      </c>
      <c r="N193" t="s">
        <v>27</v>
      </c>
      <c r="O193" t="s">
        <v>29</v>
      </c>
      <c r="P193">
        <v>1.1000000000000001</v>
      </c>
      <c r="Q193" t="s">
        <v>109</v>
      </c>
      <c r="R193" t="str">
        <f>_xlfn.CONCAT(laptop[[#This Row],[CPU_company]]," ",laptop[[#This Row],[CPU_model]])</f>
        <v>Intel Celeron Dual Core N3350</v>
      </c>
      <c r="S193">
        <v>32</v>
      </c>
      <c r="T193">
        <v>0</v>
      </c>
      <c r="U193">
        <f>laptop[[#This Row],[PrimaryStorage]]+laptop[[#This Row],[SecondaryStorage]]</f>
        <v>32</v>
      </c>
      <c r="V193" t="s">
        <v>34</v>
      </c>
      <c r="W193" t="s">
        <v>27</v>
      </c>
      <c r="X193" t="str">
        <f>IF(laptop[[#This Row],[PrimaryStorageType]]=laptop[[#This Row],[SecondaryStorageType]],laptop[[#This Row],[PrimaryStorageType]],"SSD &amp; HDD")</f>
        <v>SSD &amp; HDD</v>
      </c>
      <c r="Y193" t="s">
        <v>110</v>
      </c>
      <c r="Z193" s="4" t="str">
        <f>_xlfn.CONCAT(laptop[[#This Row],[CPU_company]]," ",laptop[[#This Row],[GPU_model]])</f>
        <v>Intel HD Graphics 500</v>
      </c>
    </row>
    <row r="194" spans="1:26" x14ac:dyDescent="0.25">
      <c r="A194" t="s">
        <v>247</v>
      </c>
      <c r="B194" t="s">
        <v>248</v>
      </c>
      <c r="C194" t="s">
        <v>24</v>
      </c>
      <c r="D194">
        <v>13.3</v>
      </c>
      <c r="E194">
        <v>8</v>
      </c>
      <c r="F194" t="s">
        <v>39</v>
      </c>
      <c r="G194">
        <v>1.3</v>
      </c>
      <c r="H194" s="16">
        <v>999.9</v>
      </c>
      <c r="I194" t="s">
        <v>40</v>
      </c>
      <c r="J194">
        <v>1920</v>
      </c>
      <c r="K194">
        <v>1080</v>
      </c>
      <c r="L194" t="s">
        <v>27</v>
      </c>
      <c r="M194" t="s">
        <v>28</v>
      </c>
      <c r="N194" t="s">
        <v>27</v>
      </c>
      <c r="O194" t="s">
        <v>29</v>
      </c>
      <c r="P194">
        <v>2.5</v>
      </c>
      <c r="Q194" t="s">
        <v>41</v>
      </c>
      <c r="R194" t="str">
        <f>_xlfn.CONCAT(laptop[[#This Row],[CPU_company]]," ",laptop[[#This Row],[CPU_model]])</f>
        <v>Intel Core i5 7200U</v>
      </c>
      <c r="S194">
        <v>256</v>
      </c>
      <c r="T194">
        <v>0</v>
      </c>
      <c r="U194">
        <f>laptop[[#This Row],[PrimaryStorage]]+laptop[[#This Row],[SecondaryStorage]]</f>
        <v>256</v>
      </c>
      <c r="V194" t="s">
        <v>31</v>
      </c>
      <c r="W194" t="s">
        <v>27</v>
      </c>
      <c r="X194" t="str">
        <f>IF(laptop[[#This Row],[PrimaryStorageType]]=laptop[[#This Row],[SecondaryStorageType]],laptop[[#This Row],[PrimaryStorageType]],"SSD &amp; HDD")</f>
        <v>SSD &amp; HDD</v>
      </c>
      <c r="Y194" t="s">
        <v>58</v>
      </c>
      <c r="Z194" s="4" t="str">
        <f>_xlfn.CONCAT(laptop[[#This Row],[CPU_company]]," ",laptop[[#This Row],[GPU_model]])</f>
        <v>Intel GeForce MX150</v>
      </c>
    </row>
    <row r="195" spans="1:26" x14ac:dyDescent="0.25">
      <c r="A195" t="s">
        <v>73</v>
      </c>
      <c r="B195" t="s">
        <v>255</v>
      </c>
      <c r="C195" t="s">
        <v>38</v>
      </c>
      <c r="D195">
        <v>17.3</v>
      </c>
      <c r="E195">
        <v>8</v>
      </c>
      <c r="F195" t="s">
        <v>39</v>
      </c>
      <c r="G195">
        <v>2.8</v>
      </c>
      <c r="H195" s="16">
        <v>698</v>
      </c>
      <c r="I195" t="s">
        <v>26</v>
      </c>
      <c r="J195">
        <v>1600</v>
      </c>
      <c r="K195">
        <v>900</v>
      </c>
      <c r="L195" t="s">
        <v>27</v>
      </c>
      <c r="M195" t="s">
        <v>27</v>
      </c>
      <c r="N195" t="s">
        <v>27</v>
      </c>
      <c r="O195" t="s">
        <v>29</v>
      </c>
      <c r="P195">
        <v>1.6</v>
      </c>
      <c r="Q195" t="s">
        <v>60</v>
      </c>
      <c r="R195" t="str">
        <f>_xlfn.CONCAT(laptop[[#This Row],[CPU_company]]," ",laptop[[#This Row],[CPU_model]])</f>
        <v>Intel Core i5 8250U</v>
      </c>
      <c r="S195">
        <v>256</v>
      </c>
      <c r="T195">
        <v>0</v>
      </c>
      <c r="U195">
        <f>laptop[[#This Row],[PrimaryStorage]]+laptop[[#This Row],[SecondaryStorage]]</f>
        <v>256</v>
      </c>
      <c r="V195" t="s">
        <v>31</v>
      </c>
      <c r="W195" t="s">
        <v>27</v>
      </c>
      <c r="X195" t="str">
        <f>IF(laptop[[#This Row],[PrimaryStorageType]]=laptop[[#This Row],[SecondaryStorageType]],laptop[[#This Row],[PrimaryStorageType]],"SSD &amp; HDD")</f>
        <v>SSD &amp; HDD</v>
      </c>
      <c r="Y195" t="s">
        <v>58</v>
      </c>
      <c r="Z195" s="4" t="str">
        <f>_xlfn.CONCAT(laptop[[#This Row],[CPU_company]]," ",laptop[[#This Row],[GPU_model]])</f>
        <v>Intel GeForce MX150</v>
      </c>
    </row>
    <row r="196" spans="1:26" x14ac:dyDescent="0.25">
      <c r="A196" t="s">
        <v>65</v>
      </c>
      <c r="B196" t="s">
        <v>89</v>
      </c>
      <c r="C196" t="s">
        <v>90</v>
      </c>
      <c r="D196">
        <v>13.3</v>
      </c>
      <c r="E196">
        <v>8</v>
      </c>
      <c r="F196" t="s">
        <v>48</v>
      </c>
      <c r="G196">
        <v>1.62</v>
      </c>
      <c r="H196" s="16">
        <v>839</v>
      </c>
      <c r="I196" t="s">
        <v>40</v>
      </c>
      <c r="J196">
        <v>1920</v>
      </c>
      <c r="K196">
        <v>1080</v>
      </c>
      <c r="L196" t="s">
        <v>28</v>
      </c>
      <c r="M196" t="s">
        <v>28</v>
      </c>
      <c r="N196" t="s">
        <v>27</v>
      </c>
      <c r="O196" t="s">
        <v>29</v>
      </c>
      <c r="P196">
        <v>1.8</v>
      </c>
      <c r="Q196" t="s">
        <v>57</v>
      </c>
      <c r="R196" t="str">
        <f>_xlfn.CONCAT(laptop[[#This Row],[CPU_company]]," ",laptop[[#This Row],[CPU_model]])</f>
        <v>Intel Core i7 8550U</v>
      </c>
      <c r="S196">
        <v>1024</v>
      </c>
      <c r="T196">
        <v>0</v>
      </c>
      <c r="U196">
        <f>laptop[[#This Row],[PrimaryStorage]]+laptop[[#This Row],[SecondaryStorage]]</f>
        <v>1024</v>
      </c>
      <c r="V196" t="s">
        <v>51</v>
      </c>
      <c r="W196" t="s">
        <v>27</v>
      </c>
      <c r="X196" t="str">
        <f>IF(laptop[[#This Row],[PrimaryStorageType]]=laptop[[#This Row],[SecondaryStorageType]],laptop[[#This Row],[PrimaryStorageType]],"SSD &amp; HDD")</f>
        <v>SSD &amp; HDD</v>
      </c>
      <c r="Y196" t="s">
        <v>61</v>
      </c>
      <c r="Z196" s="4" t="str">
        <f>_xlfn.CONCAT(laptop[[#This Row],[CPU_company]]," ",laptop[[#This Row],[GPU_model]])</f>
        <v>Intel UHD Graphics 620</v>
      </c>
    </row>
    <row r="197" spans="1:26" x14ac:dyDescent="0.25">
      <c r="A197" t="s">
        <v>36</v>
      </c>
      <c r="B197" t="s">
        <v>97</v>
      </c>
      <c r="C197" t="s">
        <v>38</v>
      </c>
      <c r="D197">
        <v>17.3</v>
      </c>
      <c r="E197">
        <v>8</v>
      </c>
      <c r="F197" t="s">
        <v>48</v>
      </c>
      <c r="G197">
        <v>2.5</v>
      </c>
      <c r="H197" s="16">
        <v>914</v>
      </c>
      <c r="I197" t="s">
        <v>40</v>
      </c>
      <c r="J197">
        <v>1920</v>
      </c>
      <c r="K197">
        <v>1080</v>
      </c>
      <c r="L197" t="s">
        <v>27</v>
      </c>
      <c r="M197" t="s">
        <v>28</v>
      </c>
      <c r="N197" t="s">
        <v>27</v>
      </c>
      <c r="O197" t="s">
        <v>29</v>
      </c>
      <c r="P197">
        <v>1.6</v>
      </c>
      <c r="Q197" t="s">
        <v>60</v>
      </c>
      <c r="R197" t="str">
        <f>_xlfn.CONCAT(laptop[[#This Row],[CPU_company]]," ",laptop[[#This Row],[CPU_model]])</f>
        <v>Intel Core i5 8250U</v>
      </c>
      <c r="S197">
        <v>1024</v>
      </c>
      <c r="T197">
        <v>0</v>
      </c>
      <c r="U197">
        <f>laptop[[#This Row],[PrimaryStorage]]+laptop[[#This Row],[SecondaryStorage]]</f>
        <v>1024</v>
      </c>
      <c r="V197" t="s">
        <v>51</v>
      </c>
      <c r="W197" t="s">
        <v>27</v>
      </c>
      <c r="X197" t="str">
        <f>IF(laptop[[#This Row],[PrimaryStorageType]]=laptop[[#This Row],[SecondaryStorageType]],laptop[[#This Row],[PrimaryStorageType]],"SSD &amp; HDD")</f>
        <v>SSD &amp; HDD</v>
      </c>
      <c r="Y197" t="s">
        <v>98</v>
      </c>
      <c r="Z197" s="4" t="str">
        <f>_xlfn.CONCAT(laptop[[#This Row],[CPU_company]]," ",laptop[[#This Row],[GPU_model]])</f>
        <v>Intel GeForce 930MX</v>
      </c>
    </row>
    <row r="198" spans="1:26" x14ac:dyDescent="0.25">
      <c r="A198" t="s">
        <v>256</v>
      </c>
      <c r="B198" t="s">
        <v>257</v>
      </c>
      <c r="C198" t="s">
        <v>83</v>
      </c>
      <c r="D198">
        <v>17.3</v>
      </c>
      <c r="E198">
        <v>32</v>
      </c>
      <c r="F198" t="s">
        <v>48</v>
      </c>
      <c r="G198">
        <v>3.49</v>
      </c>
      <c r="H198" s="16">
        <v>6099</v>
      </c>
      <c r="I198" t="s">
        <v>215</v>
      </c>
      <c r="J198">
        <v>3840</v>
      </c>
      <c r="K198">
        <v>2160</v>
      </c>
      <c r="L198" t="s">
        <v>28</v>
      </c>
      <c r="M198" t="s">
        <v>27</v>
      </c>
      <c r="N198" t="s">
        <v>27</v>
      </c>
      <c r="O198" t="s">
        <v>29</v>
      </c>
      <c r="P198">
        <v>2.9</v>
      </c>
      <c r="Q198" t="s">
        <v>258</v>
      </c>
      <c r="R198" t="str">
        <f>_xlfn.CONCAT(laptop[[#This Row],[CPU_company]]," ",laptop[[#This Row],[CPU_model]])</f>
        <v>Intel Core i7 7820HK</v>
      </c>
      <c r="S198">
        <v>1024</v>
      </c>
      <c r="T198">
        <v>0</v>
      </c>
      <c r="U198">
        <f>laptop[[#This Row],[PrimaryStorage]]+laptop[[#This Row],[SecondaryStorage]]</f>
        <v>1024</v>
      </c>
      <c r="V198" t="s">
        <v>31</v>
      </c>
      <c r="W198" t="s">
        <v>27</v>
      </c>
      <c r="X198" t="str">
        <f>IF(laptop[[#This Row],[PrimaryStorageType]]=laptop[[#This Row],[SecondaryStorageType]],laptop[[#This Row],[PrimaryStorageType]],"SSD &amp; HDD")</f>
        <v>SSD &amp; HDD</v>
      </c>
      <c r="Y198" t="s">
        <v>259</v>
      </c>
      <c r="Z198" s="4" t="str">
        <f>_xlfn.CONCAT(laptop[[#This Row],[CPU_company]]," ",laptop[[#This Row],[GPU_model]])</f>
        <v>Intel GeForce GTX 1080</v>
      </c>
    </row>
    <row r="199" spans="1:26" x14ac:dyDescent="0.25">
      <c r="A199" t="s">
        <v>36</v>
      </c>
      <c r="B199" t="s">
        <v>136</v>
      </c>
      <c r="C199" t="s">
        <v>38</v>
      </c>
      <c r="D199">
        <v>13.3</v>
      </c>
      <c r="E199">
        <v>8</v>
      </c>
      <c r="F199" t="s">
        <v>48</v>
      </c>
      <c r="G199">
        <v>1.49</v>
      </c>
      <c r="H199" s="16">
        <v>959</v>
      </c>
      <c r="I199" t="s">
        <v>40</v>
      </c>
      <c r="J199">
        <v>1920</v>
      </c>
      <c r="K199">
        <v>1080</v>
      </c>
      <c r="L199" t="s">
        <v>27</v>
      </c>
      <c r="M199" t="s">
        <v>27</v>
      </c>
      <c r="N199" t="s">
        <v>27</v>
      </c>
      <c r="O199" t="s">
        <v>29</v>
      </c>
      <c r="P199">
        <v>1.6</v>
      </c>
      <c r="Q199" t="s">
        <v>60</v>
      </c>
      <c r="R199" t="str">
        <f>_xlfn.CONCAT(laptop[[#This Row],[CPU_company]]," ",laptop[[#This Row],[CPU_model]])</f>
        <v>Intel Core i5 8250U</v>
      </c>
      <c r="S199">
        <v>512</v>
      </c>
      <c r="T199">
        <v>0</v>
      </c>
      <c r="U199">
        <f>laptop[[#This Row],[PrimaryStorage]]+laptop[[#This Row],[SecondaryStorage]]</f>
        <v>512</v>
      </c>
      <c r="V199" t="s">
        <v>31</v>
      </c>
      <c r="W199" t="s">
        <v>27</v>
      </c>
      <c r="X199" t="str">
        <f>IF(laptop[[#This Row],[PrimaryStorageType]]=laptop[[#This Row],[SecondaryStorageType]],laptop[[#This Row],[PrimaryStorageType]],"SSD &amp; HDD")</f>
        <v>SSD &amp; HDD</v>
      </c>
      <c r="Y199" t="s">
        <v>61</v>
      </c>
      <c r="Z199" s="4" t="str">
        <f>_xlfn.CONCAT(laptop[[#This Row],[CPU_company]]," ",laptop[[#This Row],[GPU_model]])</f>
        <v>Intel UHD Graphics 620</v>
      </c>
    </row>
    <row r="200" spans="1:26" x14ac:dyDescent="0.25">
      <c r="A200" t="s">
        <v>36</v>
      </c>
      <c r="B200" t="s">
        <v>260</v>
      </c>
      <c r="C200" t="s">
        <v>83</v>
      </c>
      <c r="D200">
        <v>17.3</v>
      </c>
      <c r="E200">
        <v>16</v>
      </c>
      <c r="F200" t="s">
        <v>48</v>
      </c>
      <c r="G200">
        <v>3.35</v>
      </c>
      <c r="H200" s="16">
        <v>1379</v>
      </c>
      <c r="I200" t="s">
        <v>40</v>
      </c>
      <c r="J200">
        <v>1920</v>
      </c>
      <c r="K200">
        <v>1080</v>
      </c>
      <c r="L200" t="s">
        <v>27</v>
      </c>
      <c r="M200" t="s">
        <v>28</v>
      </c>
      <c r="N200" t="s">
        <v>27</v>
      </c>
      <c r="O200" t="s">
        <v>29</v>
      </c>
      <c r="P200">
        <v>2.8</v>
      </c>
      <c r="Q200" t="s">
        <v>118</v>
      </c>
      <c r="R200" t="str">
        <f>_xlfn.CONCAT(laptop[[#This Row],[CPU_company]]," ",laptop[[#This Row],[CPU_model]])</f>
        <v>Intel Core i7 7700HQ</v>
      </c>
      <c r="S200">
        <v>256</v>
      </c>
      <c r="T200">
        <v>1024</v>
      </c>
      <c r="U200">
        <f>laptop[[#This Row],[PrimaryStorage]]+laptop[[#This Row],[SecondaryStorage]]</f>
        <v>1280</v>
      </c>
      <c r="V200" t="s">
        <v>31</v>
      </c>
      <c r="W200" t="s">
        <v>51</v>
      </c>
      <c r="X200" t="str">
        <f>IF(laptop[[#This Row],[PrimaryStorageType]]=laptop[[#This Row],[SecondaryStorageType]],laptop[[#This Row],[PrimaryStorageType]],"SSD &amp; HDD")</f>
        <v>SSD &amp; HDD</v>
      </c>
      <c r="Y200" t="s">
        <v>85</v>
      </c>
      <c r="Z200" s="4" t="str">
        <f>_xlfn.CONCAT(laptop[[#This Row],[CPU_company]]," ",laptop[[#This Row],[GPU_model]])</f>
        <v>Intel GeForce GTX 1050</v>
      </c>
    </row>
    <row r="201" spans="1:26" x14ac:dyDescent="0.25">
      <c r="A201" t="s">
        <v>36</v>
      </c>
      <c r="B201" t="s">
        <v>197</v>
      </c>
      <c r="C201" t="s">
        <v>38</v>
      </c>
      <c r="D201">
        <v>17.3</v>
      </c>
      <c r="E201">
        <v>8</v>
      </c>
      <c r="F201" t="s">
        <v>48</v>
      </c>
      <c r="G201">
        <v>2.5</v>
      </c>
      <c r="H201" s="16">
        <v>1045</v>
      </c>
      <c r="I201" t="s">
        <v>40</v>
      </c>
      <c r="J201">
        <v>1920</v>
      </c>
      <c r="K201">
        <v>1080</v>
      </c>
      <c r="L201" t="s">
        <v>27</v>
      </c>
      <c r="M201" t="s">
        <v>27</v>
      </c>
      <c r="N201" t="s">
        <v>27</v>
      </c>
      <c r="O201" t="s">
        <v>29</v>
      </c>
      <c r="P201">
        <v>1.8</v>
      </c>
      <c r="Q201" t="s">
        <v>57</v>
      </c>
      <c r="R201" t="str">
        <f>_xlfn.CONCAT(laptop[[#This Row],[CPU_company]]," ",laptop[[#This Row],[CPU_model]])</f>
        <v>Intel Core i7 8550U</v>
      </c>
      <c r="S201">
        <v>256</v>
      </c>
      <c r="T201">
        <v>0</v>
      </c>
      <c r="U201">
        <f>laptop[[#This Row],[PrimaryStorage]]+laptop[[#This Row],[SecondaryStorage]]</f>
        <v>256</v>
      </c>
      <c r="V201" t="s">
        <v>31</v>
      </c>
      <c r="W201" t="s">
        <v>27</v>
      </c>
      <c r="X201" t="str">
        <f>IF(laptop[[#This Row],[PrimaryStorageType]]=laptop[[#This Row],[SecondaryStorageType]],laptop[[#This Row],[PrimaryStorageType]],"SSD &amp; HDD")</f>
        <v>SSD &amp; HDD</v>
      </c>
      <c r="Y201" t="s">
        <v>115</v>
      </c>
      <c r="Z201" s="4" t="str">
        <f>_xlfn.CONCAT(laptop[[#This Row],[CPU_company]]," ",laptop[[#This Row],[GPU_model]])</f>
        <v xml:space="preserve">Intel GeForce 930MX </v>
      </c>
    </row>
    <row r="202" spans="1:26" x14ac:dyDescent="0.25">
      <c r="A202" t="s">
        <v>65</v>
      </c>
      <c r="B202" t="s">
        <v>117</v>
      </c>
      <c r="C202" t="s">
        <v>83</v>
      </c>
      <c r="D202">
        <v>15.6</v>
      </c>
      <c r="E202">
        <v>16</v>
      </c>
      <c r="F202" t="s">
        <v>48</v>
      </c>
      <c r="G202">
        <v>2.65</v>
      </c>
      <c r="H202" s="16">
        <v>1845</v>
      </c>
      <c r="I202" t="s">
        <v>215</v>
      </c>
      <c r="J202">
        <v>3840</v>
      </c>
      <c r="K202">
        <v>2160</v>
      </c>
      <c r="L202" t="s">
        <v>27</v>
      </c>
      <c r="M202" t="s">
        <v>28</v>
      </c>
      <c r="N202" t="s">
        <v>27</v>
      </c>
      <c r="O202" t="s">
        <v>29</v>
      </c>
      <c r="P202">
        <v>2.8</v>
      </c>
      <c r="Q202" t="s">
        <v>118</v>
      </c>
      <c r="R202" t="str">
        <f>_xlfn.CONCAT(laptop[[#This Row],[CPU_company]]," ",laptop[[#This Row],[CPU_model]])</f>
        <v>Intel Core i7 7700HQ</v>
      </c>
      <c r="S202">
        <v>512</v>
      </c>
      <c r="T202">
        <v>1024</v>
      </c>
      <c r="U202">
        <f>laptop[[#This Row],[PrimaryStorage]]+laptop[[#This Row],[SecondaryStorage]]</f>
        <v>1536</v>
      </c>
      <c r="V202" t="s">
        <v>31</v>
      </c>
      <c r="W202" t="s">
        <v>51</v>
      </c>
      <c r="X202" t="str">
        <f>IF(laptop[[#This Row],[PrimaryStorageType]]=laptop[[#This Row],[SecondaryStorageType]],laptop[[#This Row],[PrimaryStorageType]],"SSD &amp; HDD")</f>
        <v>SSD &amp; HDD</v>
      </c>
      <c r="Y202" t="s">
        <v>119</v>
      </c>
      <c r="Z202" s="4" t="str">
        <f>_xlfn.CONCAT(laptop[[#This Row],[CPU_company]]," ",laptop[[#This Row],[GPU_model]])</f>
        <v>Intel GeForce GTX 1060</v>
      </c>
    </row>
    <row r="203" spans="1:26" x14ac:dyDescent="0.25">
      <c r="A203" t="s">
        <v>73</v>
      </c>
      <c r="B203" t="s">
        <v>261</v>
      </c>
      <c r="C203" t="s">
        <v>38</v>
      </c>
      <c r="D203">
        <v>15.6</v>
      </c>
      <c r="E203">
        <v>4</v>
      </c>
      <c r="F203" t="s">
        <v>48</v>
      </c>
      <c r="G203">
        <v>2.1</v>
      </c>
      <c r="H203" s="16">
        <v>493</v>
      </c>
      <c r="I203" t="s">
        <v>26</v>
      </c>
      <c r="J203">
        <v>1366</v>
      </c>
      <c r="K203">
        <v>768</v>
      </c>
      <c r="L203" t="s">
        <v>27</v>
      </c>
      <c r="M203" t="s">
        <v>27</v>
      </c>
      <c r="N203" t="s">
        <v>27</v>
      </c>
      <c r="O203" t="s">
        <v>29</v>
      </c>
      <c r="P203">
        <v>2.2999999999999998</v>
      </c>
      <c r="Q203" t="s">
        <v>212</v>
      </c>
      <c r="R203" t="str">
        <f>_xlfn.CONCAT(laptop[[#This Row],[CPU_company]]," ",laptop[[#This Row],[CPU_model]])</f>
        <v>Intel Core i5 6200U</v>
      </c>
      <c r="S203">
        <v>128</v>
      </c>
      <c r="T203">
        <v>0</v>
      </c>
      <c r="U203">
        <f>laptop[[#This Row],[PrimaryStorage]]+laptop[[#This Row],[SecondaryStorage]]</f>
        <v>128</v>
      </c>
      <c r="V203" t="s">
        <v>31</v>
      </c>
      <c r="W203" t="s">
        <v>27</v>
      </c>
      <c r="X203" t="str">
        <f>IF(laptop[[#This Row],[PrimaryStorageType]]=laptop[[#This Row],[SecondaryStorageType]],laptop[[#This Row],[PrimaryStorageType]],"SSD &amp; HDD")</f>
        <v>SSD &amp; HDD</v>
      </c>
      <c r="Y203" t="s">
        <v>63</v>
      </c>
      <c r="Z203" s="4" t="str">
        <f>_xlfn.CONCAT(laptop[[#This Row],[CPU_company]]," ",laptop[[#This Row],[GPU_model]])</f>
        <v>Intel HD Graphics 520</v>
      </c>
    </row>
    <row r="204" spans="1:26" x14ac:dyDescent="0.25">
      <c r="A204" t="s">
        <v>46</v>
      </c>
      <c r="B204" t="s">
        <v>262</v>
      </c>
      <c r="C204" t="s">
        <v>38</v>
      </c>
      <c r="D204">
        <v>15.6</v>
      </c>
      <c r="E204">
        <v>8</v>
      </c>
      <c r="F204" t="s">
        <v>48</v>
      </c>
      <c r="G204">
        <v>2.23</v>
      </c>
      <c r="H204" s="16">
        <v>742</v>
      </c>
      <c r="I204" t="s">
        <v>40</v>
      </c>
      <c r="J204">
        <v>1920</v>
      </c>
      <c r="K204">
        <v>1080</v>
      </c>
      <c r="L204" t="s">
        <v>27</v>
      </c>
      <c r="M204" t="s">
        <v>27</v>
      </c>
      <c r="N204" t="s">
        <v>27</v>
      </c>
      <c r="O204" t="s">
        <v>29</v>
      </c>
      <c r="P204">
        <v>2.7</v>
      </c>
      <c r="Q204" t="s">
        <v>71</v>
      </c>
      <c r="R204" t="str">
        <f>_xlfn.CONCAT(laptop[[#This Row],[CPU_company]]," ",laptop[[#This Row],[CPU_model]])</f>
        <v>Intel Core i7 7500U</v>
      </c>
      <c r="S204">
        <v>1024</v>
      </c>
      <c r="T204">
        <v>0</v>
      </c>
      <c r="U204">
        <f>laptop[[#This Row],[PrimaryStorage]]+laptop[[#This Row],[SecondaryStorage]]</f>
        <v>1024</v>
      </c>
      <c r="V204" t="s">
        <v>51</v>
      </c>
      <c r="W204" t="s">
        <v>27</v>
      </c>
      <c r="X204" t="str">
        <f>IF(laptop[[#This Row],[PrimaryStorageType]]=laptop[[#This Row],[SecondaryStorageType]],laptop[[#This Row],[PrimaryStorageType]],"SSD &amp; HDD")</f>
        <v>SSD &amp; HDD</v>
      </c>
      <c r="Y204" t="s">
        <v>76</v>
      </c>
      <c r="Z204" s="4" t="str">
        <f>_xlfn.CONCAT(laptop[[#This Row],[CPU_company]]," ",laptop[[#This Row],[GPU_model]])</f>
        <v>Intel GeForce 940MX</v>
      </c>
    </row>
    <row r="205" spans="1:26" x14ac:dyDescent="0.25">
      <c r="A205" t="s">
        <v>73</v>
      </c>
      <c r="B205" t="s">
        <v>263</v>
      </c>
      <c r="C205" t="s">
        <v>83</v>
      </c>
      <c r="D205">
        <v>15.6</v>
      </c>
      <c r="E205">
        <v>16</v>
      </c>
      <c r="F205" t="s">
        <v>48</v>
      </c>
      <c r="G205">
        <v>3.2</v>
      </c>
      <c r="H205" s="16">
        <v>1749</v>
      </c>
      <c r="I205" t="s">
        <v>40</v>
      </c>
      <c r="J205">
        <v>1920</v>
      </c>
      <c r="K205">
        <v>1080</v>
      </c>
      <c r="L205" t="s">
        <v>27</v>
      </c>
      <c r="M205" t="s">
        <v>28</v>
      </c>
      <c r="N205" t="s">
        <v>27</v>
      </c>
      <c r="O205" t="s">
        <v>29</v>
      </c>
      <c r="P205">
        <v>2.8</v>
      </c>
      <c r="Q205" t="s">
        <v>118</v>
      </c>
      <c r="R205" t="str">
        <f>_xlfn.CONCAT(laptop[[#This Row],[CPU_company]]," ",laptop[[#This Row],[CPU_model]])</f>
        <v>Intel Core i7 7700HQ</v>
      </c>
      <c r="S205">
        <v>512</v>
      </c>
      <c r="T205">
        <v>1024</v>
      </c>
      <c r="U205">
        <f>laptop[[#This Row],[PrimaryStorage]]+laptop[[#This Row],[SecondaryStorage]]</f>
        <v>1536</v>
      </c>
      <c r="V205" t="s">
        <v>31</v>
      </c>
      <c r="W205" t="s">
        <v>51</v>
      </c>
      <c r="X205" t="str">
        <f>IF(laptop[[#This Row],[PrimaryStorageType]]=laptop[[#This Row],[SecondaryStorageType]],laptop[[#This Row],[PrimaryStorageType]],"SSD &amp; HDD")</f>
        <v>SSD &amp; HDD</v>
      </c>
      <c r="Y205" t="s">
        <v>119</v>
      </c>
      <c r="Z205" s="4" t="str">
        <f>_xlfn.CONCAT(laptop[[#This Row],[CPU_company]]," ",laptop[[#This Row],[GPU_model]])</f>
        <v>Intel GeForce GTX 1060</v>
      </c>
    </row>
    <row r="206" spans="1:26" x14ac:dyDescent="0.25">
      <c r="A206" t="s">
        <v>65</v>
      </c>
      <c r="B206" t="s">
        <v>264</v>
      </c>
      <c r="C206" t="s">
        <v>265</v>
      </c>
      <c r="D206">
        <v>15.6</v>
      </c>
      <c r="E206">
        <v>16</v>
      </c>
      <c r="F206" t="s">
        <v>48</v>
      </c>
      <c r="G206">
        <v>2.8</v>
      </c>
      <c r="H206" s="16">
        <v>3055</v>
      </c>
      <c r="I206" t="s">
        <v>215</v>
      </c>
      <c r="J206">
        <v>3840</v>
      </c>
      <c r="K206">
        <v>2160</v>
      </c>
      <c r="L206" t="s">
        <v>27</v>
      </c>
      <c r="M206" t="s">
        <v>27</v>
      </c>
      <c r="N206" t="s">
        <v>27</v>
      </c>
      <c r="O206" t="s">
        <v>29</v>
      </c>
      <c r="P206">
        <v>3</v>
      </c>
      <c r="Q206" t="s">
        <v>266</v>
      </c>
      <c r="R206" t="str">
        <f>_xlfn.CONCAT(laptop[[#This Row],[CPU_company]]," ",laptop[[#This Row],[CPU_model]])</f>
        <v>Intel Xeon E3-1505M V6</v>
      </c>
      <c r="S206">
        <v>256</v>
      </c>
      <c r="T206">
        <v>1024</v>
      </c>
      <c r="U206">
        <f>laptop[[#This Row],[PrimaryStorage]]+laptop[[#This Row],[SecondaryStorage]]</f>
        <v>1280</v>
      </c>
      <c r="V206" t="s">
        <v>31</v>
      </c>
      <c r="W206" t="s">
        <v>51</v>
      </c>
      <c r="X206" t="str">
        <f>IF(laptop[[#This Row],[PrimaryStorageType]]=laptop[[#This Row],[SecondaryStorageType]],laptop[[#This Row],[PrimaryStorageType]],"SSD &amp; HDD")</f>
        <v>SSD &amp; HDD</v>
      </c>
      <c r="Y206" t="s">
        <v>267</v>
      </c>
      <c r="Z206" s="4" t="str">
        <f>_xlfn.CONCAT(laptop[[#This Row],[CPU_company]]," ",laptop[[#This Row],[GPU_model]])</f>
        <v>Intel Quadro M1200</v>
      </c>
    </row>
    <row r="207" spans="1:26" x14ac:dyDescent="0.25">
      <c r="A207" t="s">
        <v>73</v>
      </c>
      <c r="B207" t="s">
        <v>82</v>
      </c>
      <c r="C207" t="s">
        <v>83</v>
      </c>
      <c r="D207">
        <v>15.6</v>
      </c>
      <c r="E207">
        <v>16</v>
      </c>
      <c r="F207" t="s">
        <v>39</v>
      </c>
      <c r="G207">
        <v>2.4</v>
      </c>
      <c r="H207" s="16">
        <v>1398</v>
      </c>
      <c r="I207" t="s">
        <v>40</v>
      </c>
      <c r="J207">
        <v>1920</v>
      </c>
      <c r="K207">
        <v>1080</v>
      </c>
      <c r="L207" t="s">
        <v>27</v>
      </c>
      <c r="M207" t="s">
        <v>27</v>
      </c>
      <c r="N207" t="s">
        <v>27</v>
      </c>
      <c r="O207" t="s">
        <v>29</v>
      </c>
      <c r="P207">
        <v>2.8</v>
      </c>
      <c r="Q207" t="s">
        <v>118</v>
      </c>
      <c r="R207" t="str">
        <f>_xlfn.CONCAT(laptop[[#This Row],[CPU_company]]," ",laptop[[#This Row],[CPU_model]])</f>
        <v>Intel Core i7 7700HQ</v>
      </c>
      <c r="S207">
        <v>512</v>
      </c>
      <c r="T207">
        <v>0</v>
      </c>
      <c r="U207">
        <f>laptop[[#This Row],[PrimaryStorage]]+laptop[[#This Row],[SecondaryStorage]]</f>
        <v>512</v>
      </c>
      <c r="V207" t="s">
        <v>31</v>
      </c>
      <c r="W207" t="s">
        <v>27</v>
      </c>
      <c r="X207" t="str">
        <f>IF(laptop[[#This Row],[PrimaryStorageType]]=laptop[[#This Row],[SecondaryStorageType]],laptop[[#This Row],[PrimaryStorageType]],"SSD &amp; HDD")</f>
        <v>SSD &amp; HDD</v>
      </c>
      <c r="Y207" t="s">
        <v>119</v>
      </c>
      <c r="Z207" s="4" t="str">
        <f>_xlfn.CONCAT(laptop[[#This Row],[CPU_company]]," ",laptop[[#This Row],[GPU_model]])</f>
        <v>Intel GeForce GTX 1060</v>
      </c>
    </row>
    <row r="208" spans="1:26" x14ac:dyDescent="0.25">
      <c r="A208" t="s">
        <v>65</v>
      </c>
      <c r="B208" t="s">
        <v>66</v>
      </c>
      <c r="C208" t="s">
        <v>38</v>
      </c>
      <c r="D208">
        <v>15.6</v>
      </c>
      <c r="E208">
        <v>6</v>
      </c>
      <c r="F208" t="s">
        <v>48</v>
      </c>
      <c r="G208">
        <v>2.2999999999999998</v>
      </c>
      <c r="H208" s="16">
        <v>439</v>
      </c>
      <c r="I208" t="s">
        <v>26</v>
      </c>
      <c r="J208">
        <v>1366</v>
      </c>
      <c r="K208">
        <v>768</v>
      </c>
      <c r="L208" t="s">
        <v>28</v>
      </c>
      <c r="M208" t="s">
        <v>27</v>
      </c>
      <c r="N208" t="s">
        <v>27</v>
      </c>
      <c r="O208" t="s">
        <v>29</v>
      </c>
      <c r="P208">
        <v>2.4</v>
      </c>
      <c r="Q208" t="s">
        <v>75</v>
      </c>
      <c r="R208" t="str">
        <f>_xlfn.CONCAT(laptop[[#This Row],[CPU_company]]," ",laptop[[#This Row],[CPU_model]])</f>
        <v>Intel Core i3 7100U</v>
      </c>
      <c r="S208">
        <v>1024</v>
      </c>
      <c r="T208">
        <v>0</v>
      </c>
      <c r="U208">
        <f>laptop[[#This Row],[PrimaryStorage]]+laptop[[#This Row],[SecondaryStorage]]</f>
        <v>1024</v>
      </c>
      <c r="V208" t="s">
        <v>51</v>
      </c>
      <c r="W208" t="s">
        <v>27</v>
      </c>
      <c r="X208" t="str">
        <f>IF(laptop[[#This Row],[PrimaryStorageType]]=laptop[[#This Row],[SecondaryStorageType]],laptop[[#This Row],[PrimaryStorageType]],"SSD &amp; HDD")</f>
        <v>SSD &amp; HDD</v>
      </c>
      <c r="Y208" t="s">
        <v>42</v>
      </c>
      <c r="Z208" s="4" t="str">
        <f>_xlfn.CONCAT(laptop[[#This Row],[CPU_company]]," ",laptop[[#This Row],[GPU_model]])</f>
        <v>Intel HD Graphics 620</v>
      </c>
    </row>
    <row r="209" spans="1:26" x14ac:dyDescent="0.25">
      <c r="A209" t="s">
        <v>65</v>
      </c>
      <c r="B209" t="s">
        <v>77</v>
      </c>
      <c r="C209" t="s">
        <v>24</v>
      </c>
      <c r="D209">
        <v>13.3</v>
      </c>
      <c r="E209">
        <v>8</v>
      </c>
      <c r="F209" t="s">
        <v>48</v>
      </c>
      <c r="G209">
        <v>1.21</v>
      </c>
      <c r="H209" s="16">
        <v>1949</v>
      </c>
      <c r="I209" t="s">
        <v>215</v>
      </c>
      <c r="J209">
        <v>3840</v>
      </c>
      <c r="K209">
        <v>2160</v>
      </c>
      <c r="L209" t="s">
        <v>28</v>
      </c>
      <c r="M209" t="s">
        <v>28</v>
      </c>
      <c r="N209" t="s">
        <v>27</v>
      </c>
      <c r="O209" t="s">
        <v>29</v>
      </c>
      <c r="P209">
        <v>1.8</v>
      </c>
      <c r="Q209" t="s">
        <v>57</v>
      </c>
      <c r="R209" t="str">
        <f>_xlfn.CONCAT(laptop[[#This Row],[CPU_company]]," ",laptop[[#This Row],[CPU_model]])</f>
        <v>Intel Core i7 8550U</v>
      </c>
      <c r="S209">
        <v>256</v>
      </c>
      <c r="T209">
        <v>0</v>
      </c>
      <c r="U209">
        <f>laptop[[#This Row],[PrimaryStorage]]+laptop[[#This Row],[SecondaryStorage]]</f>
        <v>256</v>
      </c>
      <c r="V209" t="s">
        <v>31</v>
      </c>
      <c r="W209" t="s">
        <v>27</v>
      </c>
      <c r="X209" t="str">
        <f>IF(laptop[[#This Row],[PrimaryStorageType]]=laptop[[#This Row],[SecondaryStorageType]],laptop[[#This Row],[PrimaryStorageType]],"SSD &amp; HDD")</f>
        <v>SSD &amp; HDD</v>
      </c>
      <c r="Y209" t="s">
        <v>61</v>
      </c>
      <c r="Z209" s="4" t="str">
        <f>_xlfn.CONCAT(laptop[[#This Row],[CPU_company]]," ",laptop[[#This Row],[GPU_model]])</f>
        <v>Intel UHD Graphics 620</v>
      </c>
    </row>
    <row r="210" spans="1:26" x14ac:dyDescent="0.25">
      <c r="A210" t="s">
        <v>65</v>
      </c>
      <c r="B210" t="s">
        <v>77</v>
      </c>
      <c r="C210" t="s">
        <v>24</v>
      </c>
      <c r="D210">
        <v>13.3</v>
      </c>
      <c r="E210">
        <v>8</v>
      </c>
      <c r="F210" t="s">
        <v>48</v>
      </c>
      <c r="G210">
        <v>1.2</v>
      </c>
      <c r="H210" s="16">
        <v>1449</v>
      </c>
      <c r="I210" t="s">
        <v>40</v>
      </c>
      <c r="J210">
        <v>1920</v>
      </c>
      <c r="K210">
        <v>1080</v>
      </c>
      <c r="L210" t="s">
        <v>27</v>
      </c>
      <c r="M210" t="s">
        <v>27</v>
      </c>
      <c r="N210" t="s">
        <v>27</v>
      </c>
      <c r="O210" t="s">
        <v>29</v>
      </c>
      <c r="P210">
        <v>1.8</v>
      </c>
      <c r="Q210" t="s">
        <v>57</v>
      </c>
      <c r="R210" t="str">
        <f>_xlfn.CONCAT(laptop[[#This Row],[CPU_company]]," ",laptop[[#This Row],[CPU_model]])</f>
        <v>Intel Core i7 8550U</v>
      </c>
      <c r="S210">
        <v>256</v>
      </c>
      <c r="T210">
        <v>0</v>
      </c>
      <c r="U210">
        <f>laptop[[#This Row],[PrimaryStorage]]+laptop[[#This Row],[SecondaryStorage]]</f>
        <v>256</v>
      </c>
      <c r="V210" t="s">
        <v>31</v>
      </c>
      <c r="W210" t="s">
        <v>27</v>
      </c>
      <c r="X210" t="str">
        <f>IF(laptop[[#This Row],[PrimaryStorageType]]=laptop[[#This Row],[SecondaryStorageType]],laptop[[#This Row],[PrimaryStorageType]],"SSD &amp; HDD")</f>
        <v>SSD &amp; HDD</v>
      </c>
      <c r="Y210" t="s">
        <v>61</v>
      </c>
      <c r="Z210" s="4" t="str">
        <f>_xlfn.CONCAT(laptop[[#This Row],[CPU_company]]," ",laptop[[#This Row],[GPU_model]])</f>
        <v>Intel UHD Graphics 620</v>
      </c>
    </row>
    <row r="211" spans="1:26" x14ac:dyDescent="0.25">
      <c r="A211" t="s">
        <v>73</v>
      </c>
      <c r="B211" t="s">
        <v>161</v>
      </c>
      <c r="C211" t="s">
        <v>38</v>
      </c>
      <c r="D211">
        <v>15.6</v>
      </c>
      <c r="E211">
        <v>8</v>
      </c>
      <c r="F211" t="s">
        <v>48</v>
      </c>
      <c r="G211">
        <v>2.2000000000000002</v>
      </c>
      <c r="H211" s="16">
        <v>597</v>
      </c>
      <c r="I211" t="s">
        <v>26</v>
      </c>
      <c r="J211">
        <v>1366</v>
      </c>
      <c r="K211">
        <v>768</v>
      </c>
      <c r="L211" t="s">
        <v>27</v>
      </c>
      <c r="M211" t="s">
        <v>27</v>
      </c>
      <c r="N211" t="s">
        <v>27</v>
      </c>
      <c r="O211" t="s">
        <v>29</v>
      </c>
      <c r="P211">
        <v>2.5</v>
      </c>
      <c r="Q211" t="s">
        <v>41</v>
      </c>
      <c r="R211" t="str">
        <f>_xlfn.CONCAT(laptop[[#This Row],[CPU_company]]," ",laptop[[#This Row],[CPU_model]])</f>
        <v>Intel Core i5 7200U</v>
      </c>
      <c r="S211">
        <v>256</v>
      </c>
      <c r="T211">
        <v>0</v>
      </c>
      <c r="U211">
        <f>laptop[[#This Row],[PrimaryStorage]]+laptop[[#This Row],[SecondaryStorage]]</f>
        <v>256</v>
      </c>
      <c r="V211" t="s">
        <v>31</v>
      </c>
      <c r="W211" t="s">
        <v>27</v>
      </c>
      <c r="X211" t="str">
        <f>IF(laptop[[#This Row],[PrimaryStorageType]]=laptop[[#This Row],[SecondaryStorageType]],laptop[[#This Row],[PrimaryStorageType]],"SSD &amp; HDD")</f>
        <v>SSD &amp; HDD</v>
      </c>
      <c r="Y211" t="s">
        <v>42</v>
      </c>
      <c r="Z211" s="4" t="str">
        <f>_xlfn.CONCAT(laptop[[#This Row],[CPU_company]]," ",laptop[[#This Row],[GPU_model]])</f>
        <v>Intel HD Graphics 620</v>
      </c>
    </row>
    <row r="212" spans="1:26" x14ac:dyDescent="0.25">
      <c r="A212" t="s">
        <v>46</v>
      </c>
      <c r="B212" t="s">
        <v>268</v>
      </c>
      <c r="C212" t="s">
        <v>38</v>
      </c>
      <c r="D212">
        <v>15.6</v>
      </c>
      <c r="E212">
        <v>8</v>
      </c>
      <c r="F212" t="s">
        <v>111</v>
      </c>
      <c r="G212">
        <v>2.4</v>
      </c>
      <c r="H212" s="16">
        <v>779</v>
      </c>
      <c r="I212" t="s">
        <v>40</v>
      </c>
      <c r="J212">
        <v>1920</v>
      </c>
      <c r="K212">
        <v>1080</v>
      </c>
      <c r="L212" t="s">
        <v>27</v>
      </c>
      <c r="M212" t="s">
        <v>27</v>
      </c>
      <c r="N212" t="s">
        <v>27</v>
      </c>
      <c r="O212" t="s">
        <v>29</v>
      </c>
      <c r="P212">
        <v>2.8</v>
      </c>
      <c r="Q212" t="s">
        <v>118</v>
      </c>
      <c r="R212" t="str">
        <f>_xlfn.CONCAT(laptop[[#This Row],[CPU_company]]," ",laptop[[#This Row],[CPU_model]])</f>
        <v>Intel Core i7 7700HQ</v>
      </c>
      <c r="S212">
        <v>1024</v>
      </c>
      <c r="T212">
        <v>0</v>
      </c>
      <c r="U212">
        <f>laptop[[#This Row],[PrimaryStorage]]+laptop[[#This Row],[SecondaryStorage]]</f>
        <v>1024</v>
      </c>
      <c r="V212" t="s">
        <v>51</v>
      </c>
      <c r="W212" t="s">
        <v>27</v>
      </c>
      <c r="X212" t="str">
        <f>IF(laptop[[#This Row],[PrimaryStorageType]]=laptop[[#This Row],[SecondaryStorageType]],laptop[[#This Row],[PrimaryStorageType]],"SSD &amp; HDD")</f>
        <v>SSD &amp; HDD</v>
      </c>
      <c r="Y212" t="s">
        <v>85</v>
      </c>
      <c r="Z212" s="4" t="str">
        <f>_xlfn.CONCAT(laptop[[#This Row],[CPU_company]]," ",laptop[[#This Row],[GPU_model]])</f>
        <v>Intel GeForce GTX 1050</v>
      </c>
    </row>
    <row r="213" spans="1:26" x14ac:dyDescent="0.25">
      <c r="A213" t="s">
        <v>55</v>
      </c>
      <c r="B213" t="s">
        <v>269</v>
      </c>
      <c r="C213" t="s">
        <v>83</v>
      </c>
      <c r="D213">
        <v>17.3</v>
      </c>
      <c r="E213">
        <v>16</v>
      </c>
      <c r="F213" t="s">
        <v>48</v>
      </c>
      <c r="G213">
        <v>2.9</v>
      </c>
      <c r="H213" s="16">
        <v>1407</v>
      </c>
      <c r="I213" t="s">
        <v>40</v>
      </c>
      <c r="J213">
        <v>1920</v>
      </c>
      <c r="K213">
        <v>1080</v>
      </c>
      <c r="L213" t="s">
        <v>27</v>
      </c>
      <c r="M213" t="s">
        <v>27</v>
      </c>
      <c r="N213" t="s">
        <v>27</v>
      </c>
      <c r="O213" t="s">
        <v>29</v>
      </c>
      <c r="P213">
        <v>2.8</v>
      </c>
      <c r="Q213" t="s">
        <v>118</v>
      </c>
      <c r="R213" t="str">
        <f>_xlfn.CONCAT(laptop[[#This Row],[CPU_company]]," ",laptop[[#This Row],[CPU_model]])</f>
        <v>Intel Core i7 7700HQ</v>
      </c>
      <c r="S213">
        <v>256</v>
      </c>
      <c r="T213">
        <v>1024</v>
      </c>
      <c r="U213">
        <f>laptop[[#This Row],[PrimaryStorage]]+laptop[[#This Row],[SecondaryStorage]]</f>
        <v>1280</v>
      </c>
      <c r="V213" t="s">
        <v>31</v>
      </c>
      <c r="W213" t="s">
        <v>51</v>
      </c>
      <c r="X213" t="str">
        <f>IF(laptop[[#This Row],[PrimaryStorageType]]=laptop[[#This Row],[SecondaryStorageType]],laptop[[#This Row],[PrimaryStorageType]],"SSD &amp; HDD")</f>
        <v>SSD &amp; HDD</v>
      </c>
      <c r="Y213" t="s">
        <v>85</v>
      </c>
      <c r="Z213" s="4" t="str">
        <f>_xlfn.CONCAT(laptop[[#This Row],[CPU_company]]," ",laptop[[#This Row],[GPU_model]])</f>
        <v>Intel GeForce GTX 1050</v>
      </c>
    </row>
    <row r="214" spans="1:26" x14ac:dyDescent="0.25">
      <c r="A214" t="s">
        <v>36</v>
      </c>
      <c r="B214" t="s">
        <v>270</v>
      </c>
      <c r="C214" t="s">
        <v>38</v>
      </c>
      <c r="D214">
        <v>15.6</v>
      </c>
      <c r="E214">
        <v>4</v>
      </c>
      <c r="F214" t="s">
        <v>39</v>
      </c>
      <c r="G214">
        <v>2.1</v>
      </c>
      <c r="H214" s="16">
        <v>349</v>
      </c>
      <c r="I214" t="s">
        <v>40</v>
      </c>
      <c r="J214">
        <v>1920</v>
      </c>
      <c r="K214">
        <v>1080</v>
      </c>
      <c r="L214" t="s">
        <v>27</v>
      </c>
      <c r="M214" t="s">
        <v>27</v>
      </c>
      <c r="N214" t="s">
        <v>27</v>
      </c>
      <c r="O214" t="s">
        <v>29</v>
      </c>
      <c r="P214">
        <v>2</v>
      </c>
      <c r="Q214" t="s">
        <v>62</v>
      </c>
      <c r="R214" t="str">
        <f>_xlfn.CONCAT(laptop[[#This Row],[CPU_company]]," ",laptop[[#This Row],[CPU_model]])</f>
        <v>Intel Core i3 6006U</v>
      </c>
      <c r="S214">
        <v>500</v>
      </c>
      <c r="T214">
        <v>0</v>
      </c>
      <c r="U214">
        <f>laptop[[#This Row],[PrimaryStorage]]+laptop[[#This Row],[SecondaryStorage]]</f>
        <v>500</v>
      </c>
      <c r="V214" t="s">
        <v>51</v>
      </c>
      <c r="W214" t="s">
        <v>27</v>
      </c>
      <c r="X214" t="str">
        <f>IF(laptop[[#This Row],[PrimaryStorageType]]=laptop[[#This Row],[SecondaryStorageType]],laptop[[#This Row],[PrimaryStorageType]],"SSD &amp; HDD")</f>
        <v>SSD &amp; HDD</v>
      </c>
      <c r="Y214" t="s">
        <v>63</v>
      </c>
      <c r="Z214" s="4" t="str">
        <f>_xlfn.CONCAT(laptop[[#This Row],[CPU_company]]," ",laptop[[#This Row],[GPU_model]])</f>
        <v>Intel HD Graphics 520</v>
      </c>
    </row>
    <row r="215" spans="1:26" x14ac:dyDescent="0.25">
      <c r="A215" t="s">
        <v>73</v>
      </c>
      <c r="B215" t="s">
        <v>161</v>
      </c>
      <c r="C215" t="s">
        <v>38</v>
      </c>
      <c r="D215">
        <v>15.6</v>
      </c>
      <c r="E215">
        <v>8</v>
      </c>
      <c r="F215" t="s">
        <v>39</v>
      </c>
      <c r="G215">
        <v>2.2000000000000002</v>
      </c>
      <c r="H215" s="16">
        <v>549</v>
      </c>
      <c r="I215" t="s">
        <v>40</v>
      </c>
      <c r="J215">
        <v>1920</v>
      </c>
      <c r="K215">
        <v>1080</v>
      </c>
      <c r="L215" t="s">
        <v>27</v>
      </c>
      <c r="M215" t="s">
        <v>27</v>
      </c>
      <c r="N215" t="s">
        <v>27</v>
      </c>
      <c r="O215" t="s">
        <v>29</v>
      </c>
      <c r="P215">
        <v>2.5</v>
      </c>
      <c r="Q215" t="s">
        <v>41</v>
      </c>
      <c r="R215" t="str">
        <f>_xlfn.CONCAT(laptop[[#This Row],[CPU_company]]," ",laptop[[#This Row],[CPU_model]])</f>
        <v>Intel Core i5 7200U</v>
      </c>
      <c r="S215">
        <v>256</v>
      </c>
      <c r="T215">
        <v>0</v>
      </c>
      <c r="U215">
        <f>laptop[[#This Row],[PrimaryStorage]]+laptop[[#This Row],[SecondaryStorage]]</f>
        <v>256</v>
      </c>
      <c r="V215" t="s">
        <v>31</v>
      </c>
      <c r="W215" t="s">
        <v>27</v>
      </c>
      <c r="X215" t="str">
        <f>IF(laptop[[#This Row],[PrimaryStorageType]]=laptop[[#This Row],[SecondaryStorageType]],laptop[[#This Row],[PrimaryStorageType]],"SSD &amp; HDD")</f>
        <v>SSD &amp; HDD</v>
      </c>
      <c r="Y215" t="s">
        <v>42</v>
      </c>
      <c r="Z215" s="4" t="str">
        <f>_xlfn.CONCAT(laptop[[#This Row],[CPU_company]]," ",laptop[[#This Row],[GPU_model]])</f>
        <v>Intel HD Graphics 620</v>
      </c>
    </row>
    <row r="216" spans="1:26" x14ac:dyDescent="0.25">
      <c r="A216" t="s">
        <v>238</v>
      </c>
      <c r="B216" t="s">
        <v>239</v>
      </c>
      <c r="C216" t="s">
        <v>24</v>
      </c>
      <c r="D216">
        <v>13</v>
      </c>
      <c r="E216">
        <v>8</v>
      </c>
      <c r="F216" t="s">
        <v>48</v>
      </c>
      <c r="G216">
        <v>1.05</v>
      </c>
      <c r="H216" s="16">
        <v>1499</v>
      </c>
      <c r="I216" t="s">
        <v>40</v>
      </c>
      <c r="J216">
        <v>2160</v>
      </c>
      <c r="K216">
        <v>1440</v>
      </c>
      <c r="L216" t="s">
        <v>27</v>
      </c>
      <c r="M216" t="s">
        <v>28</v>
      </c>
      <c r="N216" t="s">
        <v>27</v>
      </c>
      <c r="O216" t="s">
        <v>29</v>
      </c>
      <c r="P216">
        <v>2.7</v>
      </c>
      <c r="Q216" t="s">
        <v>71</v>
      </c>
      <c r="R216" t="str">
        <f>_xlfn.CONCAT(laptop[[#This Row],[CPU_company]]," ",laptop[[#This Row],[CPU_model]])</f>
        <v>Intel Core i7 7500U</v>
      </c>
      <c r="S216">
        <v>512</v>
      </c>
      <c r="T216">
        <v>0</v>
      </c>
      <c r="U216">
        <f>laptop[[#This Row],[PrimaryStorage]]+laptop[[#This Row],[SecondaryStorage]]</f>
        <v>512</v>
      </c>
      <c r="V216" t="s">
        <v>31</v>
      </c>
      <c r="W216" t="s">
        <v>27</v>
      </c>
      <c r="X216" t="str">
        <f>IF(laptop[[#This Row],[PrimaryStorageType]]=laptop[[#This Row],[SecondaryStorageType]],laptop[[#This Row],[PrimaryStorageType]],"SSD &amp; HDD")</f>
        <v>SSD &amp; HDD</v>
      </c>
      <c r="Y216" t="s">
        <v>42</v>
      </c>
      <c r="Z216" s="4" t="str">
        <f>_xlfn.CONCAT(laptop[[#This Row],[CPU_company]]," ",laptop[[#This Row],[GPU_model]])</f>
        <v>Intel HD Graphics 620</v>
      </c>
    </row>
    <row r="217" spans="1:26" x14ac:dyDescent="0.25">
      <c r="A217" t="s">
        <v>65</v>
      </c>
      <c r="B217" t="s">
        <v>157</v>
      </c>
      <c r="C217" t="s">
        <v>24</v>
      </c>
      <c r="D217">
        <v>13.3</v>
      </c>
      <c r="E217">
        <v>8</v>
      </c>
      <c r="F217" t="s">
        <v>48</v>
      </c>
      <c r="G217">
        <v>1.4</v>
      </c>
      <c r="H217" s="16">
        <v>931.88</v>
      </c>
      <c r="I217" t="s">
        <v>40</v>
      </c>
      <c r="J217">
        <v>1920</v>
      </c>
      <c r="K217">
        <v>1080</v>
      </c>
      <c r="L217" t="s">
        <v>27</v>
      </c>
      <c r="M217" t="s">
        <v>28</v>
      </c>
      <c r="N217" t="s">
        <v>27</v>
      </c>
      <c r="O217" t="s">
        <v>29</v>
      </c>
      <c r="P217">
        <v>1.8</v>
      </c>
      <c r="Q217" t="s">
        <v>57</v>
      </c>
      <c r="R217" t="str">
        <f>_xlfn.CONCAT(laptop[[#This Row],[CPU_company]]," ",laptop[[#This Row],[CPU_model]])</f>
        <v>Intel Core i7 8550U</v>
      </c>
      <c r="S217">
        <v>256</v>
      </c>
      <c r="T217">
        <v>0</v>
      </c>
      <c r="U217">
        <f>laptop[[#This Row],[PrimaryStorage]]+laptop[[#This Row],[SecondaryStorage]]</f>
        <v>256</v>
      </c>
      <c r="V217" t="s">
        <v>31</v>
      </c>
      <c r="W217" t="s">
        <v>27</v>
      </c>
      <c r="X217" t="str">
        <f>IF(laptop[[#This Row],[PrimaryStorageType]]=laptop[[#This Row],[SecondaryStorageType]],laptop[[#This Row],[PrimaryStorageType]],"SSD &amp; HDD")</f>
        <v>SSD &amp; HDD</v>
      </c>
      <c r="Y217" t="s">
        <v>94</v>
      </c>
      <c r="Z217" s="4" t="str">
        <f>_xlfn.CONCAT(laptop[[#This Row],[CPU_company]]," ",laptop[[#This Row],[GPU_model]])</f>
        <v>Intel Radeon 530</v>
      </c>
    </row>
    <row r="218" spans="1:26" x14ac:dyDescent="0.25">
      <c r="A218" t="s">
        <v>73</v>
      </c>
      <c r="B218" t="s">
        <v>271</v>
      </c>
      <c r="C218" t="s">
        <v>38</v>
      </c>
      <c r="D218">
        <v>17.3</v>
      </c>
      <c r="E218">
        <v>8</v>
      </c>
      <c r="F218" t="s">
        <v>39</v>
      </c>
      <c r="G218">
        <v>2.8</v>
      </c>
      <c r="H218" s="16">
        <v>589</v>
      </c>
      <c r="I218" t="s">
        <v>26</v>
      </c>
      <c r="J218">
        <v>1600</v>
      </c>
      <c r="K218">
        <v>900</v>
      </c>
      <c r="L218" t="s">
        <v>27</v>
      </c>
      <c r="M218" t="s">
        <v>27</v>
      </c>
      <c r="N218" t="s">
        <v>27</v>
      </c>
      <c r="O218" t="s">
        <v>29</v>
      </c>
      <c r="P218">
        <v>2.5</v>
      </c>
      <c r="Q218" t="s">
        <v>41</v>
      </c>
      <c r="R218" t="str">
        <f>_xlfn.CONCAT(laptop[[#This Row],[CPU_company]]," ",laptop[[#This Row],[CPU_model]])</f>
        <v>Intel Core i5 7200U</v>
      </c>
      <c r="S218">
        <v>1024</v>
      </c>
      <c r="T218">
        <v>0</v>
      </c>
      <c r="U218">
        <f>laptop[[#This Row],[PrimaryStorage]]+laptop[[#This Row],[SecondaryStorage]]</f>
        <v>1024</v>
      </c>
      <c r="V218" t="s">
        <v>51</v>
      </c>
      <c r="W218" t="s">
        <v>27</v>
      </c>
      <c r="X218" t="str">
        <f>IF(laptop[[#This Row],[PrimaryStorageType]]=laptop[[#This Row],[SecondaryStorageType]],laptop[[#This Row],[PrimaryStorageType]],"SSD &amp; HDD")</f>
        <v>SSD &amp; HDD</v>
      </c>
      <c r="Y218" t="s">
        <v>168</v>
      </c>
      <c r="Z218" s="4" t="str">
        <f>_xlfn.CONCAT(laptop[[#This Row],[CPU_company]]," ",laptop[[#This Row],[GPU_model]])</f>
        <v>Intel GeForce GTX 940MX</v>
      </c>
    </row>
    <row r="219" spans="1:26" x14ac:dyDescent="0.25">
      <c r="A219" t="s">
        <v>36</v>
      </c>
      <c r="B219" t="s">
        <v>191</v>
      </c>
      <c r="C219" t="s">
        <v>38</v>
      </c>
      <c r="D219">
        <v>14</v>
      </c>
      <c r="E219">
        <v>8</v>
      </c>
      <c r="F219" t="s">
        <v>48</v>
      </c>
      <c r="G219">
        <v>1.63</v>
      </c>
      <c r="H219" s="16">
        <v>1031</v>
      </c>
      <c r="I219" t="s">
        <v>40</v>
      </c>
      <c r="J219">
        <v>1920</v>
      </c>
      <c r="K219">
        <v>1080</v>
      </c>
      <c r="L219" t="s">
        <v>27</v>
      </c>
      <c r="M219" t="s">
        <v>27</v>
      </c>
      <c r="N219" t="s">
        <v>27</v>
      </c>
      <c r="O219" t="s">
        <v>29</v>
      </c>
      <c r="P219">
        <v>1.8</v>
      </c>
      <c r="Q219" t="s">
        <v>57</v>
      </c>
      <c r="R219" t="str">
        <f>_xlfn.CONCAT(laptop[[#This Row],[CPU_company]]," ",laptop[[#This Row],[CPU_model]])</f>
        <v>Intel Core i7 8550U</v>
      </c>
      <c r="S219">
        <v>256</v>
      </c>
      <c r="T219">
        <v>0</v>
      </c>
      <c r="U219">
        <f>laptop[[#This Row],[PrimaryStorage]]+laptop[[#This Row],[SecondaryStorage]]</f>
        <v>256</v>
      </c>
      <c r="V219" t="s">
        <v>31</v>
      </c>
      <c r="W219" t="s">
        <v>27</v>
      </c>
      <c r="X219" t="str">
        <f>IF(laptop[[#This Row],[PrimaryStorageType]]=laptop[[#This Row],[SecondaryStorageType]],laptop[[#This Row],[PrimaryStorageType]],"SSD &amp; HDD")</f>
        <v>SSD &amp; HDD</v>
      </c>
      <c r="Y219" t="s">
        <v>98</v>
      </c>
      <c r="Z219" s="4" t="str">
        <f>_xlfn.CONCAT(laptop[[#This Row],[CPU_company]]," ",laptop[[#This Row],[GPU_model]])</f>
        <v>Intel GeForce 930MX</v>
      </c>
    </row>
    <row r="220" spans="1:26" x14ac:dyDescent="0.25">
      <c r="A220" t="s">
        <v>65</v>
      </c>
      <c r="B220" t="s">
        <v>272</v>
      </c>
      <c r="C220" t="s">
        <v>24</v>
      </c>
      <c r="D220">
        <v>14</v>
      </c>
      <c r="E220">
        <v>8</v>
      </c>
      <c r="F220" t="s">
        <v>48</v>
      </c>
      <c r="G220">
        <v>1.6</v>
      </c>
      <c r="H220" s="16">
        <v>1149</v>
      </c>
      <c r="I220" t="s">
        <v>40</v>
      </c>
      <c r="J220">
        <v>1920</v>
      </c>
      <c r="K220">
        <v>1080</v>
      </c>
      <c r="L220" t="s">
        <v>27</v>
      </c>
      <c r="M220" t="s">
        <v>27</v>
      </c>
      <c r="N220" t="s">
        <v>27</v>
      </c>
      <c r="O220" t="s">
        <v>29</v>
      </c>
      <c r="P220">
        <v>1.6</v>
      </c>
      <c r="Q220" t="s">
        <v>60</v>
      </c>
      <c r="R220" t="str">
        <f>_xlfn.CONCAT(laptop[[#This Row],[CPU_company]]," ",laptop[[#This Row],[CPU_model]])</f>
        <v>Intel Core i5 8250U</v>
      </c>
      <c r="S220">
        <v>256</v>
      </c>
      <c r="T220">
        <v>0</v>
      </c>
      <c r="U220">
        <f>laptop[[#This Row],[PrimaryStorage]]+laptop[[#This Row],[SecondaryStorage]]</f>
        <v>256</v>
      </c>
      <c r="V220" t="s">
        <v>31</v>
      </c>
      <c r="W220" t="s">
        <v>27</v>
      </c>
      <c r="X220" t="str">
        <f>IF(laptop[[#This Row],[PrimaryStorageType]]=laptop[[#This Row],[SecondaryStorageType]],laptop[[#This Row],[PrimaryStorageType]],"SSD &amp; HDD")</f>
        <v>SSD &amp; HDD</v>
      </c>
      <c r="Y220" t="s">
        <v>61</v>
      </c>
      <c r="Z220" s="4" t="str">
        <f>_xlfn.CONCAT(laptop[[#This Row],[CPU_company]]," ",laptop[[#This Row],[GPU_model]])</f>
        <v>Intel UHD Graphics 620</v>
      </c>
    </row>
    <row r="221" spans="1:26" x14ac:dyDescent="0.25">
      <c r="A221" t="s">
        <v>65</v>
      </c>
      <c r="B221" t="s">
        <v>89</v>
      </c>
      <c r="C221" t="s">
        <v>90</v>
      </c>
      <c r="D221">
        <v>13.3</v>
      </c>
      <c r="E221">
        <v>16</v>
      </c>
      <c r="F221" t="s">
        <v>48</v>
      </c>
      <c r="G221">
        <v>1.62</v>
      </c>
      <c r="H221" s="16">
        <v>1279</v>
      </c>
      <c r="I221" t="s">
        <v>40</v>
      </c>
      <c r="J221">
        <v>1920</v>
      </c>
      <c r="K221">
        <v>1080</v>
      </c>
      <c r="L221" t="s">
        <v>28</v>
      </c>
      <c r="M221" t="s">
        <v>27</v>
      </c>
      <c r="N221" t="s">
        <v>27</v>
      </c>
      <c r="O221" t="s">
        <v>29</v>
      </c>
      <c r="P221">
        <v>1.8</v>
      </c>
      <c r="Q221" t="s">
        <v>57</v>
      </c>
      <c r="R221" t="str">
        <f>_xlfn.CONCAT(laptop[[#This Row],[CPU_company]]," ",laptop[[#This Row],[CPU_model]])</f>
        <v>Intel Core i7 8550U</v>
      </c>
      <c r="S221">
        <v>512</v>
      </c>
      <c r="T221">
        <v>0</v>
      </c>
      <c r="U221">
        <f>laptop[[#This Row],[PrimaryStorage]]+laptop[[#This Row],[SecondaryStorage]]</f>
        <v>512</v>
      </c>
      <c r="V221" t="s">
        <v>31</v>
      </c>
      <c r="W221" t="s">
        <v>27</v>
      </c>
      <c r="X221" t="str">
        <f>IF(laptop[[#This Row],[PrimaryStorageType]]=laptop[[#This Row],[SecondaryStorageType]],laptop[[#This Row],[PrimaryStorageType]],"SSD &amp; HDD")</f>
        <v>SSD &amp; HDD</v>
      </c>
      <c r="Y221" t="s">
        <v>61</v>
      </c>
      <c r="Z221" s="4" t="str">
        <f>_xlfn.CONCAT(laptop[[#This Row],[CPU_company]]," ",laptop[[#This Row],[GPU_model]])</f>
        <v>Intel UHD Graphics 620</v>
      </c>
    </row>
    <row r="222" spans="1:26" x14ac:dyDescent="0.25">
      <c r="A222" t="s">
        <v>65</v>
      </c>
      <c r="B222" t="s">
        <v>137</v>
      </c>
      <c r="C222" t="s">
        <v>38</v>
      </c>
      <c r="D222">
        <v>15.6</v>
      </c>
      <c r="E222">
        <v>8</v>
      </c>
      <c r="F222" t="s">
        <v>111</v>
      </c>
      <c r="G222">
        <v>2.2000000000000002</v>
      </c>
      <c r="H222" s="16">
        <v>677.35</v>
      </c>
      <c r="I222" t="s">
        <v>40</v>
      </c>
      <c r="J222">
        <v>1920</v>
      </c>
      <c r="K222">
        <v>1080</v>
      </c>
      <c r="L222" t="s">
        <v>27</v>
      </c>
      <c r="M222" t="s">
        <v>27</v>
      </c>
      <c r="N222" t="s">
        <v>27</v>
      </c>
      <c r="O222" t="s">
        <v>29</v>
      </c>
      <c r="P222">
        <v>1.6</v>
      </c>
      <c r="Q222" t="s">
        <v>60</v>
      </c>
      <c r="R222" t="str">
        <f>_xlfn.CONCAT(laptop[[#This Row],[CPU_company]]," ",laptop[[#This Row],[CPU_model]])</f>
        <v>Intel Core i5 8250U</v>
      </c>
      <c r="S222">
        <v>256</v>
      </c>
      <c r="T222">
        <v>0</v>
      </c>
      <c r="U222">
        <f>laptop[[#This Row],[PrimaryStorage]]+laptop[[#This Row],[SecondaryStorage]]</f>
        <v>256</v>
      </c>
      <c r="V222" t="s">
        <v>31</v>
      </c>
      <c r="W222" t="s">
        <v>27</v>
      </c>
      <c r="X222" t="str">
        <f>IF(laptop[[#This Row],[PrimaryStorageType]]=laptop[[#This Row],[SecondaryStorageType]],laptop[[#This Row],[PrimaryStorageType]],"SSD &amp; HDD")</f>
        <v>SSD &amp; HDD</v>
      </c>
      <c r="Y222" t="s">
        <v>138</v>
      </c>
      <c r="Z222" s="4" t="str">
        <f>_xlfn.CONCAT(laptop[[#This Row],[CPU_company]]," ",laptop[[#This Row],[GPU_model]])</f>
        <v>Intel Radeon 520</v>
      </c>
    </row>
    <row r="223" spans="1:26" x14ac:dyDescent="0.25">
      <c r="A223" t="s">
        <v>73</v>
      </c>
      <c r="B223" t="s">
        <v>229</v>
      </c>
      <c r="C223" t="s">
        <v>90</v>
      </c>
      <c r="D223">
        <v>14</v>
      </c>
      <c r="E223">
        <v>8</v>
      </c>
      <c r="F223" t="s">
        <v>48</v>
      </c>
      <c r="G223">
        <v>1.74</v>
      </c>
      <c r="H223" s="16">
        <v>899</v>
      </c>
      <c r="I223" t="s">
        <v>40</v>
      </c>
      <c r="J223">
        <v>1920</v>
      </c>
      <c r="K223">
        <v>1080</v>
      </c>
      <c r="L223" t="s">
        <v>27</v>
      </c>
      <c r="M223" t="s">
        <v>28</v>
      </c>
      <c r="N223" t="s">
        <v>27</v>
      </c>
      <c r="O223" t="s">
        <v>29</v>
      </c>
      <c r="P223">
        <v>1.6</v>
      </c>
      <c r="Q223" t="s">
        <v>60</v>
      </c>
      <c r="R223" t="str">
        <f>_xlfn.CONCAT(laptop[[#This Row],[CPU_company]]," ",laptop[[#This Row],[CPU_model]])</f>
        <v>Intel Core i5 8250U</v>
      </c>
      <c r="S223">
        <v>256</v>
      </c>
      <c r="T223">
        <v>0</v>
      </c>
      <c r="U223">
        <f>laptop[[#This Row],[PrimaryStorage]]+laptop[[#This Row],[SecondaryStorage]]</f>
        <v>256</v>
      </c>
      <c r="V223" t="s">
        <v>31</v>
      </c>
      <c r="W223" t="s">
        <v>27</v>
      </c>
      <c r="X223" t="str">
        <f>IF(laptop[[#This Row],[PrimaryStorageType]]=laptop[[#This Row],[SecondaryStorageType]],laptop[[#This Row],[PrimaryStorageType]],"SSD &amp; HDD")</f>
        <v>SSD &amp; HDD</v>
      </c>
      <c r="Y223" t="s">
        <v>61</v>
      </c>
      <c r="Z223" s="4" t="str">
        <f>_xlfn.CONCAT(laptop[[#This Row],[CPU_company]]," ",laptop[[#This Row],[GPU_model]])</f>
        <v>Intel UHD Graphics 620</v>
      </c>
    </row>
    <row r="224" spans="1:26" x14ac:dyDescent="0.25">
      <c r="A224" t="s">
        <v>210</v>
      </c>
      <c r="B224" t="s">
        <v>273</v>
      </c>
      <c r="C224" t="s">
        <v>24</v>
      </c>
      <c r="D224">
        <v>13.3</v>
      </c>
      <c r="E224">
        <v>8</v>
      </c>
      <c r="F224" t="s">
        <v>48</v>
      </c>
      <c r="G224">
        <v>1.2</v>
      </c>
      <c r="H224" s="16">
        <v>1363</v>
      </c>
      <c r="I224" t="s">
        <v>40</v>
      </c>
      <c r="J224">
        <v>1920</v>
      </c>
      <c r="K224">
        <v>1080</v>
      </c>
      <c r="L224" t="s">
        <v>27</v>
      </c>
      <c r="M224" t="s">
        <v>27</v>
      </c>
      <c r="N224" t="s">
        <v>27</v>
      </c>
      <c r="O224" t="s">
        <v>29</v>
      </c>
      <c r="P224">
        <v>2.5</v>
      </c>
      <c r="Q224" t="s">
        <v>274</v>
      </c>
      <c r="R224" t="str">
        <f>_xlfn.CONCAT(laptop[[#This Row],[CPU_company]]," ",laptop[[#This Row],[CPU_model]])</f>
        <v>Intel Core i7 6500U</v>
      </c>
      <c r="S224">
        <v>256</v>
      </c>
      <c r="T224">
        <v>0</v>
      </c>
      <c r="U224">
        <f>laptop[[#This Row],[PrimaryStorage]]+laptop[[#This Row],[SecondaryStorage]]</f>
        <v>256</v>
      </c>
      <c r="V224" t="s">
        <v>31</v>
      </c>
      <c r="W224" t="s">
        <v>27</v>
      </c>
      <c r="X224" t="str">
        <f>IF(laptop[[#This Row],[PrimaryStorageType]]=laptop[[#This Row],[SecondaryStorageType]],laptop[[#This Row],[PrimaryStorageType]],"SSD &amp; HDD")</f>
        <v>SSD &amp; HDD</v>
      </c>
      <c r="Y224" t="s">
        <v>63</v>
      </c>
      <c r="Z224" s="4" t="str">
        <f>_xlfn.CONCAT(laptop[[#This Row],[CPU_company]]," ",laptop[[#This Row],[GPU_model]])</f>
        <v>Intel HD Graphics 520</v>
      </c>
    </row>
    <row r="225" spans="1:26" x14ac:dyDescent="0.25">
      <c r="A225" t="s">
        <v>36</v>
      </c>
      <c r="B225" t="s">
        <v>114</v>
      </c>
      <c r="C225" t="s">
        <v>38</v>
      </c>
      <c r="D225">
        <v>15.6</v>
      </c>
      <c r="E225">
        <v>8</v>
      </c>
      <c r="F225" t="s">
        <v>48</v>
      </c>
      <c r="G225">
        <v>2.1</v>
      </c>
      <c r="H225" s="16">
        <v>794</v>
      </c>
      <c r="I225" t="s">
        <v>40</v>
      </c>
      <c r="J225">
        <v>1920</v>
      </c>
      <c r="K225">
        <v>1080</v>
      </c>
      <c r="L225" t="s">
        <v>27</v>
      </c>
      <c r="M225" t="s">
        <v>27</v>
      </c>
      <c r="N225" t="s">
        <v>27</v>
      </c>
      <c r="O225" t="s">
        <v>29</v>
      </c>
      <c r="P225">
        <v>1.6</v>
      </c>
      <c r="Q225" t="s">
        <v>60</v>
      </c>
      <c r="R225" t="str">
        <f>_xlfn.CONCAT(laptop[[#This Row],[CPU_company]]," ",laptop[[#This Row],[CPU_model]])</f>
        <v>Intel Core i5 8250U</v>
      </c>
      <c r="S225">
        <v>1024</v>
      </c>
      <c r="T225">
        <v>0</v>
      </c>
      <c r="U225">
        <f>laptop[[#This Row],[PrimaryStorage]]+laptop[[#This Row],[SecondaryStorage]]</f>
        <v>1024</v>
      </c>
      <c r="V225" t="s">
        <v>51</v>
      </c>
      <c r="W225" t="s">
        <v>27</v>
      </c>
      <c r="X225" t="str">
        <f>IF(laptop[[#This Row],[PrimaryStorageType]]=laptop[[#This Row],[SecondaryStorageType]],laptop[[#This Row],[PrimaryStorageType]],"SSD &amp; HDD")</f>
        <v>SSD &amp; HDD</v>
      </c>
      <c r="Y225" t="s">
        <v>61</v>
      </c>
      <c r="Z225" s="4" t="str">
        <f>_xlfn.CONCAT(laptop[[#This Row],[CPU_company]]," ",laptop[[#This Row],[GPU_model]])</f>
        <v>Intel UHD Graphics 620</v>
      </c>
    </row>
    <row r="226" spans="1:26" x14ac:dyDescent="0.25">
      <c r="A226" t="s">
        <v>65</v>
      </c>
      <c r="B226" t="s">
        <v>275</v>
      </c>
      <c r="C226" t="s">
        <v>83</v>
      </c>
      <c r="D226">
        <v>17.3</v>
      </c>
      <c r="E226">
        <v>16</v>
      </c>
      <c r="F226" t="s">
        <v>48</v>
      </c>
      <c r="G226">
        <v>4.42</v>
      </c>
      <c r="H226" s="16">
        <v>2456.34</v>
      </c>
      <c r="I226" t="s">
        <v>40</v>
      </c>
      <c r="J226">
        <v>1920</v>
      </c>
      <c r="K226">
        <v>1080</v>
      </c>
      <c r="L226" t="s">
        <v>27</v>
      </c>
      <c r="M226" t="s">
        <v>28</v>
      </c>
      <c r="N226" t="s">
        <v>27</v>
      </c>
      <c r="O226" t="s">
        <v>29</v>
      </c>
      <c r="P226">
        <v>2.8</v>
      </c>
      <c r="Q226" t="s">
        <v>118</v>
      </c>
      <c r="R226" t="str">
        <f>_xlfn.CONCAT(laptop[[#This Row],[CPU_company]]," ",laptop[[#This Row],[CPU_model]])</f>
        <v>Intel Core i7 7700HQ</v>
      </c>
      <c r="S226">
        <v>256</v>
      </c>
      <c r="T226">
        <v>1024</v>
      </c>
      <c r="U226">
        <f>laptop[[#This Row],[PrimaryStorage]]+laptop[[#This Row],[SecondaryStorage]]</f>
        <v>1280</v>
      </c>
      <c r="V226" t="s">
        <v>31</v>
      </c>
      <c r="W226" t="s">
        <v>51</v>
      </c>
      <c r="X226" t="str">
        <f>IF(laptop[[#This Row],[PrimaryStorageType]]=laptop[[#This Row],[SecondaryStorageType]],laptop[[#This Row],[PrimaryStorageType]],"SSD &amp; HDD")</f>
        <v>SSD &amp; HDD</v>
      </c>
      <c r="Y226" t="s">
        <v>119</v>
      </c>
      <c r="Z226" s="4" t="str">
        <f>_xlfn.CONCAT(laptop[[#This Row],[CPU_company]]," ",laptop[[#This Row],[GPU_model]])</f>
        <v>Intel GeForce GTX 1060</v>
      </c>
    </row>
    <row r="227" spans="1:26" x14ac:dyDescent="0.25">
      <c r="A227" t="s">
        <v>46</v>
      </c>
      <c r="B227" t="s">
        <v>262</v>
      </c>
      <c r="C227" t="s">
        <v>38</v>
      </c>
      <c r="D227">
        <v>15.6</v>
      </c>
      <c r="E227">
        <v>8</v>
      </c>
      <c r="F227" t="s">
        <v>48</v>
      </c>
      <c r="G227">
        <v>2.2000000000000002</v>
      </c>
      <c r="H227" s="16">
        <v>832</v>
      </c>
      <c r="I227" t="s">
        <v>40</v>
      </c>
      <c r="J227">
        <v>1920</v>
      </c>
      <c r="K227">
        <v>1080</v>
      </c>
      <c r="L227" t="s">
        <v>27</v>
      </c>
      <c r="M227" t="s">
        <v>27</v>
      </c>
      <c r="N227" t="s">
        <v>27</v>
      </c>
      <c r="O227" t="s">
        <v>29</v>
      </c>
      <c r="P227">
        <v>2.7</v>
      </c>
      <c r="Q227" t="s">
        <v>71</v>
      </c>
      <c r="R227" t="str">
        <f>_xlfn.CONCAT(laptop[[#This Row],[CPU_company]]," ",laptop[[#This Row],[CPU_model]])</f>
        <v>Intel Core i7 7500U</v>
      </c>
      <c r="S227">
        <v>256</v>
      </c>
      <c r="T227">
        <v>0</v>
      </c>
      <c r="U227">
        <f>laptop[[#This Row],[PrimaryStorage]]+laptop[[#This Row],[SecondaryStorage]]</f>
        <v>256</v>
      </c>
      <c r="V227" t="s">
        <v>31</v>
      </c>
      <c r="W227" t="s">
        <v>27</v>
      </c>
      <c r="X227" t="str">
        <f>IF(laptop[[#This Row],[PrimaryStorageType]]=laptop[[#This Row],[SecondaryStorageType]],laptop[[#This Row],[PrimaryStorageType]],"SSD &amp; HDD")</f>
        <v>SSD &amp; HDD</v>
      </c>
      <c r="Y227" t="s">
        <v>76</v>
      </c>
      <c r="Z227" s="4" t="str">
        <f>_xlfn.CONCAT(laptop[[#This Row],[CPU_company]]," ",laptop[[#This Row],[GPU_model]])</f>
        <v>Intel GeForce 940MX</v>
      </c>
    </row>
    <row r="228" spans="1:26" x14ac:dyDescent="0.25">
      <c r="A228" t="s">
        <v>65</v>
      </c>
      <c r="B228" t="s">
        <v>200</v>
      </c>
      <c r="C228" t="s">
        <v>38</v>
      </c>
      <c r="D228">
        <v>15.6</v>
      </c>
      <c r="E228">
        <v>16</v>
      </c>
      <c r="F228" t="s">
        <v>48</v>
      </c>
      <c r="G228">
        <v>2.2999999999999998</v>
      </c>
      <c r="H228" s="16">
        <v>859.01</v>
      </c>
      <c r="I228" t="s">
        <v>40</v>
      </c>
      <c r="J228">
        <v>1920</v>
      </c>
      <c r="K228">
        <v>1080</v>
      </c>
      <c r="L228" t="s">
        <v>28</v>
      </c>
      <c r="M228" t="s">
        <v>27</v>
      </c>
      <c r="N228" t="s">
        <v>27</v>
      </c>
      <c r="O228" t="s">
        <v>29</v>
      </c>
      <c r="P228">
        <v>2.7</v>
      </c>
      <c r="Q228" t="s">
        <v>71</v>
      </c>
      <c r="R228" t="str">
        <f>_xlfn.CONCAT(laptop[[#This Row],[CPU_company]]," ",laptop[[#This Row],[CPU_model]])</f>
        <v>Intel Core i7 7500U</v>
      </c>
      <c r="S228">
        <v>1024</v>
      </c>
      <c r="T228">
        <v>0</v>
      </c>
      <c r="U228">
        <f>laptop[[#This Row],[PrimaryStorage]]+laptop[[#This Row],[SecondaryStorage]]</f>
        <v>1024</v>
      </c>
      <c r="V228" t="s">
        <v>51</v>
      </c>
      <c r="W228" t="s">
        <v>27</v>
      </c>
      <c r="X228" t="str">
        <f>IF(laptop[[#This Row],[PrimaryStorageType]]=laptop[[#This Row],[SecondaryStorageType]],laptop[[#This Row],[PrimaryStorageType]],"SSD &amp; HDD")</f>
        <v>SSD &amp; HDD</v>
      </c>
      <c r="Y228" t="s">
        <v>201</v>
      </c>
      <c r="Z228" s="4" t="str">
        <f>_xlfn.CONCAT(laptop[[#This Row],[CPU_company]]," ",laptop[[#This Row],[GPU_model]])</f>
        <v>Intel Radeon R7 M445</v>
      </c>
    </row>
    <row r="229" spans="1:26" x14ac:dyDescent="0.25">
      <c r="A229" t="s">
        <v>55</v>
      </c>
      <c r="B229" t="s">
        <v>276</v>
      </c>
      <c r="C229" t="s">
        <v>38</v>
      </c>
      <c r="D229">
        <v>15.6</v>
      </c>
      <c r="E229">
        <v>8</v>
      </c>
      <c r="F229" t="s">
        <v>48</v>
      </c>
      <c r="G229">
        <v>2</v>
      </c>
      <c r="H229" s="16">
        <v>769</v>
      </c>
      <c r="I229" t="s">
        <v>40</v>
      </c>
      <c r="J229">
        <v>1920</v>
      </c>
      <c r="K229">
        <v>1080</v>
      </c>
      <c r="L229" t="s">
        <v>27</v>
      </c>
      <c r="M229" t="s">
        <v>27</v>
      </c>
      <c r="N229" t="s">
        <v>27</v>
      </c>
      <c r="O229" t="s">
        <v>29</v>
      </c>
      <c r="P229">
        <v>2.5</v>
      </c>
      <c r="Q229" t="s">
        <v>41</v>
      </c>
      <c r="R229" t="str">
        <f>_xlfn.CONCAT(laptop[[#This Row],[CPU_company]]," ",laptop[[#This Row],[CPU_model]])</f>
        <v>Intel Core i5 7200U</v>
      </c>
      <c r="S229">
        <v>256</v>
      </c>
      <c r="T229">
        <v>0</v>
      </c>
      <c r="U229">
        <f>laptop[[#This Row],[PrimaryStorage]]+laptop[[#This Row],[SecondaryStorage]]</f>
        <v>256</v>
      </c>
      <c r="V229" t="s">
        <v>31</v>
      </c>
      <c r="W229" t="s">
        <v>27</v>
      </c>
      <c r="X229" t="str">
        <f>IF(laptop[[#This Row],[PrimaryStorageType]]=laptop[[#This Row],[SecondaryStorageType]],laptop[[#This Row],[PrimaryStorageType]],"SSD &amp; HDD")</f>
        <v>SSD &amp; HDD</v>
      </c>
      <c r="Y229" t="s">
        <v>277</v>
      </c>
      <c r="Z229" s="4" t="str">
        <f>_xlfn.CONCAT(laptop[[#This Row],[CPU_company]]," ",laptop[[#This Row],[GPU_model]])</f>
        <v xml:space="preserve">Intel GeForce 920MX </v>
      </c>
    </row>
    <row r="230" spans="1:26" x14ac:dyDescent="0.25">
      <c r="A230" t="s">
        <v>55</v>
      </c>
      <c r="B230" t="s">
        <v>278</v>
      </c>
      <c r="C230" t="s">
        <v>38</v>
      </c>
      <c r="D230">
        <v>17.3</v>
      </c>
      <c r="E230">
        <v>8</v>
      </c>
      <c r="F230" t="s">
        <v>48</v>
      </c>
      <c r="G230">
        <v>2.69</v>
      </c>
      <c r="H230" s="16">
        <v>891</v>
      </c>
      <c r="I230" t="s">
        <v>40</v>
      </c>
      <c r="J230">
        <v>1920</v>
      </c>
      <c r="K230">
        <v>1080</v>
      </c>
      <c r="L230" t="s">
        <v>27</v>
      </c>
      <c r="M230" t="s">
        <v>27</v>
      </c>
      <c r="N230" t="s">
        <v>27</v>
      </c>
      <c r="O230" t="s">
        <v>29</v>
      </c>
      <c r="P230">
        <v>2.5</v>
      </c>
      <c r="Q230" t="s">
        <v>41</v>
      </c>
      <c r="R230" t="str">
        <f>_xlfn.CONCAT(laptop[[#This Row],[CPU_company]]," ",laptop[[#This Row],[CPU_model]])</f>
        <v>Intel Core i5 7200U</v>
      </c>
      <c r="S230">
        <v>256</v>
      </c>
      <c r="T230">
        <v>500</v>
      </c>
      <c r="U230">
        <f>laptop[[#This Row],[PrimaryStorage]]+laptop[[#This Row],[SecondaryStorage]]</f>
        <v>756</v>
      </c>
      <c r="V230" t="s">
        <v>31</v>
      </c>
      <c r="W230" t="s">
        <v>51</v>
      </c>
      <c r="X230" t="str">
        <f>IF(laptop[[#This Row],[PrimaryStorageType]]=laptop[[#This Row],[SecondaryStorageType]],laptop[[#This Row],[PrimaryStorageType]],"SSD &amp; HDD")</f>
        <v>SSD &amp; HDD</v>
      </c>
      <c r="Y230" t="s">
        <v>279</v>
      </c>
      <c r="Z230" s="4" t="str">
        <f>_xlfn.CONCAT(laptop[[#This Row],[CPU_company]]," ",laptop[[#This Row],[GPU_model]])</f>
        <v>Intel GeForce GTX 950M</v>
      </c>
    </row>
    <row r="231" spans="1:26" x14ac:dyDescent="0.25">
      <c r="A231" t="s">
        <v>36</v>
      </c>
      <c r="B231" t="s">
        <v>280</v>
      </c>
      <c r="C231" t="s">
        <v>38</v>
      </c>
      <c r="D231">
        <v>15.6</v>
      </c>
      <c r="E231">
        <v>8</v>
      </c>
      <c r="F231" t="s">
        <v>48</v>
      </c>
      <c r="G231">
        <v>1.9</v>
      </c>
      <c r="H231" s="16">
        <v>1269</v>
      </c>
      <c r="I231" t="s">
        <v>40</v>
      </c>
      <c r="J231">
        <v>1920</v>
      </c>
      <c r="K231">
        <v>1080</v>
      </c>
      <c r="L231" t="s">
        <v>27</v>
      </c>
      <c r="M231" t="s">
        <v>27</v>
      </c>
      <c r="N231" t="s">
        <v>27</v>
      </c>
      <c r="O231" t="s">
        <v>29</v>
      </c>
      <c r="P231">
        <v>2.7</v>
      </c>
      <c r="Q231" t="s">
        <v>71</v>
      </c>
      <c r="R231" t="str">
        <f>_xlfn.CONCAT(laptop[[#This Row],[CPU_company]]," ",laptop[[#This Row],[CPU_model]])</f>
        <v>Intel Core i7 7500U</v>
      </c>
      <c r="S231">
        <v>1024</v>
      </c>
      <c r="T231">
        <v>0</v>
      </c>
      <c r="U231">
        <f>laptop[[#This Row],[PrimaryStorage]]+laptop[[#This Row],[SecondaryStorage]]</f>
        <v>1024</v>
      </c>
      <c r="V231" t="s">
        <v>51</v>
      </c>
      <c r="W231" t="s">
        <v>27</v>
      </c>
      <c r="X231" t="str">
        <f>IF(laptop[[#This Row],[PrimaryStorageType]]=laptop[[#This Row],[SecondaryStorageType]],laptop[[#This Row],[PrimaryStorageType]],"SSD &amp; HDD")</f>
        <v>SSD &amp; HDD</v>
      </c>
      <c r="Y231" t="s">
        <v>281</v>
      </c>
      <c r="Z231" s="4" t="str">
        <f>_xlfn.CONCAT(laptop[[#This Row],[CPU_company]]," ",laptop[[#This Row],[GPU_model]])</f>
        <v xml:space="preserve">Intel FirePro W4190M </v>
      </c>
    </row>
    <row r="232" spans="1:26" x14ac:dyDescent="0.25">
      <c r="A232" t="s">
        <v>55</v>
      </c>
      <c r="B232" t="s">
        <v>282</v>
      </c>
      <c r="C232" t="s">
        <v>38</v>
      </c>
      <c r="D232">
        <v>15.6</v>
      </c>
      <c r="E232">
        <v>4</v>
      </c>
      <c r="F232" t="s">
        <v>48</v>
      </c>
      <c r="G232">
        <v>2.37</v>
      </c>
      <c r="H232" s="16">
        <v>398.99</v>
      </c>
      <c r="I232" t="s">
        <v>26</v>
      </c>
      <c r="J232">
        <v>1366</v>
      </c>
      <c r="K232">
        <v>768</v>
      </c>
      <c r="L232" t="s">
        <v>27</v>
      </c>
      <c r="M232" t="s">
        <v>27</v>
      </c>
      <c r="N232" t="s">
        <v>27</v>
      </c>
      <c r="O232" t="s">
        <v>29</v>
      </c>
      <c r="P232">
        <v>2.4</v>
      </c>
      <c r="Q232" t="s">
        <v>75</v>
      </c>
      <c r="R232" t="str">
        <f>_xlfn.CONCAT(laptop[[#This Row],[CPU_company]]," ",laptop[[#This Row],[CPU_model]])</f>
        <v>Intel Core i3 7100U</v>
      </c>
      <c r="S232">
        <v>1024</v>
      </c>
      <c r="T232">
        <v>0</v>
      </c>
      <c r="U232">
        <f>laptop[[#This Row],[PrimaryStorage]]+laptop[[#This Row],[SecondaryStorage]]</f>
        <v>1024</v>
      </c>
      <c r="V232" t="s">
        <v>51</v>
      </c>
      <c r="W232" t="s">
        <v>27</v>
      </c>
      <c r="X232" t="str">
        <f>IF(laptop[[#This Row],[PrimaryStorageType]]=laptop[[#This Row],[SecondaryStorageType]],laptop[[#This Row],[PrimaryStorageType]],"SSD &amp; HDD")</f>
        <v>SSD &amp; HDD</v>
      </c>
      <c r="Y232" t="s">
        <v>42</v>
      </c>
      <c r="Z232" s="4" t="str">
        <f>_xlfn.CONCAT(laptop[[#This Row],[CPU_company]]," ",laptop[[#This Row],[GPU_model]])</f>
        <v>Intel HD Graphics 620</v>
      </c>
    </row>
    <row r="233" spans="1:26" x14ac:dyDescent="0.25">
      <c r="A233" t="s">
        <v>36</v>
      </c>
      <c r="B233" t="s">
        <v>283</v>
      </c>
      <c r="C233" t="s">
        <v>38</v>
      </c>
      <c r="D233">
        <v>15.6</v>
      </c>
      <c r="E233">
        <v>4</v>
      </c>
      <c r="F233" t="s">
        <v>48</v>
      </c>
      <c r="G233">
        <v>2.1</v>
      </c>
      <c r="H233" s="16">
        <v>330</v>
      </c>
      <c r="I233" t="s">
        <v>26</v>
      </c>
      <c r="J233">
        <v>1366</v>
      </c>
      <c r="K233">
        <v>768</v>
      </c>
      <c r="L233" t="s">
        <v>27</v>
      </c>
      <c r="M233" t="s">
        <v>27</v>
      </c>
      <c r="N233" t="s">
        <v>27</v>
      </c>
      <c r="O233" t="s">
        <v>49</v>
      </c>
      <c r="P233">
        <v>1.5</v>
      </c>
      <c r="Q233" t="s">
        <v>284</v>
      </c>
      <c r="R233" t="str">
        <f>_xlfn.CONCAT(laptop[[#This Row],[CPU_company]]," ",laptop[[#This Row],[CPU_model]])</f>
        <v>AMD E-Series 9000e</v>
      </c>
      <c r="S233">
        <v>500</v>
      </c>
      <c r="T233">
        <v>0</v>
      </c>
      <c r="U233">
        <f>laptop[[#This Row],[PrimaryStorage]]+laptop[[#This Row],[SecondaryStorage]]</f>
        <v>500</v>
      </c>
      <c r="V233" t="s">
        <v>51</v>
      </c>
      <c r="W233" t="s">
        <v>27</v>
      </c>
      <c r="X233" t="str">
        <f>IF(laptop[[#This Row],[PrimaryStorageType]]=laptop[[#This Row],[SecondaryStorageType]],laptop[[#This Row],[PrimaryStorageType]],"SSD &amp; HDD")</f>
        <v>SSD &amp; HDD</v>
      </c>
      <c r="Y233" t="s">
        <v>88</v>
      </c>
      <c r="Z233" s="4" t="str">
        <f>_xlfn.CONCAT(laptop[[#This Row],[CPU_company]]," ",laptop[[#This Row],[GPU_model]])</f>
        <v>AMD Radeon R2</v>
      </c>
    </row>
    <row r="234" spans="1:26" x14ac:dyDescent="0.25">
      <c r="A234" t="s">
        <v>73</v>
      </c>
      <c r="B234" t="s">
        <v>263</v>
      </c>
      <c r="C234" t="s">
        <v>83</v>
      </c>
      <c r="D234">
        <v>15.6</v>
      </c>
      <c r="E234">
        <v>16</v>
      </c>
      <c r="F234" t="s">
        <v>48</v>
      </c>
      <c r="G234">
        <v>3.2</v>
      </c>
      <c r="H234" s="16">
        <v>1499</v>
      </c>
      <c r="I234" t="s">
        <v>40</v>
      </c>
      <c r="J234">
        <v>1920</v>
      </c>
      <c r="K234">
        <v>1080</v>
      </c>
      <c r="L234" t="s">
        <v>27</v>
      </c>
      <c r="M234" t="s">
        <v>28</v>
      </c>
      <c r="N234" t="s">
        <v>27</v>
      </c>
      <c r="O234" t="s">
        <v>29</v>
      </c>
      <c r="P234">
        <v>2.8</v>
      </c>
      <c r="Q234" t="s">
        <v>118</v>
      </c>
      <c r="R234" t="str">
        <f>_xlfn.CONCAT(laptop[[#This Row],[CPU_company]]," ",laptop[[#This Row],[CPU_model]])</f>
        <v>Intel Core i7 7700HQ</v>
      </c>
      <c r="S234">
        <v>256</v>
      </c>
      <c r="T234">
        <v>1024</v>
      </c>
      <c r="U234">
        <f>laptop[[#This Row],[PrimaryStorage]]+laptop[[#This Row],[SecondaryStorage]]</f>
        <v>1280</v>
      </c>
      <c r="V234" t="s">
        <v>31</v>
      </c>
      <c r="W234" t="s">
        <v>51</v>
      </c>
      <c r="X234" t="str">
        <f>IF(laptop[[#This Row],[PrimaryStorageType]]=laptop[[#This Row],[SecondaryStorageType]],laptop[[#This Row],[PrimaryStorageType]],"SSD &amp; HDD")</f>
        <v>SSD &amp; HDD</v>
      </c>
      <c r="Y234" t="s">
        <v>119</v>
      </c>
      <c r="Z234" s="4" t="str">
        <f>_xlfn.CONCAT(laptop[[#This Row],[CPU_company]]," ",laptop[[#This Row],[GPU_model]])</f>
        <v>Intel GeForce GTX 1060</v>
      </c>
    </row>
    <row r="235" spans="1:26" x14ac:dyDescent="0.25">
      <c r="A235" t="s">
        <v>65</v>
      </c>
      <c r="B235" t="s">
        <v>285</v>
      </c>
      <c r="C235" t="s">
        <v>38</v>
      </c>
      <c r="D235">
        <v>14</v>
      </c>
      <c r="E235">
        <v>8</v>
      </c>
      <c r="F235" t="s">
        <v>48</v>
      </c>
      <c r="G235">
        <v>1.6</v>
      </c>
      <c r="H235" s="16">
        <v>859</v>
      </c>
      <c r="I235" t="s">
        <v>40</v>
      </c>
      <c r="J235">
        <v>1920</v>
      </c>
      <c r="K235">
        <v>1080</v>
      </c>
      <c r="L235" t="s">
        <v>27</v>
      </c>
      <c r="M235" t="s">
        <v>27</v>
      </c>
      <c r="N235" t="s">
        <v>27</v>
      </c>
      <c r="O235" t="s">
        <v>29</v>
      </c>
      <c r="P235">
        <v>2.5</v>
      </c>
      <c r="Q235" t="s">
        <v>41</v>
      </c>
      <c r="R235" t="str">
        <f>_xlfn.CONCAT(laptop[[#This Row],[CPU_company]]," ",laptop[[#This Row],[CPU_model]])</f>
        <v>Intel Core i5 7200U</v>
      </c>
      <c r="S235">
        <v>256</v>
      </c>
      <c r="T235">
        <v>0</v>
      </c>
      <c r="U235">
        <f>laptop[[#This Row],[PrimaryStorage]]+laptop[[#This Row],[SecondaryStorage]]</f>
        <v>256</v>
      </c>
      <c r="V235" t="s">
        <v>31</v>
      </c>
      <c r="W235" t="s">
        <v>27</v>
      </c>
      <c r="X235" t="str">
        <f>IF(laptop[[#This Row],[PrimaryStorageType]]=laptop[[#This Row],[SecondaryStorageType]],laptop[[#This Row],[PrimaryStorageType]],"SSD &amp; HDD")</f>
        <v>SSD &amp; HDD</v>
      </c>
      <c r="Y235" t="s">
        <v>42</v>
      </c>
      <c r="Z235" s="4" t="str">
        <f>_xlfn.CONCAT(laptop[[#This Row],[CPU_company]]," ",laptop[[#This Row],[GPU_model]])</f>
        <v>Intel HD Graphics 620</v>
      </c>
    </row>
    <row r="236" spans="1:26" x14ac:dyDescent="0.25">
      <c r="A236" t="s">
        <v>46</v>
      </c>
      <c r="B236" t="s">
        <v>286</v>
      </c>
      <c r="C236" t="s">
        <v>90</v>
      </c>
      <c r="D236">
        <v>13.3</v>
      </c>
      <c r="E236">
        <v>8</v>
      </c>
      <c r="F236" t="s">
        <v>48</v>
      </c>
      <c r="G236">
        <v>1.6</v>
      </c>
      <c r="H236" s="16">
        <v>689</v>
      </c>
      <c r="I236" t="s">
        <v>40</v>
      </c>
      <c r="J236">
        <v>1920</v>
      </c>
      <c r="K236">
        <v>1080</v>
      </c>
      <c r="L236" t="s">
        <v>28</v>
      </c>
      <c r="M236" t="s">
        <v>28</v>
      </c>
      <c r="N236" t="s">
        <v>27</v>
      </c>
      <c r="O236" t="s">
        <v>29</v>
      </c>
      <c r="P236">
        <v>2.2999999999999998</v>
      </c>
      <c r="Q236" t="s">
        <v>212</v>
      </c>
      <c r="R236" t="str">
        <f>_xlfn.CONCAT(laptop[[#This Row],[CPU_company]]," ",laptop[[#This Row],[CPU_model]])</f>
        <v>Intel Core i5 6200U</v>
      </c>
      <c r="S236">
        <v>256</v>
      </c>
      <c r="T236">
        <v>0</v>
      </c>
      <c r="U236">
        <f>laptop[[#This Row],[PrimaryStorage]]+laptop[[#This Row],[SecondaryStorage]]</f>
        <v>256</v>
      </c>
      <c r="V236" t="s">
        <v>31</v>
      </c>
      <c r="W236" t="s">
        <v>27</v>
      </c>
      <c r="X236" t="str">
        <f>IF(laptop[[#This Row],[PrimaryStorageType]]=laptop[[#This Row],[SecondaryStorageType]],laptop[[#This Row],[PrimaryStorageType]],"SSD &amp; HDD")</f>
        <v>SSD &amp; HDD</v>
      </c>
      <c r="Y236" t="s">
        <v>63</v>
      </c>
      <c r="Z236" s="4" t="str">
        <f>_xlfn.CONCAT(laptop[[#This Row],[CPU_company]]," ",laptop[[#This Row],[GPU_model]])</f>
        <v>Intel HD Graphics 520</v>
      </c>
    </row>
    <row r="237" spans="1:26" x14ac:dyDescent="0.25">
      <c r="A237" t="s">
        <v>65</v>
      </c>
      <c r="B237" t="s">
        <v>200</v>
      </c>
      <c r="C237" t="s">
        <v>38</v>
      </c>
      <c r="D237">
        <v>15.6</v>
      </c>
      <c r="E237">
        <v>16</v>
      </c>
      <c r="F237" t="s">
        <v>111</v>
      </c>
      <c r="G237">
        <v>2.36</v>
      </c>
      <c r="H237" s="16">
        <v>899</v>
      </c>
      <c r="I237" t="s">
        <v>40</v>
      </c>
      <c r="J237">
        <v>1920</v>
      </c>
      <c r="K237">
        <v>1080</v>
      </c>
      <c r="L237" t="s">
        <v>27</v>
      </c>
      <c r="M237" t="s">
        <v>27</v>
      </c>
      <c r="N237" t="s">
        <v>27</v>
      </c>
      <c r="O237" t="s">
        <v>29</v>
      </c>
      <c r="P237">
        <v>2.7</v>
      </c>
      <c r="Q237" t="s">
        <v>71</v>
      </c>
      <c r="R237" t="str">
        <f>_xlfn.CONCAT(laptop[[#This Row],[CPU_company]]," ",laptop[[#This Row],[CPU_model]])</f>
        <v>Intel Core i7 7500U</v>
      </c>
      <c r="S237">
        <v>256</v>
      </c>
      <c r="T237">
        <v>0</v>
      </c>
      <c r="U237">
        <f>laptop[[#This Row],[PrimaryStorage]]+laptop[[#This Row],[SecondaryStorage]]</f>
        <v>256</v>
      </c>
      <c r="V237" t="s">
        <v>31</v>
      </c>
      <c r="W237" t="s">
        <v>27</v>
      </c>
      <c r="X237" t="str">
        <f>IF(laptop[[#This Row],[PrimaryStorageType]]=laptop[[#This Row],[SecondaryStorageType]],laptop[[#This Row],[PrimaryStorageType]],"SSD &amp; HDD")</f>
        <v>SSD &amp; HDD</v>
      </c>
      <c r="Y237" t="s">
        <v>201</v>
      </c>
      <c r="Z237" s="4" t="str">
        <f>_xlfn.CONCAT(laptop[[#This Row],[CPU_company]]," ",laptop[[#This Row],[GPU_model]])</f>
        <v>Intel Radeon R7 M445</v>
      </c>
    </row>
    <row r="238" spans="1:26" x14ac:dyDescent="0.25">
      <c r="A238" t="s">
        <v>46</v>
      </c>
      <c r="B238" t="s">
        <v>220</v>
      </c>
      <c r="C238" t="s">
        <v>38</v>
      </c>
      <c r="D238">
        <v>15.6</v>
      </c>
      <c r="E238">
        <v>4</v>
      </c>
      <c r="F238" t="s">
        <v>111</v>
      </c>
      <c r="G238">
        <v>2.1</v>
      </c>
      <c r="H238" s="16">
        <v>390</v>
      </c>
      <c r="I238" t="s">
        <v>26</v>
      </c>
      <c r="J238">
        <v>1366</v>
      </c>
      <c r="K238">
        <v>768</v>
      </c>
      <c r="L238" t="s">
        <v>27</v>
      </c>
      <c r="M238" t="s">
        <v>27</v>
      </c>
      <c r="N238" t="s">
        <v>27</v>
      </c>
      <c r="O238" t="s">
        <v>29</v>
      </c>
      <c r="P238">
        <v>2</v>
      </c>
      <c r="Q238" t="s">
        <v>62</v>
      </c>
      <c r="R238" t="str">
        <f>_xlfn.CONCAT(laptop[[#This Row],[CPU_company]]," ",laptop[[#This Row],[CPU_model]])</f>
        <v>Intel Core i3 6006U</v>
      </c>
      <c r="S238">
        <v>1024</v>
      </c>
      <c r="T238">
        <v>0</v>
      </c>
      <c r="U238">
        <f>laptop[[#This Row],[PrimaryStorage]]+laptop[[#This Row],[SecondaryStorage]]</f>
        <v>1024</v>
      </c>
      <c r="V238" t="s">
        <v>51</v>
      </c>
      <c r="W238" t="s">
        <v>27</v>
      </c>
      <c r="X238" t="str">
        <f>IF(laptop[[#This Row],[PrimaryStorageType]]=laptop[[#This Row],[SecondaryStorageType]],laptop[[#This Row],[PrimaryStorageType]],"SSD &amp; HDD")</f>
        <v>SSD &amp; HDD</v>
      </c>
      <c r="Y238" t="s">
        <v>63</v>
      </c>
      <c r="Z238" s="4" t="str">
        <f>_xlfn.CONCAT(laptop[[#This Row],[CPU_company]]," ",laptop[[#This Row],[GPU_model]])</f>
        <v>Intel HD Graphics 520</v>
      </c>
    </row>
    <row r="239" spans="1:26" x14ac:dyDescent="0.25">
      <c r="A239" t="s">
        <v>55</v>
      </c>
      <c r="B239" t="s">
        <v>287</v>
      </c>
      <c r="C239" t="s">
        <v>38</v>
      </c>
      <c r="D239">
        <v>15.6</v>
      </c>
      <c r="E239">
        <v>4</v>
      </c>
      <c r="F239" t="s">
        <v>48</v>
      </c>
      <c r="G239">
        <v>2.2000000000000002</v>
      </c>
      <c r="H239" s="16">
        <v>575</v>
      </c>
      <c r="I239" t="s">
        <v>40</v>
      </c>
      <c r="J239">
        <v>1920</v>
      </c>
      <c r="K239">
        <v>1080</v>
      </c>
      <c r="L239" t="s">
        <v>27</v>
      </c>
      <c r="M239" t="s">
        <v>27</v>
      </c>
      <c r="N239" t="s">
        <v>27</v>
      </c>
      <c r="O239" t="s">
        <v>49</v>
      </c>
      <c r="P239">
        <v>2.5</v>
      </c>
      <c r="Q239" t="s">
        <v>288</v>
      </c>
      <c r="R239" t="str">
        <f>_xlfn.CONCAT(laptop[[#This Row],[CPU_company]]," ",laptop[[#This Row],[CPU_model]])</f>
        <v>AMD A10-Series A10-9620P</v>
      </c>
      <c r="S239">
        <v>128</v>
      </c>
      <c r="T239">
        <v>1024</v>
      </c>
      <c r="U239">
        <f>laptop[[#This Row],[PrimaryStorage]]+laptop[[#This Row],[SecondaryStorage]]</f>
        <v>1152</v>
      </c>
      <c r="V239" t="s">
        <v>31</v>
      </c>
      <c r="W239" t="s">
        <v>51</v>
      </c>
      <c r="X239" t="str">
        <f>IF(laptop[[#This Row],[PrimaryStorageType]]=laptop[[#This Row],[SecondaryStorageType]],laptop[[#This Row],[PrimaryStorageType]],"SSD &amp; HDD")</f>
        <v>SSD &amp; HDD</v>
      </c>
      <c r="Y239" t="s">
        <v>67</v>
      </c>
      <c r="Z239" s="4" t="str">
        <f>_xlfn.CONCAT(laptop[[#This Row],[CPU_company]]," ",laptop[[#This Row],[GPU_model]])</f>
        <v>AMD Radeon R5 M430</v>
      </c>
    </row>
    <row r="240" spans="1:26" x14ac:dyDescent="0.25">
      <c r="A240" t="s">
        <v>55</v>
      </c>
      <c r="B240" t="s">
        <v>289</v>
      </c>
      <c r="C240" t="s">
        <v>83</v>
      </c>
      <c r="D240">
        <v>17.3</v>
      </c>
      <c r="E240">
        <v>32</v>
      </c>
      <c r="F240" t="s">
        <v>48</v>
      </c>
      <c r="G240">
        <v>4.7</v>
      </c>
      <c r="H240" s="16">
        <v>3890</v>
      </c>
      <c r="I240" t="s">
        <v>40</v>
      </c>
      <c r="J240">
        <v>1920</v>
      </c>
      <c r="K240">
        <v>1080</v>
      </c>
      <c r="L240" t="s">
        <v>27</v>
      </c>
      <c r="M240" t="s">
        <v>27</v>
      </c>
      <c r="N240" t="s">
        <v>27</v>
      </c>
      <c r="O240" t="s">
        <v>29</v>
      </c>
      <c r="P240">
        <v>2.9</v>
      </c>
      <c r="Q240" t="s">
        <v>258</v>
      </c>
      <c r="R240" t="str">
        <f>_xlfn.CONCAT(laptop[[#This Row],[CPU_company]]," ",laptop[[#This Row],[CPU_model]])</f>
        <v>Intel Core i7 7820HK</v>
      </c>
      <c r="S240">
        <v>512</v>
      </c>
      <c r="T240">
        <v>1024</v>
      </c>
      <c r="U240">
        <f>laptop[[#This Row],[PrimaryStorage]]+laptop[[#This Row],[SecondaryStorage]]</f>
        <v>1536</v>
      </c>
      <c r="V240" t="s">
        <v>31</v>
      </c>
      <c r="W240" t="s">
        <v>51</v>
      </c>
      <c r="X240" t="str">
        <f>IF(laptop[[#This Row],[PrimaryStorageType]]=laptop[[#This Row],[SecondaryStorageType]],laptop[[#This Row],[PrimaryStorageType]],"SSD &amp; HDD")</f>
        <v>SSD &amp; HDD</v>
      </c>
      <c r="Y240" t="s">
        <v>259</v>
      </c>
      <c r="Z240" s="4" t="str">
        <f>_xlfn.CONCAT(laptop[[#This Row],[CPU_company]]," ",laptop[[#This Row],[GPU_model]])</f>
        <v>Intel GeForce GTX 1080</v>
      </c>
    </row>
    <row r="241" spans="1:26" x14ac:dyDescent="0.25">
      <c r="A241" t="s">
        <v>46</v>
      </c>
      <c r="B241" t="s">
        <v>290</v>
      </c>
      <c r="C241" t="s">
        <v>83</v>
      </c>
      <c r="D241">
        <v>15.6</v>
      </c>
      <c r="E241">
        <v>8</v>
      </c>
      <c r="F241" t="s">
        <v>48</v>
      </c>
      <c r="G241">
        <v>2.5</v>
      </c>
      <c r="H241" s="16">
        <v>846</v>
      </c>
      <c r="I241" t="s">
        <v>40</v>
      </c>
      <c r="J241">
        <v>1920</v>
      </c>
      <c r="K241">
        <v>1080</v>
      </c>
      <c r="L241" t="s">
        <v>27</v>
      </c>
      <c r="M241" t="s">
        <v>28</v>
      </c>
      <c r="N241" t="s">
        <v>27</v>
      </c>
      <c r="O241" t="s">
        <v>29</v>
      </c>
      <c r="P241">
        <v>2.5</v>
      </c>
      <c r="Q241" t="s">
        <v>84</v>
      </c>
      <c r="R241" t="str">
        <f>_xlfn.CONCAT(laptop[[#This Row],[CPU_company]]," ",laptop[[#This Row],[CPU_model]])</f>
        <v>Intel Core i5 7300HQ</v>
      </c>
      <c r="S241">
        <v>256</v>
      </c>
      <c r="T241">
        <v>0</v>
      </c>
      <c r="U241">
        <f>laptop[[#This Row],[PrimaryStorage]]+laptop[[#This Row],[SecondaryStorage]]</f>
        <v>256</v>
      </c>
      <c r="V241" t="s">
        <v>31</v>
      </c>
      <c r="W241" t="s">
        <v>27</v>
      </c>
      <c r="X241" t="str">
        <f>IF(laptop[[#This Row],[PrimaryStorageType]]=laptop[[#This Row],[SecondaryStorageType]],laptop[[#This Row],[PrimaryStorageType]],"SSD &amp; HDD")</f>
        <v>SSD &amp; HDD</v>
      </c>
      <c r="Y241" t="s">
        <v>85</v>
      </c>
      <c r="Z241" s="4" t="str">
        <f>_xlfn.CONCAT(laptop[[#This Row],[CPU_company]]," ",laptop[[#This Row],[GPU_model]])</f>
        <v>Intel GeForce GTX 1050</v>
      </c>
    </row>
    <row r="242" spans="1:26" x14ac:dyDescent="0.25">
      <c r="A242" t="s">
        <v>73</v>
      </c>
      <c r="B242" t="s">
        <v>125</v>
      </c>
      <c r="C242" t="s">
        <v>38</v>
      </c>
      <c r="D242">
        <v>15.6</v>
      </c>
      <c r="E242">
        <v>8</v>
      </c>
      <c r="F242" t="s">
        <v>48</v>
      </c>
      <c r="G242">
        <v>2.2000000000000002</v>
      </c>
      <c r="H242" s="16">
        <v>589</v>
      </c>
      <c r="I242" t="s">
        <v>26</v>
      </c>
      <c r="J242">
        <v>1366</v>
      </c>
      <c r="K242">
        <v>768</v>
      </c>
      <c r="L242" t="s">
        <v>27</v>
      </c>
      <c r="M242" t="s">
        <v>27</v>
      </c>
      <c r="N242" t="s">
        <v>27</v>
      </c>
      <c r="O242" t="s">
        <v>29</v>
      </c>
      <c r="P242">
        <v>2</v>
      </c>
      <c r="Q242" t="s">
        <v>62</v>
      </c>
      <c r="R242" t="str">
        <f>_xlfn.CONCAT(laptop[[#This Row],[CPU_company]]," ",laptop[[#This Row],[CPU_model]])</f>
        <v>Intel Core i3 6006U</v>
      </c>
      <c r="S242">
        <v>128</v>
      </c>
      <c r="T242">
        <v>0</v>
      </c>
      <c r="U242">
        <f>laptop[[#This Row],[PrimaryStorage]]+laptop[[#This Row],[SecondaryStorage]]</f>
        <v>128</v>
      </c>
      <c r="V242" t="s">
        <v>31</v>
      </c>
      <c r="W242" t="s">
        <v>27</v>
      </c>
      <c r="X242" t="str">
        <f>IF(laptop[[#This Row],[PrimaryStorageType]]=laptop[[#This Row],[SecondaryStorageType]],laptop[[#This Row],[PrimaryStorageType]],"SSD &amp; HDD")</f>
        <v>SSD &amp; HDD</v>
      </c>
      <c r="Y242" t="s">
        <v>63</v>
      </c>
      <c r="Z242" s="4" t="str">
        <f>_xlfn.CONCAT(laptop[[#This Row],[CPU_company]]," ",laptop[[#This Row],[GPU_model]])</f>
        <v>Intel HD Graphics 520</v>
      </c>
    </row>
    <row r="243" spans="1:26" x14ac:dyDescent="0.25">
      <c r="A243" t="s">
        <v>55</v>
      </c>
      <c r="B243" t="s">
        <v>291</v>
      </c>
      <c r="C243" t="s">
        <v>38</v>
      </c>
      <c r="D243">
        <v>17.3</v>
      </c>
      <c r="E243">
        <v>8</v>
      </c>
      <c r="F243" t="s">
        <v>48</v>
      </c>
      <c r="G243">
        <v>2.1</v>
      </c>
      <c r="H243" s="16">
        <v>1145</v>
      </c>
      <c r="I243" t="s">
        <v>40</v>
      </c>
      <c r="J243">
        <v>1920</v>
      </c>
      <c r="K243">
        <v>1080</v>
      </c>
      <c r="L243" t="s">
        <v>27</v>
      </c>
      <c r="M243" t="s">
        <v>27</v>
      </c>
      <c r="N243" t="s">
        <v>27</v>
      </c>
      <c r="O243" t="s">
        <v>29</v>
      </c>
      <c r="P243">
        <v>1.8</v>
      </c>
      <c r="Q243" t="s">
        <v>57</v>
      </c>
      <c r="R243" t="str">
        <f>_xlfn.CONCAT(laptop[[#This Row],[CPU_company]]," ",laptop[[#This Row],[CPU_model]])</f>
        <v>Intel Core i7 8550U</v>
      </c>
      <c r="S243">
        <v>128</v>
      </c>
      <c r="T243">
        <v>1024</v>
      </c>
      <c r="U243">
        <f>laptop[[#This Row],[PrimaryStorage]]+laptop[[#This Row],[SecondaryStorage]]</f>
        <v>1152</v>
      </c>
      <c r="V243" t="s">
        <v>31</v>
      </c>
      <c r="W243" t="s">
        <v>51</v>
      </c>
      <c r="X243" t="str">
        <f>IF(laptop[[#This Row],[PrimaryStorageType]]=laptop[[#This Row],[SecondaryStorageType]],laptop[[#This Row],[PrimaryStorageType]],"SSD &amp; HDD")</f>
        <v>SSD &amp; HDD</v>
      </c>
      <c r="Y243" t="s">
        <v>123</v>
      </c>
      <c r="Z243" s="4" t="str">
        <f>_xlfn.CONCAT(laptop[[#This Row],[CPU_company]]," ",laptop[[#This Row],[GPU_model]])</f>
        <v>Intel GeForce 150MX</v>
      </c>
    </row>
    <row r="244" spans="1:26" x14ac:dyDescent="0.25">
      <c r="A244" t="s">
        <v>55</v>
      </c>
      <c r="B244" t="s">
        <v>292</v>
      </c>
      <c r="C244" t="s">
        <v>38</v>
      </c>
      <c r="D244">
        <v>17.3</v>
      </c>
      <c r="E244">
        <v>8</v>
      </c>
      <c r="F244" t="s">
        <v>39</v>
      </c>
      <c r="G244">
        <v>2.69</v>
      </c>
      <c r="H244" s="16">
        <v>889</v>
      </c>
      <c r="I244" t="s">
        <v>40</v>
      </c>
      <c r="J244">
        <v>1920</v>
      </c>
      <c r="K244">
        <v>1080</v>
      </c>
      <c r="L244" t="s">
        <v>27</v>
      </c>
      <c r="M244" t="s">
        <v>27</v>
      </c>
      <c r="N244" t="s">
        <v>27</v>
      </c>
      <c r="O244" t="s">
        <v>29</v>
      </c>
      <c r="P244">
        <v>2.7</v>
      </c>
      <c r="Q244" t="s">
        <v>71</v>
      </c>
      <c r="R244" t="str">
        <f>_xlfn.CONCAT(laptop[[#This Row],[CPU_company]]," ",laptop[[#This Row],[CPU_model]])</f>
        <v>Intel Core i7 7500U</v>
      </c>
      <c r="S244">
        <v>128</v>
      </c>
      <c r="T244">
        <v>1024</v>
      </c>
      <c r="U244">
        <f>laptop[[#This Row],[PrimaryStorage]]+laptop[[#This Row],[SecondaryStorage]]</f>
        <v>1152</v>
      </c>
      <c r="V244" t="s">
        <v>31</v>
      </c>
      <c r="W244" t="s">
        <v>51</v>
      </c>
      <c r="X244" t="str">
        <f>IF(laptop[[#This Row],[PrimaryStorageType]]=laptop[[#This Row],[SecondaryStorageType]],laptop[[#This Row],[PrimaryStorageType]],"SSD &amp; HDD")</f>
        <v>SSD &amp; HDD</v>
      </c>
      <c r="Y244" t="s">
        <v>279</v>
      </c>
      <c r="Z244" s="4" t="str">
        <f>_xlfn.CONCAT(laptop[[#This Row],[CPU_company]]," ",laptop[[#This Row],[GPU_model]])</f>
        <v>Intel GeForce GTX 950M</v>
      </c>
    </row>
    <row r="245" spans="1:26" x14ac:dyDescent="0.25">
      <c r="A245" t="s">
        <v>65</v>
      </c>
      <c r="B245" t="s">
        <v>221</v>
      </c>
      <c r="C245" t="s">
        <v>83</v>
      </c>
      <c r="D245">
        <v>15.6</v>
      </c>
      <c r="E245">
        <v>8</v>
      </c>
      <c r="F245" t="s">
        <v>48</v>
      </c>
      <c r="G245">
        <v>2.56</v>
      </c>
      <c r="H245" s="16">
        <v>879</v>
      </c>
      <c r="I245" t="s">
        <v>40</v>
      </c>
      <c r="J245">
        <v>1920</v>
      </c>
      <c r="K245">
        <v>1080</v>
      </c>
      <c r="L245" t="s">
        <v>27</v>
      </c>
      <c r="M245" t="s">
        <v>27</v>
      </c>
      <c r="N245" t="s">
        <v>27</v>
      </c>
      <c r="O245" t="s">
        <v>29</v>
      </c>
      <c r="P245">
        <v>2.5</v>
      </c>
      <c r="Q245" t="s">
        <v>84</v>
      </c>
      <c r="R245" t="str">
        <f>_xlfn.CONCAT(laptop[[#This Row],[CPU_company]]," ",laptop[[#This Row],[CPU_model]])</f>
        <v>Intel Core i5 7300HQ</v>
      </c>
      <c r="S245">
        <v>256</v>
      </c>
      <c r="T245">
        <v>0</v>
      </c>
      <c r="U245">
        <f>laptop[[#This Row],[PrimaryStorage]]+laptop[[#This Row],[SecondaryStorage]]</f>
        <v>256</v>
      </c>
      <c r="V245" t="s">
        <v>31</v>
      </c>
      <c r="W245" t="s">
        <v>27</v>
      </c>
      <c r="X245" t="str">
        <f>IF(laptop[[#This Row],[PrimaryStorageType]]=laptop[[#This Row],[SecondaryStorageType]],laptop[[#This Row],[PrimaryStorageType]],"SSD &amp; HDD")</f>
        <v>SSD &amp; HDD</v>
      </c>
      <c r="Y245" t="s">
        <v>85</v>
      </c>
      <c r="Z245" s="4" t="str">
        <f>_xlfn.CONCAT(laptop[[#This Row],[CPU_company]]," ",laptop[[#This Row],[GPU_model]])</f>
        <v>Intel GeForce GTX 1050</v>
      </c>
    </row>
    <row r="246" spans="1:26" x14ac:dyDescent="0.25">
      <c r="A246" t="s">
        <v>73</v>
      </c>
      <c r="B246" t="s">
        <v>293</v>
      </c>
      <c r="C246" t="s">
        <v>90</v>
      </c>
      <c r="D246">
        <v>13.9</v>
      </c>
      <c r="E246">
        <v>8</v>
      </c>
      <c r="F246" t="s">
        <v>48</v>
      </c>
      <c r="G246">
        <v>1.38</v>
      </c>
      <c r="H246" s="16">
        <v>1079</v>
      </c>
      <c r="I246" t="s">
        <v>40</v>
      </c>
      <c r="J246">
        <v>1920</v>
      </c>
      <c r="K246">
        <v>1080</v>
      </c>
      <c r="L246" t="s">
        <v>28</v>
      </c>
      <c r="M246" t="s">
        <v>28</v>
      </c>
      <c r="N246" t="s">
        <v>27</v>
      </c>
      <c r="O246" t="s">
        <v>29</v>
      </c>
      <c r="P246">
        <v>2.7</v>
      </c>
      <c r="Q246" t="s">
        <v>71</v>
      </c>
      <c r="R246" t="str">
        <f>_xlfn.CONCAT(laptop[[#This Row],[CPU_company]]," ",laptop[[#This Row],[CPU_model]])</f>
        <v>Intel Core i7 7500U</v>
      </c>
      <c r="S246">
        <v>256</v>
      </c>
      <c r="T246">
        <v>0</v>
      </c>
      <c r="U246">
        <f>laptop[[#This Row],[PrimaryStorage]]+laptop[[#This Row],[SecondaryStorage]]</f>
        <v>256</v>
      </c>
      <c r="V246" t="s">
        <v>31</v>
      </c>
      <c r="W246" t="s">
        <v>27</v>
      </c>
      <c r="X246" t="str">
        <f>IF(laptop[[#This Row],[PrimaryStorageType]]=laptop[[#This Row],[SecondaryStorageType]],laptop[[#This Row],[PrimaryStorageType]],"SSD &amp; HDD")</f>
        <v>SSD &amp; HDD</v>
      </c>
      <c r="Y246" t="s">
        <v>42</v>
      </c>
      <c r="Z246" s="4" t="str">
        <f>_xlfn.CONCAT(laptop[[#This Row],[CPU_company]]," ",laptop[[#This Row],[GPU_model]])</f>
        <v>Intel HD Graphics 620</v>
      </c>
    </row>
    <row r="247" spans="1:26" x14ac:dyDescent="0.25">
      <c r="A247" t="s">
        <v>65</v>
      </c>
      <c r="B247" t="s">
        <v>93</v>
      </c>
      <c r="C247" t="s">
        <v>38</v>
      </c>
      <c r="D247">
        <v>15.6</v>
      </c>
      <c r="E247">
        <v>8</v>
      </c>
      <c r="F247" t="s">
        <v>48</v>
      </c>
      <c r="G247">
        <v>2.2000000000000002</v>
      </c>
      <c r="H247" s="16">
        <v>985</v>
      </c>
      <c r="I247" t="s">
        <v>40</v>
      </c>
      <c r="J247">
        <v>1920</v>
      </c>
      <c r="K247">
        <v>1080</v>
      </c>
      <c r="L247" t="s">
        <v>27</v>
      </c>
      <c r="M247" t="s">
        <v>27</v>
      </c>
      <c r="N247" t="s">
        <v>27</v>
      </c>
      <c r="O247" t="s">
        <v>29</v>
      </c>
      <c r="P247">
        <v>1.8</v>
      </c>
      <c r="Q247" t="s">
        <v>57</v>
      </c>
      <c r="R247" t="str">
        <f>_xlfn.CONCAT(laptop[[#This Row],[CPU_company]]," ",laptop[[#This Row],[CPU_model]])</f>
        <v>Intel Core i7 8550U</v>
      </c>
      <c r="S247">
        <v>128</v>
      </c>
      <c r="T247">
        <v>2048</v>
      </c>
      <c r="U247">
        <f>laptop[[#This Row],[PrimaryStorage]]+laptop[[#This Row],[SecondaryStorage]]</f>
        <v>2176</v>
      </c>
      <c r="V247" t="s">
        <v>31</v>
      </c>
      <c r="W247" t="s">
        <v>51</v>
      </c>
      <c r="X247" t="str">
        <f>IF(laptop[[#This Row],[PrimaryStorageType]]=laptop[[#This Row],[SecondaryStorageType]],laptop[[#This Row],[PrimaryStorageType]],"SSD &amp; HDD")</f>
        <v>SSD &amp; HDD</v>
      </c>
      <c r="Y247" t="s">
        <v>94</v>
      </c>
      <c r="Z247" s="4" t="str">
        <f>_xlfn.CONCAT(laptop[[#This Row],[CPU_company]]," ",laptop[[#This Row],[GPU_model]])</f>
        <v>Intel Radeon 530</v>
      </c>
    </row>
    <row r="248" spans="1:26" x14ac:dyDescent="0.25">
      <c r="A248" t="s">
        <v>36</v>
      </c>
      <c r="B248" t="s">
        <v>294</v>
      </c>
      <c r="C248" t="s">
        <v>38</v>
      </c>
      <c r="D248">
        <v>15.6</v>
      </c>
      <c r="E248">
        <v>8</v>
      </c>
      <c r="F248" t="s">
        <v>48</v>
      </c>
      <c r="G248">
        <v>2.04</v>
      </c>
      <c r="H248" s="16">
        <v>559</v>
      </c>
      <c r="I248" t="s">
        <v>26</v>
      </c>
      <c r="J248">
        <v>1366</v>
      </c>
      <c r="K248">
        <v>768</v>
      </c>
      <c r="L248" t="s">
        <v>28</v>
      </c>
      <c r="M248" t="s">
        <v>27</v>
      </c>
      <c r="N248" t="s">
        <v>27</v>
      </c>
      <c r="O248" t="s">
        <v>29</v>
      </c>
      <c r="P248">
        <v>2.5</v>
      </c>
      <c r="Q248" t="s">
        <v>41</v>
      </c>
      <c r="R248" t="str">
        <f>_xlfn.CONCAT(laptop[[#This Row],[CPU_company]]," ",laptop[[#This Row],[CPU_model]])</f>
        <v>Intel Core i5 7200U</v>
      </c>
      <c r="S248">
        <v>1024</v>
      </c>
      <c r="T248">
        <v>0</v>
      </c>
      <c r="U248">
        <f>laptop[[#This Row],[PrimaryStorage]]+laptop[[#This Row],[SecondaryStorage]]</f>
        <v>1024</v>
      </c>
      <c r="V248" t="s">
        <v>51</v>
      </c>
      <c r="W248" t="s">
        <v>27</v>
      </c>
      <c r="X248" t="str">
        <f>IF(laptop[[#This Row],[PrimaryStorageType]]=laptop[[#This Row],[SecondaryStorageType]],laptop[[#This Row],[PrimaryStorageType]],"SSD &amp; HDD")</f>
        <v>SSD &amp; HDD</v>
      </c>
      <c r="Y248" t="s">
        <v>42</v>
      </c>
      <c r="Z248" s="4" t="str">
        <f>_xlfn.CONCAT(laptop[[#This Row],[CPU_company]]," ",laptop[[#This Row],[GPU_model]])</f>
        <v>Intel HD Graphics 620</v>
      </c>
    </row>
    <row r="249" spans="1:26" x14ac:dyDescent="0.25">
      <c r="A249" t="s">
        <v>55</v>
      </c>
      <c r="B249" t="s">
        <v>295</v>
      </c>
      <c r="C249" t="s">
        <v>83</v>
      </c>
      <c r="D249">
        <v>17.3</v>
      </c>
      <c r="E249">
        <v>16</v>
      </c>
      <c r="F249" t="s">
        <v>48</v>
      </c>
      <c r="G249">
        <v>3.6</v>
      </c>
      <c r="H249" s="16">
        <v>2999</v>
      </c>
      <c r="I249" t="s">
        <v>40</v>
      </c>
      <c r="J249">
        <v>1920</v>
      </c>
      <c r="K249">
        <v>1080</v>
      </c>
      <c r="L249" t="s">
        <v>27</v>
      </c>
      <c r="M249" t="s">
        <v>27</v>
      </c>
      <c r="N249" t="s">
        <v>27</v>
      </c>
      <c r="O249" t="s">
        <v>29</v>
      </c>
      <c r="P249">
        <v>2.9</v>
      </c>
      <c r="Q249" t="s">
        <v>258</v>
      </c>
      <c r="R249" t="str">
        <f>_xlfn.CONCAT(laptop[[#This Row],[CPU_company]]," ",laptop[[#This Row],[CPU_model]])</f>
        <v>Intel Core i7 7820HK</v>
      </c>
      <c r="S249">
        <v>256</v>
      </c>
      <c r="T249">
        <v>0</v>
      </c>
      <c r="U249">
        <f>laptop[[#This Row],[PrimaryStorage]]+laptop[[#This Row],[SecondaryStorage]]</f>
        <v>256</v>
      </c>
      <c r="V249" t="s">
        <v>31</v>
      </c>
      <c r="W249" t="s">
        <v>27</v>
      </c>
      <c r="X249" t="str">
        <f>IF(laptop[[#This Row],[PrimaryStorageType]]=laptop[[#This Row],[SecondaryStorageType]],laptop[[#This Row],[PrimaryStorageType]],"SSD &amp; HDD")</f>
        <v>SSD &amp; HDD</v>
      </c>
      <c r="Y249" t="s">
        <v>259</v>
      </c>
      <c r="Z249" s="4" t="str">
        <f>_xlfn.CONCAT(laptop[[#This Row],[CPU_company]]," ",laptop[[#This Row],[GPU_model]])</f>
        <v>Intel GeForce GTX 1080</v>
      </c>
    </row>
    <row r="250" spans="1:26" x14ac:dyDescent="0.25">
      <c r="A250" t="s">
        <v>36</v>
      </c>
      <c r="B250" t="s">
        <v>136</v>
      </c>
      <c r="C250" t="s">
        <v>38</v>
      </c>
      <c r="D250">
        <v>13.3</v>
      </c>
      <c r="E250">
        <v>4</v>
      </c>
      <c r="F250" t="s">
        <v>48</v>
      </c>
      <c r="G250">
        <v>1.49</v>
      </c>
      <c r="H250" s="16">
        <v>675</v>
      </c>
      <c r="I250" t="s">
        <v>40</v>
      </c>
      <c r="J250">
        <v>1920</v>
      </c>
      <c r="K250">
        <v>1080</v>
      </c>
      <c r="L250" t="s">
        <v>27</v>
      </c>
      <c r="M250" t="s">
        <v>28</v>
      </c>
      <c r="N250" t="s">
        <v>27</v>
      </c>
      <c r="O250" t="s">
        <v>29</v>
      </c>
      <c r="P250">
        <v>1.6</v>
      </c>
      <c r="Q250" t="s">
        <v>60</v>
      </c>
      <c r="R250" t="str">
        <f>_xlfn.CONCAT(laptop[[#This Row],[CPU_company]]," ",laptop[[#This Row],[CPU_model]])</f>
        <v>Intel Core i5 8250U</v>
      </c>
      <c r="S250">
        <v>500</v>
      </c>
      <c r="T250">
        <v>0</v>
      </c>
      <c r="U250">
        <f>laptop[[#This Row],[PrimaryStorage]]+laptop[[#This Row],[SecondaryStorage]]</f>
        <v>500</v>
      </c>
      <c r="V250" t="s">
        <v>51</v>
      </c>
      <c r="W250" t="s">
        <v>27</v>
      </c>
      <c r="X250" t="str">
        <f>IF(laptop[[#This Row],[PrimaryStorageType]]=laptop[[#This Row],[SecondaryStorageType]],laptop[[#This Row],[PrimaryStorageType]],"SSD &amp; HDD")</f>
        <v>SSD &amp; HDD</v>
      </c>
      <c r="Y250" t="s">
        <v>61</v>
      </c>
      <c r="Z250" s="4" t="str">
        <f>_xlfn.CONCAT(laptop[[#This Row],[CPU_company]]," ",laptop[[#This Row],[GPU_model]])</f>
        <v>Intel UHD Graphics 620</v>
      </c>
    </row>
    <row r="251" spans="1:26" x14ac:dyDescent="0.25">
      <c r="A251" t="s">
        <v>22</v>
      </c>
      <c r="B251" t="s">
        <v>23</v>
      </c>
      <c r="C251" t="s">
        <v>24</v>
      </c>
      <c r="D251">
        <v>13.3</v>
      </c>
      <c r="E251">
        <v>8</v>
      </c>
      <c r="F251" t="s">
        <v>25</v>
      </c>
      <c r="G251">
        <v>1.37</v>
      </c>
      <c r="H251" s="16">
        <v>2040</v>
      </c>
      <c r="I251" t="s">
        <v>26</v>
      </c>
      <c r="J251">
        <v>2560</v>
      </c>
      <c r="K251">
        <v>1600</v>
      </c>
      <c r="L251" t="s">
        <v>27</v>
      </c>
      <c r="M251" t="s">
        <v>28</v>
      </c>
      <c r="N251" t="s">
        <v>28</v>
      </c>
      <c r="O251" t="s">
        <v>29</v>
      </c>
      <c r="P251">
        <v>3.1</v>
      </c>
      <c r="Q251" t="s">
        <v>30</v>
      </c>
      <c r="R251" t="str">
        <f>_xlfn.CONCAT(laptop[[#This Row],[CPU_company]]," ",laptop[[#This Row],[CPU_model]])</f>
        <v>Intel Core i5</v>
      </c>
      <c r="S251">
        <v>512</v>
      </c>
      <c r="T251">
        <v>0</v>
      </c>
      <c r="U251">
        <f>laptop[[#This Row],[PrimaryStorage]]+laptop[[#This Row],[SecondaryStorage]]</f>
        <v>512</v>
      </c>
      <c r="V251" t="s">
        <v>31</v>
      </c>
      <c r="W251" t="s">
        <v>27</v>
      </c>
      <c r="X251" t="str">
        <f>IF(laptop[[#This Row],[PrimaryStorageType]]=laptop[[#This Row],[SecondaryStorageType]],laptop[[#This Row],[PrimaryStorageType]],"SSD &amp; HDD")</f>
        <v>SSD &amp; HDD</v>
      </c>
      <c r="Y251" t="s">
        <v>45</v>
      </c>
      <c r="Z251" s="4" t="str">
        <f>_xlfn.CONCAT(laptop[[#This Row],[CPU_company]]," ",laptop[[#This Row],[GPU_model]])</f>
        <v>Intel Iris Plus Graphics 650</v>
      </c>
    </row>
    <row r="252" spans="1:26" x14ac:dyDescent="0.25">
      <c r="A252" t="s">
        <v>65</v>
      </c>
      <c r="B252" t="s">
        <v>231</v>
      </c>
      <c r="C252" t="s">
        <v>90</v>
      </c>
      <c r="D252">
        <v>15.6</v>
      </c>
      <c r="E252">
        <v>8</v>
      </c>
      <c r="F252" t="s">
        <v>48</v>
      </c>
      <c r="G252">
        <v>2.08</v>
      </c>
      <c r="H252" s="16">
        <v>819</v>
      </c>
      <c r="I252" t="s">
        <v>40</v>
      </c>
      <c r="J252">
        <v>1920</v>
      </c>
      <c r="K252">
        <v>1080</v>
      </c>
      <c r="L252" t="s">
        <v>28</v>
      </c>
      <c r="M252" t="s">
        <v>28</v>
      </c>
      <c r="N252" t="s">
        <v>27</v>
      </c>
      <c r="O252" t="s">
        <v>29</v>
      </c>
      <c r="P252">
        <v>1.8</v>
      </c>
      <c r="Q252" t="s">
        <v>57</v>
      </c>
      <c r="R252" t="str">
        <f>_xlfn.CONCAT(laptop[[#This Row],[CPU_company]]," ",laptop[[#This Row],[CPU_model]])</f>
        <v>Intel Core i7 8550U</v>
      </c>
      <c r="S252">
        <v>1024</v>
      </c>
      <c r="T252">
        <v>0</v>
      </c>
      <c r="U252">
        <f>laptop[[#This Row],[PrimaryStorage]]+laptop[[#This Row],[SecondaryStorage]]</f>
        <v>1024</v>
      </c>
      <c r="V252" t="s">
        <v>51</v>
      </c>
      <c r="W252" t="s">
        <v>27</v>
      </c>
      <c r="X252" t="str">
        <f>IF(laptop[[#This Row],[PrimaryStorageType]]=laptop[[#This Row],[SecondaryStorageType]],laptop[[#This Row],[PrimaryStorageType]],"SSD &amp; HDD")</f>
        <v>SSD &amp; HDD</v>
      </c>
      <c r="Y252" t="s">
        <v>61</v>
      </c>
      <c r="Z252" s="4" t="str">
        <f>_xlfn.CONCAT(laptop[[#This Row],[CPU_company]]," ",laptop[[#This Row],[GPU_model]])</f>
        <v>Intel UHD Graphics 620</v>
      </c>
    </row>
    <row r="253" spans="1:26" x14ac:dyDescent="0.25">
      <c r="A253" t="s">
        <v>55</v>
      </c>
      <c r="B253" t="s">
        <v>296</v>
      </c>
      <c r="C253" t="s">
        <v>83</v>
      </c>
      <c r="D253">
        <v>17.3</v>
      </c>
      <c r="E253">
        <v>16</v>
      </c>
      <c r="F253" t="s">
        <v>48</v>
      </c>
      <c r="G253">
        <v>4.3</v>
      </c>
      <c r="H253" s="16">
        <v>1799</v>
      </c>
      <c r="I253" t="s">
        <v>40</v>
      </c>
      <c r="J253">
        <v>1920</v>
      </c>
      <c r="K253">
        <v>1080</v>
      </c>
      <c r="L253" t="s">
        <v>27</v>
      </c>
      <c r="M253" t="s">
        <v>27</v>
      </c>
      <c r="N253" t="s">
        <v>27</v>
      </c>
      <c r="O253" t="s">
        <v>29</v>
      </c>
      <c r="P253">
        <v>2.8</v>
      </c>
      <c r="Q253" t="s">
        <v>118</v>
      </c>
      <c r="R253" t="str">
        <f>_xlfn.CONCAT(laptop[[#This Row],[CPU_company]]," ",laptop[[#This Row],[CPU_model]])</f>
        <v>Intel Core i7 7700HQ</v>
      </c>
      <c r="S253">
        <v>256</v>
      </c>
      <c r="T253">
        <v>1024</v>
      </c>
      <c r="U253">
        <f>laptop[[#This Row],[PrimaryStorage]]+laptop[[#This Row],[SecondaryStorage]]</f>
        <v>1280</v>
      </c>
      <c r="V253" t="s">
        <v>31</v>
      </c>
      <c r="W253" t="s">
        <v>51</v>
      </c>
      <c r="X253" t="str">
        <f>IF(laptop[[#This Row],[PrimaryStorageType]]=laptop[[#This Row],[SecondaryStorageType]],laptop[[#This Row],[PrimaryStorageType]],"SSD &amp; HDD")</f>
        <v>SSD &amp; HDD</v>
      </c>
      <c r="Y253" t="s">
        <v>297</v>
      </c>
      <c r="Z253" s="4" t="str">
        <f>_xlfn.CONCAT(laptop[[#This Row],[CPU_company]]," ",laptop[[#This Row],[GPU_model]])</f>
        <v>Intel GeForce GTX 980M</v>
      </c>
    </row>
    <row r="254" spans="1:26" x14ac:dyDescent="0.25">
      <c r="A254" t="s">
        <v>55</v>
      </c>
      <c r="B254" t="s">
        <v>298</v>
      </c>
      <c r="C254" t="s">
        <v>38</v>
      </c>
      <c r="D254">
        <v>15.6</v>
      </c>
      <c r="E254">
        <v>4</v>
      </c>
      <c r="F254" t="s">
        <v>48</v>
      </c>
      <c r="G254">
        <v>1.68</v>
      </c>
      <c r="H254" s="16">
        <v>469</v>
      </c>
      <c r="I254" t="s">
        <v>26</v>
      </c>
      <c r="J254">
        <v>1366</v>
      </c>
      <c r="K254">
        <v>768</v>
      </c>
      <c r="L254" t="s">
        <v>27</v>
      </c>
      <c r="M254" t="s">
        <v>27</v>
      </c>
      <c r="N254" t="s">
        <v>27</v>
      </c>
      <c r="O254" t="s">
        <v>49</v>
      </c>
      <c r="P254">
        <v>3</v>
      </c>
      <c r="Q254" t="s">
        <v>50</v>
      </c>
      <c r="R254" t="str">
        <f>_xlfn.CONCAT(laptop[[#This Row],[CPU_company]]," ",laptop[[#This Row],[CPU_model]])</f>
        <v>AMD A9-Series 9420</v>
      </c>
      <c r="S254">
        <v>1024</v>
      </c>
      <c r="T254">
        <v>0</v>
      </c>
      <c r="U254">
        <f>laptop[[#This Row],[PrimaryStorage]]+laptop[[#This Row],[SecondaryStorage]]</f>
        <v>1024</v>
      </c>
      <c r="V254" t="s">
        <v>51</v>
      </c>
      <c r="W254" t="s">
        <v>27</v>
      </c>
      <c r="X254" t="str">
        <f>IF(laptop[[#This Row],[PrimaryStorageType]]=laptop[[#This Row],[SecondaryStorageType]],laptop[[#This Row],[PrimaryStorageType]],"SSD &amp; HDD")</f>
        <v>SSD &amp; HDD</v>
      </c>
      <c r="Y254" t="s">
        <v>233</v>
      </c>
      <c r="Z254" s="4" t="str">
        <f>_xlfn.CONCAT(laptop[[#This Row],[CPU_company]]," ",laptop[[#This Row],[GPU_model]])</f>
        <v>AMD Radeon R5 M420</v>
      </c>
    </row>
    <row r="255" spans="1:26" x14ac:dyDescent="0.25">
      <c r="A255" t="s">
        <v>73</v>
      </c>
      <c r="B255" t="s">
        <v>246</v>
      </c>
      <c r="C255" t="s">
        <v>90</v>
      </c>
      <c r="D255">
        <v>13.9</v>
      </c>
      <c r="E255">
        <v>8</v>
      </c>
      <c r="F255" t="s">
        <v>48</v>
      </c>
      <c r="G255">
        <v>1.37</v>
      </c>
      <c r="H255" s="16">
        <v>1849</v>
      </c>
      <c r="I255" t="s">
        <v>40</v>
      </c>
      <c r="J255">
        <v>1920</v>
      </c>
      <c r="K255">
        <v>1080</v>
      </c>
      <c r="L255" t="s">
        <v>28</v>
      </c>
      <c r="M255" t="s">
        <v>28</v>
      </c>
      <c r="N255" t="s">
        <v>27</v>
      </c>
      <c r="O255" t="s">
        <v>29</v>
      </c>
      <c r="P255">
        <v>1.8</v>
      </c>
      <c r="Q255" t="s">
        <v>57</v>
      </c>
      <c r="R255" t="str">
        <f>_xlfn.CONCAT(laptop[[#This Row],[CPU_company]]," ",laptop[[#This Row],[CPU_model]])</f>
        <v>Intel Core i7 8550U</v>
      </c>
      <c r="S255">
        <v>512</v>
      </c>
      <c r="T255">
        <v>0</v>
      </c>
      <c r="U255">
        <f>laptop[[#This Row],[PrimaryStorage]]+laptop[[#This Row],[SecondaryStorage]]</f>
        <v>512</v>
      </c>
      <c r="V255" t="s">
        <v>31</v>
      </c>
      <c r="W255" t="s">
        <v>27</v>
      </c>
      <c r="X255" t="str">
        <f>IF(laptop[[#This Row],[PrimaryStorageType]]=laptop[[#This Row],[SecondaryStorageType]],laptop[[#This Row],[PrimaryStorageType]],"SSD &amp; HDD")</f>
        <v>SSD &amp; HDD</v>
      </c>
      <c r="Y255" t="s">
        <v>61</v>
      </c>
      <c r="Z255" s="4" t="str">
        <f>_xlfn.CONCAT(laptop[[#This Row],[CPU_company]]," ",laptop[[#This Row],[GPU_model]])</f>
        <v>Intel UHD Graphics 620</v>
      </c>
    </row>
    <row r="256" spans="1:26" x14ac:dyDescent="0.25">
      <c r="A256" t="s">
        <v>46</v>
      </c>
      <c r="B256" t="s">
        <v>173</v>
      </c>
      <c r="C256" t="s">
        <v>38</v>
      </c>
      <c r="D256">
        <v>17.3</v>
      </c>
      <c r="E256">
        <v>4</v>
      </c>
      <c r="F256" t="s">
        <v>48</v>
      </c>
      <c r="G256">
        <v>3</v>
      </c>
      <c r="H256" s="16">
        <v>702</v>
      </c>
      <c r="I256" t="s">
        <v>40</v>
      </c>
      <c r="J256">
        <v>1920</v>
      </c>
      <c r="K256">
        <v>1080</v>
      </c>
      <c r="L256" t="s">
        <v>27</v>
      </c>
      <c r="M256" t="s">
        <v>28</v>
      </c>
      <c r="N256" t="s">
        <v>27</v>
      </c>
      <c r="O256" t="s">
        <v>29</v>
      </c>
      <c r="P256">
        <v>2.7</v>
      </c>
      <c r="Q256" t="s">
        <v>112</v>
      </c>
      <c r="R256" t="str">
        <f>_xlfn.CONCAT(laptop[[#This Row],[CPU_company]]," ",laptop[[#This Row],[CPU_model]])</f>
        <v>Intel Core i3 7130U</v>
      </c>
      <c r="S256">
        <v>256</v>
      </c>
      <c r="T256">
        <v>0</v>
      </c>
      <c r="U256">
        <f>laptop[[#This Row],[PrimaryStorage]]+laptop[[#This Row],[SecondaryStorage]]</f>
        <v>256</v>
      </c>
      <c r="V256" t="s">
        <v>31</v>
      </c>
      <c r="W256" t="s">
        <v>27</v>
      </c>
      <c r="X256" t="str">
        <f>IF(laptop[[#This Row],[PrimaryStorageType]]=laptop[[#This Row],[SecondaryStorageType]],laptop[[#This Row],[PrimaryStorageType]],"SSD &amp; HDD")</f>
        <v>SSD &amp; HDD</v>
      </c>
      <c r="Y256" t="s">
        <v>163</v>
      </c>
      <c r="Z256" s="4" t="str">
        <f>_xlfn.CONCAT(laptop[[#This Row],[CPU_company]]," ",laptop[[#This Row],[GPU_model]])</f>
        <v>Intel GeForce MX130</v>
      </c>
    </row>
    <row r="257" spans="1:26" x14ac:dyDescent="0.25">
      <c r="A257" t="s">
        <v>65</v>
      </c>
      <c r="B257" t="s">
        <v>299</v>
      </c>
      <c r="C257" t="s">
        <v>24</v>
      </c>
      <c r="D257">
        <v>13.3</v>
      </c>
      <c r="E257">
        <v>8</v>
      </c>
      <c r="F257" t="s">
        <v>48</v>
      </c>
      <c r="G257">
        <v>1.41</v>
      </c>
      <c r="H257" s="16">
        <v>949</v>
      </c>
      <c r="I257" t="s">
        <v>40</v>
      </c>
      <c r="J257">
        <v>1920</v>
      </c>
      <c r="K257">
        <v>1080</v>
      </c>
      <c r="L257" t="s">
        <v>27</v>
      </c>
      <c r="M257" t="s">
        <v>27</v>
      </c>
      <c r="N257" t="s">
        <v>27</v>
      </c>
      <c r="O257" t="s">
        <v>29</v>
      </c>
      <c r="P257">
        <v>1.6</v>
      </c>
      <c r="Q257" t="s">
        <v>60</v>
      </c>
      <c r="R257" t="str">
        <f>_xlfn.CONCAT(laptop[[#This Row],[CPU_company]]," ",laptop[[#This Row],[CPU_model]])</f>
        <v>Intel Core i5 8250U</v>
      </c>
      <c r="S257">
        <v>256</v>
      </c>
      <c r="T257">
        <v>0</v>
      </c>
      <c r="U257">
        <f>laptop[[#This Row],[PrimaryStorage]]+laptop[[#This Row],[SecondaryStorage]]</f>
        <v>256</v>
      </c>
      <c r="V257" t="s">
        <v>31</v>
      </c>
      <c r="W257" t="s">
        <v>27</v>
      </c>
      <c r="X257" t="str">
        <f>IF(laptop[[#This Row],[PrimaryStorageType]]=laptop[[#This Row],[SecondaryStorageType]],laptop[[#This Row],[PrimaryStorageType]],"SSD &amp; HDD")</f>
        <v>SSD &amp; HDD</v>
      </c>
      <c r="Y257" t="s">
        <v>61</v>
      </c>
      <c r="Z257" s="4" t="str">
        <f>_xlfn.CONCAT(laptop[[#This Row],[CPU_company]]," ",laptop[[#This Row],[GPU_model]])</f>
        <v>Intel UHD Graphics 620</v>
      </c>
    </row>
    <row r="258" spans="1:26" x14ac:dyDescent="0.25">
      <c r="A258" t="s">
        <v>36</v>
      </c>
      <c r="B258" t="s">
        <v>300</v>
      </c>
      <c r="C258" t="s">
        <v>38</v>
      </c>
      <c r="D258">
        <v>15.6</v>
      </c>
      <c r="E258">
        <v>8</v>
      </c>
      <c r="F258" t="s">
        <v>48</v>
      </c>
      <c r="G258">
        <v>1.91</v>
      </c>
      <c r="H258" s="16">
        <v>445.9</v>
      </c>
      <c r="I258" t="s">
        <v>26</v>
      </c>
      <c r="J258">
        <v>1366</v>
      </c>
      <c r="K258">
        <v>768</v>
      </c>
      <c r="L258" t="s">
        <v>27</v>
      </c>
      <c r="M258" t="s">
        <v>27</v>
      </c>
      <c r="N258" t="s">
        <v>27</v>
      </c>
      <c r="O258" t="s">
        <v>49</v>
      </c>
      <c r="P258">
        <v>2.5</v>
      </c>
      <c r="Q258" t="s">
        <v>301</v>
      </c>
      <c r="R258" t="str">
        <f>_xlfn.CONCAT(laptop[[#This Row],[CPU_company]]," ",laptop[[#This Row],[CPU_model]])</f>
        <v>AMD A6-Series A6-9220</v>
      </c>
      <c r="S258">
        <v>128</v>
      </c>
      <c r="T258">
        <v>0</v>
      </c>
      <c r="U258">
        <f>laptop[[#This Row],[PrimaryStorage]]+laptop[[#This Row],[SecondaryStorage]]</f>
        <v>128</v>
      </c>
      <c r="V258" t="s">
        <v>31</v>
      </c>
      <c r="W258" t="s">
        <v>27</v>
      </c>
      <c r="X258" t="str">
        <f>IF(laptop[[#This Row],[PrimaryStorageType]]=laptop[[#This Row],[SecondaryStorageType]],laptop[[#This Row],[PrimaryStorageType]],"SSD &amp; HDD")</f>
        <v>SSD &amp; HDD</v>
      </c>
      <c r="Y258" t="s">
        <v>135</v>
      </c>
      <c r="Z258" s="4" t="str">
        <f>_xlfn.CONCAT(laptop[[#This Row],[CPU_company]]," ",laptop[[#This Row],[GPU_model]])</f>
        <v>AMD Radeon R4 Graphics</v>
      </c>
    </row>
    <row r="259" spans="1:26" x14ac:dyDescent="0.25">
      <c r="A259" t="s">
        <v>36</v>
      </c>
      <c r="B259" t="s">
        <v>302</v>
      </c>
      <c r="C259" t="s">
        <v>38</v>
      </c>
      <c r="D259">
        <v>17.3</v>
      </c>
      <c r="E259">
        <v>16</v>
      </c>
      <c r="F259" t="s">
        <v>48</v>
      </c>
      <c r="G259">
        <v>2.9</v>
      </c>
      <c r="H259" s="16">
        <v>1059</v>
      </c>
      <c r="I259" t="s">
        <v>40</v>
      </c>
      <c r="J259">
        <v>1920</v>
      </c>
      <c r="K259">
        <v>1080</v>
      </c>
      <c r="L259" t="s">
        <v>27</v>
      </c>
      <c r="M259" t="s">
        <v>28</v>
      </c>
      <c r="N259" t="s">
        <v>27</v>
      </c>
      <c r="O259" t="s">
        <v>29</v>
      </c>
      <c r="P259">
        <v>1.8</v>
      </c>
      <c r="Q259" t="s">
        <v>57</v>
      </c>
      <c r="R259" t="str">
        <f>_xlfn.CONCAT(laptop[[#This Row],[CPU_company]]," ",laptop[[#This Row],[CPU_model]])</f>
        <v>Intel Core i7 8550U</v>
      </c>
      <c r="S259">
        <v>1024</v>
      </c>
      <c r="T259">
        <v>0</v>
      </c>
      <c r="U259">
        <f>laptop[[#This Row],[PrimaryStorage]]+laptop[[#This Row],[SecondaryStorage]]</f>
        <v>1024</v>
      </c>
      <c r="V259" t="s">
        <v>51</v>
      </c>
      <c r="W259" t="s">
        <v>27</v>
      </c>
      <c r="X259" t="str">
        <f>IF(laptop[[#This Row],[PrimaryStorageType]]=laptop[[#This Row],[SecondaryStorageType]],laptop[[#This Row],[PrimaryStorageType]],"SSD &amp; HDD")</f>
        <v>SSD &amp; HDD</v>
      </c>
      <c r="Y259" t="s">
        <v>58</v>
      </c>
      <c r="Z259" s="4" t="str">
        <f>_xlfn.CONCAT(laptop[[#This Row],[CPU_company]]," ",laptop[[#This Row],[GPU_model]])</f>
        <v>Intel GeForce MX150</v>
      </c>
    </row>
    <row r="260" spans="1:26" x14ac:dyDescent="0.25">
      <c r="A260" t="s">
        <v>141</v>
      </c>
      <c r="B260" t="s">
        <v>303</v>
      </c>
      <c r="C260" t="s">
        <v>83</v>
      </c>
      <c r="D260">
        <v>17.3</v>
      </c>
      <c r="E260">
        <v>16</v>
      </c>
      <c r="F260" t="s">
        <v>48</v>
      </c>
      <c r="G260">
        <v>4.1399999999999997</v>
      </c>
      <c r="H260" s="16">
        <v>2499</v>
      </c>
      <c r="I260" t="s">
        <v>40</v>
      </c>
      <c r="J260">
        <v>1920</v>
      </c>
      <c r="K260">
        <v>1080</v>
      </c>
      <c r="L260" t="s">
        <v>27</v>
      </c>
      <c r="M260" t="s">
        <v>27</v>
      </c>
      <c r="N260" t="s">
        <v>27</v>
      </c>
      <c r="O260" t="s">
        <v>29</v>
      </c>
      <c r="P260">
        <v>2.8</v>
      </c>
      <c r="Q260" t="s">
        <v>118</v>
      </c>
      <c r="R260" t="str">
        <f>_xlfn.CONCAT(laptop[[#This Row],[CPU_company]]," ",laptop[[#This Row],[CPU_model]])</f>
        <v>Intel Core i7 7700HQ</v>
      </c>
      <c r="S260">
        <v>512</v>
      </c>
      <c r="T260">
        <v>1024</v>
      </c>
      <c r="U260">
        <f>laptop[[#This Row],[PrimaryStorage]]+laptop[[#This Row],[SecondaryStorage]]</f>
        <v>1536</v>
      </c>
      <c r="V260" t="s">
        <v>31</v>
      </c>
      <c r="W260" t="s">
        <v>51</v>
      </c>
      <c r="X260" t="str">
        <f>IF(laptop[[#This Row],[PrimaryStorageType]]=laptop[[#This Row],[SecondaryStorageType]],laptop[[#This Row],[PrimaryStorageType]],"SSD &amp; HDD")</f>
        <v>SSD &amp; HDD</v>
      </c>
      <c r="Y260" t="s">
        <v>143</v>
      </c>
      <c r="Z260" s="4" t="str">
        <f>_xlfn.CONCAT(laptop[[#This Row],[CPU_company]]," ",laptop[[#This Row],[GPU_model]])</f>
        <v>Intel GeForce GTX 1070</v>
      </c>
    </row>
    <row r="261" spans="1:26" x14ac:dyDescent="0.25">
      <c r="A261" t="s">
        <v>73</v>
      </c>
      <c r="B261" t="s">
        <v>304</v>
      </c>
      <c r="C261" t="s">
        <v>90</v>
      </c>
      <c r="D261">
        <v>15.6</v>
      </c>
      <c r="E261">
        <v>8</v>
      </c>
      <c r="F261" t="s">
        <v>48</v>
      </c>
      <c r="G261">
        <v>2</v>
      </c>
      <c r="H261" s="16">
        <v>1699</v>
      </c>
      <c r="I261" t="s">
        <v>40</v>
      </c>
      <c r="J261">
        <v>1920</v>
      </c>
      <c r="K261">
        <v>1080</v>
      </c>
      <c r="L261" t="s">
        <v>28</v>
      </c>
      <c r="M261" t="s">
        <v>28</v>
      </c>
      <c r="N261" t="s">
        <v>27</v>
      </c>
      <c r="O261" t="s">
        <v>29</v>
      </c>
      <c r="P261">
        <v>2.8</v>
      </c>
      <c r="Q261" t="s">
        <v>118</v>
      </c>
      <c r="R261" t="str">
        <f>_xlfn.CONCAT(laptop[[#This Row],[CPU_company]]," ",laptop[[#This Row],[CPU_model]])</f>
        <v>Intel Core i7 7700HQ</v>
      </c>
      <c r="S261">
        <v>512</v>
      </c>
      <c r="T261">
        <v>0</v>
      </c>
      <c r="U261">
        <f>laptop[[#This Row],[PrimaryStorage]]+laptop[[#This Row],[SecondaryStorage]]</f>
        <v>512</v>
      </c>
      <c r="V261" t="s">
        <v>31</v>
      </c>
      <c r="W261" t="s">
        <v>27</v>
      </c>
      <c r="X261" t="str">
        <f>IF(laptop[[#This Row],[PrimaryStorageType]]=laptop[[#This Row],[SecondaryStorageType]],laptop[[#This Row],[PrimaryStorageType]],"SSD &amp; HDD")</f>
        <v>SSD &amp; HDD</v>
      </c>
      <c r="Y261" t="s">
        <v>209</v>
      </c>
      <c r="Z261" s="4" t="str">
        <f>_xlfn.CONCAT(laptop[[#This Row],[CPU_company]]," ",laptop[[#This Row],[GPU_model]])</f>
        <v>Intel GeForce GTX 1050M</v>
      </c>
    </row>
    <row r="262" spans="1:26" x14ac:dyDescent="0.25">
      <c r="A262" t="s">
        <v>65</v>
      </c>
      <c r="B262" t="s">
        <v>113</v>
      </c>
      <c r="C262" t="s">
        <v>38</v>
      </c>
      <c r="D262">
        <v>17.3</v>
      </c>
      <c r="E262">
        <v>8</v>
      </c>
      <c r="F262" t="s">
        <v>48</v>
      </c>
      <c r="G262">
        <v>2.8</v>
      </c>
      <c r="H262" s="16">
        <v>1142</v>
      </c>
      <c r="I262" t="s">
        <v>40</v>
      </c>
      <c r="J262">
        <v>1920</v>
      </c>
      <c r="K262">
        <v>1080</v>
      </c>
      <c r="L262" t="s">
        <v>27</v>
      </c>
      <c r="M262" t="s">
        <v>27</v>
      </c>
      <c r="N262" t="s">
        <v>27</v>
      </c>
      <c r="O262" t="s">
        <v>29</v>
      </c>
      <c r="P262">
        <v>1.8</v>
      </c>
      <c r="Q262" t="s">
        <v>57</v>
      </c>
      <c r="R262" t="str">
        <f>_xlfn.CONCAT(laptop[[#This Row],[CPU_company]]," ",laptop[[#This Row],[CPU_model]])</f>
        <v>Intel Core i7 8550U</v>
      </c>
      <c r="S262">
        <v>128</v>
      </c>
      <c r="T262">
        <v>1024</v>
      </c>
      <c r="U262">
        <f>laptop[[#This Row],[PrimaryStorage]]+laptop[[#This Row],[SecondaryStorage]]</f>
        <v>1152</v>
      </c>
      <c r="V262" t="s">
        <v>31</v>
      </c>
      <c r="W262" t="s">
        <v>51</v>
      </c>
      <c r="X262" t="str">
        <f>IF(laptop[[#This Row],[PrimaryStorageType]]=laptop[[#This Row],[SecondaryStorageType]],laptop[[#This Row],[PrimaryStorageType]],"SSD &amp; HDD")</f>
        <v>SSD &amp; HDD</v>
      </c>
      <c r="Y262" t="s">
        <v>94</v>
      </c>
      <c r="Z262" s="4" t="str">
        <f>_xlfn.CONCAT(laptop[[#This Row],[CPU_company]]," ",laptop[[#This Row],[GPU_model]])</f>
        <v>Intel Radeon 530</v>
      </c>
    </row>
    <row r="263" spans="1:26" x14ac:dyDescent="0.25">
      <c r="A263" t="s">
        <v>73</v>
      </c>
      <c r="B263" t="s">
        <v>125</v>
      </c>
      <c r="C263" t="s">
        <v>38</v>
      </c>
      <c r="D263">
        <v>15.6</v>
      </c>
      <c r="E263">
        <v>4</v>
      </c>
      <c r="F263" t="s">
        <v>39</v>
      </c>
      <c r="G263">
        <v>2.2000000000000002</v>
      </c>
      <c r="H263" s="16">
        <v>444</v>
      </c>
      <c r="I263" t="s">
        <v>40</v>
      </c>
      <c r="J263">
        <v>1920</v>
      </c>
      <c r="K263">
        <v>1080</v>
      </c>
      <c r="L263" t="s">
        <v>27</v>
      </c>
      <c r="M263" t="s">
        <v>27</v>
      </c>
      <c r="N263" t="s">
        <v>27</v>
      </c>
      <c r="O263" t="s">
        <v>29</v>
      </c>
      <c r="P263">
        <v>2</v>
      </c>
      <c r="Q263" t="s">
        <v>62</v>
      </c>
      <c r="R263" t="str">
        <f>_xlfn.CONCAT(laptop[[#This Row],[CPU_company]]," ",laptop[[#This Row],[CPU_model]])</f>
        <v>Intel Core i3 6006U</v>
      </c>
      <c r="S263">
        <v>256</v>
      </c>
      <c r="T263">
        <v>0</v>
      </c>
      <c r="U263">
        <f>laptop[[#This Row],[PrimaryStorage]]+laptop[[#This Row],[SecondaryStorage]]</f>
        <v>256</v>
      </c>
      <c r="V263" t="s">
        <v>31</v>
      </c>
      <c r="W263" t="s">
        <v>27</v>
      </c>
      <c r="X263" t="str">
        <f>IF(laptop[[#This Row],[PrimaryStorageType]]=laptop[[#This Row],[SecondaryStorageType]],laptop[[#This Row],[PrimaryStorageType]],"SSD &amp; HDD")</f>
        <v>SSD &amp; HDD</v>
      </c>
      <c r="Y263" t="s">
        <v>63</v>
      </c>
      <c r="Z263" s="4" t="str">
        <f>_xlfn.CONCAT(laptop[[#This Row],[CPU_company]]," ",laptop[[#This Row],[GPU_model]])</f>
        <v>Intel HD Graphics 520</v>
      </c>
    </row>
    <row r="264" spans="1:26" x14ac:dyDescent="0.25">
      <c r="A264" t="s">
        <v>36</v>
      </c>
      <c r="B264" t="s">
        <v>114</v>
      </c>
      <c r="C264" t="s">
        <v>38</v>
      </c>
      <c r="D264">
        <v>15.6</v>
      </c>
      <c r="E264">
        <v>4</v>
      </c>
      <c r="F264" t="s">
        <v>48</v>
      </c>
      <c r="G264">
        <v>2.1</v>
      </c>
      <c r="H264" s="16">
        <v>722</v>
      </c>
      <c r="I264" t="s">
        <v>40</v>
      </c>
      <c r="J264">
        <v>1920</v>
      </c>
      <c r="K264">
        <v>1080</v>
      </c>
      <c r="L264" t="s">
        <v>27</v>
      </c>
      <c r="M264" t="s">
        <v>28</v>
      </c>
      <c r="N264" t="s">
        <v>27</v>
      </c>
      <c r="O264" t="s">
        <v>29</v>
      </c>
      <c r="P264">
        <v>1.6</v>
      </c>
      <c r="Q264" t="s">
        <v>60</v>
      </c>
      <c r="R264" t="str">
        <f>_xlfn.CONCAT(laptop[[#This Row],[CPU_company]]," ",laptop[[#This Row],[CPU_model]])</f>
        <v>Intel Core i5 8250U</v>
      </c>
      <c r="S264">
        <v>500</v>
      </c>
      <c r="T264">
        <v>0</v>
      </c>
      <c r="U264">
        <f>laptop[[#This Row],[PrimaryStorage]]+laptop[[#This Row],[SecondaryStorage]]</f>
        <v>500</v>
      </c>
      <c r="V264" t="s">
        <v>51</v>
      </c>
      <c r="W264" t="s">
        <v>27</v>
      </c>
      <c r="X264" t="str">
        <f>IF(laptop[[#This Row],[PrimaryStorageType]]=laptop[[#This Row],[SecondaryStorageType]],laptop[[#This Row],[PrimaryStorageType]],"SSD &amp; HDD")</f>
        <v>SSD &amp; HDD</v>
      </c>
      <c r="Y264" t="s">
        <v>42</v>
      </c>
      <c r="Z264" s="4" t="str">
        <f>_xlfn.CONCAT(laptop[[#This Row],[CPU_company]]," ",laptop[[#This Row],[GPU_model]])</f>
        <v>Intel HD Graphics 620</v>
      </c>
    </row>
    <row r="265" spans="1:26" x14ac:dyDescent="0.25">
      <c r="A265" t="s">
        <v>65</v>
      </c>
      <c r="B265" t="s">
        <v>305</v>
      </c>
      <c r="C265" t="s">
        <v>38</v>
      </c>
      <c r="D265">
        <v>15.6</v>
      </c>
      <c r="E265">
        <v>4</v>
      </c>
      <c r="F265" t="s">
        <v>48</v>
      </c>
      <c r="G265">
        <v>2.1800000000000002</v>
      </c>
      <c r="H265" s="16">
        <v>657</v>
      </c>
      <c r="I265" t="s">
        <v>40</v>
      </c>
      <c r="J265">
        <v>1920</v>
      </c>
      <c r="K265">
        <v>1080</v>
      </c>
      <c r="L265" t="s">
        <v>27</v>
      </c>
      <c r="M265" t="s">
        <v>27</v>
      </c>
      <c r="N265" t="s">
        <v>27</v>
      </c>
      <c r="O265" t="s">
        <v>29</v>
      </c>
      <c r="P265">
        <v>2.5</v>
      </c>
      <c r="Q265" t="s">
        <v>41</v>
      </c>
      <c r="R265" t="str">
        <f>_xlfn.CONCAT(laptop[[#This Row],[CPU_company]]," ",laptop[[#This Row],[CPU_model]])</f>
        <v>Intel Core i5 7200U</v>
      </c>
      <c r="S265">
        <v>1024</v>
      </c>
      <c r="T265">
        <v>0</v>
      </c>
      <c r="U265">
        <f>laptop[[#This Row],[PrimaryStorage]]+laptop[[#This Row],[SecondaryStorage]]</f>
        <v>1024</v>
      </c>
      <c r="V265" t="s">
        <v>51</v>
      </c>
      <c r="W265" t="s">
        <v>27</v>
      </c>
      <c r="X265" t="str">
        <f>IF(laptop[[#This Row],[PrimaryStorageType]]=laptop[[#This Row],[SecondaryStorageType]],laptop[[#This Row],[PrimaryStorageType]],"SSD &amp; HDD")</f>
        <v>SSD &amp; HDD</v>
      </c>
      <c r="Y265" t="s">
        <v>42</v>
      </c>
      <c r="Z265" s="4" t="str">
        <f>_xlfn.CONCAT(laptop[[#This Row],[CPU_company]]," ",laptop[[#This Row],[GPU_model]])</f>
        <v>Intel HD Graphics 620</v>
      </c>
    </row>
    <row r="266" spans="1:26" x14ac:dyDescent="0.25">
      <c r="A266" t="s">
        <v>65</v>
      </c>
      <c r="B266" t="s">
        <v>66</v>
      </c>
      <c r="C266" t="s">
        <v>38</v>
      </c>
      <c r="D266">
        <v>15.6</v>
      </c>
      <c r="E266">
        <v>8</v>
      </c>
      <c r="F266" t="s">
        <v>48</v>
      </c>
      <c r="G266">
        <v>2.2400000000000002</v>
      </c>
      <c r="H266" s="16">
        <v>565</v>
      </c>
      <c r="I266" t="s">
        <v>40</v>
      </c>
      <c r="J266">
        <v>1920</v>
      </c>
      <c r="K266">
        <v>1080</v>
      </c>
      <c r="L266" t="s">
        <v>27</v>
      </c>
      <c r="M266" t="s">
        <v>27</v>
      </c>
      <c r="N266" t="s">
        <v>27</v>
      </c>
      <c r="O266" t="s">
        <v>29</v>
      </c>
      <c r="P266">
        <v>2.5</v>
      </c>
      <c r="Q266" t="s">
        <v>41</v>
      </c>
      <c r="R266" t="str">
        <f>_xlfn.CONCAT(laptop[[#This Row],[CPU_company]]," ",laptop[[#This Row],[CPU_model]])</f>
        <v>Intel Core i5 7200U</v>
      </c>
      <c r="S266">
        <v>1024</v>
      </c>
      <c r="T266">
        <v>0</v>
      </c>
      <c r="U266">
        <f>laptop[[#This Row],[PrimaryStorage]]+laptop[[#This Row],[SecondaryStorage]]</f>
        <v>1024</v>
      </c>
      <c r="V266" t="s">
        <v>51</v>
      </c>
      <c r="W266" t="s">
        <v>27</v>
      </c>
      <c r="X266" t="str">
        <f>IF(laptop[[#This Row],[PrimaryStorageType]]=laptop[[#This Row],[SecondaryStorageType]],laptop[[#This Row],[PrimaryStorageType]],"SSD &amp; HDD")</f>
        <v>SSD &amp; HDD</v>
      </c>
      <c r="Y266" t="s">
        <v>67</v>
      </c>
      <c r="Z266" s="4" t="str">
        <f>_xlfn.CONCAT(laptop[[#This Row],[CPU_company]]," ",laptop[[#This Row],[GPU_model]])</f>
        <v>Intel Radeon R5 M430</v>
      </c>
    </row>
    <row r="267" spans="1:26" x14ac:dyDescent="0.25">
      <c r="A267" t="s">
        <v>65</v>
      </c>
      <c r="B267" t="s">
        <v>231</v>
      </c>
      <c r="C267" t="s">
        <v>90</v>
      </c>
      <c r="D267">
        <v>15.6</v>
      </c>
      <c r="E267">
        <v>8</v>
      </c>
      <c r="F267" t="s">
        <v>48</v>
      </c>
      <c r="G267">
        <v>2.67</v>
      </c>
      <c r="H267" s="16">
        <v>799</v>
      </c>
      <c r="I267" t="s">
        <v>40</v>
      </c>
      <c r="J267">
        <v>1920</v>
      </c>
      <c r="K267">
        <v>1080</v>
      </c>
      <c r="L267" t="s">
        <v>28</v>
      </c>
      <c r="M267" t="s">
        <v>27</v>
      </c>
      <c r="N267" t="s">
        <v>27</v>
      </c>
      <c r="O267" t="s">
        <v>29</v>
      </c>
      <c r="P267">
        <v>1.6</v>
      </c>
      <c r="Q267" t="s">
        <v>60</v>
      </c>
      <c r="R267" t="str">
        <f>_xlfn.CONCAT(laptop[[#This Row],[CPU_company]]," ",laptop[[#This Row],[CPU_model]])</f>
        <v>Intel Core i5 8250U</v>
      </c>
      <c r="S267">
        <v>256</v>
      </c>
      <c r="T267">
        <v>0</v>
      </c>
      <c r="U267">
        <f>laptop[[#This Row],[PrimaryStorage]]+laptop[[#This Row],[SecondaryStorage]]</f>
        <v>256</v>
      </c>
      <c r="V267" t="s">
        <v>31</v>
      </c>
      <c r="W267" t="s">
        <v>27</v>
      </c>
      <c r="X267" t="str">
        <f>IF(laptop[[#This Row],[PrimaryStorageType]]=laptop[[#This Row],[SecondaryStorageType]],laptop[[#This Row],[PrimaryStorageType]],"SSD &amp; HDD")</f>
        <v>SSD &amp; HDD</v>
      </c>
      <c r="Y267" t="s">
        <v>61</v>
      </c>
      <c r="Z267" s="4" t="str">
        <f>_xlfn.CONCAT(laptop[[#This Row],[CPU_company]]," ",laptop[[#This Row],[GPU_model]])</f>
        <v>Intel UHD Graphics 620</v>
      </c>
    </row>
    <row r="268" spans="1:26" x14ac:dyDescent="0.25">
      <c r="A268" t="s">
        <v>55</v>
      </c>
      <c r="B268" t="s">
        <v>230</v>
      </c>
      <c r="C268" t="s">
        <v>90</v>
      </c>
      <c r="D268">
        <v>13.3</v>
      </c>
      <c r="E268">
        <v>8</v>
      </c>
      <c r="F268" t="s">
        <v>48</v>
      </c>
      <c r="G268">
        <v>1.1000000000000001</v>
      </c>
      <c r="H268" s="16">
        <v>1499</v>
      </c>
      <c r="I268" t="s">
        <v>40</v>
      </c>
      <c r="J268">
        <v>1920</v>
      </c>
      <c r="K268">
        <v>1080</v>
      </c>
      <c r="L268" t="s">
        <v>28</v>
      </c>
      <c r="M268" t="s">
        <v>27</v>
      </c>
      <c r="N268" t="s">
        <v>27</v>
      </c>
      <c r="O268" t="s">
        <v>29</v>
      </c>
      <c r="P268">
        <v>1.8</v>
      </c>
      <c r="Q268" t="s">
        <v>57</v>
      </c>
      <c r="R268" t="str">
        <f>_xlfn.CONCAT(laptop[[#This Row],[CPU_company]]," ",laptop[[#This Row],[CPU_model]])</f>
        <v>Intel Core i7 8550U</v>
      </c>
      <c r="S268">
        <v>512</v>
      </c>
      <c r="T268">
        <v>512</v>
      </c>
      <c r="U268">
        <f>laptop[[#This Row],[PrimaryStorage]]+laptop[[#This Row],[SecondaryStorage]]</f>
        <v>1024</v>
      </c>
      <c r="V268" t="s">
        <v>31</v>
      </c>
      <c r="W268" t="s">
        <v>31</v>
      </c>
      <c r="X268" t="str">
        <f>IF(laptop[[#This Row],[PrimaryStorageType]]=laptop[[#This Row],[SecondaryStorageType]],laptop[[#This Row],[PrimaryStorageType]],"SSD &amp; HDD")</f>
        <v>SSD</v>
      </c>
      <c r="Y268" t="s">
        <v>61</v>
      </c>
      <c r="Z268" s="4" t="str">
        <f>_xlfn.CONCAT(laptop[[#This Row],[CPU_company]]," ",laptop[[#This Row],[GPU_model]])</f>
        <v>Intel UHD Graphics 620</v>
      </c>
    </row>
    <row r="269" spans="1:26" x14ac:dyDescent="0.25">
      <c r="A269" t="s">
        <v>73</v>
      </c>
      <c r="B269" t="s">
        <v>161</v>
      </c>
      <c r="C269" t="s">
        <v>38</v>
      </c>
      <c r="D269">
        <v>15.6</v>
      </c>
      <c r="E269">
        <v>4</v>
      </c>
      <c r="F269" t="s">
        <v>39</v>
      </c>
      <c r="G269">
        <v>2.2000000000000002</v>
      </c>
      <c r="H269" s="16">
        <v>467</v>
      </c>
      <c r="I269" t="s">
        <v>40</v>
      </c>
      <c r="J269">
        <v>1920</v>
      </c>
      <c r="K269">
        <v>1080</v>
      </c>
      <c r="L269" t="s">
        <v>27</v>
      </c>
      <c r="M269" t="s">
        <v>27</v>
      </c>
      <c r="N269" t="s">
        <v>27</v>
      </c>
      <c r="O269" t="s">
        <v>29</v>
      </c>
      <c r="P269">
        <v>2.5</v>
      </c>
      <c r="Q269" t="s">
        <v>41</v>
      </c>
      <c r="R269" t="str">
        <f>_xlfn.CONCAT(laptop[[#This Row],[CPU_company]]," ",laptop[[#This Row],[CPU_model]])</f>
        <v>Intel Core i5 7200U</v>
      </c>
      <c r="S269">
        <v>1024</v>
      </c>
      <c r="T269">
        <v>0</v>
      </c>
      <c r="U269">
        <f>laptop[[#This Row],[PrimaryStorage]]+laptop[[#This Row],[SecondaryStorage]]</f>
        <v>1024</v>
      </c>
      <c r="V269" t="s">
        <v>51</v>
      </c>
      <c r="W269" t="s">
        <v>27</v>
      </c>
      <c r="X269" t="str">
        <f>IF(laptop[[#This Row],[PrimaryStorageType]]=laptop[[#This Row],[SecondaryStorageType]],laptop[[#This Row],[PrimaryStorageType]],"SSD &amp; HDD")</f>
        <v>SSD &amp; HDD</v>
      </c>
      <c r="Y269" t="s">
        <v>42</v>
      </c>
      <c r="Z269" s="4" t="str">
        <f>_xlfn.CONCAT(laptop[[#This Row],[CPU_company]]," ",laptop[[#This Row],[GPU_model]])</f>
        <v>Intel HD Graphics 620</v>
      </c>
    </row>
    <row r="270" spans="1:26" x14ac:dyDescent="0.25">
      <c r="A270" t="s">
        <v>36</v>
      </c>
      <c r="B270" t="s">
        <v>197</v>
      </c>
      <c r="C270" t="s">
        <v>38</v>
      </c>
      <c r="D270">
        <v>17.3</v>
      </c>
      <c r="E270">
        <v>8</v>
      </c>
      <c r="F270" t="s">
        <v>48</v>
      </c>
      <c r="G270">
        <v>2.5</v>
      </c>
      <c r="H270" s="16">
        <v>1018</v>
      </c>
      <c r="I270" t="s">
        <v>40</v>
      </c>
      <c r="J270">
        <v>1920</v>
      </c>
      <c r="K270">
        <v>1080</v>
      </c>
      <c r="L270" t="s">
        <v>27</v>
      </c>
      <c r="M270" t="s">
        <v>27</v>
      </c>
      <c r="N270" t="s">
        <v>27</v>
      </c>
      <c r="O270" t="s">
        <v>29</v>
      </c>
      <c r="P270">
        <v>1.8</v>
      </c>
      <c r="Q270" t="s">
        <v>57</v>
      </c>
      <c r="R270" t="str">
        <f>_xlfn.CONCAT(laptop[[#This Row],[CPU_company]]," ",laptop[[#This Row],[CPU_model]])</f>
        <v>Intel Core i7 8550U</v>
      </c>
      <c r="S270">
        <v>1024</v>
      </c>
      <c r="T270">
        <v>0</v>
      </c>
      <c r="U270">
        <f>laptop[[#This Row],[PrimaryStorage]]+laptop[[#This Row],[SecondaryStorage]]</f>
        <v>1024</v>
      </c>
      <c r="V270" t="s">
        <v>51</v>
      </c>
      <c r="W270" t="s">
        <v>27</v>
      </c>
      <c r="X270" t="str">
        <f>IF(laptop[[#This Row],[PrimaryStorageType]]=laptop[[#This Row],[SecondaryStorageType]],laptop[[#This Row],[PrimaryStorageType]],"SSD &amp; HDD")</f>
        <v>SSD &amp; HDD</v>
      </c>
      <c r="Y270" t="s">
        <v>115</v>
      </c>
      <c r="Z270" s="4" t="str">
        <f>_xlfn.CONCAT(laptop[[#This Row],[CPU_company]]," ",laptop[[#This Row],[GPU_model]])</f>
        <v xml:space="preserve">Intel GeForce 930MX </v>
      </c>
    </row>
    <row r="271" spans="1:26" x14ac:dyDescent="0.25">
      <c r="A271" t="s">
        <v>73</v>
      </c>
      <c r="B271" t="s">
        <v>306</v>
      </c>
      <c r="C271" t="s">
        <v>38</v>
      </c>
      <c r="D271">
        <v>15.6</v>
      </c>
      <c r="E271">
        <v>8</v>
      </c>
      <c r="F271" t="s">
        <v>48</v>
      </c>
      <c r="G271">
        <v>2.0499999999999998</v>
      </c>
      <c r="H271" s="16">
        <v>880</v>
      </c>
      <c r="I271" t="s">
        <v>40</v>
      </c>
      <c r="J271">
        <v>1920</v>
      </c>
      <c r="K271">
        <v>1080</v>
      </c>
      <c r="L271" t="s">
        <v>27</v>
      </c>
      <c r="M271" t="s">
        <v>27</v>
      </c>
      <c r="N271" t="s">
        <v>27</v>
      </c>
      <c r="O271" t="s">
        <v>29</v>
      </c>
      <c r="P271">
        <v>1.8</v>
      </c>
      <c r="Q271" t="s">
        <v>57</v>
      </c>
      <c r="R271" t="str">
        <f>_xlfn.CONCAT(laptop[[#This Row],[CPU_company]]," ",laptop[[#This Row],[CPU_model]])</f>
        <v>Intel Core i7 8550U</v>
      </c>
      <c r="S271">
        <v>256</v>
      </c>
      <c r="T271">
        <v>0</v>
      </c>
      <c r="U271">
        <f>laptop[[#This Row],[PrimaryStorage]]+laptop[[#This Row],[SecondaryStorage]]</f>
        <v>256</v>
      </c>
      <c r="V271" t="s">
        <v>31</v>
      </c>
      <c r="W271" t="s">
        <v>27</v>
      </c>
      <c r="X271" t="str">
        <f>IF(laptop[[#This Row],[PrimaryStorageType]]=laptop[[#This Row],[SecondaryStorageType]],laptop[[#This Row],[PrimaryStorageType]],"SSD &amp; HDD")</f>
        <v>SSD &amp; HDD</v>
      </c>
      <c r="Y271" t="s">
        <v>61</v>
      </c>
      <c r="Z271" s="4" t="str">
        <f>_xlfn.CONCAT(laptop[[#This Row],[CPU_company]]," ",laptop[[#This Row],[GPU_model]])</f>
        <v>Intel UHD Graphics 620</v>
      </c>
    </row>
    <row r="272" spans="1:26" x14ac:dyDescent="0.25">
      <c r="A272" t="s">
        <v>22</v>
      </c>
      <c r="B272" t="s">
        <v>23</v>
      </c>
      <c r="C272" t="s">
        <v>24</v>
      </c>
      <c r="D272">
        <v>13.3</v>
      </c>
      <c r="E272">
        <v>8</v>
      </c>
      <c r="F272" t="s">
        <v>25</v>
      </c>
      <c r="G272">
        <v>1.37</v>
      </c>
      <c r="H272" s="16">
        <v>1958.9</v>
      </c>
      <c r="I272" t="s">
        <v>26</v>
      </c>
      <c r="J272">
        <v>2560</v>
      </c>
      <c r="K272">
        <v>1600</v>
      </c>
      <c r="L272" t="s">
        <v>27</v>
      </c>
      <c r="M272" t="s">
        <v>28</v>
      </c>
      <c r="N272" t="s">
        <v>28</v>
      </c>
      <c r="O272" t="s">
        <v>29</v>
      </c>
      <c r="P272">
        <v>2.9</v>
      </c>
      <c r="Q272" t="s">
        <v>30</v>
      </c>
      <c r="R272" t="str">
        <f>_xlfn.CONCAT(laptop[[#This Row],[CPU_company]]," ",laptop[[#This Row],[CPU_model]])</f>
        <v>Intel Core i5</v>
      </c>
      <c r="S272">
        <v>512</v>
      </c>
      <c r="T272">
        <v>0</v>
      </c>
      <c r="U272">
        <f>laptop[[#This Row],[PrimaryStorage]]+laptop[[#This Row],[SecondaryStorage]]</f>
        <v>512</v>
      </c>
      <c r="V272" t="s">
        <v>31</v>
      </c>
      <c r="W272" t="s">
        <v>27</v>
      </c>
      <c r="X272" t="str">
        <f>IF(laptop[[#This Row],[PrimaryStorageType]]=laptop[[#This Row],[SecondaryStorageType]],laptop[[#This Row],[PrimaryStorageType]],"SSD &amp; HDD")</f>
        <v>SSD &amp; HDD</v>
      </c>
      <c r="Y272" t="s">
        <v>307</v>
      </c>
      <c r="Z272" s="4" t="str">
        <f>_xlfn.CONCAT(laptop[[#This Row],[CPU_company]]," ",laptop[[#This Row],[GPU_model]])</f>
        <v>Intel Iris Graphics 550</v>
      </c>
    </row>
    <row r="273" spans="1:26" x14ac:dyDescent="0.25">
      <c r="A273" t="s">
        <v>55</v>
      </c>
      <c r="B273" t="s">
        <v>126</v>
      </c>
      <c r="C273" t="s">
        <v>83</v>
      </c>
      <c r="D273">
        <v>17.3</v>
      </c>
      <c r="E273">
        <v>16</v>
      </c>
      <c r="F273" t="s">
        <v>48</v>
      </c>
      <c r="G273">
        <v>3.2</v>
      </c>
      <c r="H273" s="16">
        <v>1549</v>
      </c>
      <c r="I273" t="s">
        <v>40</v>
      </c>
      <c r="J273">
        <v>1920</v>
      </c>
      <c r="K273">
        <v>1080</v>
      </c>
      <c r="L273" t="s">
        <v>27</v>
      </c>
      <c r="M273" t="s">
        <v>27</v>
      </c>
      <c r="N273" t="s">
        <v>27</v>
      </c>
      <c r="O273" t="s">
        <v>49</v>
      </c>
      <c r="P273">
        <v>3</v>
      </c>
      <c r="Q273" t="s">
        <v>127</v>
      </c>
      <c r="R273" t="str">
        <f>_xlfn.CONCAT(laptop[[#This Row],[CPU_company]]," ",laptop[[#This Row],[CPU_model]])</f>
        <v>AMD Ryzen 1700</v>
      </c>
      <c r="S273">
        <v>256</v>
      </c>
      <c r="T273">
        <v>1024</v>
      </c>
      <c r="U273">
        <f>laptop[[#This Row],[PrimaryStorage]]+laptop[[#This Row],[SecondaryStorage]]</f>
        <v>1280</v>
      </c>
      <c r="V273" t="s">
        <v>31</v>
      </c>
      <c r="W273" t="s">
        <v>51</v>
      </c>
      <c r="X273" t="str">
        <f>IF(laptop[[#This Row],[PrimaryStorageType]]=laptop[[#This Row],[SecondaryStorageType]],laptop[[#This Row],[PrimaryStorageType]],"SSD &amp; HDD")</f>
        <v>SSD &amp; HDD</v>
      </c>
      <c r="Y273" t="s">
        <v>128</v>
      </c>
      <c r="Z273" s="4" t="str">
        <f>_xlfn.CONCAT(laptop[[#This Row],[CPU_company]]," ",laptop[[#This Row],[GPU_model]])</f>
        <v>AMD Radeon RX 580</v>
      </c>
    </row>
    <row r="274" spans="1:26" x14ac:dyDescent="0.25">
      <c r="A274" t="s">
        <v>65</v>
      </c>
      <c r="B274" t="s">
        <v>137</v>
      </c>
      <c r="C274" t="s">
        <v>38</v>
      </c>
      <c r="D274">
        <v>15.6</v>
      </c>
      <c r="E274">
        <v>8</v>
      </c>
      <c r="F274" t="s">
        <v>111</v>
      </c>
      <c r="G274">
        <v>2.14</v>
      </c>
      <c r="H274" s="16">
        <v>735.07</v>
      </c>
      <c r="I274" t="s">
        <v>40</v>
      </c>
      <c r="J274">
        <v>1920</v>
      </c>
      <c r="K274">
        <v>1080</v>
      </c>
      <c r="L274" t="s">
        <v>27</v>
      </c>
      <c r="M274" t="s">
        <v>27</v>
      </c>
      <c r="N274" t="s">
        <v>27</v>
      </c>
      <c r="O274" t="s">
        <v>29</v>
      </c>
      <c r="P274">
        <v>1.8</v>
      </c>
      <c r="Q274" t="s">
        <v>57</v>
      </c>
      <c r="R274" t="str">
        <f>_xlfn.CONCAT(laptop[[#This Row],[CPU_company]]," ",laptop[[#This Row],[CPU_model]])</f>
        <v>Intel Core i7 8550U</v>
      </c>
      <c r="S274">
        <v>256</v>
      </c>
      <c r="T274">
        <v>0</v>
      </c>
      <c r="U274">
        <f>laptop[[#This Row],[PrimaryStorage]]+laptop[[#This Row],[SecondaryStorage]]</f>
        <v>256</v>
      </c>
      <c r="V274" t="s">
        <v>31</v>
      </c>
      <c r="W274" t="s">
        <v>27</v>
      </c>
      <c r="X274" t="str">
        <f>IF(laptop[[#This Row],[PrimaryStorageType]]=laptop[[#This Row],[SecondaryStorageType]],laptop[[#This Row],[PrimaryStorageType]],"SSD &amp; HDD")</f>
        <v>SSD &amp; HDD</v>
      </c>
      <c r="Y274" t="s">
        <v>138</v>
      </c>
      <c r="Z274" s="4" t="str">
        <f>_xlfn.CONCAT(laptop[[#This Row],[CPU_company]]," ",laptop[[#This Row],[GPU_model]])</f>
        <v>Intel Radeon 520</v>
      </c>
    </row>
    <row r="275" spans="1:26" x14ac:dyDescent="0.25">
      <c r="A275" t="s">
        <v>73</v>
      </c>
      <c r="B275" t="s">
        <v>308</v>
      </c>
      <c r="C275" t="s">
        <v>90</v>
      </c>
      <c r="D275">
        <v>14</v>
      </c>
      <c r="E275">
        <v>16</v>
      </c>
      <c r="F275" t="s">
        <v>48</v>
      </c>
      <c r="G275">
        <v>1.36</v>
      </c>
      <c r="H275" s="16">
        <v>2499</v>
      </c>
      <c r="I275" t="s">
        <v>26</v>
      </c>
      <c r="J275">
        <v>2560</v>
      </c>
      <c r="K275">
        <v>1440</v>
      </c>
      <c r="L275" t="s">
        <v>28</v>
      </c>
      <c r="M275" t="s">
        <v>27</v>
      </c>
      <c r="N275" t="s">
        <v>27</v>
      </c>
      <c r="O275" t="s">
        <v>29</v>
      </c>
      <c r="P275">
        <v>2.6</v>
      </c>
      <c r="Q275" t="s">
        <v>309</v>
      </c>
      <c r="R275" t="str">
        <f>_xlfn.CONCAT(laptop[[#This Row],[CPU_company]]," ",laptop[[#This Row],[CPU_model]])</f>
        <v>Intel Core i7 6600U</v>
      </c>
      <c r="S275">
        <v>512</v>
      </c>
      <c r="T275">
        <v>0</v>
      </c>
      <c r="U275">
        <f>laptop[[#This Row],[PrimaryStorage]]+laptop[[#This Row],[SecondaryStorage]]</f>
        <v>512</v>
      </c>
      <c r="V275" t="s">
        <v>31</v>
      </c>
      <c r="W275" t="s">
        <v>27</v>
      </c>
      <c r="X275" t="str">
        <f>IF(laptop[[#This Row],[PrimaryStorageType]]=laptop[[#This Row],[SecondaryStorageType]],laptop[[#This Row],[PrimaryStorageType]],"SSD &amp; HDD")</f>
        <v>SSD &amp; HDD</v>
      </c>
      <c r="Y275" t="s">
        <v>63</v>
      </c>
      <c r="Z275" s="4" t="str">
        <f>_xlfn.CONCAT(laptop[[#This Row],[CPU_company]]," ",laptop[[#This Row],[GPU_model]])</f>
        <v>Intel HD Graphics 520</v>
      </c>
    </row>
    <row r="276" spans="1:26" x14ac:dyDescent="0.25">
      <c r="A276" t="s">
        <v>210</v>
      </c>
      <c r="B276" t="s">
        <v>211</v>
      </c>
      <c r="C276" t="s">
        <v>38</v>
      </c>
      <c r="D276">
        <v>15.6</v>
      </c>
      <c r="E276">
        <v>8</v>
      </c>
      <c r="F276" t="s">
        <v>48</v>
      </c>
      <c r="G276">
        <v>2.2000000000000002</v>
      </c>
      <c r="H276" s="16">
        <v>812</v>
      </c>
      <c r="I276" t="s">
        <v>26</v>
      </c>
      <c r="J276">
        <v>1366</v>
      </c>
      <c r="K276">
        <v>768</v>
      </c>
      <c r="L276" t="s">
        <v>27</v>
      </c>
      <c r="M276" t="s">
        <v>27</v>
      </c>
      <c r="N276" t="s">
        <v>27</v>
      </c>
      <c r="O276" t="s">
        <v>29</v>
      </c>
      <c r="P276">
        <v>2.5</v>
      </c>
      <c r="Q276" t="s">
        <v>274</v>
      </c>
      <c r="R276" t="str">
        <f>_xlfn.CONCAT(laptop[[#This Row],[CPU_company]]," ",laptop[[#This Row],[CPU_model]])</f>
        <v>Intel Core i7 6500U</v>
      </c>
      <c r="S276">
        <v>500</v>
      </c>
      <c r="T276">
        <v>0</v>
      </c>
      <c r="U276">
        <f>laptop[[#This Row],[PrimaryStorage]]+laptop[[#This Row],[SecondaryStorage]]</f>
        <v>500</v>
      </c>
      <c r="V276" t="s">
        <v>51</v>
      </c>
      <c r="W276" t="s">
        <v>27</v>
      </c>
      <c r="X276" t="str">
        <f>IF(laptop[[#This Row],[PrimaryStorageType]]=laptop[[#This Row],[SecondaryStorageType]],laptop[[#This Row],[PrimaryStorageType]],"SSD &amp; HDD")</f>
        <v>SSD &amp; HDD</v>
      </c>
      <c r="Y276" t="s">
        <v>310</v>
      </c>
      <c r="Z276" s="4" t="str">
        <f>_xlfn.CONCAT(laptop[[#This Row],[CPU_company]]," ",laptop[[#This Row],[GPU_model]])</f>
        <v>Intel GeForce 930M</v>
      </c>
    </row>
    <row r="277" spans="1:26" x14ac:dyDescent="0.25">
      <c r="A277" t="s">
        <v>65</v>
      </c>
      <c r="B277" t="s">
        <v>200</v>
      </c>
      <c r="C277" t="s">
        <v>38</v>
      </c>
      <c r="D277">
        <v>15.6</v>
      </c>
      <c r="E277">
        <v>12</v>
      </c>
      <c r="F277" t="s">
        <v>48</v>
      </c>
      <c r="G277">
        <v>2.2999999999999998</v>
      </c>
      <c r="H277" s="16">
        <v>713.07</v>
      </c>
      <c r="I277" t="s">
        <v>26</v>
      </c>
      <c r="J277">
        <v>1366</v>
      </c>
      <c r="K277">
        <v>768</v>
      </c>
      <c r="L277" t="s">
        <v>27</v>
      </c>
      <c r="M277" t="s">
        <v>27</v>
      </c>
      <c r="N277" t="s">
        <v>27</v>
      </c>
      <c r="O277" t="s">
        <v>29</v>
      </c>
      <c r="P277">
        <v>2.7</v>
      </c>
      <c r="Q277" t="s">
        <v>71</v>
      </c>
      <c r="R277" t="str">
        <f>_xlfn.CONCAT(laptop[[#This Row],[CPU_company]]," ",laptop[[#This Row],[CPU_model]])</f>
        <v>Intel Core i7 7500U</v>
      </c>
      <c r="S277">
        <v>1024</v>
      </c>
      <c r="T277">
        <v>0</v>
      </c>
      <c r="U277">
        <f>laptop[[#This Row],[PrimaryStorage]]+laptop[[#This Row],[SecondaryStorage]]</f>
        <v>1024</v>
      </c>
      <c r="V277" t="s">
        <v>51</v>
      </c>
      <c r="W277" t="s">
        <v>27</v>
      </c>
      <c r="X277" t="str">
        <f>IF(laptop[[#This Row],[PrimaryStorageType]]=laptop[[#This Row],[SecondaryStorageType]],laptop[[#This Row],[PrimaryStorageType]],"SSD &amp; HDD")</f>
        <v>SSD &amp; HDD</v>
      </c>
      <c r="Y277" t="s">
        <v>42</v>
      </c>
      <c r="Z277" s="4" t="str">
        <f>_xlfn.CONCAT(laptop[[#This Row],[CPU_company]]," ",laptop[[#This Row],[GPU_model]])</f>
        <v>Intel HD Graphics 620</v>
      </c>
    </row>
    <row r="278" spans="1:26" x14ac:dyDescent="0.25">
      <c r="A278" t="s">
        <v>65</v>
      </c>
      <c r="B278" t="s">
        <v>113</v>
      </c>
      <c r="C278" t="s">
        <v>38</v>
      </c>
      <c r="D278">
        <v>17.3</v>
      </c>
      <c r="E278">
        <v>8</v>
      </c>
      <c r="F278" t="s">
        <v>111</v>
      </c>
      <c r="G278">
        <v>2.8</v>
      </c>
      <c r="H278" s="16">
        <v>1099</v>
      </c>
      <c r="I278" t="s">
        <v>40</v>
      </c>
      <c r="J278">
        <v>1920</v>
      </c>
      <c r="K278">
        <v>1080</v>
      </c>
      <c r="L278" t="s">
        <v>27</v>
      </c>
      <c r="M278" t="s">
        <v>27</v>
      </c>
      <c r="N278" t="s">
        <v>27</v>
      </c>
      <c r="O278" t="s">
        <v>29</v>
      </c>
      <c r="P278">
        <v>1.8</v>
      </c>
      <c r="Q278" t="s">
        <v>57</v>
      </c>
      <c r="R278" t="str">
        <f>_xlfn.CONCAT(laptop[[#This Row],[CPU_company]]," ",laptop[[#This Row],[CPU_model]])</f>
        <v>Intel Core i7 8550U</v>
      </c>
      <c r="S278">
        <v>128</v>
      </c>
      <c r="T278">
        <v>1024</v>
      </c>
      <c r="U278">
        <f>laptop[[#This Row],[PrimaryStorage]]+laptop[[#This Row],[SecondaryStorage]]</f>
        <v>1152</v>
      </c>
      <c r="V278" t="s">
        <v>31</v>
      </c>
      <c r="W278" t="s">
        <v>51</v>
      </c>
      <c r="X278" t="str">
        <f>IF(laptop[[#This Row],[PrimaryStorageType]]=laptop[[#This Row],[SecondaryStorageType]],laptop[[#This Row],[PrimaryStorageType]],"SSD &amp; HDD")</f>
        <v>SSD &amp; HDD</v>
      </c>
      <c r="Y278" t="s">
        <v>94</v>
      </c>
      <c r="Z278" s="4" t="str">
        <f>_xlfn.CONCAT(laptop[[#This Row],[CPU_company]]," ",laptop[[#This Row],[GPU_model]])</f>
        <v>Intel Radeon 530</v>
      </c>
    </row>
    <row r="279" spans="1:26" x14ac:dyDescent="0.25">
      <c r="A279" t="s">
        <v>46</v>
      </c>
      <c r="B279" t="s">
        <v>121</v>
      </c>
      <c r="C279" t="s">
        <v>38</v>
      </c>
      <c r="D279">
        <v>15.6</v>
      </c>
      <c r="E279">
        <v>8</v>
      </c>
      <c r="F279" t="s">
        <v>48</v>
      </c>
      <c r="G279">
        <v>2.2000000000000002</v>
      </c>
      <c r="H279" s="16">
        <v>745</v>
      </c>
      <c r="I279" t="s">
        <v>40</v>
      </c>
      <c r="J279">
        <v>1920</v>
      </c>
      <c r="K279">
        <v>1080</v>
      </c>
      <c r="L279" t="s">
        <v>27</v>
      </c>
      <c r="M279" t="s">
        <v>28</v>
      </c>
      <c r="N279" t="s">
        <v>27</v>
      </c>
      <c r="O279" t="s">
        <v>29</v>
      </c>
      <c r="P279">
        <v>1.8</v>
      </c>
      <c r="Q279" t="s">
        <v>57</v>
      </c>
      <c r="R279" t="str">
        <f>_xlfn.CONCAT(laptop[[#This Row],[CPU_company]]," ",laptop[[#This Row],[CPU_model]])</f>
        <v>Intel Core i7 8550U</v>
      </c>
      <c r="S279">
        <v>1024</v>
      </c>
      <c r="T279">
        <v>0</v>
      </c>
      <c r="U279">
        <f>laptop[[#This Row],[PrimaryStorage]]+laptop[[#This Row],[SecondaryStorage]]</f>
        <v>1024</v>
      </c>
      <c r="V279" t="s">
        <v>51</v>
      </c>
      <c r="W279" t="s">
        <v>27</v>
      </c>
      <c r="X279" t="str">
        <f>IF(laptop[[#This Row],[PrimaryStorageType]]=laptop[[#This Row],[SecondaryStorageType]],laptop[[#This Row],[PrimaryStorageType]],"SSD &amp; HDD")</f>
        <v>SSD &amp; HDD</v>
      </c>
      <c r="Y279" t="s">
        <v>163</v>
      </c>
      <c r="Z279" s="4" t="str">
        <f>_xlfn.CONCAT(laptop[[#This Row],[CPU_company]]," ",laptop[[#This Row],[GPU_model]])</f>
        <v>Intel GeForce MX130</v>
      </c>
    </row>
    <row r="280" spans="1:26" x14ac:dyDescent="0.25">
      <c r="A280" t="s">
        <v>73</v>
      </c>
      <c r="B280" t="s">
        <v>311</v>
      </c>
      <c r="C280" t="s">
        <v>38</v>
      </c>
      <c r="D280">
        <v>17.3</v>
      </c>
      <c r="E280">
        <v>4</v>
      </c>
      <c r="F280" t="s">
        <v>48</v>
      </c>
      <c r="G280">
        <v>2.8</v>
      </c>
      <c r="H280" s="16">
        <v>489</v>
      </c>
      <c r="I280" t="s">
        <v>26</v>
      </c>
      <c r="J280">
        <v>1600</v>
      </c>
      <c r="K280">
        <v>900</v>
      </c>
      <c r="L280" t="s">
        <v>27</v>
      </c>
      <c r="M280" t="s">
        <v>27</v>
      </c>
      <c r="N280" t="s">
        <v>27</v>
      </c>
      <c r="O280" t="s">
        <v>29</v>
      </c>
      <c r="P280">
        <v>2</v>
      </c>
      <c r="Q280" t="s">
        <v>62</v>
      </c>
      <c r="R280" t="str">
        <f>_xlfn.CONCAT(laptop[[#This Row],[CPU_company]]," ",laptop[[#This Row],[CPU_model]])</f>
        <v>Intel Core i3 6006U</v>
      </c>
      <c r="S280">
        <v>1024</v>
      </c>
      <c r="T280">
        <v>0</v>
      </c>
      <c r="U280">
        <f>laptop[[#This Row],[PrimaryStorage]]+laptop[[#This Row],[SecondaryStorage]]</f>
        <v>1024</v>
      </c>
      <c r="V280" t="s">
        <v>51</v>
      </c>
      <c r="W280" t="s">
        <v>27</v>
      </c>
      <c r="X280" t="str">
        <f>IF(laptop[[#This Row],[PrimaryStorageType]]=laptop[[#This Row],[SecondaryStorageType]],laptop[[#This Row],[PrimaryStorageType]],"SSD &amp; HDD")</f>
        <v>SSD &amp; HDD</v>
      </c>
      <c r="Y280" t="s">
        <v>63</v>
      </c>
      <c r="Z280" s="4" t="str">
        <f>_xlfn.CONCAT(laptop[[#This Row],[CPU_company]]," ",laptop[[#This Row],[GPU_model]])</f>
        <v>Intel HD Graphics 520</v>
      </c>
    </row>
    <row r="281" spans="1:26" x14ac:dyDescent="0.25">
      <c r="A281" t="s">
        <v>73</v>
      </c>
      <c r="B281" t="s">
        <v>255</v>
      </c>
      <c r="C281" t="s">
        <v>38</v>
      </c>
      <c r="D281">
        <v>17.3</v>
      </c>
      <c r="E281">
        <v>8</v>
      </c>
      <c r="F281" t="s">
        <v>39</v>
      </c>
      <c r="G281">
        <v>2.8</v>
      </c>
      <c r="H281" s="16">
        <v>849</v>
      </c>
      <c r="I281" t="s">
        <v>40</v>
      </c>
      <c r="J281">
        <v>1920</v>
      </c>
      <c r="K281">
        <v>1080</v>
      </c>
      <c r="L281" t="s">
        <v>27</v>
      </c>
      <c r="M281" t="s">
        <v>27</v>
      </c>
      <c r="N281" t="s">
        <v>27</v>
      </c>
      <c r="O281" t="s">
        <v>29</v>
      </c>
      <c r="P281">
        <v>1.8</v>
      </c>
      <c r="Q281" t="s">
        <v>57</v>
      </c>
      <c r="R281" t="str">
        <f>_xlfn.CONCAT(laptop[[#This Row],[CPU_company]]," ",laptop[[#This Row],[CPU_model]])</f>
        <v>Intel Core i7 8550U</v>
      </c>
      <c r="S281">
        <v>2048</v>
      </c>
      <c r="T281">
        <v>0</v>
      </c>
      <c r="U281">
        <f>laptop[[#This Row],[PrimaryStorage]]+laptop[[#This Row],[SecondaryStorage]]</f>
        <v>2048</v>
      </c>
      <c r="V281" t="s">
        <v>51</v>
      </c>
      <c r="W281" t="s">
        <v>27</v>
      </c>
      <c r="X281" t="str">
        <f>IF(laptop[[#This Row],[PrimaryStorageType]]=laptop[[#This Row],[SecondaryStorageType]],laptop[[#This Row],[PrimaryStorageType]],"SSD &amp; HDD")</f>
        <v>SSD &amp; HDD</v>
      </c>
      <c r="Y281" t="s">
        <v>58</v>
      </c>
      <c r="Z281" s="4" t="str">
        <f>_xlfn.CONCAT(laptop[[#This Row],[CPU_company]]," ",laptop[[#This Row],[GPU_model]])</f>
        <v>Intel GeForce MX150</v>
      </c>
    </row>
    <row r="282" spans="1:26" x14ac:dyDescent="0.25">
      <c r="A282" t="s">
        <v>73</v>
      </c>
      <c r="B282" t="s">
        <v>271</v>
      </c>
      <c r="C282" t="s">
        <v>38</v>
      </c>
      <c r="D282">
        <v>17.3</v>
      </c>
      <c r="E282">
        <v>6</v>
      </c>
      <c r="F282" t="s">
        <v>48</v>
      </c>
      <c r="G282">
        <v>2.8</v>
      </c>
      <c r="H282" s="16">
        <v>859</v>
      </c>
      <c r="I282" t="s">
        <v>26</v>
      </c>
      <c r="J282">
        <v>1600</v>
      </c>
      <c r="K282">
        <v>900</v>
      </c>
      <c r="L282" t="s">
        <v>27</v>
      </c>
      <c r="M282" t="s">
        <v>27</v>
      </c>
      <c r="N282" t="s">
        <v>27</v>
      </c>
      <c r="O282" t="s">
        <v>29</v>
      </c>
      <c r="P282">
        <v>2.7</v>
      </c>
      <c r="Q282" t="s">
        <v>71</v>
      </c>
      <c r="R282" t="str">
        <f>_xlfn.CONCAT(laptop[[#This Row],[CPU_company]]," ",laptop[[#This Row],[CPU_model]])</f>
        <v>Intel Core i7 7500U</v>
      </c>
      <c r="S282">
        <v>128</v>
      </c>
      <c r="T282">
        <v>1024</v>
      </c>
      <c r="U282">
        <f>laptop[[#This Row],[PrimaryStorage]]+laptop[[#This Row],[SecondaryStorage]]</f>
        <v>1152</v>
      </c>
      <c r="V282" t="s">
        <v>31</v>
      </c>
      <c r="W282" t="s">
        <v>51</v>
      </c>
      <c r="X282" t="str">
        <f>IF(laptop[[#This Row],[PrimaryStorageType]]=laptop[[#This Row],[SecondaryStorageType]],laptop[[#This Row],[PrimaryStorageType]],"SSD &amp; HDD")</f>
        <v>SSD &amp; HDD</v>
      </c>
      <c r="Y282" t="s">
        <v>76</v>
      </c>
      <c r="Z282" s="4" t="str">
        <f>_xlfn.CONCAT(laptop[[#This Row],[CPU_company]]," ",laptop[[#This Row],[GPU_model]])</f>
        <v>Intel GeForce 940MX</v>
      </c>
    </row>
    <row r="283" spans="1:26" x14ac:dyDescent="0.25">
      <c r="A283" t="s">
        <v>65</v>
      </c>
      <c r="B283" t="s">
        <v>66</v>
      </c>
      <c r="C283" t="s">
        <v>38</v>
      </c>
      <c r="D283">
        <v>15.6</v>
      </c>
      <c r="E283">
        <v>4</v>
      </c>
      <c r="F283" t="s">
        <v>111</v>
      </c>
      <c r="G283">
        <v>2.25</v>
      </c>
      <c r="H283" s="16">
        <v>428</v>
      </c>
      <c r="I283" t="s">
        <v>40</v>
      </c>
      <c r="J283">
        <v>1920</v>
      </c>
      <c r="K283">
        <v>1080</v>
      </c>
      <c r="L283" t="s">
        <v>27</v>
      </c>
      <c r="M283" t="s">
        <v>27</v>
      </c>
      <c r="N283" t="s">
        <v>27</v>
      </c>
      <c r="O283" t="s">
        <v>29</v>
      </c>
      <c r="P283">
        <v>2</v>
      </c>
      <c r="Q283" t="s">
        <v>62</v>
      </c>
      <c r="R283" t="str">
        <f>_xlfn.CONCAT(laptop[[#This Row],[CPU_company]]," ",laptop[[#This Row],[CPU_model]])</f>
        <v>Intel Core i3 6006U</v>
      </c>
      <c r="S283">
        <v>1024</v>
      </c>
      <c r="T283">
        <v>0</v>
      </c>
      <c r="U283">
        <f>laptop[[#This Row],[PrimaryStorage]]+laptop[[#This Row],[SecondaryStorage]]</f>
        <v>1024</v>
      </c>
      <c r="V283" t="s">
        <v>51</v>
      </c>
      <c r="W283" t="s">
        <v>27</v>
      </c>
      <c r="X283" t="str">
        <f>IF(laptop[[#This Row],[PrimaryStorageType]]=laptop[[#This Row],[SecondaryStorageType]],laptop[[#This Row],[PrimaryStorageType]],"SSD &amp; HDD")</f>
        <v>SSD &amp; HDD</v>
      </c>
      <c r="Y283" t="s">
        <v>67</v>
      </c>
      <c r="Z283" s="4" t="str">
        <f>_xlfn.CONCAT(laptop[[#This Row],[CPU_company]]," ",laptop[[#This Row],[GPU_model]])</f>
        <v>Intel Radeon R5 M430</v>
      </c>
    </row>
    <row r="284" spans="1:26" x14ac:dyDescent="0.25">
      <c r="A284" t="s">
        <v>73</v>
      </c>
      <c r="B284" t="s">
        <v>82</v>
      </c>
      <c r="C284" t="s">
        <v>83</v>
      </c>
      <c r="D284">
        <v>15.6</v>
      </c>
      <c r="E284">
        <v>8</v>
      </c>
      <c r="F284" t="s">
        <v>48</v>
      </c>
      <c r="G284">
        <v>2.5</v>
      </c>
      <c r="H284" s="16">
        <v>829</v>
      </c>
      <c r="I284" t="s">
        <v>40</v>
      </c>
      <c r="J284">
        <v>1920</v>
      </c>
      <c r="K284">
        <v>1080</v>
      </c>
      <c r="L284" t="s">
        <v>27</v>
      </c>
      <c r="M284" t="s">
        <v>28</v>
      </c>
      <c r="N284" t="s">
        <v>27</v>
      </c>
      <c r="O284" t="s">
        <v>29</v>
      </c>
      <c r="P284">
        <v>2.5</v>
      </c>
      <c r="Q284" t="s">
        <v>84</v>
      </c>
      <c r="R284" t="str">
        <f>_xlfn.CONCAT(laptop[[#This Row],[CPU_company]]," ",laptop[[#This Row],[CPU_model]])</f>
        <v>Intel Core i5 7300HQ</v>
      </c>
      <c r="S284">
        <v>256</v>
      </c>
      <c r="T284">
        <v>0</v>
      </c>
      <c r="U284">
        <f>laptop[[#This Row],[PrimaryStorage]]+laptop[[#This Row],[SecondaryStorage]]</f>
        <v>256</v>
      </c>
      <c r="V284" t="s">
        <v>31</v>
      </c>
      <c r="W284" t="s">
        <v>27</v>
      </c>
      <c r="X284" t="str">
        <f>IF(laptop[[#This Row],[PrimaryStorageType]]=laptop[[#This Row],[SecondaryStorageType]],laptop[[#This Row],[PrimaryStorageType]],"SSD &amp; HDD")</f>
        <v>SSD &amp; HDD</v>
      </c>
      <c r="Y284" t="s">
        <v>85</v>
      </c>
      <c r="Z284" s="4" t="str">
        <f>_xlfn.CONCAT(laptop[[#This Row],[CPU_company]]," ",laptop[[#This Row],[GPU_model]])</f>
        <v>Intel GeForce GTX 1050</v>
      </c>
    </row>
    <row r="285" spans="1:26" x14ac:dyDescent="0.25">
      <c r="A285" t="s">
        <v>73</v>
      </c>
      <c r="B285" t="s">
        <v>312</v>
      </c>
      <c r="C285" t="s">
        <v>38</v>
      </c>
      <c r="D285">
        <v>15.6</v>
      </c>
      <c r="E285">
        <v>6</v>
      </c>
      <c r="F285" t="s">
        <v>48</v>
      </c>
      <c r="G285">
        <v>2.2000000000000002</v>
      </c>
      <c r="H285" s="16">
        <v>579</v>
      </c>
      <c r="I285" t="s">
        <v>40</v>
      </c>
      <c r="J285">
        <v>1920</v>
      </c>
      <c r="K285">
        <v>1080</v>
      </c>
      <c r="L285" t="s">
        <v>27</v>
      </c>
      <c r="M285" t="s">
        <v>27</v>
      </c>
      <c r="N285" t="s">
        <v>27</v>
      </c>
      <c r="O285" t="s">
        <v>29</v>
      </c>
      <c r="P285">
        <v>2.5</v>
      </c>
      <c r="Q285" t="s">
        <v>41</v>
      </c>
      <c r="R285" t="str">
        <f>_xlfn.CONCAT(laptop[[#This Row],[CPU_company]]," ",laptop[[#This Row],[CPU_model]])</f>
        <v>Intel Core i5 7200U</v>
      </c>
      <c r="S285">
        <v>256</v>
      </c>
      <c r="T285">
        <v>0</v>
      </c>
      <c r="U285">
        <f>laptop[[#This Row],[PrimaryStorage]]+laptop[[#This Row],[SecondaryStorage]]</f>
        <v>256</v>
      </c>
      <c r="V285" t="s">
        <v>31</v>
      </c>
      <c r="W285" t="s">
        <v>27</v>
      </c>
      <c r="X285" t="str">
        <f>IF(laptop[[#This Row],[PrimaryStorageType]]=laptop[[#This Row],[SecondaryStorageType]],laptop[[#This Row],[PrimaryStorageType]],"SSD &amp; HDD")</f>
        <v>SSD &amp; HDD</v>
      </c>
      <c r="Y285" t="s">
        <v>42</v>
      </c>
      <c r="Z285" s="4" t="str">
        <f>_xlfn.CONCAT(laptop[[#This Row],[CPU_company]]," ",laptop[[#This Row],[GPU_model]])</f>
        <v>Intel HD Graphics 620</v>
      </c>
    </row>
    <row r="286" spans="1:26" x14ac:dyDescent="0.25">
      <c r="A286" t="s">
        <v>46</v>
      </c>
      <c r="B286" t="s">
        <v>234</v>
      </c>
      <c r="C286" t="s">
        <v>38</v>
      </c>
      <c r="D286">
        <v>15.6</v>
      </c>
      <c r="E286">
        <v>8</v>
      </c>
      <c r="F286" t="s">
        <v>48</v>
      </c>
      <c r="G286">
        <v>3</v>
      </c>
      <c r="H286" s="16">
        <v>951</v>
      </c>
      <c r="I286" t="s">
        <v>40</v>
      </c>
      <c r="J286">
        <v>1920</v>
      </c>
      <c r="K286">
        <v>1080</v>
      </c>
      <c r="L286" t="s">
        <v>27</v>
      </c>
      <c r="M286" t="s">
        <v>28</v>
      </c>
      <c r="N286" t="s">
        <v>27</v>
      </c>
      <c r="O286" t="s">
        <v>29</v>
      </c>
      <c r="P286">
        <v>1.8</v>
      </c>
      <c r="Q286" t="s">
        <v>57</v>
      </c>
      <c r="R286" t="str">
        <f>_xlfn.CONCAT(laptop[[#This Row],[CPU_company]]," ",laptop[[#This Row],[CPU_model]])</f>
        <v>Intel Core i7 8550U</v>
      </c>
      <c r="S286">
        <v>256</v>
      </c>
      <c r="T286">
        <v>0</v>
      </c>
      <c r="U286">
        <f>laptop[[#This Row],[PrimaryStorage]]+laptop[[#This Row],[SecondaryStorage]]</f>
        <v>256</v>
      </c>
      <c r="V286" t="s">
        <v>31</v>
      </c>
      <c r="W286" t="s">
        <v>27</v>
      </c>
      <c r="X286" t="str">
        <f>IF(laptop[[#This Row],[PrimaryStorageType]]=laptop[[#This Row],[SecondaryStorageType]],laptop[[#This Row],[PrimaryStorageType]],"SSD &amp; HDD")</f>
        <v>SSD &amp; HDD</v>
      </c>
      <c r="Y286" t="s">
        <v>58</v>
      </c>
      <c r="Z286" s="4" t="str">
        <f>_xlfn.CONCAT(laptop[[#This Row],[CPU_company]]," ",laptop[[#This Row],[GPU_model]])</f>
        <v>Intel GeForce MX150</v>
      </c>
    </row>
    <row r="287" spans="1:26" x14ac:dyDescent="0.25">
      <c r="A287" t="s">
        <v>46</v>
      </c>
      <c r="B287" t="s">
        <v>313</v>
      </c>
      <c r="C287" t="s">
        <v>38</v>
      </c>
      <c r="D287">
        <v>15.6</v>
      </c>
      <c r="E287">
        <v>12</v>
      </c>
      <c r="F287" t="s">
        <v>48</v>
      </c>
      <c r="G287">
        <v>2.15</v>
      </c>
      <c r="H287" s="16">
        <v>659</v>
      </c>
      <c r="I287" t="s">
        <v>40</v>
      </c>
      <c r="J287">
        <v>1920</v>
      </c>
      <c r="K287">
        <v>1080</v>
      </c>
      <c r="L287" t="s">
        <v>28</v>
      </c>
      <c r="M287" t="s">
        <v>28</v>
      </c>
      <c r="N287" t="s">
        <v>27</v>
      </c>
      <c r="O287" t="s">
        <v>29</v>
      </c>
      <c r="P287">
        <v>2.7</v>
      </c>
      <c r="Q287" t="s">
        <v>71</v>
      </c>
      <c r="R287" t="str">
        <f>_xlfn.CONCAT(laptop[[#This Row],[CPU_company]]," ",laptop[[#This Row],[CPU_model]])</f>
        <v>Intel Core i7 7500U</v>
      </c>
      <c r="S287">
        <v>1024</v>
      </c>
      <c r="T287">
        <v>0</v>
      </c>
      <c r="U287">
        <f>laptop[[#This Row],[PrimaryStorage]]+laptop[[#This Row],[SecondaryStorage]]</f>
        <v>1024</v>
      </c>
      <c r="V287" t="s">
        <v>51</v>
      </c>
      <c r="W287" t="s">
        <v>27</v>
      </c>
      <c r="X287" t="str">
        <f>IF(laptop[[#This Row],[PrimaryStorageType]]=laptop[[#This Row],[SecondaryStorageType]],laptop[[#This Row],[PrimaryStorageType]],"SSD &amp; HDD")</f>
        <v>SSD &amp; HDD</v>
      </c>
      <c r="Y287" t="s">
        <v>42</v>
      </c>
      <c r="Z287" s="4" t="str">
        <f>_xlfn.CONCAT(laptop[[#This Row],[CPU_company]]," ",laptop[[#This Row],[GPU_model]])</f>
        <v>Intel HD Graphics 620</v>
      </c>
    </row>
    <row r="288" spans="1:26" x14ac:dyDescent="0.25">
      <c r="A288" t="s">
        <v>73</v>
      </c>
      <c r="B288" t="s">
        <v>314</v>
      </c>
      <c r="C288" t="s">
        <v>38</v>
      </c>
      <c r="D288">
        <v>15.6</v>
      </c>
      <c r="E288">
        <v>8</v>
      </c>
      <c r="F288" t="s">
        <v>48</v>
      </c>
      <c r="G288">
        <v>1.95</v>
      </c>
      <c r="H288" s="16">
        <v>1097</v>
      </c>
      <c r="I288" t="s">
        <v>40</v>
      </c>
      <c r="J288">
        <v>1920</v>
      </c>
      <c r="K288">
        <v>1080</v>
      </c>
      <c r="L288" t="s">
        <v>27</v>
      </c>
      <c r="M288" t="s">
        <v>28</v>
      </c>
      <c r="N288" t="s">
        <v>27</v>
      </c>
      <c r="O288" t="s">
        <v>29</v>
      </c>
      <c r="P288">
        <v>2.7</v>
      </c>
      <c r="Q288" t="s">
        <v>71</v>
      </c>
      <c r="R288" t="str">
        <f>_xlfn.CONCAT(laptop[[#This Row],[CPU_company]]," ",laptop[[#This Row],[CPU_model]])</f>
        <v>Intel Core i7 7500U</v>
      </c>
      <c r="S288">
        <v>256</v>
      </c>
      <c r="T288">
        <v>0</v>
      </c>
      <c r="U288">
        <f>laptop[[#This Row],[PrimaryStorage]]+laptop[[#This Row],[SecondaryStorage]]</f>
        <v>256</v>
      </c>
      <c r="V288" t="s">
        <v>31</v>
      </c>
      <c r="W288" t="s">
        <v>27</v>
      </c>
      <c r="X288" t="str">
        <f>IF(laptop[[#This Row],[PrimaryStorageType]]=laptop[[#This Row],[SecondaryStorageType]],laptop[[#This Row],[PrimaryStorageType]],"SSD &amp; HDD")</f>
        <v>SSD &amp; HDD</v>
      </c>
      <c r="Y288" t="s">
        <v>315</v>
      </c>
      <c r="Z288" s="4" t="str">
        <f>_xlfn.CONCAT(laptop[[#This Row],[CPU_company]]," ",laptop[[#This Row],[GPU_model]])</f>
        <v>Intel HD Graphics 630</v>
      </c>
    </row>
    <row r="289" spans="1:26" x14ac:dyDescent="0.25">
      <c r="A289" t="s">
        <v>55</v>
      </c>
      <c r="B289" t="s">
        <v>188</v>
      </c>
      <c r="C289" t="s">
        <v>24</v>
      </c>
      <c r="D289">
        <v>15.6</v>
      </c>
      <c r="E289">
        <v>8</v>
      </c>
      <c r="F289" t="s">
        <v>48</v>
      </c>
      <c r="G289">
        <v>1.7</v>
      </c>
      <c r="H289" s="16">
        <v>977</v>
      </c>
      <c r="I289" t="s">
        <v>40</v>
      </c>
      <c r="J289">
        <v>1920</v>
      </c>
      <c r="K289">
        <v>1080</v>
      </c>
      <c r="L289" t="s">
        <v>27</v>
      </c>
      <c r="M289" t="s">
        <v>27</v>
      </c>
      <c r="N289" t="s">
        <v>27</v>
      </c>
      <c r="O289" t="s">
        <v>29</v>
      </c>
      <c r="P289">
        <v>2.5</v>
      </c>
      <c r="Q289" t="s">
        <v>41</v>
      </c>
      <c r="R289" t="str">
        <f>_xlfn.CONCAT(laptop[[#This Row],[CPU_company]]," ",laptop[[#This Row],[CPU_model]])</f>
        <v>Intel Core i5 7200U</v>
      </c>
      <c r="S289">
        <v>256</v>
      </c>
      <c r="T289">
        <v>0</v>
      </c>
      <c r="U289">
        <f>laptop[[#This Row],[PrimaryStorage]]+laptop[[#This Row],[SecondaryStorage]]</f>
        <v>256</v>
      </c>
      <c r="V289" t="s">
        <v>31</v>
      </c>
      <c r="W289" t="s">
        <v>27</v>
      </c>
      <c r="X289" t="str">
        <f>IF(laptop[[#This Row],[PrimaryStorageType]]=laptop[[#This Row],[SecondaryStorageType]],laptop[[#This Row],[PrimaryStorageType]],"SSD &amp; HDD")</f>
        <v>SSD &amp; HDD</v>
      </c>
      <c r="Y289" t="s">
        <v>76</v>
      </c>
      <c r="Z289" s="4" t="str">
        <f>_xlfn.CONCAT(laptop[[#This Row],[CPU_company]]," ",laptop[[#This Row],[GPU_model]])</f>
        <v>Intel GeForce 940MX</v>
      </c>
    </row>
    <row r="290" spans="1:26" x14ac:dyDescent="0.25">
      <c r="A290" t="s">
        <v>73</v>
      </c>
      <c r="B290" t="s">
        <v>82</v>
      </c>
      <c r="C290" t="s">
        <v>83</v>
      </c>
      <c r="D290">
        <v>15.6</v>
      </c>
      <c r="E290">
        <v>16</v>
      </c>
      <c r="F290" t="s">
        <v>48</v>
      </c>
      <c r="G290">
        <v>2.5</v>
      </c>
      <c r="H290" s="16">
        <v>1179</v>
      </c>
      <c r="I290" t="s">
        <v>40</v>
      </c>
      <c r="J290">
        <v>1920</v>
      </c>
      <c r="K290">
        <v>1080</v>
      </c>
      <c r="L290" t="s">
        <v>27</v>
      </c>
      <c r="M290" t="s">
        <v>28</v>
      </c>
      <c r="N290" t="s">
        <v>27</v>
      </c>
      <c r="O290" t="s">
        <v>29</v>
      </c>
      <c r="P290">
        <v>2.8</v>
      </c>
      <c r="Q290" t="s">
        <v>118</v>
      </c>
      <c r="R290" t="str">
        <f>_xlfn.CONCAT(laptop[[#This Row],[CPU_company]]," ",laptop[[#This Row],[CPU_model]])</f>
        <v>Intel Core i7 7700HQ</v>
      </c>
      <c r="S290">
        <v>256</v>
      </c>
      <c r="T290">
        <v>1024</v>
      </c>
      <c r="U290">
        <f>laptop[[#This Row],[PrimaryStorage]]+laptop[[#This Row],[SecondaryStorage]]</f>
        <v>1280</v>
      </c>
      <c r="V290" t="s">
        <v>31</v>
      </c>
      <c r="W290" t="s">
        <v>51</v>
      </c>
      <c r="X290" t="str">
        <f>IF(laptop[[#This Row],[PrimaryStorageType]]=laptop[[#This Row],[SecondaryStorageType]],laptop[[#This Row],[PrimaryStorageType]],"SSD &amp; HDD")</f>
        <v>SSD &amp; HDD</v>
      </c>
      <c r="Y290" t="s">
        <v>149</v>
      </c>
      <c r="Z290" s="4" t="str">
        <f>_xlfn.CONCAT(laptop[[#This Row],[CPU_company]]," ",laptop[[#This Row],[GPU_model]])</f>
        <v>Intel GeForce GTX 1050 Ti</v>
      </c>
    </row>
    <row r="291" spans="1:26" x14ac:dyDescent="0.25">
      <c r="A291" t="s">
        <v>73</v>
      </c>
      <c r="B291" t="s">
        <v>74</v>
      </c>
      <c r="C291" t="s">
        <v>38</v>
      </c>
      <c r="D291">
        <v>15.6</v>
      </c>
      <c r="E291">
        <v>8</v>
      </c>
      <c r="F291" t="s">
        <v>39</v>
      </c>
      <c r="G291">
        <v>2.2000000000000002</v>
      </c>
      <c r="H291" s="16">
        <v>659.01</v>
      </c>
      <c r="I291" t="s">
        <v>40</v>
      </c>
      <c r="J291">
        <v>1920</v>
      </c>
      <c r="K291">
        <v>1080</v>
      </c>
      <c r="L291" t="s">
        <v>27</v>
      </c>
      <c r="M291" t="s">
        <v>27</v>
      </c>
      <c r="N291" t="s">
        <v>27</v>
      </c>
      <c r="O291" t="s">
        <v>29</v>
      </c>
      <c r="P291">
        <v>2.7</v>
      </c>
      <c r="Q291" t="s">
        <v>71</v>
      </c>
      <c r="R291" t="str">
        <f>_xlfn.CONCAT(laptop[[#This Row],[CPU_company]]," ",laptop[[#This Row],[CPU_model]])</f>
        <v>Intel Core i7 7500U</v>
      </c>
      <c r="S291">
        <v>1024</v>
      </c>
      <c r="T291">
        <v>0</v>
      </c>
      <c r="U291">
        <f>laptop[[#This Row],[PrimaryStorage]]+laptop[[#This Row],[SecondaryStorage]]</f>
        <v>1024</v>
      </c>
      <c r="V291" t="s">
        <v>51</v>
      </c>
      <c r="W291" t="s">
        <v>27</v>
      </c>
      <c r="X291" t="str">
        <f>IF(laptop[[#This Row],[PrimaryStorageType]]=laptop[[#This Row],[SecondaryStorageType]],laptop[[#This Row],[PrimaryStorageType]],"SSD &amp; HDD")</f>
        <v>SSD &amp; HDD</v>
      </c>
      <c r="Y291" t="s">
        <v>76</v>
      </c>
      <c r="Z291" s="4" t="str">
        <f>_xlfn.CONCAT(laptop[[#This Row],[CPU_company]]," ",laptop[[#This Row],[GPU_model]])</f>
        <v>Intel GeForce 940MX</v>
      </c>
    </row>
    <row r="292" spans="1:26" x14ac:dyDescent="0.25">
      <c r="A292" t="s">
        <v>46</v>
      </c>
      <c r="B292" t="s">
        <v>316</v>
      </c>
      <c r="C292" t="s">
        <v>38</v>
      </c>
      <c r="D292">
        <v>15.6</v>
      </c>
      <c r="E292">
        <v>2</v>
      </c>
      <c r="F292" t="s">
        <v>317</v>
      </c>
      <c r="G292">
        <v>2.19</v>
      </c>
      <c r="H292" s="16">
        <v>199</v>
      </c>
      <c r="I292" t="s">
        <v>26</v>
      </c>
      <c r="J292">
        <v>1366</v>
      </c>
      <c r="K292">
        <v>768</v>
      </c>
      <c r="L292" t="s">
        <v>27</v>
      </c>
      <c r="M292" t="s">
        <v>27</v>
      </c>
      <c r="N292" t="s">
        <v>27</v>
      </c>
      <c r="O292" t="s">
        <v>29</v>
      </c>
      <c r="P292">
        <v>1.5</v>
      </c>
      <c r="Q292" t="s">
        <v>318</v>
      </c>
      <c r="R292" t="str">
        <f>_xlfn.CONCAT(laptop[[#This Row],[CPU_company]]," ",laptop[[#This Row],[CPU_model]])</f>
        <v>Intel Celeron Dual Core 3205U</v>
      </c>
      <c r="S292">
        <v>16</v>
      </c>
      <c r="T292">
        <v>0</v>
      </c>
      <c r="U292">
        <f>laptop[[#This Row],[PrimaryStorage]]+laptop[[#This Row],[SecondaryStorage]]</f>
        <v>16</v>
      </c>
      <c r="V292" t="s">
        <v>31</v>
      </c>
      <c r="W292" t="s">
        <v>27</v>
      </c>
      <c r="X292" t="str">
        <f>IF(laptop[[#This Row],[PrimaryStorageType]]=laptop[[#This Row],[SecondaryStorageType]],laptop[[#This Row],[PrimaryStorageType]],"SSD &amp; HDD")</f>
        <v>SSD &amp; HDD</v>
      </c>
      <c r="Y292" t="s">
        <v>102</v>
      </c>
      <c r="Z292" s="4" t="str">
        <f>_xlfn.CONCAT(laptop[[#This Row],[CPU_company]]," ",laptop[[#This Row],[GPU_model]])</f>
        <v>Intel HD Graphics</v>
      </c>
    </row>
    <row r="293" spans="1:26" x14ac:dyDescent="0.25">
      <c r="A293" t="s">
        <v>55</v>
      </c>
      <c r="B293" t="s">
        <v>319</v>
      </c>
      <c r="C293" t="s">
        <v>83</v>
      </c>
      <c r="D293">
        <v>17.3</v>
      </c>
      <c r="E293">
        <v>8</v>
      </c>
      <c r="F293" t="s">
        <v>48</v>
      </c>
      <c r="G293">
        <v>3</v>
      </c>
      <c r="H293" s="16">
        <v>1187</v>
      </c>
      <c r="I293" t="s">
        <v>40</v>
      </c>
      <c r="J293">
        <v>1920</v>
      </c>
      <c r="K293">
        <v>1080</v>
      </c>
      <c r="L293" t="s">
        <v>27</v>
      </c>
      <c r="M293" t="s">
        <v>27</v>
      </c>
      <c r="N293" t="s">
        <v>27</v>
      </c>
      <c r="O293" t="s">
        <v>29</v>
      </c>
      <c r="P293">
        <v>2.8</v>
      </c>
      <c r="Q293" t="s">
        <v>118</v>
      </c>
      <c r="R293" t="str">
        <f>_xlfn.CONCAT(laptop[[#This Row],[CPU_company]]," ",laptop[[#This Row],[CPU_model]])</f>
        <v>Intel Core i7 7700HQ</v>
      </c>
      <c r="S293">
        <v>1024</v>
      </c>
      <c r="T293">
        <v>0</v>
      </c>
      <c r="U293">
        <f>laptop[[#This Row],[PrimaryStorage]]+laptop[[#This Row],[SecondaryStorage]]</f>
        <v>1024</v>
      </c>
      <c r="V293" t="s">
        <v>51</v>
      </c>
      <c r="W293" t="s">
        <v>27</v>
      </c>
      <c r="X293" t="str">
        <f>IF(laptop[[#This Row],[PrimaryStorageType]]=laptop[[#This Row],[SecondaryStorageType]],laptop[[#This Row],[PrimaryStorageType]],"SSD &amp; HDD")</f>
        <v>SSD &amp; HDD</v>
      </c>
      <c r="Y293" t="s">
        <v>85</v>
      </c>
      <c r="Z293" s="4" t="str">
        <f>_xlfn.CONCAT(laptop[[#This Row],[CPU_company]]," ",laptop[[#This Row],[GPU_model]])</f>
        <v>Intel GeForce GTX 1050</v>
      </c>
    </row>
    <row r="294" spans="1:26" x14ac:dyDescent="0.25">
      <c r="A294" t="s">
        <v>36</v>
      </c>
      <c r="B294" t="s">
        <v>320</v>
      </c>
      <c r="C294" t="s">
        <v>38</v>
      </c>
      <c r="D294">
        <v>17.3</v>
      </c>
      <c r="E294">
        <v>8</v>
      </c>
      <c r="F294" t="s">
        <v>48</v>
      </c>
      <c r="G294">
        <v>2.54</v>
      </c>
      <c r="H294" s="16">
        <v>489</v>
      </c>
      <c r="I294" t="s">
        <v>26</v>
      </c>
      <c r="J294">
        <v>1600</v>
      </c>
      <c r="K294">
        <v>900</v>
      </c>
      <c r="L294" t="s">
        <v>27</v>
      </c>
      <c r="M294" t="s">
        <v>27</v>
      </c>
      <c r="N294" t="s">
        <v>27</v>
      </c>
      <c r="O294" t="s">
        <v>29</v>
      </c>
      <c r="P294">
        <v>2</v>
      </c>
      <c r="Q294" t="s">
        <v>62</v>
      </c>
      <c r="R294" t="str">
        <f>_xlfn.CONCAT(laptop[[#This Row],[CPU_company]]," ",laptop[[#This Row],[CPU_model]])</f>
        <v>Intel Core i3 6006U</v>
      </c>
      <c r="S294">
        <v>1024</v>
      </c>
      <c r="T294">
        <v>0</v>
      </c>
      <c r="U294">
        <f>laptop[[#This Row],[PrimaryStorage]]+laptop[[#This Row],[SecondaryStorage]]</f>
        <v>1024</v>
      </c>
      <c r="V294" t="s">
        <v>51</v>
      </c>
      <c r="W294" t="s">
        <v>27</v>
      </c>
      <c r="X294" t="str">
        <f>IF(laptop[[#This Row],[PrimaryStorageType]]=laptop[[#This Row],[SecondaryStorageType]],laptop[[#This Row],[PrimaryStorageType]],"SSD &amp; HDD")</f>
        <v>SSD &amp; HDD</v>
      </c>
      <c r="Y294" t="s">
        <v>63</v>
      </c>
      <c r="Z294" s="4" t="str">
        <f>_xlfn.CONCAT(laptop[[#This Row],[CPU_company]]," ",laptop[[#This Row],[GPU_model]])</f>
        <v>Intel HD Graphics 520</v>
      </c>
    </row>
    <row r="295" spans="1:26" x14ac:dyDescent="0.25">
      <c r="A295" t="s">
        <v>65</v>
      </c>
      <c r="B295" t="s">
        <v>249</v>
      </c>
      <c r="C295" t="s">
        <v>38</v>
      </c>
      <c r="D295">
        <v>15.6</v>
      </c>
      <c r="E295">
        <v>8</v>
      </c>
      <c r="F295" t="s">
        <v>48</v>
      </c>
      <c r="G295">
        <v>2</v>
      </c>
      <c r="H295" s="16">
        <v>1829</v>
      </c>
      <c r="I295" t="s">
        <v>40</v>
      </c>
      <c r="J295">
        <v>1920</v>
      </c>
      <c r="K295">
        <v>1080</v>
      </c>
      <c r="L295" t="s">
        <v>27</v>
      </c>
      <c r="M295" t="s">
        <v>27</v>
      </c>
      <c r="N295" t="s">
        <v>27</v>
      </c>
      <c r="O295" t="s">
        <v>29</v>
      </c>
      <c r="P295">
        <v>2.8</v>
      </c>
      <c r="Q295" t="s">
        <v>118</v>
      </c>
      <c r="R295" t="str">
        <f>_xlfn.CONCAT(laptop[[#This Row],[CPU_company]]," ",laptop[[#This Row],[CPU_model]])</f>
        <v>Intel Core i7 7700HQ</v>
      </c>
      <c r="S295">
        <v>256</v>
      </c>
      <c r="T295">
        <v>0</v>
      </c>
      <c r="U295">
        <f>laptop[[#This Row],[PrimaryStorage]]+laptop[[#This Row],[SecondaryStorage]]</f>
        <v>256</v>
      </c>
      <c r="V295" t="s">
        <v>31</v>
      </c>
      <c r="W295" t="s">
        <v>27</v>
      </c>
      <c r="X295" t="str">
        <f>IF(laptop[[#This Row],[PrimaryStorageType]]=laptop[[#This Row],[SecondaryStorageType]],laptop[[#This Row],[PrimaryStorageType]],"SSD &amp; HDD")</f>
        <v>SSD &amp; HDD</v>
      </c>
      <c r="Y295" t="s">
        <v>85</v>
      </c>
      <c r="Z295" s="4" t="str">
        <f>_xlfn.CONCAT(laptop[[#This Row],[CPU_company]]," ",laptop[[#This Row],[GPU_model]])</f>
        <v>Intel GeForce GTX 1050</v>
      </c>
    </row>
    <row r="296" spans="1:26" x14ac:dyDescent="0.25">
      <c r="A296" t="s">
        <v>73</v>
      </c>
      <c r="B296" t="s">
        <v>321</v>
      </c>
      <c r="C296" t="s">
        <v>38</v>
      </c>
      <c r="D296">
        <v>15.6</v>
      </c>
      <c r="E296">
        <v>8</v>
      </c>
      <c r="F296" t="s">
        <v>48</v>
      </c>
      <c r="G296">
        <v>2.0499999999999998</v>
      </c>
      <c r="H296" s="16">
        <v>739</v>
      </c>
      <c r="I296" t="s">
        <v>40</v>
      </c>
      <c r="J296">
        <v>1920</v>
      </c>
      <c r="K296">
        <v>1080</v>
      </c>
      <c r="L296" t="s">
        <v>27</v>
      </c>
      <c r="M296" t="s">
        <v>27</v>
      </c>
      <c r="N296" t="s">
        <v>27</v>
      </c>
      <c r="O296" t="s">
        <v>29</v>
      </c>
      <c r="P296">
        <v>1.6</v>
      </c>
      <c r="Q296" t="s">
        <v>60</v>
      </c>
      <c r="R296" t="str">
        <f>_xlfn.CONCAT(laptop[[#This Row],[CPU_company]]," ",laptop[[#This Row],[CPU_model]])</f>
        <v>Intel Core i5 8250U</v>
      </c>
      <c r="S296">
        <v>256</v>
      </c>
      <c r="T296">
        <v>0</v>
      </c>
      <c r="U296">
        <f>laptop[[#This Row],[PrimaryStorage]]+laptop[[#This Row],[SecondaryStorage]]</f>
        <v>256</v>
      </c>
      <c r="V296" t="s">
        <v>31</v>
      </c>
      <c r="W296" t="s">
        <v>27</v>
      </c>
      <c r="X296" t="str">
        <f>IF(laptop[[#This Row],[PrimaryStorageType]]=laptop[[#This Row],[SecondaryStorageType]],laptop[[#This Row],[PrimaryStorageType]],"SSD &amp; HDD")</f>
        <v>SSD &amp; HDD</v>
      </c>
      <c r="Y296" t="s">
        <v>61</v>
      </c>
      <c r="Z296" s="4" t="str">
        <f>_xlfn.CONCAT(laptop[[#This Row],[CPU_company]]," ",laptop[[#This Row],[GPU_model]])</f>
        <v>Intel UHD Graphics 620</v>
      </c>
    </row>
    <row r="297" spans="1:26" x14ac:dyDescent="0.25">
      <c r="A297" t="s">
        <v>73</v>
      </c>
      <c r="B297" t="s">
        <v>263</v>
      </c>
      <c r="C297" t="s">
        <v>83</v>
      </c>
      <c r="D297">
        <v>15.6</v>
      </c>
      <c r="E297">
        <v>8</v>
      </c>
      <c r="F297" t="s">
        <v>48</v>
      </c>
      <c r="G297">
        <v>3.2</v>
      </c>
      <c r="H297" s="16">
        <v>1299</v>
      </c>
      <c r="I297" t="s">
        <v>40</v>
      </c>
      <c r="J297">
        <v>1920</v>
      </c>
      <c r="K297">
        <v>1080</v>
      </c>
      <c r="L297" t="s">
        <v>27</v>
      </c>
      <c r="M297" t="s">
        <v>28</v>
      </c>
      <c r="N297" t="s">
        <v>27</v>
      </c>
      <c r="O297" t="s">
        <v>29</v>
      </c>
      <c r="P297">
        <v>2.8</v>
      </c>
      <c r="Q297" t="s">
        <v>118</v>
      </c>
      <c r="R297" t="str">
        <f>_xlfn.CONCAT(laptop[[#This Row],[CPU_company]]," ",laptop[[#This Row],[CPU_model]])</f>
        <v>Intel Core i7 7700HQ</v>
      </c>
      <c r="S297">
        <v>1024</v>
      </c>
      <c r="T297">
        <v>0</v>
      </c>
      <c r="U297">
        <f>laptop[[#This Row],[PrimaryStorage]]+laptop[[#This Row],[SecondaryStorage]]</f>
        <v>1024</v>
      </c>
      <c r="V297" t="s">
        <v>51</v>
      </c>
      <c r="W297" t="s">
        <v>27</v>
      </c>
      <c r="X297" t="str">
        <f>IF(laptop[[#This Row],[PrimaryStorageType]]=laptop[[#This Row],[SecondaryStorageType]],laptop[[#This Row],[PrimaryStorageType]],"SSD &amp; HDD")</f>
        <v>SSD &amp; HDD</v>
      </c>
      <c r="Y297" t="s">
        <v>119</v>
      </c>
      <c r="Z297" s="4" t="str">
        <f>_xlfn.CONCAT(laptop[[#This Row],[CPU_company]]," ",laptop[[#This Row],[GPU_model]])</f>
        <v>Intel GeForce GTX 1060</v>
      </c>
    </row>
    <row r="298" spans="1:26" x14ac:dyDescent="0.25">
      <c r="A298" t="s">
        <v>46</v>
      </c>
      <c r="B298" t="s">
        <v>322</v>
      </c>
      <c r="C298" t="s">
        <v>38</v>
      </c>
      <c r="D298">
        <v>15.6</v>
      </c>
      <c r="E298">
        <v>8</v>
      </c>
      <c r="F298" t="s">
        <v>111</v>
      </c>
      <c r="G298">
        <v>2.5</v>
      </c>
      <c r="H298" s="16">
        <v>979</v>
      </c>
      <c r="I298" t="s">
        <v>40</v>
      </c>
      <c r="J298">
        <v>1920</v>
      </c>
      <c r="K298">
        <v>1080</v>
      </c>
      <c r="L298" t="s">
        <v>27</v>
      </c>
      <c r="M298" t="s">
        <v>27</v>
      </c>
      <c r="N298" t="s">
        <v>27</v>
      </c>
      <c r="O298" t="s">
        <v>29</v>
      </c>
      <c r="P298">
        <v>2.8</v>
      </c>
      <c r="Q298" t="s">
        <v>118</v>
      </c>
      <c r="R298" t="str">
        <f>_xlfn.CONCAT(laptop[[#This Row],[CPU_company]]," ",laptop[[#This Row],[CPU_model]])</f>
        <v>Intel Core i7 7700HQ</v>
      </c>
      <c r="S298">
        <v>256</v>
      </c>
      <c r="T298">
        <v>0</v>
      </c>
      <c r="U298">
        <f>laptop[[#This Row],[PrimaryStorage]]+laptop[[#This Row],[SecondaryStorage]]</f>
        <v>256</v>
      </c>
      <c r="V298" t="s">
        <v>31</v>
      </c>
      <c r="W298" t="s">
        <v>27</v>
      </c>
      <c r="X298" t="str">
        <f>IF(laptop[[#This Row],[PrimaryStorageType]]=laptop[[#This Row],[SecondaryStorageType]],laptop[[#This Row],[PrimaryStorageType]],"SSD &amp; HDD")</f>
        <v>SSD &amp; HDD</v>
      </c>
      <c r="Y298" t="s">
        <v>149</v>
      </c>
      <c r="Z298" s="4" t="str">
        <f>_xlfn.CONCAT(laptop[[#This Row],[CPU_company]]," ",laptop[[#This Row],[GPU_model]])</f>
        <v>Intel GeForce GTX 1050 Ti</v>
      </c>
    </row>
    <row r="299" spans="1:26" x14ac:dyDescent="0.25">
      <c r="A299" t="s">
        <v>65</v>
      </c>
      <c r="B299" t="s">
        <v>323</v>
      </c>
      <c r="C299" t="s">
        <v>265</v>
      </c>
      <c r="D299">
        <v>17.3</v>
      </c>
      <c r="E299">
        <v>16</v>
      </c>
      <c r="F299" t="s">
        <v>48</v>
      </c>
      <c r="G299">
        <v>3.42</v>
      </c>
      <c r="H299" s="16">
        <v>2884.86</v>
      </c>
      <c r="I299" t="s">
        <v>40</v>
      </c>
      <c r="J299">
        <v>1920</v>
      </c>
      <c r="K299">
        <v>1080</v>
      </c>
      <c r="L299" t="s">
        <v>27</v>
      </c>
      <c r="M299" t="s">
        <v>27</v>
      </c>
      <c r="N299" t="s">
        <v>27</v>
      </c>
      <c r="O299" t="s">
        <v>29</v>
      </c>
      <c r="P299">
        <v>2.9</v>
      </c>
      <c r="Q299" t="s">
        <v>324</v>
      </c>
      <c r="R299" t="str">
        <f>_xlfn.CONCAT(laptop[[#This Row],[CPU_company]]," ",laptop[[#This Row],[CPU_model]])</f>
        <v>Intel Core i7 7820HQ</v>
      </c>
      <c r="S299">
        <v>256</v>
      </c>
      <c r="T299">
        <v>0</v>
      </c>
      <c r="U299">
        <f>laptop[[#This Row],[PrimaryStorage]]+laptop[[#This Row],[SecondaryStorage]]</f>
        <v>256</v>
      </c>
      <c r="V299" t="s">
        <v>31</v>
      </c>
      <c r="W299" t="s">
        <v>27</v>
      </c>
      <c r="X299" t="str">
        <f>IF(laptop[[#This Row],[PrimaryStorageType]]=laptop[[#This Row],[SecondaryStorageType]],laptop[[#This Row],[PrimaryStorageType]],"SSD &amp; HDD")</f>
        <v>SSD &amp; HDD</v>
      </c>
      <c r="Y299" t="s">
        <v>267</v>
      </c>
      <c r="Z299" s="4" t="str">
        <f>_xlfn.CONCAT(laptop[[#This Row],[CPU_company]]," ",laptop[[#This Row],[GPU_model]])</f>
        <v>Intel Quadro M1200</v>
      </c>
    </row>
    <row r="300" spans="1:26" x14ac:dyDescent="0.25">
      <c r="A300" t="s">
        <v>73</v>
      </c>
      <c r="B300" t="s">
        <v>325</v>
      </c>
      <c r="C300" t="s">
        <v>38</v>
      </c>
      <c r="D300">
        <v>15.6</v>
      </c>
      <c r="E300">
        <v>6</v>
      </c>
      <c r="F300" t="s">
        <v>48</v>
      </c>
      <c r="G300">
        <v>2.4</v>
      </c>
      <c r="H300" s="16">
        <v>499</v>
      </c>
      <c r="I300" t="s">
        <v>40</v>
      </c>
      <c r="J300">
        <v>1920</v>
      </c>
      <c r="K300">
        <v>1080</v>
      </c>
      <c r="L300" t="s">
        <v>27</v>
      </c>
      <c r="M300" t="s">
        <v>27</v>
      </c>
      <c r="N300" t="s">
        <v>27</v>
      </c>
      <c r="O300" t="s">
        <v>49</v>
      </c>
      <c r="P300">
        <v>2.4</v>
      </c>
      <c r="Q300" t="s">
        <v>326</v>
      </c>
      <c r="R300" t="str">
        <f>_xlfn.CONCAT(laptop[[#This Row],[CPU_company]]," ",laptop[[#This Row],[CPU_model]])</f>
        <v>AMD A10-Series 9600P</v>
      </c>
      <c r="S300">
        <v>1024</v>
      </c>
      <c r="T300">
        <v>0</v>
      </c>
      <c r="U300">
        <f>laptop[[#This Row],[PrimaryStorage]]+laptop[[#This Row],[SecondaryStorage]]</f>
        <v>1024</v>
      </c>
      <c r="V300" t="s">
        <v>51</v>
      </c>
      <c r="W300" t="s">
        <v>27</v>
      </c>
      <c r="X300" t="str">
        <f>IF(laptop[[#This Row],[PrimaryStorageType]]=laptop[[#This Row],[SecondaryStorageType]],laptop[[#This Row],[PrimaryStorageType]],"SSD &amp; HDD")</f>
        <v>SSD &amp; HDD</v>
      </c>
      <c r="Y300" t="s">
        <v>327</v>
      </c>
      <c r="Z300" s="4" t="str">
        <f>_xlfn.CONCAT(laptop[[#This Row],[CPU_company]]," ",laptop[[#This Row],[GPU_model]])</f>
        <v>AMD Radeon R5 430</v>
      </c>
    </row>
    <row r="301" spans="1:26" x14ac:dyDescent="0.25">
      <c r="A301" t="s">
        <v>55</v>
      </c>
      <c r="B301" t="s">
        <v>328</v>
      </c>
      <c r="C301" t="s">
        <v>24</v>
      </c>
      <c r="D301">
        <v>15.6</v>
      </c>
      <c r="E301">
        <v>16</v>
      </c>
      <c r="F301" t="s">
        <v>48</v>
      </c>
      <c r="G301">
        <v>1.63</v>
      </c>
      <c r="H301" s="16">
        <v>1468</v>
      </c>
      <c r="I301" t="s">
        <v>40</v>
      </c>
      <c r="J301">
        <v>1920</v>
      </c>
      <c r="K301">
        <v>1080</v>
      </c>
      <c r="L301" t="s">
        <v>27</v>
      </c>
      <c r="M301" t="s">
        <v>27</v>
      </c>
      <c r="N301" t="s">
        <v>27</v>
      </c>
      <c r="O301" t="s">
        <v>29</v>
      </c>
      <c r="P301">
        <v>2.7</v>
      </c>
      <c r="Q301" t="s">
        <v>71</v>
      </c>
      <c r="R301" t="str">
        <f>_xlfn.CONCAT(laptop[[#This Row],[CPU_company]]," ",laptop[[#This Row],[CPU_model]])</f>
        <v>Intel Core i7 7500U</v>
      </c>
      <c r="S301">
        <v>512</v>
      </c>
      <c r="T301">
        <v>0</v>
      </c>
      <c r="U301">
        <f>laptop[[#This Row],[PrimaryStorage]]+laptop[[#This Row],[SecondaryStorage]]</f>
        <v>512</v>
      </c>
      <c r="V301" t="s">
        <v>31</v>
      </c>
      <c r="W301" t="s">
        <v>27</v>
      </c>
      <c r="X301" t="str">
        <f>IF(laptop[[#This Row],[PrimaryStorageType]]=laptop[[#This Row],[SecondaryStorageType]],laptop[[#This Row],[PrimaryStorageType]],"SSD &amp; HDD")</f>
        <v>SSD &amp; HDD</v>
      </c>
      <c r="Y301" t="s">
        <v>76</v>
      </c>
      <c r="Z301" s="4" t="str">
        <f>_xlfn.CONCAT(laptop[[#This Row],[CPU_company]]," ",laptop[[#This Row],[GPU_model]])</f>
        <v>Intel GeForce 940MX</v>
      </c>
    </row>
    <row r="302" spans="1:26" x14ac:dyDescent="0.25">
      <c r="A302" t="s">
        <v>55</v>
      </c>
      <c r="B302" t="s">
        <v>329</v>
      </c>
      <c r="C302" t="s">
        <v>38</v>
      </c>
      <c r="D302">
        <v>14</v>
      </c>
      <c r="E302">
        <v>4</v>
      </c>
      <c r="F302" t="s">
        <v>48</v>
      </c>
      <c r="G302">
        <v>1.3</v>
      </c>
      <c r="H302" s="16">
        <v>509</v>
      </c>
      <c r="I302" t="s">
        <v>26</v>
      </c>
      <c r="J302">
        <v>1366</v>
      </c>
      <c r="K302">
        <v>768</v>
      </c>
      <c r="L302" t="s">
        <v>27</v>
      </c>
      <c r="M302" t="s">
        <v>27</v>
      </c>
      <c r="N302" t="s">
        <v>27</v>
      </c>
      <c r="O302" t="s">
        <v>29</v>
      </c>
      <c r="P302">
        <v>2.4</v>
      </c>
      <c r="Q302" t="s">
        <v>75</v>
      </c>
      <c r="R302" t="str">
        <f>_xlfn.CONCAT(laptop[[#This Row],[CPU_company]]," ",laptop[[#This Row],[CPU_model]])</f>
        <v>Intel Core i3 7100U</v>
      </c>
      <c r="S302">
        <v>128</v>
      </c>
      <c r="T302">
        <v>0</v>
      </c>
      <c r="U302">
        <f>laptop[[#This Row],[PrimaryStorage]]+laptop[[#This Row],[SecondaryStorage]]</f>
        <v>128</v>
      </c>
      <c r="V302" t="s">
        <v>31</v>
      </c>
      <c r="W302" t="s">
        <v>27</v>
      </c>
      <c r="X302" t="str">
        <f>IF(laptop[[#This Row],[PrimaryStorageType]]=laptop[[#This Row],[SecondaryStorageType]],laptop[[#This Row],[PrimaryStorageType]],"SSD &amp; HDD")</f>
        <v>SSD &amp; HDD</v>
      </c>
      <c r="Y302" t="s">
        <v>42</v>
      </c>
      <c r="Z302" s="4" t="str">
        <f>_xlfn.CONCAT(laptop[[#This Row],[CPU_company]]," ",laptop[[#This Row],[GPU_model]])</f>
        <v>Intel HD Graphics 620</v>
      </c>
    </row>
    <row r="303" spans="1:26" x14ac:dyDescent="0.25">
      <c r="A303" t="s">
        <v>55</v>
      </c>
      <c r="B303" t="s">
        <v>330</v>
      </c>
      <c r="C303" t="s">
        <v>83</v>
      </c>
      <c r="D303">
        <v>17.3</v>
      </c>
      <c r="E303">
        <v>16</v>
      </c>
      <c r="F303" t="s">
        <v>48</v>
      </c>
      <c r="G303">
        <v>2.9</v>
      </c>
      <c r="H303" s="16">
        <v>2122</v>
      </c>
      <c r="I303" t="s">
        <v>40</v>
      </c>
      <c r="J303">
        <v>1920</v>
      </c>
      <c r="K303">
        <v>1080</v>
      </c>
      <c r="L303" t="s">
        <v>27</v>
      </c>
      <c r="M303" t="s">
        <v>27</v>
      </c>
      <c r="N303" t="s">
        <v>27</v>
      </c>
      <c r="O303" t="s">
        <v>29</v>
      </c>
      <c r="P303">
        <v>2.8</v>
      </c>
      <c r="Q303" t="s">
        <v>118</v>
      </c>
      <c r="R303" t="str">
        <f>_xlfn.CONCAT(laptop[[#This Row],[CPU_company]]," ",laptop[[#This Row],[CPU_model]])</f>
        <v>Intel Core i7 7700HQ</v>
      </c>
      <c r="S303">
        <v>256</v>
      </c>
      <c r="T303">
        <v>1024</v>
      </c>
      <c r="U303">
        <f>laptop[[#This Row],[PrimaryStorage]]+laptop[[#This Row],[SecondaryStorage]]</f>
        <v>1280</v>
      </c>
      <c r="V303" t="s">
        <v>31</v>
      </c>
      <c r="W303" t="s">
        <v>51</v>
      </c>
      <c r="X303" t="str">
        <f>IF(laptop[[#This Row],[PrimaryStorageType]]=laptop[[#This Row],[SecondaryStorageType]],laptop[[#This Row],[PrimaryStorageType]],"SSD &amp; HDD")</f>
        <v>SSD &amp; HDD</v>
      </c>
      <c r="Y303" t="s">
        <v>143</v>
      </c>
      <c r="Z303" s="4" t="str">
        <f>_xlfn.CONCAT(laptop[[#This Row],[CPU_company]]," ",laptop[[#This Row],[GPU_model]])</f>
        <v>Intel GeForce GTX 1070</v>
      </c>
    </row>
    <row r="304" spans="1:26" x14ac:dyDescent="0.25">
      <c r="A304" t="s">
        <v>73</v>
      </c>
      <c r="B304" t="s">
        <v>271</v>
      </c>
      <c r="C304" t="s">
        <v>38</v>
      </c>
      <c r="D304">
        <v>17.3</v>
      </c>
      <c r="E304">
        <v>6</v>
      </c>
      <c r="F304" t="s">
        <v>48</v>
      </c>
      <c r="G304">
        <v>2.8</v>
      </c>
      <c r="H304" s="16">
        <v>649</v>
      </c>
      <c r="I304" t="s">
        <v>26</v>
      </c>
      <c r="J304">
        <v>1600</v>
      </c>
      <c r="K304">
        <v>900</v>
      </c>
      <c r="L304" t="s">
        <v>27</v>
      </c>
      <c r="M304" t="s">
        <v>27</v>
      </c>
      <c r="N304" t="s">
        <v>27</v>
      </c>
      <c r="O304" t="s">
        <v>29</v>
      </c>
      <c r="P304">
        <v>2.5</v>
      </c>
      <c r="Q304" t="s">
        <v>41</v>
      </c>
      <c r="R304" t="str">
        <f>_xlfn.CONCAT(laptop[[#This Row],[CPU_company]]," ",laptop[[#This Row],[CPU_model]])</f>
        <v>Intel Core i5 7200U</v>
      </c>
      <c r="S304">
        <v>1024</v>
      </c>
      <c r="T304">
        <v>0</v>
      </c>
      <c r="U304">
        <f>laptop[[#This Row],[PrimaryStorage]]+laptop[[#This Row],[SecondaryStorage]]</f>
        <v>1024</v>
      </c>
      <c r="V304" t="s">
        <v>51</v>
      </c>
      <c r="W304" t="s">
        <v>27</v>
      </c>
      <c r="X304" t="str">
        <f>IF(laptop[[#This Row],[PrimaryStorageType]]=laptop[[#This Row],[SecondaryStorageType]],laptop[[#This Row],[PrimaryStorageType]],"SSD &amp; HDD")</f>
        <v>SSD &amp; HDD</v>
      </c>
      <c r="Y304" t="s">
        <v>331</v>
      </c>
      <c r="Z304" s="4" t="str">
        <f>_xlfn.CONCAT(laptop[[#This Row],[CPU_company]]," ",laptop[[#This Row],[GPU_model]])</f>
        <v>Intel GeForce GTX 940M</v>
      </c>
    </row>
    <row r="305" spans="1:26" x14ac:dyDescent="0.25">
      <c r="A305" t="s">
        <v>73</v>
      </c>
      <c r="B305" t="s">
        <v>161</v>
      </c>
      <c r="C305" t="s">
        <v>38</v>
      </c>
      <c r="D305">
        <v>15.6</v>
      </c>
      <c r="E305">
        <v>8</v>
      </c>
      <c r="F305" t="s">
        <v>39</v>
      </c>
      <c r="G305">
        <v>2.2000000000000002</v>
      </c>
      <c r="H305" s="16">
        <v>549</v>
      </c>
      <c r="I305" t="s">
        <v>26</v>
      </c>
      <c r="J305">
        <v>1366</v>
      </c>
      <c r="K305">
        <v>768</v>
      </c>
      <c r="L305" t="s">
        <v>27</v>
      </c>
      <c r="M305" t="s">
        <v>27</v>
      </c>
      <c r="N305" t="s">
        <v>27</v>
      </c>
      <c r="O305" t="s">
        <v>29</v>
      </c>
      <c r="P305">
        <v>2.5</v>
      </c>
      <c r="Q305" t="s">
        <v>41</v>
      </c>
      <c r="R305" t="str">
        <f>_xlfn.CONCAT(laptop[[#This Row],[CPU_company]]," ",laptop[[#This Row],[CPU_model]])</f>
        <v>Intel Core i5 7200U</v>
      </c>
      <c r="S305">
        <v>2048</v>
      </c>
      <c r="T305">
        <v>0</v>
      </c>
      <c r="U305">
        <f>laptop[[#This Row],[PrimaryStorage]]+laptop[[#This Row],[SecondaryStorage]]</f>
        <v>2048</v>
      </c>
      <c r="V305" t="s">
        <v>51</v>
      </c>
      <c r="W305" t="s">
        <v>27</v>
      </c>
      <c r="X305" t="str">
        <f>IF(laptop[[#This Row],[PrimaryStorageType]]=laptop[[#This Row],[SecondaryStorageType]],laptop[[#This Row],[PrimaryStorageType]],"SSD &amp; HDD")</f>
        <v>SSD &amp; HDD</v>
      </c>
      <c r="Y305" t="s">
        <v>76</v>
      </c>
      <c r="Z305" s="4" t="str">
        <f>_xlfn.CONCAT(laptop[[#This Row],[CPU_company]]," ",laptop[[#This Row],[GPU_model]])</f>
        <v>Intel GeForce 940MX</v>
      </c>
    </row>
    <row r="306" spans="1:26" x14ac:dyDescent="0.25">
      <c r="A306" t="s">
        <v>55</v>
      </c>
      <c r="B306" t="s">
        <v>332</v>
      </c>
      <c r="C306" t="s">
        <v>83</v>
      </c>
      <c r="D306">
        <v>15.6</v>
      </c>
      <c r="E306">
        <v>8</v>
      </c>
      <c r="F306" t="s">
        <v>48</v>
      </c>
      <c r="G306">
        <v>2.5</v>
      </c>
      <c r="H306" s="16">
        <v>1265</v>
      </c>
      <c r="I306" t="s">
        <v>40</v>
      </c>
      <c r="J306">
        <v>1920</v>
      </c>
      <c r="K306">
        <v>1080</v>
      </c>
      <c r="L306" t="s">
        <v>27</v>
      </c>
      <c r="M306" t="s">
        <v>27</v>
      </c>
      <c r="N306" t="s">
        <v>27</v>
      </c>
      <c r="O306" t="s">
        <v>29</v>
      </c>
      <c r="P306">
        <v>2.8</v>
      </c>
      <c r="Q306" t="s">
        <v>118</v>
      </c>
      <c r="R306" t="str">
        <f>_xlfn.CONCAT(laptop[[#This Row],[CPU_company]]," ",laptop[[#This Row],[CPU_model]])</f>
        <v>Intel Core i7 7700HQ</v>
      </c>
      <c r="S306">
        <v>128</v>
      </c>
      <c r="T306">
        <v>1024</v>
      </c>
      <c r="U306">
        <f>laptop[[#This Row],[PrimaryStorage]]+laptop[[#This Row],[SecondaryStorage]]</f>
        <v>1152</v>
      </c>
      <c r="V306" t="s">
        <v>31</v>
      </c>
      <c r="W306" t="s">
        <v>51</v>
      </c>
      <c r="X306" t="str">
        <f>IF(laptop[[#This Row],[PrimaryStorageType]]=laptop[[#This Row],[SecondaryStorageType]],laptop[[#This Row],[PrimaryStorageType]],"SSD &amp; HDD")</f>
        <v>SSD &amp; HDD</v>
      </c>
      <c r="Y306" t="s">
        <v>149</v>
      </c>
      <c r="Z306" s="4" t="str">
        <f>_xlfn.CONCAT(laptop[[#This Row],[CPU_company]]," ",laptop[[#This Row],[GPU_model]])</f>
        <v>Intel GeForce GTX 1050 Ti</v>
      </c>
    </row>
    <row r="307" spans="1:26" x14ac:dyDescent="0.25">
      <c r="A307" t="s">
        <v>73</v>
      </c>
      <c r="B307" t="s">
        <v>333</v>
      </c>
      <c r="C307" t="s">
        <v>38</v>
      </c>
      <c r="D307">
        <v>15.6</v>
      </c>
      <c r="E307">
        <v>4</v>
      </c>
      <c r="F307" t="s">
        <v>39</v>
      </c>
      <c r="G307">
        <v>2.2000000000000002</v>
      </c>
      <c r="H307" s="16">
        <v>359.99</v>
      </c>
      <c r="I307" t="s">
        <v>26</v>
      </c>
      <c r="J307">
        <v>1366</v>
      </c>
      <c r="K307">
        <v>768</v>
      </c>
      <c r="L307" t="s">
        <v>27</v>
      </c>
      <c r="M307" t="s">
        <v>27</v>
      </c>
      <c r="N307" t="s">
        <v>27</v>
      </c>
      <c r="O307" t="s">
        <v>29</v>
      </c>
      <c r="P307">
        <v>1.1000000000000001</v>
      </c>
      <c r="Q307" t="s">
        <v>130</v>
      </c>
      <c r="R307" t="str">
        <f>_xlfn.CONCAT(laptop[[#This Row],[CPU_company]]," ",laptop[[#This Row],[CPU_model]])</f>
        <v>Intel Pentium Quad Core N4200</v>
      </c>
      <c r="S307">
        <v>1024</v>
      </c>
      <c r="T307">
        <v>0</v>
      </c>
      <c r="U307">
        <f>laptop[[#This Row],[PrimaryStorage]]+laptop[[#This Row],[SecondaryStorage]]</f>
        <v>1024</v>
      </c>
      <c r="V307" t="s">
        <v>51</v>
      </c>
      <c r="W307" t="s">
        <v>27</v>
      </c>
      <c r="X307" t="str">
        <f>IF(laptop[[#This Row],[PrimaryStorageType]]=laptop[[#This Row],[SecondaryStorageType]],laptop[[#This Row],[PrimaryStorageType]],"SSD &amp; HDD")</f>
        <v>SSD &amp; HDD</v>
      </c>
      <c r="Y307" t="s">
        <v>237</v>
      </c>
      <c r="Z307" s="4" t="str">
        <f>_xlfn.CONCAT(laptop[[#This Row],[CPU_company]]," ",laptop[[#This Row],[GPU_model]])</f>
        <v>Intel HD Graphics 505</v>
      </c>
    </row>
    <row r="308" spans="1:26" x14ac:dyDescent="0.25">
      <c r="A308" t="s">
        <v>36</v>
      </c>
      <c r="B308" t="s">
        <v>334</v>
      </c>
      <c r="C308" t="s">
        <v>90</v>
      </c>
      <c r="D308">
        <v>13.3</v>
      </c>
      <c r="E308">
        <v>16</v>
      </c>
      <c r="F308" t="s">
        <v>48</v>
      </c>
      <c r="G308">
        <v>1.28</v>
      </c>
      <c r="H308" s="16">
        <v>1975</v>
      </c>
      <c r="I308" t="s">
        <v>40</v>
      </c>
      <c r="J308">
        <v>1920</v>
      </c>
      <c r="K308">
        <v>1080</v>
      </c>
      <c r="L308" t="s">
        <v>28</v>
      </c>
      <c r="M308" t="s">
        <v>27</v>
      </c>
      <c r="N308" t="s">
        <v>27</v>
      </c>
      <c r="O308" t="s">
        <v>29</v>
      </c>
      <c r="P308">
        <v>2.8</v>
      </c>
      <c r="Q308" t="s">
        <v>335</v>
      </c>
      <c r="R308" t="str">
        <f>_xlfn.CONCAT(laptop[[#This Row],[CPU_company]]," ",laptop[[#This Row],[CPU_model]])</f>
        <v>Intel Core i7 7600U</v>
      </c>
      <c r="S308">
        <v>256</v>
      </c>
      <c r="T308">
        <v>0</v>
      </c>
      <c r="U308">
        <f>laptop[[#This Row],[PrimaryStorage]]+laptop[[#This Row],[SecondaryStorage]]</f>
        <v>256</v>
      </c>
      <c r="V308" t="s">
        <v>31</v>
      </c>
      <c r="W308" t="s">
        <v>27</v>
      </c>
      <c r="X308" t="str">
        <f>IF(laptop[[#This Row],[PrimaryStorageType]]=laptop[[#This Row],[SecondaryStorageType]],laptop[[#This Row],[PrimaryStorageType]],"SSD &amp; HDD")</f>
        <v>SSD &amp; HDD</v>
      </c>
      <c r="Y308" t="s">
        <v>42</v>
      </c>
      <c r="Z308" s="4" t="str">
        <f>_xlfn.CONCAT(laptop[[#This Row],[CPU_company]]," ",laptop[[#This Row],[GPU_model]])</f>
        <v>Intel HD Graphics 620</v>
      </c>
    </row>
    <row r="309" spans="1:26" x14ac:dyDescent="0.25">
      <c r="A309" t="s">
        <v>210</v>
      </c>
      <c r="B309" t="s">
        <v>211</v>
      </c>
      <c r="C309" t="s">
        <v>38</v>
      </c>
      <c r="D309">
        <v>15.6</v>
      </c>
      <c r="E309">
        <v>8</v>
      </c>
      <c r="F309" t="s">
        <v>48</v>
      </c>
      <c r="G309">
        <v>2.2000000000000002</v>
      </c>
      <c r="H309" s="16">
        <v>1043</v>
      </c>
      <c r="I309" t="s">
        <v>40</v>
      </c>
      <c r="J309">
        <v>1920</v>
      </c>
      <c r="K309">
        <v>1080</v>
      </c>
      <c r="L309" t="s">
        <v>27</v>
      </c>
      <c r="M309" t="s">
        <v>28</v>
      </c>
      <c r="N309" t="s">
        <v>27</v>
      </c>
      <c r="O309" t="s">
        <v>29</v>
      </c>
      <c r="P309">
        <v>2.5</v>
      </c>
      <c r="Q309" t="s">
        <v>274</v>
      </c>
      <c r="R309" t="str">
        <f>_xlfn.CONCAT(laptop[[#This Row],[CPU_company]]," ",laptop[[#This Row],[CPU_model]])</f>
        <v>Intel Core i7 6500U</v>
      </c>
      <c r="S309">
        <v>256</v>
      </c>
      <c r="T309">
        <v>0</v>
      </c>
      <c r="U309">
        <f>laptop[[#This Row],[PrimaryStorage]]+laptop[[#This Row],[SecondaryStorage]]</f>
        <v>256</v>
      </c>
      <c r="V309" t="s">
        <v>31</v>
      </c>
      <c r="W309" t="s">
        <v>27</v>
      </c>
      <c r="X309" t="str">
        <f>IF(laptop[[#This Row],[PrimaryStorageType]]=laptop[[#This Row],[SecondaryStorageType]],laptop[[#This Row],[PrimaryStorageType]],"SSD &amp; HDD")</f>
        <v>SSD &amp; HDD</v>
      </c>
      <c r="Y309" t="s">
        <v>310</v>
      </c>
      <c r="Z309" s="4" t="str">
        <f>_xlfn.CONCAT(laptop[[#This Row],[CPU_company]]," ",laptop[[#This Row],[GPU_model]])</f>
        <v>Intel GeForce 930M</v>
      </c>
    </row>
    <row r="310" spans="1:26" x14ac:dyDescent="0.25">
      <c r="A310" t="s">
        <v>73</v>
      </c>
      <c r="B310" t="s">
        <v>74</v>
      </c>
      <c r="C310" t="s">
        <v>38</v>
      </c>
      <c r="D310">
        <v>15.6</v>
      </c>
      <c r="E310">
        <v>8</v>
      </c>
      <c r="F310" t="s">
        <v>48</v>
      </c>
      <c r="G310">
        <v>2.2999999999999998</v>
      </c>
      <c r="H310" s="16">
        <v>819</v>
      </c>
      <c r="I310" t="s">
        <v>40</v>
      </c>
      <c r="J310">
        <v>1920</v>
      </c>
      <c r="K310">
        <v>1080</v>
      </c>
      <c r="L310" t="s">
        <v>27</v>
      </c>
      <c r="M310" t="s">
        <v>27</v>
      </c>
      <c r="N310" t="s">
        <v>27</v>
      </c>
      <c r="O310" t="s">
        <v>29</v>
      </c>
      <c r="P310">
        <v>2.5</v>
      </c>
      <c r="Q310" t="s">
        <v>41</v>
      </c>
      <c r="R310" t="str">
        <f>_xlfn.CONCAT(laptop[[#This Row],[CPU_company]]," ",laptop[[#This Row],[CPU_model]])</f>
        <v>Intel Core i5 7200U</v>
      </c>
      <c r="S310">
        <v>128</v>
      </c>
      <c r="T310">
        <v>1024</v>
      </c>
      <c r="U310">
        <f>laptop[[#This Row],[PrimaryStorage]]+laptop[[#This Row],[SecondaryStorage]]</f>
        <v>1152</v>
      </c>
      <c r="V310" t="s">
        <v>31</v>
      </c>
      <c r="W310" t="s">
        <v>51</v>
      </c>
      <c r="X310" t="str">
        <f>IF(laptop[[#This Row],[PrimaryStorageType]]=laptop[[#This Row],[SecondaryStorageType]],laptop[[#This Row],[PrimaryStorageType]],"SSD &amp; HDD")</f>
        <v>SSD &amp; HDD</v>
      </c>
      <c r="Y310" t="s">
        <v>76</v>
      </c>
      <c r="Z310" s="4" t="str">
        <f>_xlfn.CONCAT(laptop[[#This Row],[CPU_company]]," ",laptop[[#This Row],[GPU_model]])</f>
        <v>Intel GeForce 940MX</v>
      </c>
    </row>
    <row r="311" spans="1:26" x14ac:dyDescent="0.25">
      <c r="A311" t="s">
        <v>36</v>
      </c>
      <c r="B311" t="s">
        <v>37</v>
      </c>
      <c r="C311" t="s">
        <v>38</v>
      </c>
      <c r="D311">
        <v>15.6</v>
      </c>
      <c r="E311">
        <v>4</v>
      </c>
      <c r="F311" t="s">
        <v>48</v>
      </c>
      <c r="G311">
        <v>1.86</v>
      </c>
      <c r="H311" s="16">
        <v>469</v>
      </c>
      <c r="I311" t="s">
        <v>40</v>
      </c>
      <c r="J311">
        <v>1920</v>
      </c>
      <c r="K311">
        <v>1080</v>
      </c>
      <c r="L311" t="s">
        <v>27</v>
      </c>
      <c r="M311" t="s">
        <v>27</v>
      </c>
      <c r="N311" t="s">
        <v>27</v>
      </c>
      <c r="O311" t="s">
        <v>29</v>
      </c>
      <c r="P311">
        <v>2</v>
      </c>
      <c r="Q311" t="s">
        <v>62</v>
      </c>
      <c r="R311" t="str">
        <f>_xlfn.CONCAT(laptop[[#This Row],[CPU_company]]," ",laptop[[#This Row],[CPU_model]])</f>
        <v>Intel Core i3 6006U</v>
      </c>
      <c r="S311">
        <v>1024</v>
      </c>
      <c r="T311">
        <v>0</v>
      </c>
      <c r="U311">
        <f>laptop[[#This Row],[PrimaryStorage]]+laptop[[#This Row],[SecondaryStorage]]</f>
        <v>1024</v>
      </c>
      <c r="V311" t="s">
        <v>51</v>
      </c>
      <c r="W311" t="s">
        <v>27</v>
      </c>
      <c r="X311" t="str">
        <f>IF(laptop[[#This Row],[PrimaryStorageType]]=laptop[[#This Row],[SecondaryStorageType]],laptop[[#This Row],[PrimaryStorageType]],"SSD &amp; HDD")</f>
        <v>SSD &amp; HDD</v>
      </c>
      <c r="Y311" t="s">
        <v>63</v>
      </c>
      <c r="Z311" s="4" t="str">
        <f>_xlfn.CONCAT(laptop[[#This Row],[CPU_company]]," ",laptop[[#This Row],[GPU_model]])</f>
        <v>Intel HD Graphics 520</v>
      </c>
    </row>
    <row r="312" spans="1:26" x14ac:dyDescent="0.25">
      <c r="A312" t="s">
        <v>73</v>
      </c>
      <c r="B312" t="s">
        <v>336</v>
      </c>
      <c r="C312" t="s">
        <v>38</v>
      </c>
      <c r="D312">
        <v>13.3</v>
      </c>
      <c r="E312">
        <v>8</v>
      </c>
      <c r="F312" t="s">
        <v>48</v>
      </c>
      <c r="G312">
        <v>1.1000000000000001</v>
      </c>
      <c r="H312" s="16">
        <v>999</v>
      </c>
      <c r="I312" t="s">
        <v>40</v>
      </c>
      <c r="J312">
        <v>1920</v>
      </c>
      <c r="K312">
        <v>1080</v>
      </c>
      <c r="L312" t="s">
        <v>27</v>
      </c>
      <c r="M312" t="s">
        <v>28</v>
      </c>
      <c r="N312" t="s">
        <v>27</v>
      </c>
      <c r="O312" t="s">
        <v>29</v>
      </c>
      <c r="P312">
        <v>2.5</v>
      </c>
      <c r="Q312" t="s">
        <v>41</v>
      </c>
      <c r="R312" t="str">
        <f>_xlfn.CONCAT(laptop[[#This Row],[CPU_company]]," ",laptop[[#This Row],[CPU_model]])</f>
        <v>Intel Core i5 7200U</v>
      </c>
      <c r="S312">
        <v>256</v>
      </c>
      <c r="T312">
        <v>0</v>
      </c>
      <c r="U312">
        <f>laptop[[#This Row],[PrimaryStorage]]+laptop[[#This Row],[SecondaryStorage]]</f>
        <v>256</v>
      </c>
      <c r="V312" t="s">
        <v>31</v>
      </c>
      <c r="W312" t="s">
        <v>27</v>
      </c>
      <c r="X312" t="str">
        <f>IF(laptop[[#This Row],[PrimaryStorageType]]=laptop[[#This Row],[SecondaryStorageType]],laptop[[#This Row],[PrimaryStorageType]],"SSD &amp; HDD")</f>
        <v>SSD &amp; HDD</v>
      </c>
      <c r="Y312" t="s">
        <v>42</v>
      </c>
      <c r="Z312" s="4" t="str">
        <f>_xlfn.CONCAT(laptop[[#This Row],[CPU_company]]," ",laptop[[#This Row],[GPU_model]])</f>
        <v>Intel HD Graphics 620</v>
      </c>
    </row>
    <row r="313" spans="1:26" x14ac:dyDescent="0.25">
      <c r="A313" t="s">
        <v>65</v>
      </c>
      <c r="B313" t="s">
        <v>77</v>
      </c>
      <c r="C313" t="s">
        <v>24</v>
      </c>
      <c r="D313">
        <v>13.3</v>
      </c>
      <c r="E313">
        <v>16</v>
      </c>
      <c r="F313" t="s">
        <v>48</v>
      </c>
      <c r="G313">
        <v>1.21</v>
      </c>
      <c r="H313" s="16">
        <v>2499</v>
      </c>
      <c r="I313" t="s">
        <v>215</v>
      </c>
      <c r="J313">
        <v>3840</v>
      </c>
      <c r="K313">
        <v>2160</v>
      </c>
      <c r="L313" t="s">
        <v>28</v>
      </c>
      <c r="M313" t="s">
        <v>28</v>
      </c>
      <c r="N313" t="s">
        <v>27</v>
      </c>
      <c r="O313" t="s">
        <v>29</v>
      </c>
      <c r="P313">
        <v>1.8</v>
      </c>
      <c r="Q313" t="s">
        <v>57</v>
      </c>
      <c r="R313" t="str">
        <f>_xlfn.CONCAT(laptop[[#This Row],[CPU_company]]," ",laptop[[#This Row],[CPU_model]])</f>
        <v>Intel Core i7 8550U</v>
      </c>
      <c r="S313">
        <v>1024</v>
      </c>
      <c r="T313">
        <v>0</v>
      </c>
      <c r="U313">
        <f>laptop[[#This Row],[PrimaryStorage]]+laptop[[#This Row],[SecondaryStorage]]</f>
        <v>1024</v>
      </c>
      <c r="V313" t="s">
        <v>31</v>
      </c>
      <c r="W313" t="s">
        <v>27</v>
      </c>
      <c r="X313" t="str">
        <f>IF(laptop[[#This Row],[PrimaryStorageType]]=laptop[[#This Row],[SecondaryStorageType]],laptop[[#This Row],[PrimaryStorageType]],"SSD &amp; HDD")</f>
        <v>SSD &amp; HDD</v>
      </c>
      <c r="Y313" t="s">
        <v>61</v>
      </c>
      <c r="Z313" s="4" t="str">
        <f>_xlfn.CONCAT(laptop[[#This Row],[CPU_company]]," ",laptop[[#This Row],[GPU_model]])</f>
        <v>Intel UHD Graphics 620</v>
      </c>
    </row>
    <row r="314" spans="1:26" x14ac:dyDescent="0.25">
      <c r="A314" t="s">
        <v>141</v>
      </c>
      <c r="B314" t="s">
        <v>337</v>
      </c>
      <c r="C314" t="s">
        <v>83</v>
      </c>
      <c r="D314">
        <v>15.6</v>
      </c>
      <c r="E314">
        <v>16</v>
      </c>
      <c r="F314" t="s">
        <v>48</v>
      </c>
      <c r="G314">
        <v>2.8</v>
      </c>
      <c r="H314" s="16">
        <v>2099</v>
      </c>
      <c r="I314" t="s">
        <v>40</v>
      </c>
      <c r="J314">
        <v>1920</v>
      </c>
      <c r="K314">
        <v>1080</v>
      </c>
      <c r="L314" t="s">
        <v>27</v>
      </c>
      <c r="M314" t="s">
        <v>28</v>
      </c>
      <c r="N314" t="s">
        <v>27</v>
      </c>
      <c r="O314" t="s">
        <v>29</v>
      </c>
      <c r="P314">
        <v>2.8</v>
      </c>
      <c r="Q314" t="s">
        <v>118</v>
      </c>
      <c r="R314" t="str">
        <f>_xlfn.CONCAT(laptop[[#This Row],[CPU_company]]," ",laptop[[#This Row],[CPU_model]])</f>
        <v>Intel Core i7 7700HQ</v>
      </c>
      <c r="S314">
        <v>256</v>
      </c>
      <c r="T314">
        <v>1024</v>
      </c>
      <c r="U314">
        <f>laptop[[#This Row],[PrimaryStorage]]+laptop[[#This Row],[SecondaryStorage]]</f>
        <v>1280</v>
      </c>
      <c r="V314" t="s">
        <v>31</v>
      </c>
      <c r="W314" t="s">
        <v>51</v>
      </c>
      <c r="X314" t="str">
        <f>IF(laptop[[#This Row],[PrimaryStorageType]]=laptop[[#This Row],[SecondaryStorageType]],laptop[[#This Row],[PrimaryStorageType]],"SSD &amp; HDD")</f>
        <v>SSD &amp; HDD</v>
      </c>
      <c r="Y314" t="s">
        <v>143</v>
      </c>
      <c r="Z314" s="4" t="str">
        <f>_xlfn.CONCAT(laptop[[#This Row],[CPU_company]]," ",laptop[[#This Row],[GPU_model]])</f>
        <v>Intel GeForce GTX 1070</v>
      </c>
    </row>
    <row r="315" spans="1:26" x14ac:dyDescent="0.25">
      <c r="A315" t="s">
        <v>46</v>
      </c>
      <c r="B315" t="s">
        <v>338</v>
      </c>
      <c r="C315" t="s">
        <v>38</v>
      </c>
      <c r="D315">
        <v>15.6</v>
      </c>
      <c r="E315">
        <v>8</v>
      </c>
      <c r="F315" t="s">
        <v>48</v>
      </c>
      <c r="G315">
        <v>2.23</v>
      </c>
      <c r="H315" s="16">
        <v>469</v>
      </c>
      <c r="I315" t="s">
        <v>40</v>
      </c>
      <c r="J315">
        <v>1920</v>
      </c>
      <c r="K315">
        <v>1080</v>
      </c>
      <c r="L315" t="s">
        <v>27</v>
      </c>
      <c r="M315" t="s">
        <v>27</v>
      </c>
      <c r="N315" t="s">
        <v>27</v>
      </c>
      <c r="O315" t="s">
        <v>49</v>
      </c>
      <c r="P315">
        <v>2.2000000000000002</v>
      </c>
      <c r="Q315" t="s">
        <v>339</v>
      </c>
      <c r="R315" t="str">
        <f>_xlfn.CONCAT(laptop[[#This Row],[CPU_company]]," ",laptop[[#This Row],[CPU_model]])</f>
        <v>AMD A8-Series 7410</v>
      </c>
      <c r="S315">
        <v>256</v>
      </c>
      <c r="T315">
        <v>0</v>
      </c>
      <c r="U315">
        <f>laptop[[#This Row],[PrimaryStorage]]+laptop[[#This Row],[SecondaryStorage]]</f>
        <v>256</v>
      </c>
      <c r="V315" t="s">
        <v>31</v>
      </c>
      <c r="W315" t="s">
        <v>27</v>
      </c>
      <c r="X315" t="str">
        <f>IF(laptop[[#This Row],[PrimaryStorageType]]=laptop[[#This Row],[SecondaryStorageType]],laptop[[#This Row],[PrimaryStorageType]],"SSD &amp; HDD")</f>
        <v>SSD &amp; HDD</v>
      </c>
      <c r="Y315" t="s">
        <v>52</v>
      </c>
      <c r="Z315" s="4" t="str">
        <f>_xlfn.CONCAT(laptop[[#This Row],[CPU_company]]," ",laptop[[#This Row],[GPU_model]])</f>
        <v>AMD Radeon R5</v>
      </c>
    </row>
    <row r="316" spans="1:26" x14ac:dyDescent="0.25">
      <c r="A316" t="s">
        <v>55</v>
      </c>
      <c r="B316" t="s">
        <v>340</v>
      </c>
      <c r="C316" t="s">
        <v>90</v>
      </c>
      <c r="D316">
        <v>11.6</v>
      </c>
      <c r="E316">
        <v>2</v>
      </c>
      <c r="F316" t="s">
        <v>48</v>
      </c>
      <c r="G316">
        <v>1.1000000000000001</v>
      </c>
      <c r="H316" s="16">
        <v>275</v>
      </c>
      <c r="I316" t="s">
        <v>26</v>
      </c>
      <c r="J316">
        <v>1366</v>
      </c>
      <c r="K316">
        <v>768</v>
      </c>
      <c r="L316" t="s">
        <v>28</v>
      </c>
      <c r="M316" t="s">
        <v>27</v>
      </c>
      <c r="N316" t="s">
        <v>27</v>
      </c>
      <c r="O316" t="s">
        <v>29</v>
      </c>
      <c r="P316">
        <v>1.1000000000000001</v>
      </c>
      <c r="Q316" t="s">
        <v>109</v>
      </c>
      <c r="R316" t="str">
        <f>_xlfn.CONCAT(laptop[[#This Row],[CPU_company]]," ",laptop[[#This Row],[CPU_model]])</f>
        <v>Intel Celeron Dual Core N3350</v>
      </c>
      <c r="S316">
        <v>32</v>
      </c>
      <c r="T316">
        <v>0</v>
      </c>
      <c r="U316">
        <f>laptop[[#This Row],[PrimaryStorage]]+laptop[[#This Row],[SecondaryStorage]]</f>
        <v>32</v>
      </c>
      <c r="V316" t="s">
        <v>34</v>
      </c>
      <c r="W316" t="s">
        <v>27</v>
      </c>
      <c r="X316" t="str">
        <f>IF(laptop[[#This Row],[PrimaryStorageType]]=laptop[[#This Row],[SecondaryStorageType]],laptop[[#This Row],[PrimaryStorageType]],"SSD &amp; HDD")</f>
        <v>SSD &amp; HDD</v>
      </c>
      <c r="Y316" t="s">
        <v>110</v>
      </c>
      <c r="Z316" s="4" t="str">
        <f>_xlfn.CONCAT(laptop[[#This Row],[CPU_company]]," ",laptop[[#This Row],[GPU_model]])</f>
        <v>Intel HD Graphics 500</v>
      </c>
    </row>
    <row r="317" spans="1:26" x14ac:dyDescent="0.25">
      <c r="A317" t="s">
        <v>65</v>
      </c>
      <c r="B317" t="s">
        <v>93</v>
      </c>
      <c r="C317" t="s">
        <v>38</v>
      </c>
      <c r="D317">
        <v>15.6</v>
      </c>
      <c r="E317">
        <v>8</v>
      </c>
      <c r="F317" t="s">
        <v>48</v>
      </c>
      <c r="G317">
        <v>2.33</v>
      </c>
      <c r="H317" s="16">
        <v>844</v>
      </c>
      <c r="I317" t="s">
        <v>40</v>
      </c>
      <c r="J317">
        <v>1920</v>
      </c>
      <c r="K317">
        <v>1080</v>
      </c>
      <c r="L317" t="s">
        <v>27</v>
      </c>
      <c r="M317" t="s">
        <v>27</v>
      </c>
      <c r="N317" t="s">
        <v>27</v>
      </c>
      <c r="O317" t="s">
        <v>29</v>
      </c>
      <c r="P317">
        <v>1.6</v>
      </c>
      <c r="Q317" t="s">
        <v>60</v>
      </c>
      <c r="R317" t="str">
        <f>_xlfn.CONCAT(laptop[[#This Row],[CPU_company]]," ",laptop[[#This Row],[CPU_model]])</f>
        <v>Intel Core i5 8250U</v>
      </c>
      <c r="S317">
        <v>128</v>
      </c>
      <c r="T317">
        <v>1024</v>
      </c>
      <c r="U317">
        <f>laptop[[#This Row],[PrimaryStorage]]+laptop[[#This Row],[SecondaryStorage]]</f>
        <v>1152</v>
      </c>
      <c r="V317" t="s">
        <v>31</v>
      </c>
      <c r="W317" t="s">
        <v>51</v>
      </c>
      <c r="X317" t="str">
        <f>IF(laptop[[#This Row],[PrimaryStorageType]]=laptop[[#This Row],[SecondaryStorageType]],laptop[[#This Row],[PrimaryStorageType]],"SSD &amp; HDD")</f>
        <v>SSD &amp; HDD</v>
      </c>
      <c r="Y317" t="s">
        <v>94</v>
      </c>
      <c r="Z317" s="4" t="str">
        <f>_xlfn.CONCAT(laptop[[#This Row],[CPU_company]]," ",laptop[[#This Row],[GPU_model]])</f>
        <v>Intel Radeon 530</v>
      </c>
    </row>
    <row r="318" spans="1:26" x14ac:dyDescent="0.25">
      <c r="A318" t="s">
        <v>36</v>
      </c>
      <c r="B318" t="s">
        <v>192</v>
      </c>
      <c r="C318" t="s">
        <v>90</v>
      </c>
      <c r="D318">
        <v>13.3</v>
      </c>
      <c r="E318">
        <v>16</v>
      </c>
      <c r="F318" t="s">
        <v>48</v>
      </c>
      <c r="G318">
        <v>1.29</v>
      </c>
      <c r="H318" s="16">
        <v>2449</v>
      </c>
      <c r="I318" t="s">
        <v>215</v>
      </c>
      <c r="J318">
        <v>3840</v>
      </c>
      <c r="K318">
        <v>2160</v>
      </c>
      <c r="L318" t="s">
        <v>28</v>
      </c>
      <c r="M318" t="s">
        <v>28</v>
      </c>
      <c r="N318" t="s">
        <v>27</v>
      </c>
      <c r="O318" t="s">
        <v>29</v>
      </c>
      <c r="P318">
        <v>1.8</v>
      </c>
      <c r="Q318" t="s">
        <v>57</v>
      </c>
      <c r="R318" t="str">
        <f>_xlfn.CONCAT(laptop[[#This Row],[CPU_company]]," ",laptop[[#This Row],[CPU_model]])</f>
        <v>Intel Core i7 8550U</v>
      </c>
      <c r="S318">
        <v>1024</v>
      </c>
      <c r="T318">
        <v>0</v>
      </c>
      <c r="U318">
        <f>laptop[[#This Row],[PrimaryStorage]]+laptop[[#This Row],[SecondaryStorage]]</f>
        <v>1024</v>
      </c>
      <c r="V318" t="s">
        <v>31</v>
      </c>
      <c r="W318" t="s">
        <v>27</v>
      </c>
      <c r="X318" t="str">
        <f>IF(laptop[[#This Row],[PrimaryStorageType]]=laptop[[#This Row],[SecondaryStorageType]],laptop[[#This Row],[PrimaryStorageType]],"SSD &amp; HDD")</f>
        <v>SSD &amp; HDD</v>
      </c>
      <c r="Y318" t="s">
        <v>61</v>
      </c>
      <c r="Z318" s="4" t="str">
        <f>_xlfn.CONCAT(laptop[[#This Row],[CPU_company]]," ",laptop[[#This Row],[GPU_model]])</f>
        <v>Intel UHD Graphics 620</v>
      </c>
    </row>
    <row r="319" spans="1:26" x14ac:dyDescent="0.25">
      <c r="A319" t="s">
        <v>73</v>
      </c>
      <c r="B319" t="s">
        <v>341</v>
      </c>
      <c r="C319" t="s">
        <v>38</v>
      </c>
      <c r="D319">
        <v>13.3</v>
      </c>
      <c r="E319">
        <v>4</v>
      </c>
      <c r="F319" t="s">
        <v>317</v>
      </c>
      <c r="G319">
        <v>1.45</v>
      </c>
      <c r="H319" s="16">
        <v>459.9</v>
      </c>
      <c r="I319" t="s">
        <v>26</v>
      </c>
      <c r="J319">
        <v>1366</v>
      </c>
      <c r="K319">
        <v>768</v>
      </c>
      <c r="L319" t="s">
        <v>27</v>
      </c>
      <c r="M319" t="s">
        <v>27</v>
      </c>
      <c r="N319" t="s">
        <v>27</v>
      </c>
      <c r="O319" t="s">
        <v>29</v>
      </c>
      <c r="P319">
        <v>1.6</v>
      </c>
      <c r="Q319" t="s">
        <v>342</v>
      </c>
      <c r="R319" t="str">
        <f>_xlfn.CONCAT(laptop[[#This Row],[CPU_company]]," ",laptop[[#This Row],[CPU_model]])</f>
        <v>Intel Celeron Dual Core 3855U</v>
      </c>
      <c r="S319">
        <v>16</v>
      </c>
      <c r="T319">
        <v>0</v>
      </c>
      <c r="U319">
        <f>laptop[[#This Row],[PrimaryStorage]]+laptop[[#This Row],[SecondaryStorage]]</f>
        <v>16</v>
      </c>
      <c r="V319" t="s">
        <v>34</v>
      </c>
      <c r="W319" t="s">
        <v>27</v>
      </c>
      <c r="X319" t="str">
        <f>IF(laptop[[#This Row],[PrimaryStorageType]]=laptop[[#This Row],[SecondaryStorageType]],laptop[[#This Row],[PrimaryStorageType]],"SSD &amp; HDD")</f>
        <v>SSD &amp; HDD</v>
      </c>
      <c r="Y319" t="s">
        <v>343</v>
      </c>
      <c r="Z319" s="4" t="str">
        <f>_xlfn.CONCAT(laptop[[#This Row],[CPU_company]]," ",laptop[[#This Row],[GPU_model]])</f>
        <v>Intel HD Graphics 510</v>
      </c>
    </row>
    <row r="320" spans="1:26" x14ac:dyDescent="0.25">
      <c r="A320" t="s">
        <v>36</v>
      </c>
      <c r="B320" t="s">
        <v>344</v>
      </c>
      <c r="C320" t="s">
        <v>38</v>
      </c>
      <c r="D320">
        <v>14</v>
      </c>
      <c r="E320">
        <v>8</v>
      </c>
      <c r="F320" t="s">
        <v>48</v>
      </c>
      <c r="G320">
        <v>1.95</v>
      </c>
      <c r="H320" s="16">
        <v>980</v>
      </c>
      <c r="I320" t="s">
        <v>40</v>
      </c>
      <c r="J320">
        <v>1920</v>
      </c>
      <c r="K320">
        <v>1080</v>
      </c>
      <c r="L320" t="s">
        <v>27</v>
      </c>
      <c r="M320" t="s">
        <v>27</v>
      </c>
      <c r="N320" t="s">
        <v>27</v>
      </c>
      <c r="O320" t="s">
        <v>29</v>
      </c>
      <c r="P320">
        <v>2.5</v>
      </c>
      <c r="Q320" t="s">
        <v>41</v>
      </c>
      <c r="R320" t="str">
        <f>_xlfn.CONCAT(laptop[[#This Row],[CPU_company]]," ",laptop[[#This Row],[CPU_model]])</f>
        <v>Intel Core i5 7200U</v>
      </c>
      <c r="S320">
        <v>256</v>
      </c>
      <c r="T320">
        <v>0</v>
      </c>
      <c r="U320">
        <f>laptop[[#This Row],[PrimaryStorage]]+laptop[[#This Row],[SecondaryStorage]]</f>
        <v>256</v>
      </c>
      <c r="V320" t="s">
        <v>31</v>
      </c>
      <c r="W320" t="s">
        <v>27</v>
      </c>
      <c r="X320" t="str">
        <f>IF(laptop[[#This Row],[PrimaryStorageType]]=laptop[[#This Row],[SecondaryStorageType]],laptop[[#This Row],[PrimaryStorageType]],"SSD &amp; HDD")</f>
        <v>SSD &amp; HDD</v>
      </c>
      <c r="Y320" t="s">
        <v>42</v>
      </c>
      <c r="Z320" s="4" t="str">
        <f>_xlfn.CONCAT(laptop[[#This Row],[CPU_company]]," ",laptop[[#This Row],[GPU_model]])</f>
        <v>Intel HD Graphics 620</v>
      </c>
    </row>
    <row r="321" spans="1:26" x14ac:dyDescent="0.25">
      <c r="A321" t="s">
        <v>46</v>
      </c>
      <c r="B321" t="s">
        <v>345</v>
      </c>
      <c r="C321" t="s">
        <v>38</v>
      </c>
      <c r="D321">
        <v>11.6</v>
      </c>
      <c r="E321">
        <v>4</v>
      </c>
      <c r="F321" t="s">
        <v>48</v>
      </c>
      <c r="G321">
        <v>1.4</v>
      </c>
      <c r="H321" s="16">
        <v>485</v>
      </c>
      <c r="I321" t="s">
        <v>26</v>
      </c>
      <c r="J321">
        <v>1366</v>
      </c>
      <c r="K321">
        <v>768</v>
      </c>
      <c r="L321" t="s">
        <v>27</v>
      </c>
      <c r="M321" t="s">
        <v>27</v>
      </c>
      <c r="N321" t="s">
        <v>27</v>
      </c>
      <c r="O321" t="s">
        <v>29</v>
      </c>
      <c r="P321">
        <v>1.6</v>
      </c>
      <c r="Q321" t="s">
        <v>346</v>
      </c>
      <c r="R321" t="str">
        <f>_xlfn.CONCAT(laptop[[#This Row],[CPU_company]]," ",laptop[[#This Row],[CPU_model]])</f>
        <v>Intel Pentium Quad Core N3710</v>
      </c>
      <c r="S321">
        <v>128</v>
      </c>
      <c r="T321">
        <v>0</v>
      </c>
      <c r="U321">
        <f>laptop[[#This Row],[PrimaryStorage]]+laptop[[#This Row],[SecondaryStorage]]</f>
        <v>128</v>
      </c>
      <c r="V321" t="s">
        <v>34</v>
      </c>
      <c r="W321" t="s">
        <v>27</v>
      </c>
      <c r="X321" t="str">
        <f>IF(laptop[[#This Row],[PrimaryStorageType]]=laptop[[#This Row],[SecondaryStorageType]],laptop[[#This Row],[PrimaryStorageType]],"SSD &amp; HDD")</f>
        <v>SSD &amp; HDD</v>
      </c>
      <c r="Y321" t="s">
        <v>347</v>
      </c>
      <c r="Z321" s="4" t="str">
        <f>_xlfn.CONCAT(laptop[[#This Row],[CPU_company]]," ",laptop[[#This Row],[GPU_model]])</f>
        <v>Intel HD Graphics 405</v>
      </c>
    </row>
    <row r="322" spans="1:26" x14ac:dyDescent="0.25">
      <c r="A322" t="s">
        <v>36</v>
      </c>
      <c r="B322" t="s">
        <v>348</v>
      </c>
      <c r="C322" t="s">
        <v>38</v>
      </c>
      <c r="D322">
        <v>14</v>
      </c>
      <c r="E322">
        <v>8</v>
      </c>
      <c r="F322" t="s">
        <v>48</v>
      </c>
      <c r="G322">
        <v>1.48</v>
      </c>
      <c r="H322" s="16">
        <v>1292</v>
      </c>
      <c r="I322" t="s">
        <v>40</v>
      </c>
      <c r="J322">
        <v>1920</v>
      </c>
      <c r="K322">
        <v>1080</v>
      </c>
      <c r="L322" t="s">
        <v>27</v>
      </c>
      <c r="M322" t="s">
        <v>27</v>
      </c>
      <c r="N322" t="s">
        <v>27</v>
      </c>
      <c r="O322" t="s">
        <v>29</v>
      </c>
      <c r="P322">
        <v>2.7</v>
      </c>
      <c r="Q322" t="s">
        <v>71</v>
      </c>
      <c r="R322" t="str">
        <f>_xlfn.CONCAT(laptop[[#This Row],[CPU_company]]," ",laptop[[#This Row],[CPU_model]])</f>
        <v>Intel Core i7 7500U</v>
      </c>
      <c r="S322">
        <v>256</v>
      </c>
      <c r="T322">
        <v>0</v>
      </c>
      <c r="U322">
        <f>laptop[[#This Row],[PrimaryStorage]]+laptop[[#This Row],[SecondaryStorage]]</f>
        <v>256</v>
      </c>
      <c r="V322" t="s">
        <v>31</v>
      </c>
      <c r="W322" t="s">
        <v>27</v>
      </c>
      <c r="X322" t="str">
        <f>IF(laptop[[#This Row],[PrimaryStorageType]]=laptop[[#This Row],[SecondaryStorageType]],laptop[[#This Row],[PrimaryStorageType]],"SSD &amp; HDD")</f>
        <v>SSD &amp; HDD</v>
      </c>
      <c r="Y322" t="s">
        <v>42</v>
      </c>
      <c r="Z322" s="4" t="str">
        <f>_xlfn.CONCAT(laptop[[#This Row],[CPU_company]]," ",laptop[[#This Row],[GPU_model]])</f>
        <v>Intel HD Graphics 620</v>
      </c>
    </row>
    <row r="323" spans="1:26" x14ac:dyDescent="0.25">
      <c r="A323" t="s">
        <v>73</v>
      </c>
      <c r="B323" t="s">
        <v>271</v>
      </c>
      <c r="C323" t="s">
        <v>38</v>
      </c>
      <c r="D323">
        <v>17.3</v>
      </c>
      <c r="E323">
        <v>4</v>
      </c>
      <c r="F323" t="s">
        <v>48</v>
      </c>
      <c r="G323">
        <v>2.79</v>
      </c>
      <c r="H323" s="16">
        <v>589</v>
      </c>
      <c r="I323" t="s">
        <v>26</v>
      </c>
      <c r="J323">
        <v>1600</v>
      </c>
      <c r="K323">
        <v>900</v>
      </c>
      <c r="L323" t="s">
        <v>27</v>
      </c>
      <c r="M323" t="s">
        <v>27</v>
      </c>
      <c r="N323" t="s">
        <v>27</v>
      </c>
      <c r="O323" t="s">
        <v>29</v>
      </c>
      <c r="P323">
        <v>2.5</v>
      </c>
      <c r="Q323" t="s">
        <v>41</v>
      </c>
      <c r="R323" t="str">
        <f>_xlfn.CONCAT(laptop[[#This Row],[CPU_company]]," ",laptop[[#This Row],[CPU_model]])</f>
        <v>Intel Core i5 7200U</v>
      </c>
      <c r="S323">
        <v>1024</v>
      </c>
      <c r="T323">
        <v>0</v>
      </c>
      <c r="U323">
        <f>laptop[[#This Row],[PrimaryStorage]]+laptop[[#This Row],[SecondaryStorage]]</f>
        <v>1024</v>
      </c>
      <c r="V323" t="s">
        <v>51</v>
      </c>
      <c r="W323" t="s">
        <v>27</v>
      </c>
      <c r="X323" t="str">
        <f>IF(laptop[[#This Row],[PrimaryStorageType]]=laptop[[#This Row],[SecondaryStorageType]],laptop[[#This Row],[PrimaryStorageType]],"SSD &amp; HDD")</f>
        <v>SSD &amp; HDD</v>
      </c>
      <c r="Y323" t="s">
        <v>131</v>
      </c>
      <c r="Z323" s="4" t="str">
        <f>_xlfn.CONCAT(laptop[[#This Row],[CPU_company]]," ",laptop[[#This Row],[GPU_model]])</f>
        <v>Intel GeForce 920MX</v>
      </c>
    </row>
    <row r="324" spans="1:26" x14ac:dyDescent="0.25">
      <c r="A324" t="s">
        <v>55</v>
      </c>
      <c r="B324" t="s">
        <v>349</v>
      </c>
      <c r="C324" t="s">
        <v>38</v>
      </c>
      <c r="D324">
        <v>14</v>
      </c>
      <c r="E324">
        <v>8</v>
      </c>
      <c r="F324" t="s">
        <v>48</v>
      </c>
      <c r="G324">
        <v>2</v>
      </c>
      <c r="H324" s="16">
        <v>1094</v>
      </c>
      <c r="I324" t="s">
        <v>40</v>
      </c>
      <c r="J324">
        <v>1920</v>
      </c>
      <c r="K324">
        <v>1080</v>
      </c>
      <c r="L324" t="s">
        <v>27</v>
      </c>
      <c r="M324" t="s">
        <v>27</v>
      </c>
      <c r="N324" t="s">
        <v>27</v>
      </c>
      <c r="O324" t="s">
        <v>29</v>
      </c>
      <c r="P324">
        <v>2.7</v>
      </c>
      <c r="Q324" t="s">
        <v>71</v>
      </c>
      <c r="R324" t="str">
        <f>_xlfn.CONCAT(laptop[[#This Row],[CPU_company]]," ",laptop[[#This Row],[CPU_model]])</f>
        <v>Intel Core i7 7500U</v>
      </c>
      <c r="S324">
        <v>256</v>
      </c>
      <c r="T324">
        <v>0</v>
      </c>
      <c r="U324">
        <f>laptop[[#This Row],[PrimaryStorage]]+laptop[[#This Row],[SecondaryStorage]]</f>
        <v>256</v>
      </c>
      <c r="V324" t="s">
        <v>31</v>
      </c>
      <c r="W324" t="s">
        <v>27</v>
      </c>
      <c r="X324" t="str">
        <f>IF(laptop[[#This Row],[PrimaryStorageType]]=laptop[[#This Row],[SecondaryStorageType]],laptop[[#This Row],[PrimaryStorageType]],"SSD &amp; HDD")</f>
        <v>SSD &amp; HDD</v>
      </c>
      <c r="Y324" t="s">
        <v>42</v>
      </c>
      <c r="Z324" s="4" t="str">
        <f>_xlfn.CONCAT(laptop[[#This Row],[CPU_company]]," ",laptop[[#This Row],[GPU_model]])</f>
        <v>Intel HD Graphics 620</v>
      </c>
    </row>
    <row r="325" spans="1:26" x14ac:dyDescent="0.25">
      <c r="A325" t="s">
        <v>36</v>
      </c>
      <c r="B325" t="s">
        <v>114</v>
      </c>
      <c r="C325" t="s">
        <v>38</v>
      </c>
      <c r="D325">
        <v>15.6</v>
      </c>
      <c r="E325">
        <v>8</v>
      </c>
      <c r="F325" t="s">
        <v>48</v>
      </c>
      <c r="G325">
        <v>2.1</v>
      </c>
      <c r="H325" s="16">
        <v>902</v>
      </c>
      <c r="I325" t="s">
        <v>40</v>
      </c>
      <c r="J325">
        <v>1366</v>
      </c>
      <c r="K325">
        <v>768</v>
      </c>
      <c r="L325" t="s">
        <v>27</v>
      </c>
      <c r="M325" t="s">
        <v>28</v>
      </c>
      <c r="N325" t="s">
        <v>27</v>
      </c>
      <c r="O325" t="s">
        <v>29</v>
      </c>
      <c r="P325">
        <v>1.8</v>
      </c>
      <c r="Q325" t="s">
        <v>57</v>
      </c>
      <c r="R325" t="str">
        <f>_xlfn.CONCAT(laptop[[#This Row],[CPU_company]]," ",laptop[[#This Row],[CPU_model]])</f>
        <v>Intel Core i7 8550U</v>
      </c>
      <c r="S325">
        <v>1024</v>
      </c>
      <c r="T325">
        <v>0</v>
      </c>
      <c r="U325">
        <f>laptop[[#This Row],[PrimaryStorage]]+laptop[[#This Row],[SecondaryStorage]]</f>
        <v>1024</v>
      </c>
      <c r="V325" t="s">
        <v>51</v>
      </c>
      <c r="W325" t="s">
        <v>27</v>
      </c>
      <c r="X325" t="str">
        <f>IF(laptop[[#This Row],[PrimaryStorageType]]=laptop[[#This Row],[SecondaryStorageType]],laptop[[#This Row],[PrimaryStorageType]],"SSD &amp; HDD")</f>
        <v>SSD &amp; HDD</v>
      </c>
      <c r="Y325" t="s">
        <v>61</v>
      </c>
      <c r="Z325" s="4" t="str">
        <f>_xlfn.CONCAT(laptop[[#This Row],[CPU_company]]," ",laptop[[#This Row],[GPU_model]])</f>
        <v>Intel UHD Graphics 620</v>
      </c>
    </row>
    <row r="326" spans="1:26" x14ac:dyDescent="0.25">
      <c r="A326" t="s">
        <v>46</v>
      </c>
      <c r="B326" t="s">
        <v>173</v>
      </c>
      <c r="C326" t="s">
        <v>38</v>
      </c>
      <c r="D326">
        <v>15.6</v>
      </c>
      <c r="E326">
        <v>8</v>
      </c>
      <c r="F326" t="s">
        <v>48</v>
      </c>
      <c r="G326">
        <v>2.2000000000000002</v>
      </c>
      <c r="H326" s="16">
        <v>659</v>
      </c>
      <c r="I326" t="s">
        <v>26</v>
      </c>
      <c r="J326">
        <v>1366</v>
      </c>
      <c r="K326">
        <v>768</v>
      </c>
      <c r="L326" t="s">
        <v>27</v>
      </c>
      <c r="M326" t="s">
        <v>27</v>
      </c>
      <c r="N326" t="s">
        <v>27</v>
      </c>
      <c r="O326" t="s">
        <v>49</v>
      </c>
      <c r="P326">
        <v>2.7</v>
      </c>
      <c r="Q326" t="s">
        <v>350</v>
      </c>
      <c r="R326" t="str">
        <f>_xlfn.CONCAT(laptop[[#This Row],[CPU_company]]," ",laptop[[#This Row],[CPU_model]])</f>
        <v>AMD A12-Series 9720P</v>
      </c>
      <c r="S326">
        <v>256</v>
      </c>
      <c r="T326">
        <v>0</v>
      </c>
      <c r="U326">
        <f>laptop[[#This Row],[PrimaryStorage]]+laptop[[#This Row],[SecondaryStorage]]</f>
        <v>256</v>
      </c>
      <c r="V326" t="s">
        <v>31</v>
      </c>
      <c r="W326" t="s">
        <v>27</v>
      </c>
      <c r="X326" t="str">
        <f>IF(laptop[[#This Row],[PrimaryStorageType]]=laptop[[#This Row],[SecondaryStorageType]],laptop[[#This Row],[PrimaryStorageType]],"SSD &amp; HDD")</f>
        <v>SSD &amp; HDD</v>
      </c>
      <c r="Y326" t="s">
        <v>351</v>
      </c>
      <c r="Z326" s="4" t="str">
        <f>_xlfn.CONCAT(laptop[[#This Row],[CPU_company]]," ",laptop[[#This Row],[GPU_model]])</f>
        <v>AMD Radeon RX 540</v>
      </c>
    </row>
    <row r="327" spans="1:26" x14ac:dyDescent="0.25">
      <c r="A327" t="s">
        <v>73</v>
      </c>
      <c r="B327" t="s">
        <v>108</v>
      </c>
      <c r="C327" t="s">
        <v>38</v>
      </c>
      <c r="D327">
        <v>14</v>
      </c>
      <c r="E327">
        <v>4</v>
      </c>
      <c r="F327" t="s">
        <v>48</v>
      </c>
      <c r="G327">
        <v>1.44</v>
      </c>
      <c r="H327" s="16">
        <v>292</v>
      </c>
      <c r="I327" t="s">
        <v>26</v>
      </c>
      <c r="J327">
        <v>1366</v>
      </c>
      <c r="K327">
        <v>768</v>
      </c>
      <c r="L327" t="s">
        <v>27</v>
      </c>
      <c r="M327" t="s">
        <v>27</v>
      </c>
      <c r="N327" t="s">
        <v>27</v>
      </c>
      <c r="O327" t="s">
        <v>29</v>
      </c>
      <c r="P327">
        <v>1.1000000000000001</v>
      </c>
      <c r="Q327" t="s">
        <v>109</v>
      </c>
      <c r="R327" t="str">
        <f>_xlfn.CONCAT(laptop[[#This Row],[CPU_company]]," ",laptop[[#This Row],[CPU_model]])</f>
        <v>Intel Celeron Dual Core N3350</v>
      </c>
      <c r="S327">
        <v>32</v>
      </c>
      <c r="T327">
        <v>0</v>
      </c>
      <c r="U327">
        <f>laptop[[#This Row],[PrimaryStorage]]+laptop[[#This Row],[SecondaryStorage]]</f>
        <v>32</v>
      </c>
      <c r="V327" t="s">
        <v>34</v>
      </c>
      <c r="W327" t="s">
        <v>27</v>
      </c>
      <c r="X327" t="str">
        <f>IF(laptop[[#This Row],[PrimaryStorageType]]=laptop[[#This Row],[SecondaryStorageType]],laptop[[#This Row],[PrimaryStorageType]],"SSD &amp; HDD")</f>
        <v>SSD &amp; HDD</v>
      </c>
      <c r="Y327" t="s">
        <v>110</v>
      </c>
      <c r="Z327" s="4" t="str">
        <f>_xlfn.CONCAT(laptop[[#This Row],[CPU_company]]," ",laptop[[#This Row],[GPU_model]])</f>
        <v>Intel HD Graphics 500</v>
      </c>
    </row>
    <row r="328" spans="1:26" x14ac:dyDescent="0.25">
      <c r="A328" t="s">
        <v>46</v>
      </c>
      <c r="B328" t="s">
        <v>352</v>
      </c>
      <c r="C328" t="s">
        <v>38</v>
      </c>
      <c r="D328">
        <v>15.6</v>
      </c>
      <c r="E328">
        <v>6</v>
      </c>
      <c r="F328" t="s">
        <v>48</v>
      </c>
      <c r="G328">
        <v>2.23</v>
      </c>
      <c r="H328" s="16">
        <v>549</v>
      </c>
      <c r="I328" t="s">
        <v>26</v>
      </c>
      <c r="J328">
        <v>1366</v>
      </c>
      <c r="K328">
        <v>768</v>
      </c>
      <c r="L328" t="s">
        <v>27</v>
      </c>
      <c r="M328" t="s">
        <v>27</v>
      </c>
      <c r="N328" t="s">
        <v>27</v>
      </c>
      <c r="O328" t="s">
        <v>29</v>
      </c>
      <c r="P328">
        <v>2.5</v>
      </c>
      <c r="Q328" t="s">
        <v>41</v>
      </c>
      <c r="R328" t="str">
        <f>_xlfn.CONCAT(laptop[[#This Row],[CPU_company]]," ",laptop[[#This Row],[CPU_model]])</f>
        <v>Intel Core i5 7200U</v>
      </c>
      <c r="S328">
        <v>1024</v>
      </c>
      <c r="T328">
        <v>0</v>
      </c>
      <c r="U328">
        <f>laptop[[#This Row],[PrimaryStorage]]+laptop[[#This Row],[SecondaryStorage]]</f>
        <v>1024</v>
      </c>
      <c r="V328" t="s">
        <v>51</v>
      </c>
      <c r="W328" t="s">
        <v>27</v>
      </c>
      <c r="X328" t="str">
        <f>IF(laptop[[#This Row],[PrimaryStorageType]]=laptop[[#This Row],[SecondaryStorageType]],laptop[[#This Row],[PrimaryStorageType]],"SSD &amp; HDD")</f>
        <v>SSD &amp; HDD</v>
      </c>
      <c r="Y328" t="s">
        <v>42</v>
      </c>
      <c r="Z328" s="4" t="str">
        <f>_xlfn.CONCAT(laptop[[#This Row],[CPU_company]]," ",laptop[[#This Row],[GPU_model]])</f>
        <v>Intel HD Graphics 620</v>
      </c>
    </row>
    <row r="329" spans="1:26" x14ac:dyDescent="0.25">
      <c r="A329" t="s">
        <v>55</v>
      </c>
      <c r="B329" t="s">
        <v>188</v>
      </c>
      <c r="C329" t="s">
        <v>24</v>
      </c>
      <c r="D329">
        <v>15.6</v>
      </c>
      <c r="E329">
        <v>8</v>
      </c>
      <c r="F329" t="s">
        <v>48</v>
      </c>
      <c r="G329">
        <v>1.7</v>
      </c>
      <c r="H329" s="16">
        <v>1049.9000000000001</v>
      </c>
      <c r="I329" t="s">
        <v>40</v>
      </c>
      <c r="J329">
        <v>1920</v>
      </c>
      <c r="K329">
        <v>1080</v>
      </c>
      <c r="L329" t="s">
        <v>27</v>
      </c>
      <c r="M329" t="s">
        <v>27</v>
      </c>
      <c r="N329" t="s">
        <v>27</v>
      </c>
      <c r="O329" t="s">
        <v>29</v>
      </c>
      <c r="P329">
        <v>2.7</v>
      </c>
      <c r="Q329" t="s">
        <v>71</v>
      </c>
      <c r="R329" t="str">
        <f>_xlfn.CONCAT(laptop[[#This Row],[CPU_company]]," ",laptop[[#This Row],[CPU_model]])</f>
        <v>Intel Core i7 7500U</v>
      </c>
      <c r="S329">
        <v>256</v>
      </c>
      <c r="T329">
        <v>0</v>
      </c>
      <c r="U329">
        <f>laptop[[#This Row],[PrimaryStorage]]+laptop[[#This Row],[SecondaryStorage]]</f>
        <v>256</v>
      </c>
      <c r="V329" t="s">
        <v>31</v>
      </c>
      <c r="W329" t="s">
        <v>27</v>
      </c>
      <c r="X329" t="str">
        <f>IF(laptop[[#This Row],[PrimaryStorageType]]=laptop[[#This Row],[SecondaryStorageType]],laptop[[#This Row],[PrimaryStorageType]],"SSD &amp; HDD")</f>
        <v>SSD &amp; HDD</v>
      </c>
      <c r="Y329" t="s">
        <v>76</v>
      </c>
      <c r="Z329" s="4" t="str">
        <f>_xlfn.CONCAT(laptop[[#This Row],[CPU_company]]," ",laptop[[#This Row],[GPU_model]])</f>
        <v>Intel GeForce 940MX</v>
      </c>
    </row>
    <row r="330" spans="1:26" x14ac:dyDescent="0.25">
      <c r="A330" t="s">
        <v>36</v>
      </c>
      <c r="B330" t="s">
        <v>353</v>
      </c>
      <c r="C330" t="s">
        <v>24</v>
      </c>
      <c r="D330">
        <v>12.5</v>
      </c>
      <c r="E330">
        <v>8</v>
      </c>
      <c r="F330" t="s">
        <v>48</v>
      </c>
      <c r="G330">
        <v>1.26</v>
      </c>
      <c r="H330" s="16">
        <v>1335</v>
      </c>
      <c r="I330" t="s">
        <v>40</v>
      </c>
      <c r="J330">
        <v>1920</v>
      </c>
      <c r="K330">
        <v>1080</v>
      </c>
      <c r="L330" t="s">
        <v>27</v>
      </c>
      <c r="M330" t="s">
        <v>27</v>
      </c>
      <c r="N330" t="s">
        <v>27</v>
      </c>
      <c r="O330" t="s">
        <v>29</v>
      </c>
      <c r="P330">
        <v>2.7</v>
      </c>
      <c r="Q330" t="s">
        <v>71</v>
      </c>
      <c r="R330" t="str">
        <f>_xlfn.CONCAT(laptop[[#This Row],[CPU_company]]," ",laptop[[#This Row],[CPU_model]])</f>
        <v>Intel Core i7 7500U</v>
      </c>
      <c r="S330">
        <v>256</v>
      </c>
      <c r="T330">
        <v>0</v>
      </c>
      <c r="U330">
        <f>laptop[[#This Row],[PrimaryStorage]]+laptop[[#This Row],[SecondaryStorage]]</f>
        <v>256</v>
      </c>
      <c r="V330" t="s">
        <v>31</v>
      </c>
      <c r="W330" t="s">
        <v>27</v>
      </c>
      <c r="X330" t="str">
        <f>IF(laptop[[#This Row],[PrimaryStorageType]]=laptop[[#This Row],[SecondaryStorageType]],laptop[[#This Row],[PrimaryStorageType]],"SSD &amp; HDD")</f>
        <v>SSD &amp; HDD</v>
      </c>
      <c r="Y330" t="s">
        <v>42</v>
      </c>
      <c r="Z330" s="4" t="str">
        <f>_xlfn.CONCAT(laptop[[#This Row],[CPU_company]]," ",laptop[[#This Row],[GPU_model]])</f>
        <v>Intel HD Graphics 620</v>
      </c>
    </row>
    <row r="331" spans="1:26" x14ac:dyDescent="0.25">
      <c r="A331" t="s">
        <v>65</v>
      </c>
      <c r="B331" t="s">
        <v>249</v>
      </c>
      <c r="C331" t="s">
        <v>38</v>
      </c>
      <c r="D331">
        <v>15.6</v>
      </c>
      <c r="E331">
        <v>32</v>
      </c>
      <c r="F331" t="s">
        <v>48</v>
      </c>
      <c r="G331">
        <v>2.06</v>
      </c>
      <c r="H331" s="16">
        <v>2639</v>
      </c>
      <c r="I331" t="s">
        <v>215</v>
      </c>
      <c r="J331">
        <v>3840</v>
      </c>
      <c r="K331">
        <v>2160</v>
      </c>
      <c r="L331" t="s">
        <v>28</v>
      </c>
      <c r="M331" t="s">
        <v>27</v>
      </c>
      <c r="N331" t="s">
        <v>27</v>
      </c>
      <c r="O331" t="s">
        <v>29</v>
      </c>
      <c r="P331">
        <v>2.8</v>
      </c>
      <c r="Q331" t="s">
        <v>118</v>
      </c>
      <c r="R331" t="str">
        <f>_xlfn.CONCAT(laptop[[#This Row],[CPU_company]]," ",laptop[[#This Row],[CPU_model]])</f>
        <v>Intel Core i7 7700HQ</v>
      </c>
      <c r="S331">
        <v>1024</v>
      </c>
      <c r="T331">
        <v>0</v>
      </c>
      <c r="U331">
        <f>laptop[[#This Row],[PrimaryStorage]]+laptop[[#This Row],[SecondaryStorage]]</f>
        <v>1024</v>
      </c>
      <c r="V331" t="s">
        <v>31</v>
      </c>
      <c r="W331" t="s">
        <v>27</v>
      </c>
      <c r="X331" t="str">
        <f>IF(laptop[[#This Row],[PrimaryStorageType]]=laptop[[#This Row],[SecondaryStorageType]],laptop[[#This Row],[PrimaryStorageType]],"SSD &amp; HDD")</f>
        <v>SSD &amp; HDD</v>
      </c>
      <c r="Y331" t="s">
        <v>85</v>
      </c>
      <c r="Z331" s="4" t="str">
        <f>_xlfn.CONCAT(laptop[[#This Row],[CPU_company]]," ",laptop[[#This Row],[GPU_model]])</f>
        <v>Intel GeForce GTX 1050</v>
      </c>
    </row>
    <row r="332" spans="1:26" x14ac:dyDescent="0.25">
      <c r="A332" t="s">
        <v>141</v>
      </c>
      <c r="B332" t="s">
        <v>354</v>
      </c>
      <c r="C332" t="s">
        <v>83</v>
      </c>
      <c r="D332">
        <v>17.3</v>
      </c>
      <c r="E332">
        <v>8</v>
      </c>
      <c r="F332" t="s">
        <v>48</v>
      </c>
      <c r="G332">
        <v>2.7</v>
      </c>
      <c r="H332" s="16">
        <v>1199</v>
      </c>
      <c r="I332" t="s">
        <v>40</v>
      </c>
      <c r="J332">
        <v>1920</v>
      </c>
      <c r="K332">
        <v>1080</v>
      </c>
      <c r="L332" t="s">
        <v>27</v>
      </c>
      <c r="M332" t="s">
        <v>27</v>
      </c>
      <c r="N332" t="s">
        <v>27</v>
      </c>
      <c r="O332" t="s">
        <v>29</v>
      </c>
      <c r="P332">
        <v>2.8</v>
      </c>
      <c r="Q332" t="s">
        <v>118</v>
      </c>
      <c r="R332" t="str">
        <f>_xlfn.CONCAT(laptop[[#This Row],[CPU_company]]," ",laptop[[#This Row],[CPU_model]])</f>
        <v>Intel Core i7 7700HQ</v>
      </c>
      <c r="S332">
        <v>256</v>
      </c>
      <c r="T332">
        <v>1024</v>
      </c>
      <c r="U332">
        <f>laptop[[#This Row],[PrimaryStorage]]+laptop[[#This Row],[SecondaryStorage]]</f>
        <v>1280</v>
      </c>
      <c r="V332" t="s">
        <v>31</v>
      </c>
      <c r="W332" t="s">
        <v>51</v>
      </c>
      <c r="X332" t="str">
        <f>IF(laptop[[#This Row],[PrimaryStorageType]]=laptop[[#This Row],[SecondaryStorageType]],laptop[[#This Row],[PrimaryStorageType]],"SSD &amp; HDD")</f>
        <v>SSD &amp; HDD</v>
      </c>
      <c r="Y332" t="s">
        <v>149</v>
      </c>
      <c r="Z332" s="4" t="str">
        <f>_xlfn.CONCAT(laptop[[#This Row],[CPU_company]]," ",laptop[[#This Row],[GPU_model]])</f>
        <v>Intel GeForce GTX 1050 Ti</v>
      </c>
    </row>
    <row r="333" spans="1:26" x14ac:dyDescent="0.25">
      <c r="A333" t="s">
        <v>210</v>
      </c>
      <c r="B333" t="s">
        <v>211</v>
      </c>
      <c r="C333" t="s">
        <v>38</v>
      </c>
      <c r="D333">
        <v>15.6</v>
      </c>
      <c r="E333">
        <v>8</v>
      </c>
      <c r="F333" t="s">
        <v>48</v>
      </c>
      <c r="G333">
        <v>2</v>
      </c>
      <c r="H333" s="16">
        <v>943</v>
      </c>
      <c r="I333" t="s">
        <v>40</v>
      </c>
      <c r="J333">
        <v>1920</v>
      </c>
      <c r="K333">
        <v>1080</v>
      </c>
      <c r="L333" t="s">
        <v>27</v>
      </c>
      <c r="M333" t="s">
        <v>28</v>
      </c>
      <c r="N333" t="s">
        <v>27</v>
      </c>
      <c r="O333" t="s">
        <v>29</v>
      </c>
      <c r="P333">
        <v>2.5</v>
      </c>
      <c r="Q333" t="s">
        <v>41</v>
      </c>
      <c r="R333" t="str">
        <f>_xlfn.CONCAT(laptop[[#This Row],[CPU_company]]," ",laptop[[#This Row],[CPU_model]])</f>
        <v>Intel Core i5 7200U</v>
      </c>
      <c r="S333">
        <v>256</v>
      </c>
      <c r="T333">
        <v>0</v>
      </c>
      <c r="U333">
        <f>laptop[[#This Row],[PrimaryStorage]]+laptop[[#This Row],[SecondaryStorage]]</f>
        <v>256</v>
      </c>
      <c r="V333" t="s">
        <v>31</v>
      </c>
      <c r="W333" t="s">
        <v>27</v>
      </c>
      <c r="X333" t="str">
        <f>IF(laptop[[#This Row],[PrimaryStorageType]]=laptop[[#This Row],[SecondaryStorageType]],laptop[[#This Row],[PrimaryStorageType]],"SSD &amp; HDD")</f>
        <v>SSD &amp; HDD</v>
      </c>
      <c r="Y333" t="s">
        <v>42</v>
      </c>
      <c r="Z333" s="4" t="str">
        <f>_xlfn.CONCAT(laptop[[#This Row],[CPU_company]]," ",laptop[[#This Row],[GPU_model]])</f>
        <v>Intel HD Graphics 620</v>
      </c>
    </row>
    <row r="334" spans="1:26" x14ac:dyDescent="0.25">
      <c r="A334" t="s">
        <v>55</v>
      </c>
      <c r="B334" t="s">
        <v>355</v>
      </c>
      <c r="C334" t="s">
        <v>38</v>
      </c>
      <c r="D334">
        <v>14</v>
      </c>
      <c r="E334">
        <v>8</v>
      </c>
      <c r="F334" t="s">
        <v>48</v>
      </c>
      <c r="G334">
        <v>2</v>
      </c>
      <c r="H334" s="16">
        <v>1334</v>
      </c>
      <c r="I334" t="s">
        <v>40</v>
      </c>
      <c r="J334">
        <v>1920</v>
      </c>
      <c r="K334">
        <v>1080</v>
      </c>
      <c r="L334" t="s">
        <v>27</v>
      </c>
      <c r="M334" t="s">
        <v>27</v>
      </c>
      <c r="N334" t="s">
        <v>27</v>
      </c>
      <c r="O334" t="s">
        <v>29</v>
      </c>
      <c r="P334">
        <v>2.7</v>
      </c>
      <c r="Q334" t="s">
        <v>71</v>
      </c>
      <c r="R334" t="str">
        <f>_xlfn.CONCAT(laptop[[#This Row],[CPU_company]]," ",laptop[[#This Row],[CPU_model]])</f>
        <v>Intel Core i7 7500U</v>
      </c>
      <c r="S334">
        <v>256</v>
      </c>
      <c r="T334">
        <v>1024</v>
      </c>
      <c r="U334">
        <f>laptop[[#This Row],[PrimaryStorage]]+laptop[[#This Row],[SecondaryStorage]]</f>
        <v>1280</v>
      </c>
      <c r="V334" t="s">
        <v>31</v>
      </c>
      <c r="W334" t="s">
        <v>51</v>
      </c>
      <c r="X334" t="str">
        <f>IF(laptop[[#This Row],[PrimaryStorageType]]=laptop[[#This Row],[SecondaryStorageType]],laptop[[#This Row],[PrimaryStorageType]],"SSD &amp; HDD")</f>
        <v>SSD &amp; HDD</v>
      </c>
      <c r="Y334" t="s">
        <v>42</v>
      </c>
      <c r="Z334" s="4" t="str">
        <f>_xlfn.CONCAT(laptop[[#This Row],[CPU_company]]," ",laptop[[#This Row],[GPU_model]])</f>
        <v>Intel HD Graphics 620</v>
      </c>
    </row>
    <row r="335" spans="1:26" x14ac:dyDescent="0.25">
      <c r="A335" t="s">
        <v>73</v>
      </c>
      <c r="B335" t="s">
        <v>356</v>
      </c>
      <c r="C335" t="s">
        <v>38</v>
      </c>
      <c r="D335">
        <v>15.6</v>
      </c>
      <c r="E335">
        <v>4</v>
      </c>
      <c r="F335" t="s">
        <v>48</v>
      </c>
      <c r="G335">
        <v>1.85</v>
      </c>
      <c r="H335" s="16">
        <v>449</v>
      </c>
      <c r="I335" t="s">
        <v>40</v>
      </c>
      <c r="J335">
        <v>1920</v>
      </c>
      <c r="K335">
        <v>1080</v>
      </c>
      <c r="L335" t="s">
        <v>27</v>
      </c>
      <c r="M335" t="s">
        <v>27</v>
      </c>
      <c r="N335" t="s">
        <v>27</v>
      </c>
      <c r="O335" t="s">
        <v>29</v>
      </c>
      <c r="P335">
        <v>2</v>
      </c>
      <c r="Q335" t="s">
        <v>62</v>
      </c>
      <c r="R335" t="str">
        <f>_xlfn.CONCAT(laptop[[#This Row],[CPU_company]]," ",laptop[[#This Row],[CPU_model]])</f>
        <v>Intel Core i3 6006U</v>
      </c>
      <c r="S335">
        <v>1024</v>
      </c>
      <c r="T335">
        <v>0</v>
      </c>
      <c r="U335">
        <f>laptop[[#This Row],[PrimaryStorage]]+laptop[[#This Row],[SecondaryStorage]]</f>
        <v>1024</v>
      </c>
      <c r="V335" t="s">
        <v>51</v>
      </c>
      <c r="W335" t="s">
        <v>27</v>
      </c>
      <c r="X335" t="str">
        <f>IF(laptop[[#This Row],[PrimaryStorageType]]=laptop[[#This Row],[SecondaryStorageType]],laptop[[#This Row],[PrimaryStorageType]],"SSD &amp; HDD")</f>
        <v>SSD &amp; HDD</v>
      </c>
      <c r="Y335" t="s">
        <v>63</v>
      </c>
      <c r="Z335" s="4" t="str">
        <f>_xlfn.CONCAT(laptop[[#This Row],[CPU_company]]," ",laptop[[#This Row],[GPU_model]])</f>
        <v>Intel HD Graphics 520</v>
      </c>
    </row>
    <row r="336" spans="1:26" x14ac:dyDescent="0.25">
      <c r="A336" t="s">
        <v>55</v>
      </c>
      <c r="B336" t="s">
        <v>357</v>
      </c>
      <c r="C336" t="s">
        <v>83</v>
      </c>
      <c r="D336">
        <v>15.6</v>
      </c>
      <c r="E336">
        <v>8</v>
      </c>
      <c r="F336" t="s">
        <v>48</v>
      </c>
      <c r="G336">
        <v>2.5</v>
      </c>
      <c r="H336" s="16">
        <v>999</v>
      </c>
      <c r="I336" t="s">
        <v>40</v>
      </c>
      <c r="J336">
        <v>1920</v>
      </c>
      <c r="K336">
        <v>1080</v>
      </c>
      <c r="L336" t="s">
        <v>27</v>
      </c>
      <c r="M336" t="s">
        <v>27</v>
      </c>
      <c r="N336" t="s">
        <v>27</v>
      </c>
      <c r="O336" t="s">
        <v>29</v>
      </c>
      <c r="P336">
        <v>2.8</v>
      </c>
      <c r="Q336" t="s">
        <v>118</v>
      </c>
      <c r="R336" t="str">
        <f>_xlfn.CONCAT(laptop[[#This Row],[CPU_company]]," ",laptop[[#This Row],[CPU_model]])</f>
        <v>Intel Core i7 7700HQ</v>
      </c>
      <c r="S336">
        <v>256</v>
      </c>
      <c r="T336">
        <v>0</v>
      </c>
      <c r="U336">
        <f>laptop[[#This Row],[PrimaryStorage]]+laptop[[#This Row],[SecondaryStorage]]</f>
        <v>256</v>
      </c>
      <c r="V336" t="s">
        <v>31</v>
      </c>
      <c r="W336" t="s">
        <v>27</v>
      </c>
      <c r="X336" t="str">
        <f>IF(laptop[[#This Row],[PrimaryStorageType]]=laptop[[#This Row],[SecondaryStorageType]],laptop[[#This Row],[PrimaryStorageType]],"SSD &amp; HDD")</f>
        <v>SSD &amp; HDD</v>
      </c>
      <c r="Y336" t="s">
        <v>85</v>
      </c>
      <c r="Z336" s="4" t="str">
        <f>_xlfn.CONCAT(laptop[[#This Row],[CPU_company]]," ",laptop[[#This Row],[GPU_model]])</f>
        <v>Intel GeForce GTX 1050</v>
      </c>
    </row>
    <row r="337" spans="1:26" x14ac:dyDescent="0.25">
      <c r="A337" t="s">
        <v>36</v>
      </c>
      <c r="B337" t="s">
        <v>226</v>
      </c>
      <c r="C337" t="s">
        <v>38</v>
      </c>
      <c r="D337">
        <v>14</v>
      </c>
      <c r="E337">
        <v>8</v>
      </c>
      <c r="F337" t="s">
        <v>48</v>
      </c>
      <c r="G337">
        <v>1.48</v>
      </c>
      <c r="H337" s="16">
        <v>1268</v>
      </c>
      <c r="I337" t="s">
        <v>40</v>
      </c>
      <c r="J337">
        <v>1920</v>
      </c>
      <c r="K337">
        <v>1080</v>
      </c>
      <c r="L337" t="s">
        <v>27</v>
      </c>
      <c r="M337" t="s">
        <v>27</v>
      </c>
      <c r="N337" t="s">
        <v>27</v>
      </c>
      <c r="O337" t="s">
        <v>29</v>
      </c>
      <c r="P337">
        <v>2.6</v>
      </c>
      <c r="Q337" t="s">
        <v>358</v>
      </c>
      <c r="R337" t="str">
        <f>_xlfn.CONCAT(laptop[[#This Row],[CPU_company]]," ",laptop[[#This Row],[CPU_model]])</f>
        <v>Intel Core i5 7300U</v>
      </c>
      <c r="S337">
        <v>256</v>
      </c>
      <c r="T337">
        <v>0</v>
      </c>
      <c r="U337">
        <f>laptop[[#This Row],[PrimaryStorage]]+laptop[[#This Row],[SecondaryStorage]]</f>
        <v>256</v>
      </c>
      <c r="V337" t="s">
        <v>31</v>
      </c>
      <c r="W337" t="s">
        <v>27</v>
      </c>
      <c r="X337" t="str">
        <f>IF(laptop[[#This Row],[PrimaryStorageType]]=laptop[[#This Row],[SecondaryStorageType]],laptop[[#This Row],[PrimaryStorageType]],"SSD &amp; HDD")</f>
        <v>SSD &amp; HDD</v>
      </c>
      <c r="Y337" t="s">
        <v>42</v>
      </c>
      <c r="Z337" s="4" t="str">
        <f>_xlfn.CONCAT(laptop[[#This Row],[CPU_company]]," ",laptop[[#This Row],[GPU_model]])</f>
        <v>Intel HD Graphics 620</v>
      </c>
    </row>
    <row r="338" spans="1:26" x14ac:dyDescent="0.25">
      <c r="A338" t="s">
        <v>65</v>
      </c>
      <c r="B338" t="s">
        <v>193</v>
      </c>
      <c r="C338" t="s">
        <v>24</v>
      </c>
      <c r="D338">
        <v>15.6</v>
      </c>
      <c r="E338">
        <v>8</v>
      </c>
      <c r="F338" t="s">
        <v>48</v>
      </c>
      <c r="G338">
        <v>1.9</v>
      </c>
      <c r="H338" s="16">
        <v>1049</v>
      </c>
      <c r="I338" t="s">
        <v>40</v>
      </c>
      <c r="J338">
        <v>1920</v>
      </c>
      <c r="K338">
        <v>1080</v>
      </c>
      <c r="L338" t="s">
        <v>27</v>
      </c>
      <c r="M338" t="s">
        <v>28</v>
      </c>
      <c r="N338" t="s">
        <v>27</v>
      </c>
      <c r="O338" t="s">
        <v>29</v>
      </c>
      <c r="P338">
        <v>1.6</v>
      </c>
      <c r="Q338" t="s">
        <v>60</v>
      </c>
      <c r="R338" t="str">
        <f>_xlfn.CONCAT(laptop[[#This Row],[CPU_company]]," ",laptop[[#This Row],[CPU_model]])</f>
        <v>Intel Core i5 8250U</v>
      </c>
      <c r="S338">
        <v>128</v>
      </c>
      <c r="T338">
        <v>1024</v>
      </c>
      <c r="U338">
        <f>laptop[[#This Row],[PrimaryStorage]]+laptop[[#This Row],[SecondaryStorage]]</f>
        <v>1152</v>
      </c>
      <c r="V338" t="s">
        <v>31</v>
      </c>
      <c r="W338" t="s">
        <v>51</v>
      </c>
      <c r="X338" t="str">
        <f>IF(laptop[[#This Row],[PrimaryStorageType]]=laptop[[#This Row],[SecondaryStorageType]],laptop[[#This Row],[PrimaryStorageType]],"SSD &amp; HDD")</f>
        <v>SSD &amp; HDD</v>
      </c>
      <c r="Y338" t="s">
        <v>76</v>
      </c>
      <c r="Z338" s="4" t="str">
        <f>_xlfn.CONCAT(laptop[[#This Row],[CPU_company]]," ",laptop[[#This Row],[GPU_model]])</f>
        <v>Intel GeForce 940MX</v>
      </c>
    </row>
    <row r="339" spans="1:26" x14ac:dyDescent="0.25">
      <c r="A339" t="s">
        <v>36</v>
      </c>
      <c r="B339" t="s">
        <v>359</v>
      </c>
      <c r="C339" t="s">
        <v>38</v>
      </c>
      <c r="D339">
        <v>15.6</v>
      </c>
      <c r="E339">
        <v>8</v>
      </c>
      <c r="F339" t="s">
        <v>48</v>
      </c>
      <c r="G339">
        <v>1.84</v>
      </c>
      <c r="H339" s="16">
        <v>1144</v>
      </c>
      <c r="I339" t="s">
        <v>40</v>
      </c>
      <c r="J339">
        <v>1920</v>
      </c>
      <c r="K339">
        <v>1080</v>
      </c>
      <c r="L339" t="s">
        <v>27</v>
      </c>
      <c r="M339" t="s">
        <v>27</v>
      </c>
      <c r="N339" t="s">
        <v>27</v>
      </c>
      <c r="O339" t="s">
        <v>29</v>
      </c>
      <c r="P339">
        <v>2.5</v>
      </c>
      <c r="Q339" t="s">
        <v>41</v>
      </c>
      <c r="R339" t="str">
        <f>_xlfn.CONCAT(laptop[[#This Row],[CPU_company]]," ",laptop[[#This Row],[CPU_model]])</f>
        <v>Intel Core i5 7200U</v>
      </c>
      <c r="S339">
        <v>256</v>
      </c>
      <c r="T339">
        <v>0</v>
      </c>
      <c r="U339">
        <f>laptop[[#This Row],[PrimaryStorage]]+laptop[[#This Row],[SecondaryStorage]]</f>
        <v>256</v>
      </c>
      <c r="V339" t="s">
        <v>31</v>
      </c>
      <c r="W339" t="s">
        <v>27</v>
      </c>
      <c r="X339" t="str">
        <f>IF(laptop[[#This Row],[PrimaryStorageType]]=laptop[[#This Row],[SecondaryStorageType]],laptop[[#This Row],[PrimaryStorageType]],"SSD &amp; HDD")</f>
        <v>SSD &amp; HDD</v>
      </c>
      <c r="Y339" t="s">
        <v>42</v>
      </c>
      <c r="Z339" s="4" t="str">
        <f>_xlfn.CONCAT(laptop[[#This Row],[CPU_company]]," ",laptop[[#This Row],[GPU_model]])</f>
        <v>Intel HD Graphics 620</v>
      </c>
    </row>
    <row r="340" spans="1:26" x14ac:dyDescent="0.25">
      <c r="A340" t="s">
        <v>55</v>
      </c>
      <c r="B340" t="s">
        <v>360</v>
      </c>
      <c r="C340" t="s">
        <v>38</v>
      </c>
      <c r="D340">
        <v>15.6</v>
      </c>
      <c r="E340">
        <v>4</v>
      </c>
      <c r="F340" t="s">
        <v>111</v>
      </c>
      <c r="G340">
        <v>2</v>
      </c>
      <c r="H340" s="16">
        <v>274.99</v>
      </c>
      <c r="I340" t="s">
        <v>26</v>
      </c>
      <c r="J340">
        <v>1366</v>
      </c>
      <c r="K340">
        <v>768</v>
      </c>
      <c r="L340" t="s">
        <v>27</v>
      </c>
      <c r="M340" t="s">
        <v>27</v>
      </c>
      <c r="N340" t="s">
        <v>27</v>
      </c>
      <c r="O340" t="s">
        <v>29</v>
      </c>
      <c r="P340">
        <v>1.1000000000000001</v>
      </c>
      <c r="Q340" t="s">
        <v>109</v>
      </c>
      <c r="R340" t="str">
        <f>_xlfn.CONCAT(laptop[[#This Row],[CPU_company]]," ",laptop[[#This Row],[CPU_model]])</f>
        <v>Intel Celeron Dual Core N3350</v>
      </c>
      <c r="S340">
        <v>1024</v>
      </c>
      <c r="T340">
        <v>0</v>
      </c>
      <c r="U340">
        <f>laptop[[#This Row],[PrimaryStorage]]+laptop[[#This Row],[SecondaryStorage]]</f>
        <v>1024</v>
      </c>
      <c r="V340" t="s">
        <v>51</v>
      </c>
      <c r="W340" t="s">
        <v>27</v>
      </c>
      <c r="X340" t="str">
        <f>IF(laptop[[#This Row],[PrimaryStorageType]]=laptop[[#This Row],[SecondaryStorageType]],laptop[[#This Row],[PrimaryStorageType]],"SSD &amp; HDD")</f>
        <v>SSD &amp; HDD</v>
      </c>
      <c r="Y340" t="s">
        <v>110</v>
      </c>
      <c r="Z340" s="4" t="str">
        <f>_xlfn.CONCAT(laptop[[#This Row],[CPU_company]]," ",laptop[[#This Row],[GPU_model]])</f>
        <v>Intel HD Graphics 500</v>
      </c>
    </row>
    <row r="341" spans="1:26" x14ac:dyDescent="0.25">
      <c r="A341" t="s">
        <v>65</v>
      </c>
      <c r="B341" t="s">
        <v>193</v>
      </c>
      <c r="C341" t="s">
        <v>38</v>
      </c>
      <c r="D341">
        <v>15.6</v>
      </c>
      <c r="E341">
        <v>8</v>
      </c>
      <c r="F341" t="s">
        <v>48</v>
      </c>
      <c r="G341">
        <v>2</v>
      </c>
      <c r="H341" s="16">
        <v>1142.75</v>
      </c>
      <c r="I341" t="s">
        <v>40</v>
      </c>
      <c r="J341">
        <v>1920</v>
      </c>
      <c r="K341">
        <v>1080</v>
      </c>
      <c r="L341" t="s">
        <v>27</v>
      </c>
      <c r="M341" t="s">
        <v>27</v>
      </c>
      <c r="N341" t="s">
        <v>27</v>
      </c>
      <c r="O341" t="s">
        <v>29</v>
      </c>
      <c r="P341">
        <v>1.6</v>
      </c>
      <c r="Q341" t="s">
        <v>60</v>
      </c>
      <c r="R341" t="str">
        <f>_xlfn.CONCAT(laptop[[#This Row],[CPU_company]]," ",laptop[[#This Row],[CPU_model]])</f>
        <v>Intel Core i5 8250U</v>
      </c>
      <c r="S341">
        <v>256</v>
      </c>
      <c r="T341">
        <v>0</v>
      </c>
      <c r="U341">
        <f>laptop[[#This Row],[PrimaryStorage]]+laptop[[#This Row],[SecondaryStorage]]</f>
        <v>256</v>
      </c>
      <c r="V341" t="s">
        <v>31</v>
      </c>
      <c r="W341" t="s">
        <v>27</v>
      </c>
      <c r="X341" t="str">
        <f>IF(laptop[[#This Row],[PrimaryStorageType]]=laptop[[#This Row],[SecondaryStorageType]],laptop[[#This Row],[PrimaryStorageType]],"SSD &amp; HDD")</f>
        <v>SSD &amp; HDD</v>
      </c>
      <c r="Y341" t="s">
        <v>76</v>
      </c>
      <c r="Z341" s="4" t="str">
        <f>_xlfn.CONCAT(laptop[[#This Row],[CPU_company]]," ",laptop[[#This Row],[GPU_model]])</f>
        <v>Intel GeForce 940MX</v>
      </c>
    </row>
    <row r="342" spans="1:26" x14ac:dyDescent="0.25">
      <c r="A342" t="s">
        <v>65</v>
      </c>
      <c r="B342" t="s">
        <v>361</v>
      </c>
      <c r="C342" t="s">
        <v>38</v>
      </c>
      <c r="D342">
        <v>15.6</v>
      </c>
      <c r="E342">
        <v>4</v>
      </c>
      <c r="F342" t="s">
        <v>111</v>
      </c>
      <c r="G342">
        <v>2.2000000000000002</v>
      </c>
      <c r="H342" s="16">
        <v>274.89999999999998</v>
      </c>
      <c r="I342" t="s">
        <v>26</v>
      </c>
      <c r="J342">
        <v>1366</v>
      </c>
      <c r="K342">
        <v>768</v>
      </c>
      <c r="L342" t="s">
        <v>27</v>
      </c>
      <c r="M342" t="s">
        <v>27</v>
      </c>
      <c r="N342" t="s">
        <v>27</v>
      </c>
      <c r="O342" t="s">
        <v>29</v>
      </c>
      <c r="P342">
        <v>1.6</v>
      </c>
      <c r="Q342" t="s">
        <v>151</v>
      </c>
      <c r="R342" t="str">
        <f>_xlfn.CONCAT(laptop[[#This Row],[CPU_company]]," ",laptop[[#This Row],[CPU_model]])</f>
        <v>Intel Celeron Dual Core N3060</v>
      </c>
      <c r="S342">
        <v>500</v>
      </c>
      <c r="T342">
        <v>0</v>
      </c>
      <c r="U342">
        <f>laptop[[#This Row],[PrimaryStorage]]+laptop[[#This Row],[SecondaryStorage]]</f>
        <v>500</v>
      </c>
      <c r="V342" t="s">
        <v>51</v>
      </c>
      <c r="W342" t="s">
        <v>27</v>
      </c>
      <c r="X342" t="str">
        <f>IF(laptop[[#This Row],[PrimaryStorageType]]=laptop[[#This Row],[SecondaryStorageType]],laptop[[#This Row],[PrimaryStorageType]],"SSD &amp; HDD")</f>
        <v>SSD &amp; HDD</v>
      </c>
      <c r="Y342" t="s">
        <v>102</v>
      </c>
      <c r="Z342" s="4" t="str">
        <f>_xlfn.CONCAT(laptop[[#This Row],[CPU_company]]," ",laptop[[#This Row],[GPU_model]])</f>
        <v>Intel HD Graphics</v>
      </c>
    </row>
    <row r="343" spans="1:26" x14ac:dyDescent="0.25">
      <c r="A343" t="s">
        <v>73</v>
      </c>
      <c r="B343" t="s">
        <v>362</v>
      </c>
      <c r="C343" t="s">
        <v>38</v>
      </c>
      <c r="D343">
        <v>15.6</v>
      </c>
      <c r="E343">
        <v>12</v>
      </c>
      <c r="F343" t="s">
        <v>48</v>
      </c>
      <c r="G343">
        <v>2.2000000000000002</v>
      </c>
      <c r="H343" s="16">
        <v>899</v>
      </c>
      <c r="I343" t="s">
        <v>40</v>
      </c>
      <c r="J343">
        <v>1920</v>
      </c>
      <c r="K343">
        <v>1080</v>
      </c>
      <c r="L343" t="s">
        <v>27</v>
      </c>
      <c r="M343" t="s">
        <v>27</v>
      </c>
      <c r="N343" t="s">
        <v>27</v>
      </c>
      <c r="O343" t="s">
        <v>49</v>
      </c>
      <c r="P343">
        <v>3.6</v>
      </c>
      <c r="Q343" t="s">
        <v>350</v>
      </c>
      <c r="R343" t="str">
        <f>_xlfn.CONCAT(laptop[[#This Row],[CPU_company]]," ",laptop[[#This Row],[CPU_model]])</f>
        <v>AMD A12-Series 9720P</v>
      </c>
      <c r="S343">
        <v>2048</v>
      </c>
      <c r="T343">
        <v>0</v>
      </c>
      <c r="U343">
        <f>laptop[[#This Row],[PrimaryStorage]]+laptop[[#This Row],[SecondaryStorage]]</f>
        <v>2048</v>
      </c>
      <c r="V343" t="s">
        <v>51</v>
      </c>
      <c r="W343" t="s">
        <v>27</v>
      </c>
      <c r="X343" t="str">
        <f>IF(laptop[[#This Row],[PrimaryStorageType]]=laptop[[#This Row],[SecondaryStorageType]],laptop[[#This Row],[PrimaryStorageType]],"SSD &amp; HDD")</f>
        <v>SSD &amp; HDD</v>
      </c>
      <c r="Y343" t="s">
        <v>94</v>
      </c>
      <c r="Z343" s="4" t="str">
        <f>_xlfn.CONCAT(laptop[[#This Row],[CPU_company]]," ",laptop[[#This Row],[GPU_model]])</f>
        <v>AMD Radeon 530</v>
      </c>
    </row>
    <row r="344" spans="1:26" x14ac:dyDescent="0.25">
      <c r="A344" t="s">
        <v>36</v>
      </c>
      <c r="B344" t="s">
        <v>114</v>
      </c>
      <c r="C344" t="s">
        <v>38</v>
      </c>
      <c r="D344">
        <v>15.6</v>
      </c>
      <c r="E344">
        <v>8</v>
      </c>
      <c r="F344" t="s">
        <v>48</v>
      </c>
      <c r="G344">
        <v>2.1</v>
      </c>
      <c r="H344" s="16">
        <v>716</v>
      </c>
      <c r="I344" t="s">
        <v>40</v>
      </c>
      <c r="J344">
        <v>1920</v>
      </c>
      <c r="K344">
        <v>1080</v>
      </c>
      <c r="L344" t="s">
        <v>27</v>
      </c>
      <c r="M344" t="s">
        <v>28</v>
      </c>
      <c r="N344" t="s">
        <v>27</v>
      </c>
      <c r="O344" t="s">
        <v>29</v>
      </c>
      <c r="P344">
        <v>2.4</v>
      </c>
      <c r="Q344" t="s">
        <v>75</v>
      </c>
      <c r="R344" t="str">
        <f>_xlfn.CONCAT(laptop[[#This Row],[CPU_company]]," ",laptop[[#This Row],[CPU_model]])</f>
        <v>Intel Core i3 7100U</v>
      </c>
      <c r="S344">
        <v>1024</v>
      </c>
      <c r="T344">
        <v>0</v>
      </c>
      <c r="U344">
        <f>laptop[[#This Row],[PrimaryStorage]]+laptop[[#This Row],[SecondaryStorage]]</f>
        <v>1024</v>
      </c>
      <c r="V344" t="s">
        <v>51</v>
      </c>
      <c r="W344" t="s">
        <v>27</v>
      </c>
      <c r="X344" t="str">
        <f>IF(laptop[[#This Row],[PrimaryStorageType]]=laptop[[#This Row],[SecondaryStorageType]],laptop[[#This Row],[PrimaryStorageType]],"SSD &amp; HDD")</f>
        <v>SSD &amp; HDD</v>
      </c>
      <c r="Y344" t="s">
        <v>115</v>
      </c>
      <c r="Z344" s="4" t="str">
        <f>_xlfn.CONCAT(laptop[[#This Row],[CPU_company]]," ",laptop[[#This Row],[GPU_model]])</f>
        <v xml:space="preserve">Intel GeForce 930MX </v>
      </c>
    </row>
    <row r="345" spans="1:26" x14ac:dyDescent="0.25">
      <c r="A345" t="s">
        <v>73</v>
      </c>
      <c r="B345" t="s">
        <v>246</v>
      </c>
      <c r="C345" t="s">
        <v>90</v>
      </c>
      <c r="D345">
        <v>13.9</v>
      </c>
      <c r="E345">
        <v>16</v>
      </c>
      <c r="F345" t="s">
        <v>48</v>
      </c>
      <c r="G345">
        <v>1.4</v>
      </c>
      <c r="H345" s="16">
        <v>2099</v>
      </c>
      <c r="I345" t="s">
        <v>215</v>
      </c>
      <c r="J345">
        <v>3840</v>
      </c>
      <c r="K345">
        <v>2160</v>
      </c>
      <c r="L345" t="s">
        <v>28</v>
      </c>
      <c r="M345" t="s">
        <v>28</v>
      </c>
      <c r="N345" t="s">
        <v>27</v>
      </c>
      <c r="O345" t="s">
        <v>29</v>
      </c>
      <c r="P345">
        <v>1.8</v>
      </c>
      <c r="Q345" t="s">
        <v>57</v>
      </c>
      <c r="R345" t="str">
        <f>_xlfn.CONCAT(laptop[[#This Row],[CPU_company]]," ",laptop[[#This Row],[CPU_model]])</f>
        <v>Intel Core i7 8550U</v>
      </c>
      <c r="S345">
        <v>512</v>
      </c>
      <c r="T345">
        <v>0</v>
      </c>
      <c r="U345">
        <f>laptop[[#This Row],[PrimaryStorage]]+laptop[[#This Row],[SecondaryStorage]]</f>
        <v>512</v>
      </c>
      <c r="V345" t="s">
        <v>31</v>
      </c>
      <c r="W345" t="s">
        <v>27</v>
      </c>
      <c r="X345" t="str">
        <f>IF(laptop[[#This Row],[PrimaryStorageType]]=laptop[[#This Row],[SecondaryStorageType]],laptop[[#This Row],[PrimaryStorageType]],"SSD &amp; HDD")</f>
        <v>SSD &amp; HDD</v>
      </c>
      <c r="Y345" t="s">
        <v>61</v>
      </c>
      <c r="Z345" s="4" t="str">
        <f>_xlfn.CONCAT(laptop[[#This Row],[CPU_company]]," ",laptop[[#This Row],[GPU_model]])</f>
        <v>Intel UHD Graphics 620</v>
      </c>
    </row>
    <row r="346" spans="1:26" x14ac:dyDescent="0.25">
      <c r="A346" t="s">
        <v>65</v>
      </c>
      <c r="B346" t="s">
        <v>77</v>
      </c>
      <c r="C346" t="s">
        <v>24</v>
      </c>
      <c r="D346">
        <v>13.3</v>
      </c>
      <c r="E346">
        <v>8</v>
      </c>
      <c r="F346" t="s">
        <v>48</v>
      </c>
      <c r="G346">
        <v>1.2</v>
      </c>
      <c r="H346" s="16">
        <v>1579</v>
      </c>
      <c r="I346" t="s">
        <v>40</v>
      </c>
      <c r="J346">
        <v>1920</v>
      </c>
      <c r="K346">
        <v>1080</v>
      </c>
      <c r="L346" t="s">
        <v>27</v>
      </c>
      <c r="M346" t="s">
        <v>27</v>
      </c>
      <c r="N346" t="s">
        <v>27</v>
      </c>
      <c r="O346" t="s">
        <v>29</v>
      </c>
      <c r="P346">
        <v>1.8</v>
      </c>
      <c r="Q346" t="s">
        <v>57</v>
      </c>
      <c r="R346" t="str">
        <f>_xlfn.CONCAT(laptop[[#This Row],[CPU_company]]," ",laptop[[#This Row],[CPU_model]])</f>
        <v>Intel Core i7 8550U</v>
      </c>
      <c r="S346">
        <v>256</v>
      </c>
      <c r="T346">
        <v>0</v>
      </c>
      <c r="U346">
        <f>laptop[[#This Row],[PrimaryStorage]]+laptop[[#This Row],[SecondaryStorage]]</f>
        <v>256</v>
      </c>
      <c r="V346" t="s">
        <v>31</v>
      </c>
      <c r="W346" t="s">
        <v>27</v>
      </c>
      <c r="X346" t="str">
        <f>IF(laptop[[#This Row],[PrimaryStorageType]]=laptop[[#This Row],[SecondaryStorageType]],laptop[[#This Row],[PrimaryStorageType]],"SSD &amp; HDD")</f>
        <v>SSD &amp; HDD</v>
      </c>
      <c r="Y346" t="s">
        <v>61</v>
      </c>
      <c r="Z346" s="4" t="str">
        <f>_xlfn.CONCAT(laptop[[#This Row],[CPU_company]]," ",laptop[[#This Row],[GPU_model]])</f>
        <v>Intel UHD Graphics 620</v>
      </c>
    </row>
    <row r="347" spans="1:26" x14ac:dyDescent="0.25">
      <c r="A347" t="s">
        <v>73</v>
      </c>
      <c r="B347" t="s">
        <v>82</v>
      </c>
      <c r="C347" t="s">
        <v>83</v>
      </c>
      <c r="D347">
        <v>15.6</v>
      </c>
      <c r="E347">
        <v>16</v>
      </c>
      <c r="F347" t="s">
        <v>48</v>
      </c>
      <c r="G347">
        <v>2.4</v>
      </c>
      <c r="H347" s="16">
        <v>1129</v>
      </c>
      <c r="I347" t="s">
        <v>40</v>
      </c>
      <c r="J347">
        <v>1920</v>
      </c>
      <c r="K347">
        <v>1080</v>
      </c>
      <c r="L347" t="s">
        <v>27</v>
      </c>
      <c r="M347" t="s">
        <v>28</v>
      </c>
      <c r="N347" t="s">
        <v>27</v>
      </c>
      <c r="O347" t="s">
        <v>29</v>
      </c>
      <c r="P347">
        <v>2.8</v>
      </c>
      <c r="Q347" t="s">
        <v>118</v>
      </c>
      <c r="R347" t="str">
        <f>_xlfn.CONCAT(laptop[[#This Row],[CPU_company]]," ",laptop[[#This Row],[CPU_model]])</f>
        <v>Intel Core i7 7700HQ</v>
      </c>
      <c r="S347">
        <v>256</v>
      </c>
      <c r="T347">
        <v>2048</v>
      </c>
      <c r="U347">
        <f>laptop[[#This Row],[PrimaryStorage]]+laptop[[#This Row],[SecondaryStorage]]</f>
        <v>2304</v>
      </c>
      <c r="V347" t="s">
        <v>31</v>
      </c>
      <c r="W347" t="s">
        <v>51</v>
      </c>
      <c r="X347" t="str">
        <f>IF(laptop[[#This Row],[PrimaryStorageType]]=laptop[[#This Row],[SecondaryStorageType]],laptop[[#This Row],[PrimaryStorageType]],"SSD &amp; HDD")</f>
        <v>SSD &amp; HDD</v>
      </c>
      <c r="Y347" t="s">
        <v>149</v>
      </c>
      <c r="Z347" s="4" t="str">
        <f>_xlfn.CONCAT(laptop[[#This Row],[CPU_company]]," ",laptop[[#This Row],[GPU_model]])</f>
        <v>Intel GeForce GTX 1050 Ti</v>
      </c>
    </row>
    <row r="348" spans="1:26" x14ac:dyDescent="0.25">
      <c r="A348" t="s">
        <v>36</v>
      </c>
      <c r="B348" t="s">
        <v>363</v>
      </c>
      <c r="C348" t="s">
        <v>38</v>
      </c>
      <c r="D348">
        <v>14</v>
      </c>
      <c r="E348">
        <v>2</v>
      </c>
      <c r="F348" t="s">
        <v>48</v>
      </c>
      <c r="G348">
        <v>1.44</v>
      </c>
      <c r="H348" s="16">
        <v>279</v>
      </c>
      <c r="I348" t="s">
        <v>26</v>
      </c>
      <c r="J348">
        <v>1366</v>
      </c>
      <c r="K348">
        <v>768</v>
      </c>
      <c r="L348" t="s">
        <v>27</v>
      </c>
      <c r="M348" t="s">
        <v>27</v>
      </c>
      <c r="N348" t="s">
        <v>27</v>
      </c>
      <c r="O348" t="s">
        <v>29</v>
      </c>
      <c r="P348">
        <v>1.6</v>
      </c>
      <c r="Q348" t="s">
        <v>151</v>
      </c>
      <c r="R348" t="str">
        <f>_xlfn.CONCAT(laptop[[#This Row],[CPU_company]]," ",laptop[[#This Row],[CPU_model]])</f>
        <v>Intel Celeron Dual Core N3060</v>
      </c>
      <c r="S348">
        <v>32</v>
      </c>
      <c r="T348">
        <v>0</v>
      </c>
      <c r="U348">
        <f>laptop[[#This Row],[PrimaryStorage]]+laptop[[#This Row],[SecondaryStorage]]</f>
        <v>32</v>
      </c>
      <c r="V348" t="s">
        <v>34</v>
      </c>
      <c r="W348" t="s">
        <v>27</v>
      </c>
      <c r="X348" t="str">
        <f>IF(laptop[[#This Row],[PrimaryStorageType]]=laptop[[#This Row],[SecondaryStorageType]],laptop[[#This Row],[PrimaryStorageType]],"SSD &amp; HDD")</f>
        <v>SSD &amp; HDD</v>
      </c>
      <c r="Y348" t="s">
        <v>81</v>
      </c>
      <c r="Z348" s="4" t="str">
        <f>_xlfn.CONCAT(laptop[[#This Row],[CPU_company]]," ",laptop[[#This Row],[GPU_model]])</f>
        <v>Intel HD Graphics 400</v>
      </c>
    </row>
    <row r="349" spans="1:26" x14ac:dyDescent="0.25">
      <c r="A349" t="s">
        <v>65</v>
      </c>
      <c r="B349" t="s">
        <v>95</v>
      </c>
      <c r="C349" t="s">
        <v>24</v>
      </c>
      <c r="D349">
        <v>15.6</v>
      </c>
      <c r="E349">
        <v>16</v>
      </c>
      <c r="F349" t="s">
        <v>48</v>
      </c>
      <c r="G349">
        <v>1.88</v>
      </c>
      <c r="H349" s="16">
        <v>1607.96</v>
      </c>
      <c r="I349" t="s">
        <v>40</v>
      </c>
      <c r="J349">
        <v>1920</v>
      </c>
      <c r="K349">
        <v>1080</v>
      </c>
      <c r="L349" t="s">
        <v>27</v>
      </c>
      <c r="M349" t="s">
        <v>27</v>
      </c>
      <c r="N349" t="s">
        <v>27</v>
      </c>
      <c r="O349" t="s">
        <v>29</v>
      </c>
      <c r="P349">
        <v>1.9</v>
      </c>
      <c r="Q349" t="s">
        <v>96</v>
      </c>
      <c r="R349" t="str">
        <f>_xlfn.CONCAT(laptop[[#This Row],[CPU_company]]," ",laptop[[#This Row],[CPU_model]])</f>
        <v>Intel Core i7 8650U</v>
      </c>
      <c r="S349">
        <v>512</v>
      </c>
      <c r="T349">
        <v>256</v>
      </c>
      <c r="U349">
        <f>laptop[[#This Row],[PrimaryStorage]]+laptop[[#This Row],[SecondaryStorage]]</f>
        <v>768</v>
      </c>
      <c r="V349" t="s">
        <v>31</v>
      </c>
      <c r="W349" t="s">
        <v>31</v>
      </c>
      <c r="X349" t="str">
        <f>IF(laptop[[#This Row],[PrimaryStorageType]]=laptop[[#This Row],[SecondaryStorageType]],laptop[[#This Row],[PrimaryStorageType]],"SSD &amp; HDD")</f>
        <v>SSD</v>
      </c>
      <c r="Y349" t="s">
        <v>61</v>
      </c>
      <c r="Z349" s="4" t="str">
        <f>_xlfn.CONCAT(laptop[[#This Row],[CPU_company]]," ",laptop[[#This Row],[GPU_model]])</f>
        <v>Intel UHD Graphics 620</v>
      </c>
    </row>
    <row r="350" spans="1:26" x14ac:dyDescent="0.25">
      <c r="A350" t="s">
        <v>55</v>
      </c>
      <c r="B350" t="s">
        <v>340</v>
      </c>
      <c r="C350" t="s">
        <v>90</v>
      </c>
      <c r="D350">
        <v>11.6</v>
      </c>
      <c r="E350">
        <v>4</v>
      </c>
      <c r="F350" t="s">
        <v>48</v>
      </c>
      <c r="G350">
        <v>1.5</v>
      </c>
      <c r="H350" s="16">
        <v>375</v>
      </c>
      <c r="I350" t="s">
        <v>26</v>
      </c>
      <c r="J350">
        <v>1366</v>
      </c>
      <c r="K350">
        <v>768</v>
      </c>
      <c r="L350" t="s">
        <v>28</v>
      </c>
      <c r="M350" t="s">
        <v>27</v>
      </c>
      <c r="N350" t="s">
        <v>27</v>
      </c>
      <c r="O350" t="s">
        <v>29</v>
      </c>
      <c r="P350">
        <v>1.1000000000000001</v>
      </c>
      <c r="Q350" t="s">
        <v>109</v>
      </c>
      <c r="R350" t="str">
        <f>_xlfn.CONCAT(laptop[[#This Row],[CPU_company]]," ",laptop[[#This Row],[CPU_model]])</f>
        <v>Intel Celeron Dual Core N3350</v>
      </c>
      <c r="S350">
        <v>32</v>
      </c>
      <c r="T350">
        <v>0</v>
      </c>
      <c r="U350">
        <f>laptop[[#This Row],[PrimaryStorage]]+laptop[[#This Row],[SecondaryStorage]]</f>
        <v>32</v>
      </c>
      <c r="V350" t="s">
        <v>34</v>
      </c>
      <c r="W350" t="s">
        <v>27</v>
      </c>
      <c r="X350" t="str">
        <f>IF(laptop[[#This Row],[PrimaryStorageType]]=laptop[[#This Row],[SecondaryStorageType]],laptop[[#This Row],[PrimaryStorageType]],"SSD &amp; HDD")</f>
        <v>SSD &amp; HDD</v>
      </c>
      <c r="Y350" t="s">
        <v>110</v>
      </c>
      <c r="Z350" s="4" t="str">
        <f>_xlfn.CONCAT(laptop[[#This Row],[CPU_company]]," ",laptop[[#This Row],[GPU_model]])</f>
        <v>Intel HD Graphics 500</v>
      </c>
    </row>
    <row r="351" spans="1:26" x14ac:dyDescent="0.25">
      <c r="A351" t="s">
        <v>65</v>
      </c>
      <c r="B351" t="s">
        <v>93</v>
      </c>
      <c r="C351" t="s">
        <v>24</v>
      </c>
      <c r="D351">
        <v>15.6</v>
      </c>
      <c r="E351">
        <v>8</v>
      </c>
      <c r="F351" t="s">
        <v>48</v>
      </c>
      <c r="G351">
        <v>1.9</v>
      </c>
      <c r="H351" s="16">
        <v>663</v>
      </c>
      <c r="I351" t="s">
        <v>40</v>
      </c>
      <c r="J351">
        <v>1920</v>
      </c>
      <c r="K351">
        <v>1080</v>
      </c>
      <c r="L351" t="s">
        <v>27</v>
      </c>
      <c r="M351" t="s">
        <v>27</v>
      </c>
      <c r="N351" t="s">
        <v>27</v>
      </c>
      <c r="O351" t="s">
        <v>29</v>
      </c>
      <c r="P351">
        <v>1.6</v>
      </c>
      <c r="Q351" t="s">
        <v>60</v>
      </c>
      <c r="R351" t="str">
        <f>_xlfn.CONCAT(laptop[[#This Row],[CPU_company]]," ",laptop[[#This Row],[CPU_model]])</f>
        <v>Intel Core i5 8250U</v>
      </c>
      <c r="S351">
        <v>1024</v>
      </c>
      <c r="T351">
        <v>0</v>
      </c>
      <c r="U351">
        <f>laptop[[#This Row],[PrimaryStorage]]+laptop[[#This Row],[SecondaryStorage]]</f>
        <v>1024</v>
      </c>
      <c r="V351" t="s">
        <v>51</v>
      </c>
      <c r="W351" t="s">
        <v>27</v>
      </c>
      <c r="X351" t="str">
        <f>IF(laptop[[#This Row],[PrimaryStorageType]]=laptop[[#This Row],[SecondaryStorageType]],laptop[[#This Row],[PrimaryStorageType]],"SSD &amp; HDD")</f>
        <v>SSD &amp; HDD</v>
      </c>
      <c r="Y351" t="s">
        <v>94</v>
      </c>
      <c r="Z351" s="4" t="str">
        <f>_xlfn.CONCAT(laptop[[#This Row],[CPU_company]]," ",laptop[[#This Row],[GPU_model]])</f>
        <v>Intel Radeon 530</v>
      </c>
    </row>
    <row r="352" spans="1:26" x14ac:dyDescent="0.25">
      <c r="A352" t="s">
        <v>65</v>
      </c>
      <c r="B352" t="s">
        <v>249</v>
      </c>
      <c r="C352" t="s">
        <v>38</v>
      </c>
      <c r="D352">
        <v>15.6</v>
      </c>
      <c r="E352">
        <v>16</v>
      </c>
      <c r="F352" t="s">
        <v>48</v>
      </c>
      <c r="G352">
        <v>2.06</v>
      </c>
      <c r="H352" s="16">
        <v>2027.42</v>
      </c>
      <c r="I352" t="s">
        <v>215</v>
      </c>
      <c r="J352">
        <v>3840</v>
      </c>
      <c r="K352">
        <v>2160</v>
      </c>
      <c r="L352" t="s">
        <v>28</v>
      </c>
      <c r="M352" t="s">
        <v>27</v>
      </c>
      <c r="N352" t="s">
        <v>27</v>
      </c>
      <c r="O352" t="s">
        <v>29</v>
      </c>
      <c r="P352">
        <v>2.8</v>
      </c>
      <c r="Q352" t="s">
        <v>118</v>
      </c>
      <c r="R352" t="str">
        <f>_xlfn.CONCAT(laptop[[#This Row],[CPU_company]]," ",laptop[[#This Row],[CPU_model]])</f>
        <v>Intel Core i7 7700HQ</v>
      </c>
      <c r="S352">
        <v>512</v>
      </c>
      <c r="T352">
        <v>0</v>
      </c>
      <c r="U352">
        <f>laptop[[#This Row],[PrimaryStorage]]+laptop[[#This Row],[SecondaryStorage]]</f>
        <v>512</v>
      </c>
      <c r="V352" t="s">
        <v>31</v>
      </c>
      <c r="W352" t="s">
        <v>27</v>
      </c>
      <c r="X352" t="str">
        <f>IF(laptop[[#This Row],[PrimaryStorageType]]=laptop[[#This Row],[SecondaryStorageType]],laptop[[#This Row],[PrimaryStorageType]],"SSD &amp; HDD")</f>
        <v>SSD &amp; HDD</v>
      </c>
      <c r="Y352" t="s">
        <v>85</v>
      </c>
      <c r="Z352" s="4" t="str">
        <f>_xlfn.CONCAT(laptop[[#This Row],[CPU_company]]," ",laptop[[#This Row],[GPU_model]])</f>
        <v>Intel GeForce GTX 1050</v>
      </c>
    </row>
    <row r="353" spans="1:26" x14ac:dyDescent="0.25">
      <c r="A353" t="s">
        <v>36</v>
      </c>
      <c r="B353" t="s">
        <v>359</v>
      </c>
      <c r="C353" t="s">
        <v>38</v>
      </c>
      <c r="D353">
        <v>15.6</v>
      </c>
      <c r="E353">
        <v>8</v>
      </c>
      <c r="F353" t="s">
        <v>48</v>
      </c>
      <c r="G353">
        <v>1.84</v>
      </c>
      <c r="H353" s="16">
        <v>1304</v>
      </c>
      <c r="I353" t="s">
        <v>40</v>
      </c>
      <c r="J353">
        <v>1920</v>
      </c>
      <c r="K353">
        <v>1080</v>
      </c>
      <c r="L353" t="s">
        <v>27</v>
      </c>
      <c r="M353" t="s">
        <v>27</v>
      </c>
      <c r="N353" t="s">
        <v>27</v>
      </c>
      <c r="O353" t="s">
        <v>29</v>
      </c>
      <c r="P353">
        <v>2.7</v>
      </c>
      <c r="Q353" t="s">
        <v>71</v>
      </c>
      <c r="R353" t="str">
        <f>_xlfn.CONCAT(laptop[[#This Row],[CPU_company]]," ",laptop[[#This Row],[CPU_model]])</f>
        <v>Intel Core i7 7500U</v>
      </c>
      <c r="S353">
        <v>256</v>
      </c>
      <c r="T353">
        <v>0</v>
      </c>
      <c r="U353">
        <f>laptop[[#This Row],[PrimaryStorage]]+laptop[[#This Row],[SecondaryStorage]]</f>
        <v>256</v>
      </c>
      <c r="V353" t="s">
        <v>31</v>
      </c>
      <c r="W353" t="s">
        <v>27</v>
      </c>
      <c r="X353" t="str">
        <f>IF(laptop[[#This Row],[PrimaryStorageType]]=laptop[[#This Row],[SecondaryStorageType]],laptop[[#This Row],[PrimaryStorageType]],"SSD &amp; HDD")</f>
        <v>SSD &amp; HDD</v>
      </c>
      <c r="Y353" t="s">
        <v>42</v>
      </c>
      <c r="Z353" s="4" t="str">
        <f>_xlfn.CONCAT(laptop[[#This Row],[CPU_company]]," ",laptop[[#This Row],[GPU_model]])</f>
        <v>Intel HD Graphics 620</v>
      </c>
    </row>
    <row r="354" spans="1:26" x14ac:dyDescent="0.25">
      <c r="A354" t="s">
        <v>141</v>
      </c>
      <c r="B354" t="s">
        <v>364</v>
      </c>
      <c r="C354" t="s">
        <v>83</v>
      </c>
      <c r="D354">
        <v>17.3</v>
      </c>
      <c r="E354">
        <v>8</v>
      </c>
      <c r="F354" t="s">
        <v>48</v>
      </c>
      <c r="G354">
        <v>2.7</v>
      </c>
      <c r="H354" s="16">
        <v>1409</v>
      </c>
      <c r="I354" t="s">
        <v>40</v>
      </c>
      <c r="J354">
        <v>1920</v>
      </c>
      <c r="K354">
        <v>1080</v>
      </c>
      <c r="L354" t="s">
        <v>27</v>
      </c>
      <c r="M354" t="s">
        <v>27</v>
      </c>
      <c r="N354" t="s">
        <v>27</v>
      </c>
      <c r="O354" t="s">
        <v>29</v>
      </c>
      <c r="P354">
        <v>2.8</v>
      </c>
      <c r="Q354" t="s">
        <v>118</v>
      </c>
      <c r="R354" t="str">
        <f>_xlfn.CONCAT(laptop[[#This Row],[CPU_company]]," ",laptop[[#This Row],[CPU_model]])</f>
        <v>Intel Core i7 7700HQ</v>
      </c>
      <c r="S354">
        <v>128</v>
      </c>
      <c r="T354">
        <v>1024</v>
      </c>
      <c r="U354">
        <f>laptop[[#This Row],[PrimaryStorage]]+laptop[[#This Row],[SecondaryStorage]]</f>
        <v>1152</v>
      </c>
      <c r="V354" t="s">
        <v>31</v>
      </c>
      <c r="W354" t="s">
        <v>51</v>
      </c>
      <c r="X354" t="str">
        <f>IF(laptop[[#This Row],[PrimaryStorageType]]=laptop[[#This Row],[SecondaryStorageType]],laptop[[#This Row],[PrimaryStorageType]],"SSD &amp; HDD")</f>
        <v>SSD &amp; HDD</v>
      </c>
      <c r="Y354" t="s">
        <v>119</v>
      </c>
      <c r="Z354" s="4" t="str">
        <f>_xlfn.CONCAT(laptop[[#This Row],[CPU_company]]," ",laptop[[#This Row],[GPU_model]])</f>
        <v>Intel GeForce GTX 1060</v>
      </c>
    </row>
    <row r="355" spans="1:26" x14ac:dyDescent="0.25">
      <c r="A355" t="s">
        <v>36</v>
      </c>
      <c r="B355" t="s">
        <v>365</v>
      </c>
      <c r="C355" t="s">
        <v>265</v>
      </c>
      <c r="D355">
        <v>15.6</v>
      </c>
      <c r="E355">
        <v>8</v>
      </c>
      <c r="F355" t="s">
        <v>48</v>
      </c>
      <c r="G355">
        <v>2.6</v>
      </c>
      <c r="H355" s="16">
        <v>1738.27</v>
      </c>
      <c r="I355" t="s">
        <v>40</v>
      </c>
      <c r="J355">
        <v>1920</v>
      </c>
      <c r="K355">
        <v>1080</v>
      </c>
      <c r="L355" t="s">
        <v>27</v>
      </c>
      <c r="M355" t="s">
        <v>27</v>
      </c>
      <c r="N355" t="s">
        <v>27</v>
      </c>
      <c r="O355" t="s">
        <v>29</v>
      </c>
      <c r="P355">
        <v>2.8</v>
      </c>
      <c r="Q355" t="s">
        <v>118</v>
      </c>
      <c r="R355" t="str">
        <f>_xlfn.CONCAT(laptop[[#This Row],[CPU_company]]," ",laptop[[#This Row],[CPU_model]])</f>
        <v>Intel Core i7 7700HQ</v>
      </c>
      <c r="S355">
        <v>256</v>
      </c>
      <c r="T355">
        <v>0</v>
      </c>
      <c r="U355">
        <f>laptop[[#This Row],[PrimaryStorage]]+laptop[[#This Row],[SecondaryStorage]]</f>
        <v>256</v>
      </c>
      <c r="V355" t="s">
        <v>31</v>
      </c>
      <c r="W355" t="s">
        <v>27</v>
      </c>
      <c r="X355" t="str">
        <f>IF(laptop[[#This Row],[PrimaryStorageType]]=laptop[[#This Row],[SecondaryStorageType]],laptop[[#This Row],[PrimaryStorageType]],"SSD &amp; HDD")</f>
        <v>SSD &amp; HDD</v>
      </c>
      <c r="Y355" t="s">
        <v>267</v>
      </c>
      <c r="Z355" s="4" t="str">
        <f>_xlfn.CONCAT(laptop[[#This Row],[CPU_company]]," ",laptop[[#This Row],[GPU_model]])</f>
        <v>Intel Quadro M1200</v>
      </c>
    </row>
    <row r="356" spans="1:26" x14ac:dyDescent="0.25">
      <c r="A356" t="s">
        <v>210</v>
      </c>
      <c r="B356" t="s">
        <v>366</v>
      </c>
      <c r="C356" t="s">
        <v>38</v>
      </c>
      <c r="D356">
        <v>15.6</v>
      </c>
      <c r="E356">
        <v>16</v>
      </c>
      <c r="F356" t="s">
        <v>48</v>
      </c>
      <c r="G356">
        <v>2.4</v>
      </c>
      <c r="H356" s="16">
        <v>1403</v>
      </c>
      <c r="I356" t="s">
        <v>40</v>
      </c>
      <c r="J356">
        <v>1920</v>
      </c>
      <c r="K356">
        <v>1080</v>
      </c>
      <c r="L356" t="s">
        <v>27</v>
      </c>
      <c r="M356" t="s">
        <v>28</v>
      </c>
      <c r="N356" t="s">
        <v>27</v>
      </c>
      <c r="O356" t="s">
        <v>29</v>
      </c>
      <c r="P356">
        <v>2.5</v>
      </c>
      <c r="Q356" t="s">
        <v>274</v>
      </c>
      <c r="R356" t="str">
        <f>_xlfn.CONCAT(laptop[[#This Row],[CPU_company]]," ",laptop[[#This Row],[CPU_model]])</f>
        <v>Intel Core i7 6500U</v>
      </c>
      <c r="S356">
        <v>512</v>
      </c>
      <c r="T356">
        <v>0</v>
      </c>
      <c r="U356">
        <f>laptop[[#This Row],[PrimaryStorage]]+laptop[[#This Row],[SecondaryStorage]]</f>
        <v>512</v>
      </c>
      <c r="V356" t="s">
        <v>31</v>
      </c>
      <c r="W356" t="s">
        <v>27</v>
      </c>
      <c r="X356" t="str">
        <f>IF(laptop[[#This Row],[PrimaryStorageType]]=laptop[[#This Row],[SecondaryStorageType]],laptop[[#This Row],[PrimaryStorageType]],"SSD &amp; HDD")</f>
        <v>SSD &amp; HDD</v>
      </c>
      <c r="Y356" t="s">
        <v>310</v>
      </c>
      <c r="Z356" s="4" t="str">
        <f>_xlfn.CONCAT(laptop[[#This Row],[CPU_company]]," ",laptop[[#This Row],[GPU_model]])</f>
        <v>Intel GeForce 930M</v>
      </c>
    </row>
    <row r="357" spans="1:26" x14ac:dyDescent="0.25">
      <c r="A357" t="s">
        <v>65</v>
      </c>
      <c r="B357" t="s">
        <v>93</v>
      </c>
      <c r="C357" t="s">
        <v>38</v>
      </c>
      <c r="D357">
        <v>15.6</v>
      </c>
      <c r="E357">
        <v>8</v>
      </c>
      <c r="F357" t="s">
        <v>48</v>
      </c>
      <c r="G357">
        <v>2.02</v>
      </c>
      <c r="H357" s="16">
        <v>970.9</v>
      </c>
      <c r="I357" t="s">
        <v>40</v>
      </c>
      <c r="J357">
        <v>1920</v>
      </c>
      <c r="K357">
        <v>1080</v>
      </c>
      <c r="L357" t="s">
        <v>27</v>
      </c>
      <c r="M357" t="s">
        <v>27</v>
      </c>
      <c r="N357" t="s">
        <v>27</v>
      </c>
      <c r="O357" t="s">
        <v>29</v>
      </c>
      <c r="P357">
        <v>1.8</v>
      </c>
      <c r="Q357" t="s">
        <v>57</v>
      </c>
      <c r="R357" t="str">
        <f>_xlfn.CONCAT(laptop[[#This Row],[CPU_company]]," ",laptop[[#This Row],[CPU_model]])</f>
        <v>Intel Core i7 8550U</v>
      </c>
      <c r="S357">
        <v>128</v>
      </c>
      <c r="T357">
        <v>2048</v>
      </c>
      <c r="U357">
        <f>laptop[[#This Row],[PrimaryStorage]]+laptop[[#This Row],[SecondaryStorage]]</f>
        <v>2176</v>
      </c>
      <c r="V357" t="s">
        <v>31</v>
      </c>
      <c r="W357" t="s">
        <v>51</v>
      </c>
      <c r="X357" t="str">
        <f>IF(laptop[[#This Row],[PrimaryStorageType]]=laptop[[#This Row],[SecondaryStorageType]],laptop[[#This Row],[PrimaryStorageType]],"SSD &amp; HDD")</f>
        <v>SSD &amp; HDD</v>
      </c>
      <c r="Y357" t="s">
        <v>94</v>
      </c>
      <c r="Z357" s="4" t="str">
        <f>_xlfn.CONCAT(laptop[[#This Row],[CPU_company]]," ",laptop[[#This Row],[GPU_model]])</f>
        <v>Intel Radeon 530</v>
      </c>
    </row>
    <row r="358" spans="1:26" x14ac:dyDescent="0.25">
      <c r="A358" t="s">
        <v>73</v>
      </c>
      <c r="B358" t="s">
        <v>333</v>
      </c>
      <c r="C358" t="s">
        <v>38</v>
      </c>
      <c r="D358">
        <v>15.6</v>
      </c>
      <c r="E358">
        <v>4</v>
      </c>
      <c r="F358" t="s">
        <v>39</v>
      </c>
      <c r="G358">
        <v>2.2000000000000002</v>
      </c>
      <c r="H358" s="16">
        <v>321.99</v>
      </c>
      <c r="I358" t="s">
        <v>26</v>
      </c>
      <c r="J358">
        <v>1366</v>
      </c>
      <c r="K358">
        <v>768</v>
      </c>
      <c r="L358" t="s">
        <v>27</v>
      </c>
      <c r="M358" t="s">
        <v>27</v>
      </c>
      <c r="N358" t="s">
        <v>27</v>
      </c>
      <c r="O358" t="s">
        <v>29</v>
      </c>
      <c r="P358">
        <v>1.1000000000000001</v>
      </c>
      <c r="Q358" t="s">
        <v>109</v>
      </c>
      <c r="R358" t="str">
        <f>_xlfn.CONCAT(laptop[[#This Row],[CPU_company]]," ",laptop[[#This Row],[CPU_model]])</f>
        <v>Intel Celeron Dual Core N3350</v>
      </c>
      <c r="S358">
        <v>1024</v>
      </c>
      <c r="T358">
        <v>0</v>
      </c>
      <c r="U358">
        <f>laptop[[#This Row],[PrimaryStorage]]+laptop[[#This Row],[SecondaryStorage]]</f>
        <v>1024</v>
      </c>
      <c r="V358" t="s">
        <v>51</v>
      </c>
      <c r="W358" t="s">
        <v>27</v>
      </c>
      <c r="X358" t="str">
        <f>IF(laptop[[#This Row],[PrimaryStorageType]]=laptop[[#This Row],[SecondaryStorageType]],laptop[[#This Row],[PrimaryStorageType]],"SSD &amp; HDD")</f>
        <v>SSD &amp; HDD</v>
      </c>
      <c r="Y358" t="s">
        <v>110</v>
      </c>
      <c r="Z358" s="4" t="str">
        <f>_xlfn.CONCAT(laptop[[#This Row],[CPU_company]]," ",laptop[[#This Row],[GPU_model]])</f>
        <v>Intel HD Graphics 500</v>
      </c>
    </row>
    <row r="359" spans="1:26" x14ac:dyDescent="0.25">
      <c r="A359" t="s">
        <v>65</v>
      </c>
      <c r="B359" t="s">
        <v>117</v>
      </c>
      <c r="C359" t="s">
        <v>83</v>
      </c>
      <c r="D359">
        <v>15.6</v>
      </c>
      <c r="E359">
        <v>8</v>
      </c>
      <c r="F359" t="s">
        <v>48</v>
      </c>
      <c r="G359">
        <v>2.65</v>
      </c>
      <c r="H359" s="16">
        <v>999</v>
      </c>
      <c r="I359" t="s">
        <v>40</v>
      </c>
      <c r="J359">
        <v>1920</v>
      </c>
      <c r="K359">
        <v>1080</v>
      </c>
      <c r="L359" t="s">
        <v>27</v>
      </c>
      <c r="M359" t="s">
        <v>27</v>
      </c>
      <c r="N359" t="s">
        <v>27</v>
      </c>
      <c r="O359" t="s">
        <v>29</v>
      </c>
      <c r="P359">
        <v>2.5</v>
      </c>
      <c r="Q359" t="s">
        <v>84</v>
      </c>
      <c r="R359" t="str">
        <f>_xlfn.CONCAT(laptop[[#This Row],[CPU_company]]," ",laptop[[#This Row],[CPU_model]])</f>
        <v>Intel Core i5 7300HQ</v>
      </c>
      <c r="S359">
        <v>1024</v>
      </c>
      <c r="T359">
        <v>0</v>
      </c>
      <c r="U359">
        <f>laptop[[#This Row],[PrimaryStorage]]+laptop[[#This Row],[SecondaryStorage]]</f>
        <v>1024</v>
      </c>
      <c r="V359" t="s">
        <v>51</v>
      </c>
      <c r="W359" t="s">
        <v>27</v>
      </c>
      <c r="X359" t="str">
        <f>IF(laptop[[#This Row],[PrimaryStorageType]]=laptop[[#This Row],[SecondaryStorageType]],laptop[[#This Row],[PrimaryStorageType]],"SSD &amp; HDD")</f>
        <v>SSD &amp; HDD</v>
      </c>
      <c r="Y359" t="s">
        <v>85</v>
      </c>
      <c r="Z359" s="4" t="str">
        <f>_xlfn.CONCAT(laptop[[#This Row],[CPU_company]]," ",laptop[[#This Row],[GPU_model]])</f>
        <v>Intel GeForce GTX 1050</v>
      </c>
    </row>
    <row r="360" spans="1:26" x14ac:dyDescent="0.25">
      <c r="A360" t="s">
        <v>65</v>
      </c>
      <c r="B360" t="s">
        <v>66</v>
      </c>
      <c r="C360" t="s">
        <v>38</v>
      </c>
      <c r="D360">
        <v>15.6</v>
      </c>
      <c r="E360">
        <v>8</v>
      </c>
      <c r="F360" t="s">
        <v>48</v>
      </c>
      <c r="G360">
        <v>2.36</v>
      </c>
      <c r="H360" s="16">
        <v>557.37</v>
      </c>
      <c r="I360" t="s">
        <v>26</v>
      </c>
      <c r="J360">
        <v>1366</v>
      </c>
      <c r="K360">
        <v>768</v>
      </c>
      <c r="L360" t="s">
        <v>28</v>
      </c>
      <c r="M360" t="s">
        <v>27</v>
      </c>
      <c r="N360" t="s">
        <v>27</v>
      </c>
      <c r="O360" t="s">
        <v>29</v>
      </c>
      <c r="P360">
        <v>2.5</v>
      </c>
      <c r="Q360" t="s">
        <v>41</v>
      </c>
      <c r="R360" t="str">
        <f>_xlfn.CONCAT(laptop[[#This Row],[CPU_company]]," ",laptop[[#This Row],[CPU_model]])</f>
        <v>Intel Core i5 7200U</v>
      </c>
      <c r="S360">
        <v>2048</v>
      </c>
      <c r="T360">
        <v>0</v>
      </c>
      <c r="U360">
        <f>laptop[[#This Row],[PrimaryStorage]]+laptop[[#This Row],[SecondaryStorage]]</f>
        <v>2048</v>
      </c>
      <c r="V360" t="s">
        <v>51</v>
      </c>
      <c r="W360" t="s">
        <v>27</v>
      </c>
      <c r="X360" t="str">
        <f>IF(laptop[[#This Row],[PrimaryStorageType]]=laptop[[#This Row],[SecondaryStorageType]],laptop[[#This Row],[PrimaryStorageType]],"SSD &amp; HDD")</f>
        <v>SSD &amp; HDD</v>
      </c>
      <c r="Y360" t="s">
        <v>42</v>
      </c>
      <c r="Z360" s="4" t="str">
        <f>_xlfn.CONCAT(laptop[[#This Row],[CPU_company]]," ",laptop[[#This Row],[GPU_model]])</f>
        <v>Intel HD Graphics 620</v>
      </c>
    </row>
    <row r="361" spans="1:26" x14ac:dyDescent="0.25">
      <c r="A361" t="s">
        <v>65</v>
      </c>
      <c r="B361" t="s">
        <v>367</v>
      </c>
      <c r="C361" t="s">
        <v>38</v>
      </c>
      <c r="D361">
        <v>14</v>
      </c>
      <c r="E361">
        <v>8</v>
      </c>
      <c r="F361" t="s">
        <v>48</v>
      </c>
      <c r="G361">
        <v>1.36</v>
      </c>
      <c r="H361" s="16">
        <v>1427</v>
      </c>
      <c r="I361" t="s">
        <v>40</v>
      </c>
      <c r="J361">
        <v>1920</v>
      </c>
      <c r="K361">
        <v>1080</v>
      </c>
      <c r="L361" t="s">
        <v>27</v>
      </c>
      <c r="M361" t="s">
        <v>27</v>
      </c>
      <c r="N361" t="s">
        <v>27</v>
      </c>
      <c r="O361" t="s">
        <v>29</v>
      </c>
      <c r="P361">
        <v>2.6</v>
      </c>
      <c r="Q361" t="s">
        <v>358</v>
      </c>
      <c r="R361" t="str">
        <f>_xlfn.CONCAT(laptop[[#This Row],[CPU_company]]," ",laptop[[#This Row],[CPU_model]])</f>
        <v>Intel Core i5 7300U</v>
      </c>
      <c r="S361">
        <v>256</v>
      </c>
      <c r="T361">
        <v>0</v>
      </c>
      <c r="U361">
        <f>laptop[[#This Row],[PrimaryStorage]]+laptop[[#This Row],[SecondaryStorage]]</f>
        <v>256</v>
      </c>
      <c r="V361" t="s">
        <v>31</v>
      </c>
      <c r="W361" t="s">
        <v>27</v>
      </c>
      <c r="X361" t="str">
        <f>IF(laptop[[#This Row],[PrimaryStorageType]]=laptop[[#This Row],[SecondaryStorageType]],laptop[[#This Row],[PrimaryStorageType]],"SSD &amp; HDD")</f>
        <v>SSD &amp; HDD</v>
      </c>
      <c r="Y361" t="s">
        <v>42</v>
      </c>
      <c r="Z361" s="4" t="str">
        <f>_xlfn.CONCAT(laptop[[#This Row],[CPU_company]]," ",laptop[[#This Row],[GPU_model]])</f>
        <v>Intel HD Graphics 620</v>
      </c>
    </row>
    <row r="362" spans="1:26" x14ac:dyDescent="0.25">
      <c r="A362" t="s">
        <v>36</v>
      </c>
      <c r="B362" t="s">
        <v>37</v>
      </c>
      <c r="C362" t="s">
        <v>38</v>
      </c>
      <c r="D362">
        <v>15.6</v>
      </c>
      <c r="E362">
        <v>4</v>
      </c>
      <c r="F362" t="s">
        <v>48</v>
      </c>
      <c r="G362">
        <v>1.86</v>
      </c>
      <c r="H362" s="16">
        <v>439</v>
      </c>
      <c r="I362" t="s">
        <v>26</v>
      </c>
      <c r="J362">
        <v>1366</v>
      </c>
      <c r="K362">
        <v>768</v>
      </c>
      <c r="L362" t="s">
        <v>27</v>
      </c>
      <c r="M362" t="s">
        <v>27</v>
      </c>
      <c r="N362" t="s">
        <v>27</v>
      </c>
      <c r="O362" t="s">
        <v>29</v>
      </c>
      <c r="P362">
        <v>2</v>
      </c>
      <c r="Q362" t="s">
        <v>62</v>
      </c>
      <c r="R362" t="str">
        <f>_xlfn.CONCAT(laptop[[#This Row],[CPU_company]]," ",laptop[[#This Row],[CPU_model]])</f>
        <v>Intel Core i3 6006U</v>
      </c>
      <c r="S362">
        <v>500</v>
      </c>
      <c r="T362">
        <v>0</v>
      </c>
      <c r="U362">
        <f>laptop[[#This Row],[PrimaryStorage]]+laptop[[#This Row],[SecondaryStorage]]</f>
        <v>500</v>
      </c>
      <c r="V362" t="s">
        <v>51</v>
      </c>
      <c r="W362" t="s">
        <v>27</v>
      </c>
      <c r="X362" t="str">
        <f>IF(laptop[[#This Row],[PrimaryStorageType]]=laptop[[#This Row],[SecondaryStorageType]],laptop[[#This Row],[PrimaryStorageType]],"SSD &amp; HDD")</f>
        <v>SSD &amp; HDD</v>
      </c>
      <c r="Y362" t="s">
        <v>63</v>
      </c>
      <c r="Z362" s="4" t="str">
        <f>_xlfn.CONCAT(laptop[[#This Row],[CPU_company]]," ",laptop[[#This Row],[GPU_model]])</f>
        <v>Intel HD Graphics 520</v>
      </c>
    </row>
    <row r="363" spans="1:26" x14ac:dyDescent="0.25">
      <c r="A363" t="s">
        <v>55</v>
      </c>
      <c r="B363" t="s">
        <v>368</v>
      </c>
      <c r="C363" t="s">
        <v>38</v>
      </c>
      <c r="D363">
        <v>14</v>
      </c>
      <c r="E363">
        <v>8</v>
      </c>
      <c r="F363" t="s">
        <v>48</v>
      </c>
      <c r="G363">
        <v>2</v>
      </c>
      <c r="H363" s="16">
        <v>945</v>
      </c>
      <c r="I363" t="s">
        <v>40</v>
      </c>
      <c r="J363">
        <v>1920</v>
      </c>
      <c r="K363">
        <v>1080</v>
      </c>
      <c r="L363" t="s">
        <v>27</v>
      </c>
      <c r="M363" t="s">
        <v>27</v>
      </c>
      <c r="N363" t="s">
        <v>27</v>
      </c>
      <c r="O363" t="s">
        <v>29</v>
      </c>
      <c r="P363">
        <v>2.5</v>
      </c>
      <c r="Q363" t="s">
        <v>41</v>
      </c>
      <c r="R363" t="str">
        <f>_xlfn.CONCAT(laptop[[#This Row],[CPU_company]]," ",laptop[[#This Row],[CPU_model]])</f>
        <v>Intel Core i5 7200U</v>
      </c>
      <c r="S363">
        <v>256</v>
      </c>
      <c r="T363">
        <v>0</v>
      </c>
      <c r="U363">
        <f>laptop[[#This Row],[PrimaryStorage]]+laptop[[#This Row],[SecondaryStorage]]</f>
        <v>256</v>
      </c>
      <c r="V363" t="s">
        <v>31</v>
      </c>
      <c r="W363" t="s">
        <v>27</v>
      </c>
      <c r="X363" t="str">
        <f>IF(laptop[[#This Row],[PrimaryStorageType]]=laptop[[#This Row],[SecondaryStorageType]],laptop[[#This Row],[PrimaryStorageType]],"SSD &amp; HDD")</f>
        <v>SSD &amp; HDD</v>
      </c>
      <c r="Y363" t="s">
        <v>42</v>
      </c>
      <c r="Z363" s="4" t="str">
        <f>_xlfn.CONCAT(laptop[[#This Row],[CPU_company]]," ",laptop[[#This Row],[GPU_model]])</f>
        <v>Intel HD Graphics 620</v>
      </c>
    </row>
    <row r="364" spans="1:26" x14ac:dyDescent="0.25">
      <c r="A364" t="s">
        <v>73</v>
      </c>
      <c r="B364" t="s">
        <v>271</v>
      </c>
      <c r="C364" t="s">
        <v>38</v>
      </c>
      <c r="D364">
        <v>17.3</v>
      </c>
      <c r="E364">
        <v>6</v>
      </c>
      <c r="F364" t="s">
        <v>48</v>
      </c>
      <c r="G364">
        <v>2.8</v>
      </c>
      <c r="H364" s="16">
        <v>719</v>
      </c>
      <c r="I364" t="s">
        <v>26</v>
      </c>
      <c r="J364">
        <v>1600</v>
      </c>
      <c r="K364">
        <v>900</v>
      </c>
      <c r="L364" t="s">
        <v>27</v>
      </c>
      <c r="M364" t="s">
        <v>27</v>
      </c>
      <c r="N364" t="s">
        <v>27</v>
      </c>
      <c r="O364" t="s">
        <v>29</v>
      </c>
      <c r="P364">
        <v>2.5</v>
      </c>
      <c r="Q364" t="s">
        <v>41</v>
      </c>
      <c r="R364" t="str">
        <f>_xlfn.CONCAT(laptop[[#This Row],[CPU_company]]," ",laptop[[#This Row],[CPU_model]])</f>
        <v>Intel Core i5 7200U</v>
      </c>
      <c r="S364">
        <v>128</v>
      </c>
      <c r="T364">
        <v>1024</v>
      </c>
      <c r="U364">
        <f>laptop[[#This Row],[PrimaryStorage]]+laptop[[#This Row],[SecondaryStorage]]</f>
        <v>1152</v>
      </c>
      <c r="V364" t="s">
        <v>31</v>
      </c>
      <c r="W364" t="s">
        <v>51</v>
      </c>
      <c r="X364" t="str">
        <f>IF(laptop[[#This Row],[PrimaryStorageType]]=laptop[[#This Row],[SecondaryStorageType]],laptop[[#This Row],[PrimaryStorageType]],"SSD &amp; HDD")</f>
        <v>SSD &amp; HDD</v>
      </c>
      <c r="Y364" t="s">
        <v>168</v>
      </c>
      <c r="Z364" s="4" t="str">
        <f>_xlfn.CONCAT(laptop[[#This Row],[CPU_company]]," ",laptop[[#This Row],[GPU_model]])</f>
        <v>Intel GeForce GTX 940MX</v>
      </c>
    </row>
    <row r="365" spans="1:26" x14ac:dyDescent="0.25">
      <c r="A365" t="s">
        <v>36</v>
      </c>
      <c r="B365" t="s">
        <v>37</v>
      </c>
      <c r="C365" t="s">
        <v>38</v>
      </c>
      <c r="D365">
        <v>15.6</v>
      </c>
      <c r="E365">
        <v>8</v>
      </c>
      <c r="F365" t="s">
        <v>48</v>
      </c>
      <c r="G365">
        <v>1.86</v>
      </c>
      <c r="H365" s="16">
        <v>639</v>
      </c>
      <c r="I365" t="s">
        <v>40</v>
      </c>
      <c r="J365">
        <v>1920</v>
      </c>
      <c r="K365">
        <v>1080</v>
      </c>
      <c r="L365" t="s">
        <v>27</v>
      </c>
      <c r="M365" t="s">
        <v>27</v>
      </c>
      <c r="N365" t="s">
        <v>27</v>
      </c>
      <c r="O365" t="s">
        <v>29</v>
      </c>
      <c r="P365">
        <v>2.5</v>
      </c>
      <c r="Q365" t="s">
        <v>41</v>
      </c>
      <c r="R365" t="str">
        <f>_xlfn.CONCAT(laptop[[#This Row],[CPU_company]]," ",laptop[[#This Row],[CPU_model]])</f>
        <v>Intel Core i5 7200U</v>
      </c>
      <c r="S365">
        <v>1024</v>
      </c>
      <c r="T365">
        <v>0</v>
      </c>
      <c r="U365">
        <f>laptop[[#This Row],[PrimaryStorage]]+laptop[[#This Row],[SecondaryStorage]]</f>
        <v>1024</v>
      </c>
      <c r="V365" t="s">
        <v>51</v>
      </c>
      <c r="W365" t="s">
        <v>27</v>
      </c>
      <c r="X365" t="str">
        <f>IF(laptop[[#This Row],[PrimaryStorageType]]=laptop[[#This Row],[SecondaryStorageType]],laptop[[#This Row],[PrimaryStorageType]],"SSD &amp; HDD")</f>
        <v>SSD &amp; HDD</v>
      </c>
      <c r="Y365" t="s">
        <v>42</v>
      </c>
      <c r="Z365" s="4" t="str">
        <f>_xlfn.CONCAT(laptop[[#This Row],[CPU_company]]," ",laptop[[#This Row],[GPU_model]])</f>
        <v>Intel HD Graphics 620</v>
      </c>
    </row>
    <row r="366" spans="1:26" x14ac:dyDescent="0.25">
      <c r="A366" t="s">
        <v>73</v>
      </c>
      <c r="B366" t="s">
        <v>125</v>
      </c>
      <c r="C366" t="s">
        <v>38</v>
      </c>
      <c r="D366">
        <v>15.6</v>
      </c>
      <c r="E366">
        <v>8</v>
      </c>
      <c r="F366" t="s">
        <v>39</v>
      </c>
      <c r="G366">
        <v>2.2000000000000002</v>
      </c>
      <c r="H366" s="16">
        <v>499</v>
      </c>
      <c r="I366" t="s">
        <v>26</v>
      </c>
      <c r="J366">
        <v>1366</v>
      </c>
      <c r="K366">
        <v>768</v>
      </c>
      <c r="L366" t="s">
        <v>27</v>
      </c>
      <c r="M366" t="s">
        <v>27</v>
      </c>
      <c r="N366" t="s">
        <v>27</v>
      </c>
      <c r="O366" t="s">
        <v>29</v>
      </c>
      <c r="P366">
        <v>2</v>
      </c>
      <c r="Q366" t="s">
        <v>62</v>
      </c>
      <c r="R366" t="str">
        <f>_xlfn.CONCAT(laptop[[#This Row],[CPU_company]]," ",laptop[[#This Row],[CPU_model]])</f>
        <v>Intel Core i3 6006U</v>
      </c>
      <c r="S366">
        <v>256</v>
      </c>
      <c r="T366">
        <v>0</v>
      </c>
      <c r="U366">
        <f>laptop[[#This Row],[PrimaryStorage]]+laptop[[#This Row],[SecondaryStorage]]</f>
        <v>256</v>
      </c>
      <c r="V366" t="s">
        <v>31</v>
      </c>
      <c r="W366" t="s">
        <v>27</v>
      </c>
      <c r="X366" t="str">
        <f>IF(laptop[[#This Row],[PrimaryStorageType]]=laptop[[#This Row],[SecondaryStorageType]],laptop[[#This Row],[PrimaryStorageType]],"SSD &amp; HDD")</f>
        <v>SSD &amp; HDD</v>
      </c>
      <c r="Y366" t="s">
        <v>277</v>
      </c>
      <c r="Z366" s="4" t="str">
        <f>_xlfn.CONCAT(laptop[[#This Row],[CPU_company]]," ",laptop[[#This Row],[GPU_model]])</f>
        <v xml:space="preserve">Intel GeForce 920MX </v>
      </c>
    </row>
    <row r="367" spans="1:26" x14ac:dyDescent="0.25">
      <c r="A367" t="s">
        <v>36</v>
      </c>
      <c r="B367" t="s">
        <v>369</v>
      </c>
      <c r="C367" t="s">
        <v>38</v>
      </c>
      <c r="D367">
        <v>15.6</v>
      </c>
      <c r="E367">
        <v>8</v>
      </c>
      <c r="F367" t="s">
        <v>48</v>
      </c>
      <c r="G367">
        <v>2.04</v>
      </c>
      <c r="H367" s="16">
        <v>389</v>
      </c>
      <c r="I367" t="s">
        <v>26</v>
      </c>
      <c r="J367">
        <v>1366</v>
      </c>
      <c r="K367">
        <v>768</v>
      </c>
      <c r="L367" t="s">
        <v>27</v>
      </c>
      <c r="M367" t="s">
        <v>27</v>
      </c>
      <c r="N367" t="s">
        <v>27</v>
      </c>
      <c r="O367" t="s">
        <v>29</v>
      </c>
      <c r="P367">
        <v>1.6</v>
      </c>
      <c r="Q367" t="s">
        <v>346</v>
      </c>
      <c r="R367" t="str">
        <f>_xlfn.CONCAT(laptop[[#This Row],[CPU_company]]," ",laptop[[#This Row],[CPU_model]])</f>
        <v>Intel Pentium Quad Core N3710</v>
      </c>
      <c r="S367">
        <v>2048</v>
      </c>
      <c r="T367">
        <v>0</v>
      </c>
      <c r="U367">
        <f>laptop[[#This Row],[PrimaryStorage]]+laptop[[#This Row],[SecondaryStorage]]</f>
        <v>2048</v>
      </c>
      <c r="V367" t="s">
        <v>51</v>
      </c>
      <c r="W367" t="s">
        <v>27</v>
      </c>
      <c r="X367" t="str">
        <f>IF(laptop[[#This Row],[PrimaryStorageType]]=laptop[[#This Row],[SecondaryStorageType]],laptop[[#This Row],[PrimaryStorageType]],"SSD &amp; HDD")</f>
        <v>SSD &amp; HDD</v>
      </c>
      <c r="Y367" t="s">
        <v>347</v>
      </c>
      <c r="Z367" s="4" t="str">
        <f>_xlfn.CONCAT(laptop[[#This Row],[CPU_company]]," ",laptop[[#This Row],[GPU_model]])</f>
        <v>Intel HD Graphics 405</v>
      </c>
    </row>
    <row r="368" spans="1:26" x14ac:dyDescent="0.25">
      <c r="A368" t="s">
        <v>65</v>
      </c>
      <c r="B368" t="s">
        <v>113</v>
      </c>
      <c r="C368" t="s">
        <v>38</v>
      </c>
      <c r="D368">
        <v>17.3</v>
      </c>
      <c r="E368">
        <v>8</v>
      </c>
      <c r="F368" t="s">
        <v>48</v>
      </c>
      <c r="G368">
        <v>2.8</v>
      </c>
      <c r="H368" s="16">
        <v>1085</v>
      </c>
      <c r="I368" t="s">
        <v>40</v>
      </c>
      <c r="J368">
        <v>1920</v>
      </c>
      <c r="K368">
        <v>1080</v>
      </c>
      <c r="L368" t="s">
        <v>27</v>
      </c>
      <c r="M368" t="s">
        <v>27</v>
      </c>
      <c r="N368" t="s">
        <v>27</v>
      </c>
      <c r="O368" t="s">
        <v>29</v>
      </c>
      <c r="P368">
        <v>1.6</v>
      </c>
      <c r="Q368" t="s">
        <v>60</v>
      </c>
      <c r="R368" t="str">
        <f>_xlfn.CONCAT(laptop[[#This Row],[CPU_company]]," ",laptop[[#This Row],[CPU_model]])</f>
        <v>Intel Core i5 8250U</v>
      </c>
      <c r="S368">
        <v>128</v>
      </c>
      <c r="T368">
        <v>1024</v>
      </c>
      <c r="U368">
        <f>laptop[[#This Row],[PrimaryStorage]]+laptop[[#This Row],[SecondaryStorage]]</f>
        <v>1152</v>
      </c>
      <c r="V368" t="s">
        <v>31</v>
      </c>
      <c r="W368" t="s">
        <v>51</v>
      </c>
      <c r="X368" t="str">
        <f>IF(laptop[[#This Row],[PrimaryStorageType]]=laptop[[#This Row],[SecondaryStorageType]],laptop[[#This Row],[PrimaryStorageType]],"SSD &amp; HDD")</f>
        <v>SSD &amp; HDD</v>
      </c>
      <c r="Y368" t="s">
        <v>94</v>
      </c>
      <c r="Z368" s="4" t="str">
        <f>_xlfn.CONCAT(laptop[[#This Row],[CPU_company]]," ",laptop[[#This Row],[GPU_model]])</f>
        <v>Intel Radeon 530</v>
      </c>
    </row>
    <row r="369" spans="1:26" x14ac:dyDescent="0.25">
      <c r="A369" t="s">
        <v>73</v>
      </c>
      <c r="B369" t="s">
        <v>82</v>
      </c>
      <c r="C369" t="s">
        <v>83</v>
      </c>
      <c r="D369">
        <v>15.6</v>
      </c>
      <c r="E369">
        <v>8</v>
      </c>
      <c r="F369" t="s">
        <v>39</v>
      </c>
      <c r="G369">
        <v>2.4</v>
      </c>
      <c r="H369" s="16">
        <v>809</v>
      </c>
      <c r="I369" t="s">
        <v>40</v>
      </c>
      <c r="J369">
        <v>1920</v>
      </c>
      <c r="K369">
        <v>1080</v>
      </c>
      <c r="L369" t="s">
        <v>27</v>
      </c>
      <c r="M369" t="s">
        <v>28</v>
      </c>
      <c r="N369" t="s">
        <v>27</v>
      </c>
      <c r="O369" t="s">
        <v>29</v>
      </c>
      <c r="P369">
        <v>2.5</v>
      </c>
      <c r="Q369" t="s">
        <v>84</v>
      </c>
      <c r="R369" t="str">
        <f>_xlfn.CONCAT(laptop[[#This Row],[CPU_company]]," ",laptop[[#This Row],[CPU_model]])</f>
        <v>Intel Core i5 7300HQ</v>
      </c>
      <c r="S369">
        <v>128</v>
      </c>
      <c r="T369">
        <v>1024</v>
      </c>
      <c r="U369">
        <f>laptop[[#This Row],[PrimaryStorage]]+laptop[[#This Row],[SecondaryStorage]]</f>
        <v>1152</v>
      </c>
      <c r="V369" t="s">
        <v>31</v>
      </c>
      <c r="W369" t="s">
        <v>51</v>
      </c>
      <c r="X369" t="str">
        <f>IF(laptop[[#This Row],[PrimaryStorageType]]=laptop[[#This Row],[SecondaryStorageType]],laptop[[#This Row],[PrimaryStorageType]],"SSD &amp; HDD")</f>
        <v>SSD &amp; HDD</v>
      </c>
      <c r="Y369" t="s">
        <v>85</v>
      </c>
      <c r="Z369" s="4" t="str">
        <f>_xlfn.CONCAT(laptop[[#This Row],[CPU_company]]," ",laptop[[#This Row],[GPU_model]])</f>
        <v>Intel GeForce GTX 1050</v>
      </c>
    </row>
    <row r="370" spans="1:26" x14ac:dyDescent="0.25">
      <c r="A370" t="s">
        <v>65</v>
      </c>
      <c r="B370" t="s">
        <v>200</v>
      </c>
      <c r="C370" t="s">
        <v>38</v>
      </c>
      <c r="D370">
        <v>15.6</v>
      </c>
      <c r="E370">
        <v>8</v>
      </c>
      <c r="F370" t="s">
        <v>48</v>
      </c>
      <c r="G370">
        <v>2.33</v>
      </c>
      <c r="H370" s="16">
        <v>899</v>
      </c>
      <c r="I370" t="s">
        <v>40</v>
      </c>
      <c r="J370">
        <v>1920</v>
      </c>
      <c r="K370">
        <v>1080</v>
      </c>
      <c r="L370" t="s">
        <v>27</v>
      </c>
      <c r="M370" t="s">
        <v>27</v>
      </c>
      <c r="N370" t="s">
        <v>27</v>
      </c>
      <c r="O370" t="s">
        <v>29</v>
      </c>
      <c r="P370">
        <v>2.7</v>
      </c>
      <c r="Q370" t="s">
        <v>71</v>
      </c>
      <c r="R370" t="str">
        <f>_xlfn.CONCAT(laptop[[#This Row],[CPU_company]]," ",laptop[[#This Row],[CPU_model]])</f>
        <v>Intel Core i7 7500U</v>
      </c>
      <c r="S370">
        <v>256</v>
      </c>
      <c r="T370">
        <v>0</v>
      </c>
      <c r="U370">
        <f>laptop[[#This Row],[PrimaryStorage]]+laptop[[#This Row],[SecondaryStorage]]</f>
        <v>256</v>
      </c>
      <c r="V370" t="s">
        <v>31</v>
      </c>
      <c r="W370" t="s">
        <v>27</v>
      </c>
      <c r="X370" t="str">
        <f>IF(laptop[[#This Row],[PrimaryStorageType]]=laptop[[#This Row],[SecondaryStorageType]],laptop[[#This Row],[PrimaryStorageType]],"SSD &amp; HDD")</f>
        <v>SSD &amp; HDD</v>
      </c>
      <c r="Y370" t="s">
        <v>201</v>
      </c>
      <c r="Z370" s="4" t="str">
        <f>_xlfn.CONCAT(laptop[[#This Row],[CPU_company]]," ",laptop[[#This Row],[GPU_model]])</f>
        <v>Intel Radeon R7 M445</v>
      </c>
    </row>
    <row r="371" spans="1:26" x14ac:dyDescent="0.25">
      <c r="A371" t="s">
        <v>36</v>
      </c>
      <c r="B371" t="s">
        <v>370</v>
      </c>
      <c r="C371" t="s">
        <v>24</v>
      </c>
      <c r="D371">
        <v>14</v>
      </c>
      <c r="E371">
        <v>8</v>
      </c>
      <c r="F371" t="s">
        <v>48</v>
      </c>
      <c r="G371">
        <v>1.36</v>
      </c>
      <c r="H371" s="16">
        <v>1750</v>
      </c>
      <c r="I371" t="s">
        <v>40</v>
      </c>
      <c r="J371">
        <v>1920</v>
      </c>
      <c r="K371">
        <v>1080</v>
      </c>
      <c r="L371" t="s">
        <v>27</v>
      </c>
      <c r="M371" t="s">
        <v>28</v>
      </c>
      <c r="N371" t="s">
        <v>27</v>
      </c>
      <c r="O371" t="s">
        <v>29</v>
      </c>
      <c r="P371">
        <v>2.7</v>
      </c>
      <c r="Q371" t="s">
        <v>71</v>
      </c>
      <c r="R371" t="str">
        <f>_xlfn.CONCAT(laptop[[#This Row],[CPU_company]]," ",laptop[[#This Row],[CPU_model]])</f>
        <v>Intel Core i7 7500U</v>
      </c>
      <c r="S371">
        <v>256</v>
      </c>
      <c r="T371">
        <v>0</v>
      </c>
      <c r="U371">
        <f>laptop[[#This Row],[PrimaryStorage]]+laptop[[#This Row],[SecondaryStorage]]</f>
        <v>256</v>
      </c>
      <c r="V371" t="s">
        <v>31</v>
      </c>
      <c r="W371" t="s">
        <v>27</v>
      </c>
      <c r="X371" t="str">
        <f>IF(laptop[[#This Row],[PrimaryStorageType]]=laptop[[#This Row],[SecondaryStorageType]],laptop[[#This Row],[PrimaryStorageType]],"SSD &amp; HDD")</f>
        <v>SSD &amp; HDD</v>
      </c>
      <c r="Y371" t="s">
        <v>42</v>
      </c>
      <c r="Z371" s="4" t="str">
        <f>_xlfn.CONCAT(laptop[[#This Row],[CPU_company]]," ",laptop[[#This Row],[GPU_model]])</f>
        <v>Intel HD Graphics 620</v>
      </c>
    </row>
    <row r="372" spans="1:26" x14ac:dyDescent="0.25">
      <c r="A372" t="s">
        <v>55</v>
      </c>
      <c r="B372" t="s">
        <v>230</v>
      </c>
      <c r="C372" t="s">
        <v>90</v>
      </c>
      <c r="D372">
        <v>15.6</v>
      </c>
      <c r="E372">
        <v>12</v>
      </c>
      <c r="F372" t="s">
        <v>48</v>
      </c>
      <c r="G372">
        <v>2.2599999999999998</v>
      </c>
      <c r="H372" s="16">
        <v>1099</v>
      </c>
      <c r="I372" t="s">
        <v>40</v>
      </c>
      <c r="J372">
        <v>1920</v>
      </c>
      <c r="K372">
        <v>1080</v>
      </c>
      <c r="L372" t="s">
        <v>28</v>
      </c>
      <c r="M372" t="s">
        <v>27</v>
      </c>
      <c r="N372" t="s">
        <v>27</v>
      </c>
      <c r="O372" t="s">
        <v>29</v>
      </c>
      <c r="P372">
        <v>2.7</v>
      </c>
      <c r="Q372" t="s">
        <v>71</v>
      </c>
      <c r="R372" t="str">
        <f>_xlfn.CONCAT(laptop[[#This Row],[CPU_company]]," ",laptop[[#This Row],[CPU_model]])</f>
        <v>Intel Core i7 7500U</v>
      </c>
      <c r="S372">
        <v>512</v>
      </c>
      <c r="T372">
        <v>2048</v>
      </c>
      <c r="U372">
        <f>laptop[[#This Row],[PrimaryStorage]]+laptop[[#This Row],[SecondaryStorage]]</f>
        <v>2560</v>
      </c>
      <c r="V372" t="s">
        <v>31</v>
      </c>
      <c r="W372" t="s">
        <v>51</v>
      </c>
      <c r="X372" t="str">
        <f>IF(laptop[[#This Row],[PrimaryStorageType]]=laptop[[#This Row],[SecondaryStorageType]],laptop[[#This Row],[PrimaryStorageType]],"SSD &amp; HDD")</f>
        <v>SSD &amp; HDD</v>
      </c>
      <c r="Y372" t="s">
        <v>371</v>
      </c>
      <c r="Z372" s="4" t="str">
        <f>_xlfn.CONCAT(laptop[[#This Row],[CPU_company]]," ",laptop[[#This Row],[GPU_model]])</f>
        <v>Intel GeForce GT 940MX</v>
      </c>
    </row>
    <row r="373" spans="1:26" x14ac:dyDescent="0.25">
      <c r="A373" t="s">
        <v>46</v>
      </c>
      <c r="B373" t="s">
        <v>47</v>
      </c>
      <c r="C373" t="s">
        <v>38</v>
      </c>
      <c r="D373">
        <v>15.6</v>
      </c>
      <c r="E373">
        <v>4</v>
      </c>
      <c r="F373" t="s">
        <v>48</v>
      </c>
      <c r="G373">
        <v>2.1</v>
      </c>
      <c r="H373" s="16">
        <v>426</v>
      </c>
      <c r="I373" t="s">
        <v>26</v>
      </c>
      <c r="J373">
        <v>1366</v>
      </c>
      <c r="K373">
        <v>768</v>
      </c>
      <c r="L373" t="s">
        <v>27</v>
      </c>
      <c r="M373" t="s">
        <v>27</v>
      </c>
      <c r="N373" t="s">
        <v>27</v>
      </c>
      <c r="O373" t="s">
        <v>49</v>
      </c>
      <c r="P373">
        <v>3</v>
      </c>
      <c r="Q373" t="s">
        <v>50</v>
      </c>
      <c r="R373" t="str">
        <f>_xlfn.CONCAT(laptop[[#This Row],[CPU_company]]," ",laptop[[#This Row],[CPU_model]])</f>
        <v>AMD A9-Series 9420</v>
      </c>
      <c r="S373">
        <v>128</v>
      </c>
      <c r="T373">
        <v>0</v>
      </c>
      <c r="U373">
        <f>laptop[[#This Row],[PrimaryStorage]]+laptop[[#This Row],[SecondaryStorage]]</f>
        <v>128</v>
      </c>
      <c r="V373" t="s">
        <v>31</v>
      </c>
      <c r="W373" t="s">
        <v>27</v>
      </c>
      <c r="X373" t="str">
        <f>IF(laptop[[#This Row],[PrimaryStorageType]]=laptop[[#This Row],[SecondaryStorageType]],laptop[[#This Row],[PrimaryStorageType]],"SSD &amp; HDD")</f>
        <v>SSD &amp; HDD</v>
      </c>
      <c r="Y373" t="s">
        <v>52</v>
      </c>
      <c r="Z373" s="4" t="str">
        <f>_xlfn.CONCAT(laptop[[#This Row],[CPU_company]]," ",laptop[[#This Row],[GPU_model]])</f>
        <v>AMD Radeon R5</v>
      </c>
    </row>
    <row r="374" spans="1:26" x14ac:dyDescent="0.25">
      <c r="A374" t="s">
        <v>55</v>
      </c>
      <c r="B374" t="s">
        <v>126</v>
      </c>
      <c r="C374" t="s">
        <v>83</v>
      </c>
      <c r="D374">
        <v>17.3</v>
      </c>
      <c r="E374">
        <v>16</v>
      </c>
      <c r="F374" t="s">
        <v>48</v>
      </c>
      <c r="G374">
        <v>3.25</v>
      </c>
      <c r="H374" s="16">
        <v>2199</v>
      </c>
      <c r="I374" t="s">
        <v>40</v>
      </c>
      <c r="J374">
        <v>1920</v>
      </c>
      <c r="K374">
        <v>1080</v>
      </c>
      <c r="L374" t="s">
        <v>27</v>
      </c>
      <c r="M374" t="s">
        <v>28</v>
      </c>
      <c r="N374" t="s">
        <v>27</v>
      </c>
      <c r="O374" t="s">
        <v>49</v>
      </c>
      <c r="P374">
        <v>3</v>
      </c>
      <c r="Q374" t="s">
        <v>127</v>
      </c>
      <c r="R374" t="str">
        <f>_xlfn.CONCAT(laptop[[#This Row],[CPU_company]]," ",laptop[[#This Row],[CPU_model]])</f>
        <v>AMD Ryzen 1700</v>
      </c>
      <c r="S374">
        <v>256</v>
      </c>
      <c r="T374">
        <v>1024</v>
      </c>
      <c r="U374">
        <f>laptop[[#This Row],[PrimaryStorage]]+laptop[[#This Row],[SecondaryStorage]]</f>
        <v>1280</v>
      </c>
      <c r="V374" t="s">
        <v>31</v>
      </c>
      <c r="W374" t="s">
        <v>51</v>
      </c>
      <c r="X374" t="str">
        <f>IF(laptop[[#This Row],[PrimaryStorageType]]=laptop[[#This Row],[SecondaryStorageType]],laptop[[#This Row],[PrimaryStorageType]],"SSD &amp; HDD")</f>
        <v>SSD &amp; HDD</v>
      </c>
      <c r="Y374" t="s">
        <v>128</v>
      </c>
      <c r="Z374" s="4" t="str">
        <f>_xlfn.CONCAT(laptop[[#This Row],[CPU_company]]," ",laptop[[#This Row],[GPU_model]])</f>
        <v>AMD Radeon RX 580</v>
      </c>
    </row>
    <row r="375" spans="1:26" x14ac:dyDescent="0.25">
      <c r="A375" t="s">
        <v>73</v>
      </c>
      <c r="B375" t="s">
        <v>372</v>
      </c>
      <c r="C375" t="s">
        <v>38</v>
      </c>
      <c r="D375">
        <v>17.3</v>
      </c>
      <c r="E375">
        <v>4</v>
      </c>
      <c r="F375" t="s">
        <v>48</v>
      </c>
      <c r="G375">
        <v>2.6</v>
      </c>
      <c r="H375" s="16">
        <v>489</v>
      </c>
      <c r="I375" t="s">
        <v>26</v>
      </c>
      <c r="J375">
        <v>1600</v>
      </c>
      <c r="K375">
        <v>900</v>
      </c>
      <c r="L375" t="s">
        <v>27</v>
      </c>
      <c r="M375" t="s">
        <v>27</v>
      </c>
      <c r="N375" t="s">
        <v>27</v>
      </c>
      <c r="O375" t="s">
        <v>49</v>
      </c>
      <c r="P375">
        <v>2.2000000000000002</v>
      </c>
      <c r="Q375" t="s">
        <v>339</v>
      </c>
      <c r="R375" t="str">
        <f>_xlfn.CONCAT(laptop[[#This Row],[CPU_company]]," ",laptop[[#This Row],[CPU_model]])</f>
        <v>AMD A8-Series 7410</v>
      </c>
      <c r="S375">
        <v>128</v>
      </c>
      <c r="T375">
        <v>0</v>
      </c>
      <c r="U375">
        <f>laptop[[#This Row],[PrimaryStorage]]+laptop[[#This Row],[SecondaryStorage]]</f>
        <v>128</v>
      </c>
      <c r="V375" t="s">
        <v>31</v>
      </c>
      <c r="W375" t="s">
        <v>27</v>
      </c>
      <c r="X375" t="str">
        <f>IF(laptop[[#This Row],[PrimaryStorageType]]=laptop[[#This Row],[SecondaryStorageType]],laptop[[#This Row],[PrimaryStorageType]],"SSD &amp; HDD")</f>
        <v>SSD &amp; HDD</v>
      </c>
      <c r="Y375" t="s">
        <v>52</v>
      </c>
      <c r="Z375" s="4" t="str">
        <f>_xlfn.CONCAT(laptop[[#This Row],[CPU_company]]," ",laptop[[#This Row],[GPU_model]])</f>
        <v>AMD Radeon R5</v>
      </c>
    </row>
    <row r="376" spans="1:26" x14ac:dyDescent="0.25">
      <c r="A376" t="s">
        <v>65</v>
      </c>
      <c r="B376" t="s">
        <v>89</v>
      </c>
      <c r="C376" t="s">
        <v>90</v>
      </c>
      <c r="D376">
        <v>13.3</v>
      </c>
      <c r="E376">
        <v>8</v>
      </c>
      <c r="F376" t="s">
        <v>48</v>
      </c>
      <c r="G376">
        <v>1.62</v>
      </c>
      <c r="H376" s="16">
        <v>869.01</v>
      </c>
      <c r="I376" t="s">
        <v>40</v>
      </c>
      <c r="J376">
        <v>1920</v>
      </c>
      <c r="K376">
        <v>1080</v>
      </c>
      <c r="L376" t="s">
        <v>28</v>
      </c>
      <c r="M376" t="s">
        <v>27</v>
      </c>
      <c r="N376" t="s">
        <v>27</v>
      </c>
      <c r="O376" t="s">
        <v>29</v>
      </c>
      <c r="P376">
        <v>1.8</v>
      </c>
      <c r="Q376" t="s">
        <v>57</v>
      </c>
      <c r="R376" t="str">
        <f>_xlfn.CONCAT(laptop[[#This Row],[CPU_company]]," ",laptop[[#This Row],[CPU_model]])</f>
        <v>Intel Core i7 8550U</v>
      </c>
      <c r="S376">
        <v>256</v>
      </c>
      <c r="T376">
        <v>0</v>
      </c>
      <c r="U376">
        <f>laptop[[#This Row],[PrimaryStorage]]+laptop[[#This Row],[SecondaryStorage]]</f>
        <v>256</v>
      </c>
      <c r="V376" t="s">
        <v>31</v>
      </c>
      <c r="W376" t="s">
        <v>27</v>
      </c>
      <c r="X376" t="str">
        <f>IF(laptop[[#This Row],[PrimaryStorageType]]=laptop[[#This Row],[SecondaryStorageType]],laptop[[#This Row],[PrimaryStorageType]],"SSD &amp; HDD")</f>
        <v>SSD &amp; HDD</v>
      </c>
      <c r="Y376" t="s">
        <v>61</v>
      </c>
      <c r="Z376" s="4" t="str">
        <f>_xlfn.CONCAT(laptop[[#This Row],[CPU_company]]," ",laptop[[#This Row],[GPU_model]])</f>
        <v>Intel UHD Graphics 620</v>
      </c>
    </row>
    <row r="377" spans="1:26" x14ac:dyDescent="0.25">
      <c r="A377" t="s">
        <v>36</v>
      </c>
      <c r="B377" t="s">
        <v>373</v>
      </c>
      <c r="C377" t="s">
        <v>38</v>
      </c>
      <c r="D377">
        <v>15.6</v>
      </c>
      <c r="E377">
        <v>4</v>
      </c>
      <c r="F377" t="s">
        <v>48</v>
      </c>
      <c r="G377">
        <v>1.91</v>
      </c>
      <c r="H377" s="16">
        <v>488.99</v>
      </c>
      <c r="I377" t="s">
        <v>40</v>
      </c>
      <c r="J377">
        <v>1920</v>
      </c>
      <c r="K377">
        <v>1080</v>
      </c>
      <c r="L377" t="s">
        <v>27</v>
      </c>
      <c r="M377" t="s">
        <v>27</v>
      </c>
      <c r="N377" t="s">
        <v>27</v>
      </c>
      <c r="O377" t="s">
        <v>49</v>
      </c>
      <c r="P377">
        <v>3</v>
      </c>
      <c r="Q377" t="s">
        <v>50</v>
      </c>
      <c r="R377" t="str">
        <f>_xlfn.CONCAT(laptop[[#This Row],[CPU_company]]," ",laptop[[#This Row],[CPU_model]])</f>
        <v>AMD A9-Series 9420</v>
      </c>
      <c r="S377">
        <v>256</v>
      </c>
      <c r="T377">
        <v>0</v>
      </c>
      <c r="U377">
        <f>laptop[[#This Row],[PrimaryStorage]]+laptop[[#This Row],[SecondaryStorage]]</f>
        <v>256</v>
      </c>
      <c r="V377" t="s">
        <v>31</v>
      </c>
      <c r="W377" t="s">
        <v>27</v>
      </c>
      <c r="X377" t="str">
        <f>IF(laptop[[#This Row],[PrimaryStorageType]]=laptop[[#This Row],[SecondaryStorageType]],laptop[[#This Row],[PrimaryStorageType]],"SSD &amp; HDD")</f>
        <v>SSD &amp; HDD</v>
      </c>
      <c r="Y377" t="s">
        <v>52</v>
      </c>
      <c r="Z377" s="4" t="str">
        <f>_xlfn.CONCAT(laptop[[#This Row],[CPU_company]]," ",laptop[[#This Row],[GPU_model]])</f>
        <v>AMD Radeon R5</v>
      </c>
    </row>
    <row r="378" spans="1:26" x14ac:dyDescent="0.25">
      <c r="A378" t="s">
        <v>73</v>
      </c>
      <c r="B378" t="s">
        <v>374</v>
      </c>
      <c r="C378" t="s">
        <v>79</v>
      </c>
      <c r="D378">
        <v>11.6</v>
      </c>
      <c r="E378">
        <v>4</v>
      </c>
      <c r="F378" t="s">
        <v>48</v>
      </c>
      <c r="G378">
        <v>1.59</v>
      </c>
      <c r="H378" s="16">
        <v>553</v>
      </c>
      <c r="I378" t="s">
        <v>26</v>
      </c>
      <c r="J378">
        <v>1366</v>
      </c>
      <c r="K378">
        <v>768</v>
      </c>
      <c r="L378" t="s">
        <v>27</v>
      </c>
      <c r="M378" t="s">
        <v>28</v>
      </c>
      <c r="N378" t="s">
        <v>27</v>
      </c>
      <c r="O378" t="s">
        <v>29</v>
      </c>
      <c r="P378">
        <v>1.1000000000000001</v>
      </c>
      <c r="Q378" t="s">
        <v>375</v>
      </c>
      <c r="R378" t="str">
        <f>_xlfn.CONCAT(laptop[[#This Row],[CPU_company]]," ",laptop[[#This Row],[CPU_model]])</f>
        <v>Intel Celeron Quad Core N3450</v>
      </c>
      <c r="S378">
        <v>128</v>
      </c>
      <c r="T378">
        <v>0</v>
      </c>
      <c r="U378">
        <f>laptop[[#This Row],[PrimaryStorage]]+laptop[[#This Row],[SecondaryStorage]]</f>
        <v>128</v>
      </c>
      <c r="V378" t="s">
        <v>31</v>
      </c>
      <c r="W378" t="s">
        <v>27</v>
      </c>
      <c r="X378" t="str">
        <f>IF(laptop[[#This Row],[PrimaryStorageType]]=laptop[[#This Row],[SecondaryStorageType]],laptop[[#This Row],[PrimaryStorageType]],"SSD &amp; HDD")</f>
        <v>SSD &amp; HDD</v>
      </c>
      <c r="Y378" t="s">
        <v>110</v>
      </c>
      <c r="Z378" s="4" t="str">
        <f>_xlfn.CONCAT(laptop[[#This Row],[CPU_company]]," ",laptop[[#This Row],[GPU_model]])</f>
        <v>Intel HD Graphics 500</v>
      </c>
    </row>
    <row r="379" spans="1:26" x14ac:dyDescent="0.25">
      <c r="A379" t="s">
        <v>65</v>
      </c>
      <c r="B379" t="s">
        <v>361</v>
      </c>
      <c r="C379" t="s">
        <v>38</v>
      </c>
      <c r="D379">
        <v>15.6</v>
      </c>
      <c r="E379">
        <v>4</v>
      </c>
      <c r="F379" t="s">
        <v>48</v>
      </c>
      <c r="G379">
        <v>1.8</v>
      </c>
      <c r="H379" s="16">
        <v>309</v>
      </c>
      <c r="I379" t="s">
        <v>26</v>
      </c>
      <c r="J379">
        <v>1366</v>
      </c>
      <c r="K379">
        <v>768</v>
      </c>
      <c r="L379" t="s">
        <v>27</v>
      </c>
      <c r="M379" t="s">
        <v>27</v>
      </c>
      <c r="N379" t="s">
        <v>27</v>
      </c>
      <c r="O379" t="s">
        <v>29</v>
      </c>
      <c r="P379">
        <v>1.6</v>
      </c>
      <c r="Q379" t="s">
        <v>151</v>
      </c>
      <c r="R379" t="str">
        <f>_xlfn.CONCAT(laptop[[#This Row],[CPU_company]]," ",laptop[[#This Row],[CPU_model]])</f>
        <v>Intel Celeron Dual Core N3060</v>
      </c>
      <c r="S379">
        <v>500</v>
      </c>
      <c r="T379">
        <v>0</v>
      </c>
      <c r="U379">
        <f>laptop[[#This Row],[PrimaryStorage]]+laptop[[#This Row],[SecondaryStorage]]</f>
        <v>500</v>
      </c>
      <c r="V379" t="s">
        <v>51</v>
      </c>
      <c r="W379" t="s">
        <v>27</v>
      </c>
      <c r="X379" t="str">
        <f>IF(laptop[[#This Row],[PrimaryStorageType]]=laptop[[#This Row],[SecondaryStorageType]],laptop[[#This Row],[PrimaryStorageType]],"SSD &amp; HDD")</f>
        <v>SSD &amp; HDD</v>
      </c>
      <c r="Y379" t="s">
        <v>81</v>
      </c>
      <c r="Z379" s="4" t="str">
        <f>_xlfn.CONCAT(laptop[[#This Row],[CPU_company]]," ",laptop[[#This Row],[GPU_model]])</f>
        <v>Intel HD Graphics 400</v>
      </c>
    </row>
    <row r="380" spans="1:26" x14ac:dyDescent="0.25">
      <c r="A380" t="s">
        <v>55</v>
      </c>
      <c r="B380" t="s">
        <v>376</v>
      </c>
      <c r="C380" t="s">
        <v>38</v>
      </c>
      <c r="D380">
        <v>14</v>
      </c>
      <c r="E380">
        <v>4</v>
      </c>
      <c r="F380" t="s">
        <v>48</v>
      </c>
      <c r="G380">
        <v>1.5</v>
      </c>
      <c r="H380" s="16">
        <v>286</v>
      </c>
      <c r="I380" t="s">
        <v>26</v>
      </c>
      <c r="J380">
        <v>1366</v>
      </c>
      <c r="K380">
        <v>768</v>
      </c>
      <c r="L380" t="s">
        <v>27</v>
      </c>
      <c r="M380" t="s">
        <v>27</v>
      </c>
      <c r="N380" t="s">
        <v>27</v>
      </c>
      <c r="O380" t="s">
        <v>29</v>
      </c>
      <c r="P380">
        <v>1.1000000000000001</v>
      </c>
      <c r="Q380" t="s">
        <v>109</v>
      </c>
      <c r="R380" t="str">
        <f>_xlfn.CONCAT(laptop[[#This Row],[CPU_company]]," ",laptop[[#This Row],[CPU_model]])</f>
        <v>Intel Celeron Dual Core N3350</v>
      </c>
      <c r="S380">
        <v>32</v>
      </c>
      <c r="T380">
        <v>0</v>
      </c>
      <c r="U380">
        <f>laptop[[#This Row],[PrimaryStorage]]+laptop[[#This Row],[SecondaryStorage]]</f>
        <v>32</v>
      </c>
      <c r="V380" t="s">
        <v>34</v>
      </c>
      <c r="W380" t="s">
        <v>27</v>
      </c>
      <c r="X380" t="str">
        <f>IF(laptop[[#This Row],[PrimaryStorageType]]=laptop[[#This Row],[SecondaryStorageType]],laptop[[#This Row],[PrimaryStorageType]],"SSD &amp; HDD")</f>
        <v>SSD &amp; HDD</v>
      </c>
      <c r="Y380" t="s">
        <v>110</v>
      </c>
      <c r="Z380" s="4" t="str">
        <f>_xlfn.CONCAT(laptop[[#This Row],[CPU_company]]," ",laptop[[#This Row],[GPU_model]])</f>
        <v>Intel HD Graphics 500</v>
      </c>
    </row>
    <row r="381" spans="1:26" x14ac:dyDescent="0.25">
      <c r="A381" t="s">
        <v>46</v>
      </c>
      <c r="B381" t="s">
        <v>268</v>
      </c>
      <c r="C381" t="s">
        <v>38</v>
      </c>
      <c r="D381">
        <v>15.6</v>
      </c>
      <c r="E381">
        <v>8</v>
      </c>
      <c r="F381" t="s">
        <v>111</v>
      </c>
      <c r="G381">
        <v>2.4</v>
      </c>
      <c r="H381" s="16">
        <v>846</v>
      </c>
      <c r="I381" t="s">
        <v>40</v>
      </c>
      <c r="J381">
        <v>1920</v>
      </c>
      <c r="K381">
        <v>1080</v>
      </c>
      <c r="L381" t="s">
        <v>27</v>
      </c>
      <c r="M381" t="s">
        <v>27</v>
      </c>
      <c r="N381" t="s">
        <v>27</v>
      </c>
      <c r="O381" t="s">
        <v>29</v>
      </c>
      <c r="P381">
        <v>2.8</v>
      </c>
      <c r="Q381" t="s">
        <v>118</v>
      </c>
      <c r="R381" t="str">
        <f>_xlfn.CONCAT(laptop[[#This Row],[CPU_company]]," ",laptop[[#This Row],[CPU_model]])</f>
        <v>Intel Core i7 7700HQ</v>
      </c>
      <c r="S381">
        <v>1024</v>
      </c>
      <c r="T381">
        <v>0</v>
      </c>
      <c r="U381">
        <f>laptop[[#This Row],[PrimaryStorage]]+laptop[[#This Row],[SecondaryStorage]]</f>
        <v>1024</v>
      </c>
      <c r="V381" t="s">
        <v>51</v>
      </c>
      <c r="W381" t="s">
        <v>27</v>
      </c>
      <c r="X381" t="str">
        <f>IF(laptop[[#This Row],[PrimaryStorageType]]=laptop[[#This Row],[SecondaryStorageType]],laptop[[#This Row],[PrimaryStorageType]],"SSD &amp; HDD")</f>
        <v>SSD &amp; HDD</v>
      </c>
      <c r="Y381" t="s">
        <v>85</v>
      </c>
      <c r="Z381" s="4" t="str">
        <f>_xlfn.CONCAT(laptop[[#This Row],[CPU_company]]," ",laptop[[#This Row],[GPU_model]])</f>
        <v>Intel GeForce GTX 1050</v>
      </c>
    </row>
    <row r="382" spans="1:26" x14ac:dyDescent="0.25">
      <c r="A382" t="s">
        <v>36</v>
      </c>
      <c r="B382" t="s">
        <v>377</v>
      </c>
      <c r="C382" t="s">
        <v>83</v>
      </c>
      <c r="D382">
        <v>17.3</v>
      </c>
      <c r="E382">
        <v>8</v>
      </c>
      <c r="F382" t="s">
        <v>48</v>
      </c>
      <c r="G382">
        <v>3.35</v>
      </c>
      <c r="H382" s="16">
        <v>1191</v>
      </c>
      <c r="I382" t="s">
        <v>40</v>
      </c>
      <c r="J382">
        <v>1920</v>
      </c>
      <c r="K382">
        <v>1080</v>
      </c>
      <c r="L382" t="s">
        <v>27</v>
      </c>
      <c r="M382" t="s">
        <v>28</v>
      </c>
      <c r="N382" t="s">
        <v>27</v>
      </c>
      <c r="O382" t="s">
        <v>29</v>
      </c>
      <c r="P382">
        <v>2.8</v>
      </c>
      <c r="Q382" t="s">
        <v>118</v>
      </c>
      <c r="R382" t="str">
        <f>_xlfn.CONCAT(laptop[[#This Row],[CPU_company]]," ",laptop[[#This Row],[CPU_model]])</f>
        <v>Intel Core i7 7700HQ</v>
      </c>
      <c r="S382">
        <v>128</v>
      </c>
      <c r="T382">
        <v>1024</v>
      </c>
      <c r="U382">
        <f>laptop[[#This Row],[PrimaryStorage]]+laptop[[#This Row],[SecondaryStorage]]</f>
        <v>1152</v>
      </c>
      <c r="V382" t="s">
        <v>31</v>
      </c>
      <c r="W382" t="s">
        <v>51</v>
      </c>
      <c r="X382" t="str">
        <f>IF(laptop[[#This Row],[PrimaryStorageType]]=laptop[[#This Row],[SecondaryStorageType]],laptop[[#This Row],[PrimaryStorageType]],"SSD &amp; HDD")</f>
        <v>SSD &amp; HDD</v>
      </c>
      <c r="Y382" t="s">
        <v>85</v>
      </c>
      <c r="Z382" s="4" t="str">
        <f>_xlfn.CONCAT(laptop[[#This Row],[CPU_company]]," ",laptop[[#This Row],[GPU_model]])</f>
        <v>Intel GeForce GTX 1050</v>
      </c>
    </row>
    <row r="383" spans="1:26" x14ac:dyDescent="0.25">
      <c r="A383" t="s">
        <v>73</v>
      </c>
      <c r="B383" t="s">
        <v>378</v>
      </c>
      <c r="C383" t="s">
        <v>38</v>
      </c>
      <c r="D383">
        <v>15.6</v>
      </c>
      <c r="E383">
        <v>4</v>
      </c>
      <c r="F383" t="s">
        <v>39</v>
      </c>
      <c r="G383">
        <v>1.85</v>
      </c>
      <c r="H383" s="16">
        <v>403.5</v>
      </c>
      <c r="I383" t="s">
        <v>40</v>
      </c>
      <c r="J383">
        <v>1920</v>
      </c>
      <c r="K383">
        <v>1080</v>
      </c>
      <c r="L383" t="s">
        <v>27</v>
      </c>
      <c r="M383" t="s">
        <v>27</v>
      </c>
      <c r="N383" t="s">
        <v>27</v>
      </c>
      <c r="O383" t="s">
        <v>29</v>
      </c>
      <c r="P383">
        <v>2</v>
      </c>
      <c r="Q383" t="s">
        <v>62</v>
      </c>
      <c r="R383" t="str">
        <f>_xlfn.CONCAT(laptop[[#This Row],[CPU_company]]," ",laptop[[#This Row],[CPU_model]])</f>
        <v>Intel Core i3 6006U</v>
      </c>
      <c r="S383">
        <v>128</v>
      </c>
      <c r="T383">
        <v>0</v>
      </c>
      <c r="U383">
        <f>laptop[[#This Row],[PrimaryStorage]]+laptop[[#This Row],[SecondaryStorage]]</f>
        <v>128</v>
      </c>
      <c r="V383" t="s">
        <v>31</v>
      </c>
      <c r="W383" t="s">
        <v>27</v>
      </c>
      <c r="X383" t="str">
        <f>IF(laptop[[#This Row],[PrimaryStorageType]]=laptop[[#This Row],[SecondaryStorageType]],laptop[[#This Row],[PrimaryStorageType]],"SSD &amp; HDD")</f>
        <v>SSD &amp; HDD</v>
      </c>
      <c r="Y383" t="s">
        <v>63</v>
      </c>
      <c r="Z383" s="4" t="str">
        <f>_xlfn.CONCAT(laptop[[#This Row],[CPU_company]]," ",laptop[[#This Row],[GPU_model]])</f>
        <v>Intel HD Graphics 520</v>
      </c>
    </row>
    <row r="384" spans="1:26" x14ac:dyDescent="0.25">
      <c r="A384" t="s">
        <v>55</v>
      </c>
      <c r="B384" t="s">
        <v>379</v>
      </c>
      <c r="C384" t="s">
        <v>83</v>
      </c>
      <c r="D384">
        <v>15.6</v>
      </c>
      <c r="E384">
        <v>8</v>
      </c>
      <c r="F384" t="s">
        <v>48</v>
      </c>
      <c r="G384">
        <v>2.2999999999999998</v>
      </c>
      <c r="H384" s="16">
        <v>1655</v>
      </c>
      <c r="I384" t="s">
        <v>40</v>
      </c>
      <c r="J384">
        <v>1920</v>
      </c>
      <c r="K384">
        <v>1080</v>
      </c>
      <c r="L384" t="s">
        <v>27</v>
      </c>
      <c r="M384" t="s">
        <v>28</v>
      </c>
      <c r="N384" t="s">
        <v>27</v>
      </c>
      <c r="O384" t="s">
        <v>29</v>
      </c>
      <c r="P384">
        <v>2.8</v>
      </c>
      <c r="Q384" t="s">
        <v>118</v>
      </c>
      <c r="R384" t="str">
        <f>_xlfn.CONCAT(laptop[[#This Row],[CPU_company]]," ",laptop[[#This Row],[CPU_model]])</f>
        <v>Intel Core i7 7700HQ</v>
      </c>
      <c r="S384">
        <v>128</v>
      </c>
      <c r="T384">
        <v>1024</v>
      </c>
      <c r="U384">
        <f>laptop[[#This Row],[PrimaryStorage]]+laptop[[#This Row],[SecondaryStorage]]</f>
        <v>1152</v>
      </c>
      <c r="V384" t="s">
        <v>31</v>
      </c>
      <c r="W384" t="s">
        <v>51</v>
      </c>
      <c r="X384" t="str">
        <f>IF(laptop[[#This Row],[PrimaryStorageType]]=laptop[[#This Row],[SecondaryStorageType]],laptop[[#This Row],[PrimaryStorageType]],"SSD &amp; HDD")</f>
        <v>SSD &amp; HDD</v>
      </c>
      <c r="Y384" t="s">
        <v>119</v>
      </c>
      <c r="Z384" s="4" t="str">
        <f>_xlfn.CONCAT(laptop[[#This Row],[CPU_company]]," ",laptop[[#This Row],[GPU_model]])</f>
        <v>Intel GeForce GTX 1060</v>
      </c>
    </row>
    <row r="385" spans="1:26" x14ac:dyDescent="0.25">
      <c r="A385" t="s">
        <v>73</v>
      </c>
      <c r="B385" t="s">
        <v>380</v>
      </c>
      <c r="C385" t="s">
        <v>38</v>
      </c>
      <c r="D385">
        <v>14</v>
      </c>
      <c r="E385">
        <v>8</v>
      </c>
      <c r="F385" t="s">
        <v>48</v>
      </c>
      <c r="G385">
        <v>1.5</v>
      </c>
      <c r="H385" s="16">
        <v>1099</v>
      </c>
      <c r="I385" t="s">
        <v>40</v>
      </c>
      <c r="J385">
        <v>1920</v>
      </c>
      <c r="K385">
        <v>1080</v>
      </c>
      <c r="L385" t="s">
        <v>27</v>
      </c>
      <c r="M385" t="s">
        <v>28</v>
      </c>
      <c r="N385" t="s">
        <v>27</v>
      </c>
      <c r="O385" t="s">
        <v>29</v>
      </c>
      <c r="P385">
        <v>2.5</v>
      </c>
      <c r="Q385" t="s">
        <v>41</v>
      </c>
      <c r="R385" t="str">
        <f>_xlfn.CONCAT(laptop[[#This Row],[CPU_company]]," ",laptop[[#This Row],[CPU_model]])</f>
        <v>Intel Core i5 7200U</v>
      </c>
      <c r="S385">
        <v>256</v>
      </c>
      <c r="T385">
        <v>0</v>
      </c>
      <c r="U385">
        <f>laptop[[#This Row],[PrimaryStorage]]+laptop[[#This Row],[SecondaryStorage]]</f>
        <v>256</v>
      </c>
      <c r="V385" t="s">
        <v>31</v>
      </c>
      <c r="W385" t="s">
        <v>27</v>
      </c>
      <c r="X385" t="str">
        <f>IF(laptop[[#This Row],[PrimaryStorageType]]=laptop[[#This Row],[SecondaryStorageType]],laptop[[#This Row],[PrimaryStorageType]],"SSD &amp; HDD")</f>
        <v>SSD &amp; HDD</v>
      </c>
      <c r="Y385" t="s">
        <v>76</v>
      </c>
      <c r="Z385" s="4" t="str">
        <f>_xlfn.CONCAT(laptop[[#This Row],[CPU_company]]," ",laptop[[#This Row],[GPU_model]])</f>
        <v>Intel GeForce 940MX</v>
      </c>
    </row>
    <row r="386" spans="1:26" x14ac:dyDescent="0.25">
      <c r="A386" t="s">
        <v>55</v>
      </c>
      <c r="B386" t="s">
        <v>381</v>
      </c>
      <c r="C386" t="s">
        <v>24</v>
      </c>
      <c r="D386">
        <v>13.3</v>
      </c>
      <c r="E386">
        <v>16</v>
      </c>
      <c r="F386" t="s">
        <v>48</v>
      </c>
      <c r="G386">
        <v>1.1000000000000001</v>
      </c>
      <c r="H386" s="16">
        <v>1748.9</v>
      </c>
      <c r="I386" t="s">
        <v>40</v>
      </c>
      <c r="J386">
        <v>1920</v>
      </c>
      <c r="K386">
        <v>1080</v>
      </c>
      <c r="L386" t="s">
        <v>28</v>
      </c>
      <c r="M386" t="s">
        <v>27</v>
      </c>
      <c r="N386" t="s">
        <v>27</v>
      </c>
      <c r="O386" t="s">
        <v>29</v>
      </c>
      <c r="P386">
        <v>2.7</v>
      </c>
      <c r="Q386" t="s">
        <v>71</v>
      </c>
      <c r="R386" t="str">
        <f>_xlfn.CONCAT(laptop[[#This Row],[CPU_company]]," ",laptop[[#This Row],[CPU_model]])</f>
        <v>Intel Core i7 7500U</v>
      </c>
      <c r="S386">
        <v>512</v>
      </c>
      <c r="T386">
        <v>0</v>
      </c>
      <c r="U386">
        <f>laptop[[#This Row],[PrimaryStorage]]+laptop[[#This Row],[SecondaryStorage]]</f>
        <v>512</v>
      </c>
      <c r="V386" t="s">
        <v>31</v>
      </c>
      <c r="W386" t="s">
        <v>27</v>
      </c>
      <c r="X386" t="str">
        <f>IF(laptop[[#This Row],[PrimaryStorageType]]=laptop[[#This Row],[SecondaryStorageType]],laptop[[#This Row],[PrimaryStorageType]],"SSD &amp; HDD")</f>
        <v>SSD &amp; HDD</v>
      </c>
      <c r="Y386" t="s">
        <v>42</v>
      </c>
      <c r="Z386" s="4" t="str">
        <f>_xlfn.CONCAT(laptop[[#This Row],[CPU_company]]," ",laptop[[#This Row],[GPU_model]])</f>
        <v>Intel HD Graphics 620</v>
      </c>
    </row>
    <row r="387" spans="1:26" x14ac:dyDescent="0.25">
      <c r="A387" t="s">
        <v>73</v>
      </c>
      <c r="B387" t="s">
        <v>382</v>
      </c>
      <c r="C387" t="s">
        <v>24</v>
      </c>
      <c r="D387">
        <v>14</v>
      </c>
      <c r="E387">
        <v>8</v>
      </c>
      <c r="F387" t="s">
        <v>48</v>
      </c>
      <c r="G387">
        <v>1.1299999999999999</v>
      </c>
      <c r="H387" s="16">
        <v>2282</v>
      </c>
      <c r="I387" t="s">
        <v>26</v>
      </c>
      <c r="J387">
        <v>2560</v>
      </c>
      <c r="K387">
        <v>1440</v>
      </c>
      <c r="L387" t="s">
        <v>27</v>
      </c>
      <c r="M387" t="s">
        <v>28</v>
      </c>
      <c r="N387" t="s">
        <v>27</v>
      </c>
      <c r="O387" t="s">
        <v>29</v>
      </c>
      <c r="P387">
        <v>2.7</v>
      </c>
      <c r="Q387" t="s">
        <v>71</v>
      </c>
      <c r="R387" t="str">
        <f>_xlfn.CONCAT(laptop[[#This Row],[CPU_company]]," ",laptop[[#This Row],[CPU_model]])</f>
        <v>Intel Core i7 7500U</v>
      </c>
      <c r="S387">
        <v>512</v>
      </c>
      <c r="T387">
        <v>0</v>
      </c>
      <c r="U387">
        <f>laptop[[#This Row],[PrimaryStorage]]+laptop[[#This Row],[SecondaryStorage]]</f>
        <v>512</v>
      </c>
      <c r="V387" t="s">
        <v>31</v>
      </c>
      <c r="W387" t="s">
        <v>27</v>
      </c>
      <c r="X387" t="str">
        <f>IF(laptop[[#This Row],[PrimaryStorageType]]=laptop[[#This Row],[SecondaryStorageType]],laptop[[#This Row],[PrimaryStorageType]],"SSD &amp; HDD")</f>
        <v>SSD &amp; HDD</v>
      </c>
      <c r="Y387" t="s">
        <v>42</v>
      </c>
      <c r="Z387" s="4" t="str">
        <f>_xlfn.CONCAT(laptop[[#This Row],[CPU_company]]," ",laptop[[#This Row],[GPU_model]])</f>
        <v>Intel HD Graphics 620</v>
      </c>
    </row>
    <row r="388" spans="1:26" x14ac:dyDescent="0.25">
      <c r="A388" t="s">
        <v>73</v>
      </c>
      <c r="B388" t="s">
        <v>383</v>
      </c>
      <c r="C388" t="s">
        <v>38</v>
      </c>
      <c r="D388">
        <v>13.3</v>
      </c>
      <c r="E388">
        <v>4</v>
      </c>
      <c r="F388" t="s">
        <v>48</v>
      </c>
      <c r="G388">
        <v>1.5</v>
      </c>
      <c r="H388" s="16">
        <v>549</v>
      </c>
      <c r="I388" t="s">
        <v>40</v>
      </c>
      <c r="J388">
        <v>1920</v>
      </c>
      <c r="K388">
        <v>1080</v>
      </c>
      <c r="L388" t="s">
        <v>27</v>
      </c>
      <c r="M388" t="s">
        <v>28</v>
      </c>
      <c r="N388" t="s">
        <v>27</v>
      </c>
      <c r="O388" t="s">
        <v>29</v>
      </c>
      <c r="P388">
        <v>2.4</v>
      </c>
      <c r="Q388" t="s">
        <v>75</v>
      </c>
      <c r="R388" t="str">
        <f>_xlfn.CONCAT(laptop[[#This Row],[CPU_company]]," ",laptop[[#This Row],[CPU_model]])</f>
        <v>Intel Core i3 7100U</v>
      </c>
      <c r="S388">
        <v>128</v>
      </c>
      <c r="T388">
        <v>0</v>
      </c>
      <c r="U388">
        <f>laptop[[#This Row],[PrimaryStorage]]+laptop[[#This Row],[SecondaryStorage]]</f>
        <v>128</v>
      </c>
      <c r="V388" t="s">
        <v>31</v>
      </c>
      <c r="W388" t="s">
        <v>27</v>
      </c>
      <c r="X388" t="str">
        <f>IF(laptop[[#This Row],[PrimaryStorageType]]=laptop[[#This Row],[SecondaryStorageType]],laptop[[#This Row],[PrimaryStorageType]],"SSD &amp; HDD")</f>
        <v>SSD &amp; HDD</v>
      </c>
      <c r="Y388" t="s">
        <v>42</v>
      </c>
      <c r="Z388" s="4" t="str">
        <f>_xlfn.CONCAT(laptop[[#This Row],[CPU_company]]," ",laptop[[#This Row],[GPU_model]])</f>
        <v>Intel HD Graphics 620</v>
      </c>
    </row>
    <row r="389" spans="1:26" x14ac:dyDescent="0.25">
      <c r="A389" t="s">
        <v>65</v>
      </c>
      <c r="B389" t="s">
        <v>384</v>
      </c>
      <c r="C389" t="s">
        <v>265</v>
      </c>
      <c r="D389">
        <v>15.6</v>
      </c>
      <c r="E389">
        <v>8</v>
      </c>
      <c r="F389" t="s">
        <v>48</v>
      </c>
      <c r="G389">
        <v>2.23</v>
      </c>
      <c r="H389" s="16">
        <v>1369</v>
      </c>
      <c r="I389" t="s">
        <v>40</v>
      </c>
      <c r="J389">
        <v>1920</v>
      </c>
      <c r="K389">
        <v>1080</v>
      </c>
      <c r="L389" t="s">
        <v>27</v>
      </c>
      <c r="M389" t="s">
        <v>27</v>
      </c>
      <c r="N389" t="s">
        <v>27</v>
      </c>
      <c r="O389" t="s">
        <v>29</v>
      </c>
      <c r="P389">
        <v>2.6</v>
      </c>
      <c r="Q389" t="s">
        <v>385</v>
      </c>
      <c r="R389" t="str">
        <f>_xlfn.CONCAT(laptop[[#This Row],[CPU_company]]," ",laptop[[#This Row],[CPU_model]])</f>
        <v>Intel Core i5 6440HQ</v>
      </c>
      <c r="S389">
        <v>500</v>
      </c>
      <c r="T389">
        <v>0</v>
      </c>
      <c r="U389">
        <f>laptop[[#This Row],[PrimaryStorage]]+laptop[[#This Row],[SecondaryStorage]]</f>
        <v>500</v>
      </c>
      <c r="V389" t="s">
        <v>51</v>
      </c>
      <c r="W389" t="s">
        <v>27</v>
      </c>
      <c r="X389" t="str">
        <f>IF(laptop[[#This Row],[PrimaryStorageType]]=laptop[[#This Row],[SecondaryStorageType]],laptop[[#This Row],[PrimaryStorageType]],"SSD &amp; HDD")</f>
        <v>SSD &amp; HDD</v>
      </c>
      <c r="Y389" t="s">
        <v>386</v>
      </c>
      <c r="Z389" s="4" t="str">
        <f>_xlfn.CONCAT(laptop[[#This Row],[CPU_company]]," ",laptop[[#This Row],[GPU_model]])</f>
        <v>Intel FirePro W5130M</v>
      </c>
    </row>
    <row r="390" spans="1:26" x14ac:dyDescent="0.25">
      <c r="A390" t="s">
        <v>65</v>
      </c>
      <c r="B390" t="s">
        <v>387</v>
      </c>
      <c r="C390" t="s">
        <v>265</v>
      </c>
      <c r="D390">
        <v>15.6</v>
      </c>
      <c r="E390">
        <v>8</v>
      </c>
      <c r="F390" t="s">
        <v>48</v>
      </c>
      <c r="G390">
        <v>2</v>
      </c>
      <c r="H390" s="16">
        <v>2135</v>
      </c>
      <c r="I390" t="s">
        <v>40</v>
      </c>
      <c r="J390">
        <v>1920</v>
      </c>
      <c r="K390">
        <v>1080</v>
      </c>
      <c r="L390" t="s">
        <v>27</v>
      </c>
      <c r="M390" t="s">
        <v>28</v>
      </c>
      <c r="N390" t="s">
        <v>27</v>
      </c>
      <c r="O390" t="s">
        <v>29</v>
      </c>
      <c r="P390">
        <v>2.7</v>
      </c>
      <c r="Q390" t="s">
        <v>388</v>
      </c>
      <c r="R390" t="str">
        <f>_xlfn.CONCAT(laptop[[#This Row],[CPU_company]]," ",laptop[[#This Row],[CPU_model]])</f>
        <v>Intel Core i7 6820HQ</v>
      </c>
      <c r="S390">
        <v>256</v>
      </c>
      <c r="T390">
        <v>0</v>
      </c>
      <c r="U390">
        <f>laptop[[#This Row],[PrimaryStorage]]+laptop[[#This Row],[SecondaryStorage]]</f>
        <v>256</v>
      </c>
      <c r="V390" t="s">
        <v>31</v>
      </c>
      <c r="W390" t="s">
        <v>27</v>
      </c>
      <c r="X390" t="str">
        <f>IF(laptop[[#This Row],[PrimaryStorageType]]=laptop[[#This Row],[SecondaryStorageType]],laptop[[#This Row],[PrimaryStorageType]],"SSD &amp; HDD")</f>
        <v>SSD &amp; HDD</v>
      </c>
      <c r="Y390" t="s">
        <v>267</v>
      </c>
      <c r="Z390" s="4" t="str">
        <f>_xlfn.CONCAT(laptop[[#This Row],[CPU_company]]," ",laptop[[#This Row],[GPU_model]])</f>
        <v>Intel Quadro M1200</v>
      </c>
    </row>
    <row r="391" spans="1:26" x14ac:dyDescent="0.25">
      <c r="A391" t="s">
        <v>73</v>
      </c>
      <c r="B391" t="s">
        <v>308</v>
      </c>
      <c r="C391" t="s">
        <v>90</v>
      </c>
      <c r="D391">
        <v>14</v>
      </c>
      <c r="E391">
        <v>16</v>
      </c>
      <c r="F391" t="s">
        <v>48</v>
      </c>
      <c r="G391">
        <v>1.42</v>
      </c>
      <c r="H391" s="16">
        <v>2509</v>
      </c>
      <c r="I391" t="s">
        <v>26</v>
      </c>
      <c r="J391">
        <v>2560</v>
      </c>
      <c r="K391">
        <v>1440</v>
      </c>
      <c r="L391" t="s">
        <v>28</v>
      </c>
      <c r="M391" t="s">
        <v>27</v>
      </c>
      <c r="N391" t="s">
        <v>27</v>
      </c>
      <c r="O391" t="s">
        <v>29</v>
      </c>
      <c r="P391">
        <v>2.7</v>
      </c>
      <c r="Q391" t="s">
        <v>71</v>
      </c>
      <c r="R391" t="str">
        <f>_xlfn.CONCAT(laptop[[#This Row],[CPU_company]]," ",laptop[[#This Row],[CPU_model]])</f>
        <v>Intel Core i7 7500U</v>
      </c>
      <c r="S391">
        <v>512</v>
      </c>
      <c r="T391">
        <v>0</v>
      </c>
      <c r="U391">
        <f>laptop[[#This Row],[PrimaryStorage]]+laptop[[#This Row],[SecondaryStorage]]</f>
        <v>512</v>
      </c>
      <c r="V391" t="s">
        <v>31</v>
      </c>
      <c r="W391" t="s">
        <v>27</v>
      </c>
      <c r="X391" t="str">
        <f>IF(laptop[[#This Row],[PrimaryStorageType]]=laptop[[#This Row],[SecondaryStorageType]],laptop[[#This Row],[PrimaryStorageType]],"SSD &amp; HDD")</f>
        <v>SSD &amp; HDD</v>
      </c>
      <c r="Y391" t="s">
        <v>42</v>
      </c>
      <c r="Z391" s="4" t="str">
        <f>_xlfn.CONCAT(laptop[[#This Row],[CPU_company]]," ",laptop[[#This Row],[GPU_model]])</f>
        <v>Intel HD Graphics 620</v>
      </c>
    </row>
    <row r="392" spans="1:26" x14ac:dyDescent="0.25">
      <c r="A392" t="s">
        <v>55</v>
      </c>
      <c r="B392" t="s">
        <v>389</v>
      </c>
      <c r="C392" t="s">
        <v>83</v>
      </c>
      <c r="D392">
        <v>17.3</v>
      </c>
      <c r="E392">
        <v>8</v>
      </c>
      <c r="F392" t="s">
        <v>48</v>
      </c>
      <c r="G392">
        <v>3</v>
      </c>
      <c r="H392" s="16">
        <v>1039</v>
      </c>
      <c r="I392" t="s">
        <v>40</v>
      </c>
      <c r="J392">
        <v>1920</v>
      </c>
      <c r="K392">
        <v>1080</v>
      </c>
      <c r="L392" t="s">
        <v>27</v>
      </c>
      <c r="M392" t="s">
        <v>27</v>
      </c>
      <c r="N392" t="s">
        <v>27</v>
      </c>
      <c r="O392" t="s">
        <v>29</v>
      </c>
      <c r="P392">
        <v>2.8</v>
      </c>
      <c r="Q392" t="s">
        <v>118</v>
      </c>
      <c r="R392" t="str">
        <f>_xlfn.CONCAT(laptop[[#This Row],[CPU_company]]," ",laptop[[#This Row],[CPU_model]])</f>
        <v>Intel Core i7 7700HQ</v>
      </c>
      <c r="S392">
        <v>1024</v>
      </c>
      <c r="T392">
        <v>0</v>
      </c>
      <c r="U392">
        <f>laptop[[#This Row],[PrimaryStorage]]+laptop[[#This Row],[SecondaryStorage]]</f>
        <v>1024</v>
      </c>
      <c r="V392" t="s">
        <v>51</v>
      </c>
      <c r="W392" t="s">
        <v>27</v>
      </c>
      <c r="X392" t="str">
        <f>IF(laptop[[#This Row],[PrimaryStorageType]]=laptop[[#This Row],[SecondaryStorageType]],laptop[[#This Row],[PrimaryStorageType]],"SSD &amp; HDD")</f>
        <v>SSD &amp; HDD</v>
      </c>
      <c r="Y392" t="s">
        <v>85</v>
      </c>
      <c r="Z392" s="4" t="str">
        <f>_xlfn.CONCAT(laptop[[#This Row],[CPU_company]]," ",laptop[[#This Row],[GPU_model]])</f>
        <v>Intel GeForce GTX 1050</v>
      </c>
    </row>
    <row r="393" spans="1:26" x14ac:dyDescent="0.25">
      <c r="A393" t="s">
        <v>55</v>
      </c>
      <c r="B393" t="s">
        <v>390</v>
      </c>
      <c r="C393" t="s">
        <v>83</v>
      </c>
      <c r="D393">
        <v>17.3</v>
      </c>
      <c r="E393">
        <v>16</v>
      </c>
      <c r="F393" t="s">
        <v>48</v>
      </c>
      <c r="G393">
        <v>3</v>
      </c>
      <c r="H393" s="16">
        <v>1591</v>
      </c>
      <c r="I393" t="s">
        <v>40</v>
      </c>
      <c r="J393">
        <v>1920</v>
      </c>
      <c r="K393">
        <v>1080</v>
      </c>
      <c r="L393" t="s">
        <v>27</v>
      </c>
      <c r="M393" t="s">
        <v>27</v>
      </c>
      <c r="N393" t="s">
        <v>27</v>
      </c>
      <c r="O393" t="s">
        <v>29</v>
      </c>
      <c r="P393">
        <v>2.8</v>
      </c>
      <c r="Q393" t="s">
        <v>118</v>
      </c>
      <c r="R393" t="str">
        <f>_xlfn.CONCAT(laptop[[#This Row],[CPU_company]]," ",laptop[[#This Row],[CPU_model]])</f>
        <v>Intel Core i7 7700HQ</v>
      </c>
      <c r="S393">
        <v>256</v>
      </c>
      <c r="T393">
        <v>1024</v>
      </c>
      <c r="U393">
        <f>laptop[[#This Row],[PrimaryStorage]]+laptop[[#This Row],[SecondaryStorage]]</f>
        <v>1280</v>
      </c>
      <c r="V393" t="s">
        <v>31</v>
      </c>
      <c r="W393" t="s">
        <v>51</v>
      </c>
      <c r="X393" t="str">
        <f>IF(laptop[[#This Row],[PrimaryStorageType]]=laptop[[#This Row],[SecondaryStorageType]],laptop[[#This Row],[PrimaryStorageType]],"SSD &amp; HDD")</f>
        <v>SSD &amp; HDD</v>
      </c>
      <c r="Y393" t="s">
        <v>149</v>
      </c>
      <c r="Z393" s="4" t="str">
        <f>_xlfn.CONCAT(laptop[[#This Row],[CPU_company]]," ",laptop[[#This Row],[GPU_model]])</f>
        <v>Intel GeForce GTX 1050 Ti</v>
      </c>
    </row>
    <row r="394" spans="1:26" x14ac:dyDescent="0.25">
      <c r="A394" t="s">
        <v>46</v>
      </c>
      <c r="B394" t="s">
        <v>173</v>
      </c>
      <c r="C394" t="s">
        <v>38</v>
      </c>
      <c r="D394">
        <v>15.6</v>
      </c>
      <c r="E394">
        <v>12</v>
      </c>
      <c r="F394" t="s">
        <v>48</v>
      </c>
      <c r="G394">
        <v>2.2000000000000002</v>
      </c>
      <c r="H394" s="16">
        <v>693.99</v>
      </c>
      <c r="I394" t="s">
        <v>26</v>
      </c>
      <c r="J394">
        <v>1366</v>
      </c>
      <c r="K394">
        <v>768</v>
      </c>
      <c r="L394" t="s">
        <v>27</v>
      </c>
      <c r="M394" t="s">
        <v>28</v>
      </c>
      <c r="N394" t="s">
        <v>27</v>
      </c>
      <c r="O394" t="s">
        <v>29</v>
      </c>
      <c r="P394">
        <v>1.6</v>
      </c>
      <c r="Q394" t="s">
        <v>60</v>
      </c>
      <c r="R394" t="str">
        <f>_xlfn.CONCAT(laptop[[#This Row],[CPU_company]]," ",laptop[[#This Row],[CPU_model]])</f>
        <v>Intel Core i5 8250U</v>
      </c>
      <c r="S394">
        <v>1024</v>
      </c>
      <c r="T394">
        <v>0</v>
      </c>
      <c r="U394">
        <f>laptop[[#This Row],[PrimaryStorage]]+laptop[[#This Row],[SecondaryStorage]]</f>
        <v>1024</v>
      </c>
      <c r="V394" t="s">
        <v>51</v>
      </c>
      <c r="W394" t="s">
        <v>27</v>
      </c>
      <c r="X394" t="str">
        <f>IF(laptop[[#This Row],[PrimaryStorageType]]=laptop[[#This Row],[SecondaryStorageType]],laptop[[#This Row],[PrimaryStorageType]],"SSD &amp; HDD")</f>
        <v>SSD &amp; HDD</v>
      </c>
      <c r="Y394" t="s">
        <v>163</v>
      </c>
      <c r="Z394" s="4" t="str">
        <f>_xlfn.CONCAT(laptop[[#This Row],[CPU_company]]," ",laptop[[#This Row],[GPU_model]])</f>
        <v>Intel GeForce MX130</v>
      </c>
    </row>
    <row r="395" spans="1:26" x14ac:dyDescent="0.25">
      <c r="A395" t="s">
        <v>141</v>
      </c>
      <c r="B395" t="s">
        <v>391</v>
      </c>
      <c r="C395" t="s">
        <v>83</v>
      </c>
      <c r="D395">
        <v>17.3</v>
      </c>
      <c r="E395">
        <v>8</v>
      </c>
      <c r="F395" t="s">
        <v>48</v>
      </c>
      <c r="G395">
        <v>2.7</v>
      </c>
      <c r="H395" s="16">
        <v>1349</v>
      </c>
      <c r="I395" t="s">
        <v>40</v>
      </c>
      <c r="J395">
        <v>1920</v>
      </c>
      <c r="K395">
        <v>1080</v>
      </c>
      <c r="L395" t="s">
        <v>27</v>
      </c>
      <c r="M395" t="s">
        <v>27</v>
      </c>
      <c r="N395" t="s">
        <v>27</v>
      </c>
      <c r="O395" t="s">
        <v>29</v>
      </c>
      <c r="P395">
        <v>2.8</v>
      </c>
      <c r="Q395" t="s">
        <v>118</v>
      </c>
      <c r="R395" t="str">
        <f>_xlfn.CONCAT(laptop[[#This Row],[CPU_company]]," ",laptop[[#This Row],[CPU_model]])</f>
        <v>Intel Core i7 7700HQ</v>
      </c>
      <c r="S395">
        <v>256</v>
      </c>
      <c r="T395">
        <v>0</v>
      </c>
      <c r="U395">
        <f>laptop[[#This Row],[PrimaryStorage]]+laptop[[#This Row],[SecondaryStorage]]</f>
        <v>256</v>
      </c>
      <c r="V395" t="s">
        <v>31</v>
      </c>
      <c r="W395" t="s">
        <v>27</v>
      </c>
      <c r="X395" t="str">
        <f>IF(laptop[[#This Row],[PrimaryStorageType]]=laptop[[#This Row],[SecondaryStorageType]],laptop[[#This Row],[PrimaryStorageType]],"SSD &amp; HDD")</f>
        <v>SSD &amp; HDD</v>
      </c>
      <c r="Y395" t="s">
        <v>149</v>
      </c>
      <c r="Z395" s="4" t="str">
        <f>_xlfn.CONCAT(laptop[[#This Row],[CPU_company]]," ",laptop[[#This Row],[GPU_model]])</f>
        <v>Intel GeForce GTX 1050 Ti</v>
      </c>
    </row>
    <row r="396" spans="1:26" x14ac:dyDescent="0.25">
      <c r="A396" t="s">
        <v>65</v>
      </c>
      <c r="B396" t="s">
        <v>200</v>
      </c>
      <c r="C396" t="s">
        <v>38</v>
      </c>
      <c r="D396">
        <v>15.6</v>
      </c>
      <c r="E396">
        <v>8</v>
      </c>
      <c r="F396" t="s">
        <v>111</v>
      </c>
      <c r="G396">
        <v>2.33</v>
      </c>
      <c r="H396" s="16">
        <v>778.87</v>
      </c>
      <c r="I396" t="s">
        <v>40</v>
      </c>
      <c r="J396">
        <v>1920</v>
      </c>
      <c r="K396">
        <v>1080</v>
      </c>
      <c r="L396" t="s">
        <v>27</v>
      </c>
      <c r="M396" t="s">
        <v>27</v>
      </c>
      <c r="N396" t="s">
        <v>27</v>
      </c>
      <c r="O396" t="s">
        <v>29</v>
      </c>
      <c r="P396">
        <v>2.7</v>
      </c>
      <c r="Q396" t="s">
        <v>71</v>
      </c>
      <c r="R396" t="str">
        <f>_xlfn.CONCAT(laptop[[#This Row],[CPU_company]]," ",laptop[[#This Row],[CPU_model]])</f>
        <v>Intel Core i7 7500U</v>
      </c>
      <c r="S396">
        <v>256</v>
      </c>
      <c r="T396">
        <v>0</v>
      </c>
      <c r="U396">
        <f>laptop[[#This Row],[PrimaryStorage]]+laptop[[#This Row],[SecondaryStorage]]</f>
        <v>256</v>
      </c>
      <c r="V396" t="s">
        <v>31</v>
      </c>
      <c r="W396" t="s">
        <v>27</v>
      </c>
      <c r="X396" t="str">
        <f>IF(laptop[[#This Row],[PrimaryStorageType]]=laptop[[#This Row],[SecondaryStorageType]],laptop[[#This Row],[PrimaryStorageType]],"SSD &amp; HDD")</f>
        <v>SSD &amp; HDD</v>
      </c>
      <c r="Y396" t="s">
        <v>201</v>
      </c>
      <c r="Z396" s="4" t="str">
        <f>_xlfn.CONCAT(laptop[[#This Row],[CPU_company]]," ",laptop[[#This Row],[GPU_model]])</f>
        <v>Intel Radeon R7 M445</v>
      </c>
    </row>
    <row r="397" spans="1:26" x14ac:dyDescent="0.25">
      <c r="A397" t="s">
        <v>36</v>
      </c>
      <c r="B397" t="s">
        <v>392</v>
      </c>
      <c r="C397" t="s">
        <v>24</v>
      </c>
      <c r="D397">
        <v>15.6</v>
      </c>
      <c r="E397">
        <v>4</v>
      </c>
      <c r="F397" t="s">
        <v>48</v>
      </c>
      <c r="G397">
        <v>1.91</v>
      </c>
      <c r="H397" s="16">
        <v>499</v>
      </c>
      <c r="I397" t="s">
        <v>40</v>
      </c>
      <c r="J397">
        <v>1920</v>
      </c>
      <c r="K397">
        <v>1080</v>
      </c>
      <c r="L397" t="s">
        <v>27</v>
      </c>
      <c r="M397" t="s">
        <v>27</v>
      </c>
      <c r="N397" t="s">
        <v>27</v>
      </c>
      <c r="O397" t="s">
        <v>49</v>
      </c>
      <c r="P397">
        <v>3</v>
      </c>
      <c r="Q397" t="s">
        <v>50</v>
      </c>
      <c r="R397" t="str">
        <f>_xlfn.CONCAT(laptop[[#This Row],[CPU_company]]," ",laptop[[#This Row],[CPU_model]])</f>
        <v>AMD A9-Series 9420</v>
      </c>
      <c r="S397">
        <v>256</v>
      </c>
      <c r="T397">
        <v>0</v>
      </c>
      <c r="U397">
        <f>laptop[[#This Row],[PrimaryStorage]]+laptop[[#This Row],[SecondaryStorage]]</f>
        <v>256</v>
      </c>
      <c r="V397" t="s">
        <v>31</v>
      </c>
      <c r="W397" t="s">
        <v>27</v>
      </c>
      <c r="X397" t="str">
        <f>IF(laptop[[#This Row],[PrimaryStorageType]]=laptop[[#This Row],[SecondaryStorageType]],laptop[[#This Row],[PrimaryStorageType]],"SSD &amp; HDD")</f>
        <v>SSD &amp; HDD</v>
      </c>
      <c r="Y397" t="s">
        <v>138</v>
      </c>
      <c r="Z397" s="4" t="str">
        <f>_xlfn.CONCAT(laptop[[#This Row],[CPU_company]]," ",laptop[[#This Row],[GPU_model]])</f>
        <v>AMD Radeon 520</v>
      </c>
    </row>
    <row r="398" spans="1:26" x14ac:dyDescent="0.25">
      <c r="A398" t="s">
        <v>73</v>
      </c>
      <c r="B398" t="s">
        <v>393</v>
      </c>
      <c r="C398" t="s">
        <v>38</v>
      </c>
      <c r="D398">
        <v>15.6</v>
      </c>
      <c r="E398">
        <v>8</v>
      </c>
      <c r="F398" t="s">
        <v>48</v>
      </c>
      <c r="G398">
        <v>2.1</v>
      </c>
      <c r="H398" s="16">
        <v>1229.56</v>
      </c>
      <c r="I398" t="s">
        <v>40</v>
      </c>
      <c r="J398">
        <v>1920</v>
      </c>
      <c r="K398">
        <v>1080</v>
      </c>
      <c r="L398" t="s">
        <v>27</v>
      </c>
      <c r="M398" t="s">
        <v>28</v>
      </c>
      <c r="N398" t="s">
        <v>27</v>
      </c>
      <c r="O398" t="s">
        <v>29</v>
      </c>
      <c r="P398">
        <v>1.8</v>
      </c>
      <c r="Q398" t="s">
        <v>57</v>
      </c>
      <c r="R398" t="str">
        <f>_xlfn.CONCAT(laptop[[#This Row],[CPU_company]]," ",laptop[[#This Row],[CPU_model]])</f>
        <v>Intel Core i7 8550U</v>
      </c>
      <c r="S398">
        <v>256</v>
      </c>
      <c r="T398">
        <v>0</v>
      </c>
      <c r="U398">
        <f>laptop[[#This Row],[PrimaryStorage]]+laptop[[#This Row],[SecondaryStorage]]</f>
        <v>256</v>
      </c>
      <c r="V398" t="s">
        <v>31</v>
      </c>
      <c r="W398" t="s">
        <v>27</v>
      </c>
      <c r="X398" t="str">
        <f>IF(laptop[[#This Row],[PrimaryStorageType]]=laptop[[#This Row],[SecondaryStorageType]],laptop[[#This Row],[PrimaryStorageType]],"SSD &amp; HDD")</f>
        <v>SSD &amp; HDD</v>
      </c>
      <c r="Y398" t="s">
        <v>208</v>
      </c>
      <c r="Z398" s="4" t="str">
        <f>_xlfn.CONCAT(laptop[[#This Row],[CPU_company]]," ",laptop[[#This Row],[GPU_model]])</f>
        <v>Intel Radeon RX 550</v>
      </c>
    </row>
    <row r="399" spans="1:26" x14ac:dyDescent="0.25">
      <c r="A399" t="s">
        <v>73</v>
      </c>
      <c r="B399" t="s">
        <v>394</v>
      </c>
      <c r="C399" t="s">
        <v>38</v>
      </c>
      <c r="D399">
        <v>14</v>
      </c>
      <c r="E399">
        <v>8</v>
      </c>
      <c r="F399" t="s">
        <v>48</v>
      </c>
      <c r="G399">
        <v>1.9</v>
      </c>
      <c r="H399" s="16">
        <v>938</v>
      </c>
      <c r="I399" t="s">
        <v>40</v>
      </c>
      <c r="J399">
        <v>1920</v>
      </c>
      <c r="K399">
        <v>1080</v>
      </c>
      <c r="L399" t="s">
        <v>27</v>
      </c>
      <c r="M399" t="s">
        <v>28</v>
      </c>
      <c r="N399" t="s">
        <v>27</v>
      </c>
      <c r="O399" t="s">
        <v>29</v>
      </c>
      <c r="P399">
        <v>2.5</v>
      </c>
      <c r="Q399" t="s">
        <v>41</v>
      </c>
      <c r="R399" t="str">
        <f>_xlfn.CONCAT(laptop[[#This Row],[CPU_company]]," ",laptop[[#This Row],[CPU_model]])</f>
        <v>Intel Core i5 7200U</v>
      </c>
      <c r="S399">
        <v>256</v>
      </c>
      <c r="T399">
        <v>0</v>
      </c>
      <c r="U399">
        <f>laptop[[#This Row],[PrimaryStorage]]+laptop[[#This Row],[SecondaryStorage]]</f>
        <v>256</v>
      </c>
      <c r="V399" t="s">
        <v>31</v>
      </c>
      <c r="W399" t="s">
        <v>27</v>
      </c>
      <c r="X399" t="str">
        <f>IF(laptop[[#This Row],[PrimaryStorageType]]=laptop[[#This Row],[SecondaryStorageType]],laptop[[#This Row],[PrimaryStorageType]],"SSD &amp; HDD")</f>
        <v>SSD &amp; HDD</v>
      </c>
      <c r="Y399" t="s">
        <v>42</v>
      </c>
      <c r="Z399" s="4" t="str">
        <f>_xlfn.CONCAT(laptop[[#This Row],[CPU_company]]," ",laptop[[#This Row],[GPU_model]])</f>
        <v>Intel HD Graphics 620</v>
      </c>
    </row>
    <row r="400" spans="1:26" x14ac:dyDescent="0.25">
      <c r="A400" t="s">
        <v>65</v>
      </c>
      <c r="B400" t="s">
        <v>395</v>
      </c>
      <c r="C400" t="s">
        <v>265</v>
      </c>
      <c r="D400">
        <v>15.6</v>
      </c>
      <c r="E400">
        <v>8</v>
      </c>
      <c r="F400" t="s">
        <v>48</v>
      </c>
      <c r="G400">
        <v>1.78</v>
      </c>
      <c r="H400" s="16">
        <v>2712</v>
      </c>
      <c r="I400" t="s">
        <v>215</v>
      </c>
      <c r="J400">
        <v>3840</v>
      </c>
      <c r="K400">
        <v>2160</v>
      </c>
      <c r="L400" t="s">
        <v>28</v>
      </c>
      <c r="M400" t="s">
        <v>27</v>
      </c>
      <c r="N400" t="s">
        <v>27</v>
      </c>
      <c r="O400" t="s">
        <v>29</v>
      </c>
      <c r="P400">
        <v>2.8</v>
      </c>
      <c r="Q400" t="s">
        <v>118</v>
      </c>
      <c r="R400" t="str">
        <f>_xlfn.CONCAT(laptop[[#This Row],[CPU_company]]," ",laptop[[#This Row],[CPU_model]])</f>
        <v>Intel Core i7 7700HQ</v>
      </c>
      <c r="S400">
        <v>256</v>
      </c>
      <c r="T400">
        <v>0</v>
      </c>
      <c r="U400">
        <f>laptop[[#This Row],[PrimaryStorage]]+laptop[[#This Row],[SecondaryStorage]]</f>
        <v>256</v>
      </c>
      <c r="V400" t="s">
        <v>31</v>
      </c>
      <c r="W400" t="s">
        <v>27</v>
      </c>
      <c r="X400" t="str">
        <f>IF(laptop[[#This Row],[PrimaryStorageType]]=laptop[[#This Row],[SecondaryStorageType]],laptop[[#This Row],[PrimaryStorageType]],"SSD &amp; HDD")</f>
        <v>SSD &amp; HDD</v>
      </c>
      <c r="Y400" t="s">
        <v>267</v>
      </c>
      <c r="Z400" s="4" t="str">
        <f>_xlfn.CONCAT(laptop[[#This Row],[CPU_company]]," ",laptop[[#This Row],[GPU_model]])</f>
        <v>Intel Quadro M1200</v>
      </c>
    </row>
    <row r="401" spans="1:26" x14ac:dyDescent="0.25">
      <c r="A401" t="s">
        <v>73</v>
      </c>
      <c r="B401" t="s">
        <v>382</v>
      </c>
      <c r="C401" t="s">
        <v>24</v>
      </c>
      <c r="D401">
        <v>14</v>
      </c>
      <c r="E401">
        <v>16</v>
      </c>
      <c r="F401" t="s">
        <v>48</v>
      </c>
      <c r="G401">
        <v>1.1299999999999999</v>
      </c>
      <c r="H401" s="16">
        <v>2625</v>
      </c>
      <c r="I401" t="s">
        <v>26</v>
      </c>
      <c r="J401">
        <v>2560</v>
      </c>
      <c r="K401">
        <v>1440</v>
      </c>
      <c r="L401" t="s">
        <v>27</v>
      </c>
      <c r="M401" t="s">
        <v>28</v>
      </c>
      <c r="N401" t="s">
        <v>27</v>
      </c>
      <c r="O401" t="s">
        <v>29</v>
      </c>
      <c r="P401">
        <v>2.7</v>
      </c>
      <c r="Q401" t="s">
        <v>71</v>
      </c>
      <c r="R401" t="str">
        <f>_xlfn.CONCAT(laptop[[#This Row],[CPU_company]]," ",laptop[[#This Row],[CPU_model]])</f>
        <v>Intel Core i7 7500U</v>
      </c>
      <c r="S401">
        <v>1024</v>
      </c>
      <c r="T401">
        <v>0</v>
      </c>
      <c r="U401">
        <f>laptop[[#This Row],[PrimaryStorage]]+laptop[[#This Row],[SecondaryStorage]]</f>
        <v>1024</v>
      </c>
      <c r="V401" t="s">
        <v>31</v>
      </c>
      <c r="W401" t="s">
        <v>27</v>
      </c>
      <c r="X401" t="str">
        <f>IF(laptop[[#This Row],[PrimaryStorageType]]=laptop[[#This Row],[SecondaryStorageType]],laptop[[#This Row],[PrimaryStorageType]],"SSD &amp; HDD")</f>
        <v>SSD &amp; HDD</v>
      </c>
      <c r="Y401" t="s">
        <v>42</v>
      </c>
      <c r="Z401" s="4" t="str">
        <f>_xlfn.CONCAT(laptop[[#This Row],[CPU_company]]," ",laptop[[#This Row],[GPU_model]])</f>
        <v>Intel HD Graphics 620</v>
      </c>
    </row>
    <row r="402" spans="1:26" x14ac:dyDescent="0.25">
      <c r="A402" t="s">
        <v>73</v>
      </c>
      <c r="B402" t="s">
        <v>333</v>
      </c>
      <c r="C402" t="s">
        <v>38</v>
      </c>
      <c r="D402">
        <v>15.6</v>
      </c>
      <c r="E402">
        <v>4</v>
      </c>
      <c r="F402" t="s">
        <v>48</v>
      </c>
      <c r="G402">
        <v>2.2000000000000002</v>
      </c>
      <c r="H402" s="16">
        <v>306</v>
      </c>
      <c r="I402" t="s">
        <v>26</v>
      </c>
      <c r="J402">
        <v>1366</v>
      </c>
      <c r="K402">
        <v>768</v>
      </c>
      <c r="L402" t="s">
        <v>27</v>
      </c>
      <c r="M402" t="s">
        <v>27</v>
      </c>
      <c r="N402" t="s">
        <v>27</v>
      </c>
      <c r="O402" t="s">
        <v>29</v>
      </c>
      <c r="P402">
        <v>1.1000000000000001</v>
      </c>
      <c r="Q402" t="s">
        <v>109</v>
      </c>
      <c r="R402" t="str">
        <f>_xlfn.CONCAT(laptop[[#This Row],[CPU_company]]," ",laptop[[#This Row],[CPU_model]])</f>
        <v>Intel Celeron Dual Core N3350</v>
      </c>
      <c r="S402">
        <v>1024</v>
      </c>
      <c r="T402">
        <v>0</v>
      </c>
      <c r="U402">
        <f>laptop[[#This Row],[PrimaryStorage]]+laptop[[#This Row],[SecondaryStorage]]</f>
        <v>1024</v>
      </c>
      <c r="V402" t="s">
        <v>51</v>
      </c>
      <c r="W402" t="s">
        <v>27</v>
      </c>
      <c r="X402" t="str">
        <f>IF(laptop[[#This Row],[PrimaryStorageType]]=laptop[[#This Row],[SecondaryStorageType]],laptop[[#This Row],[PrimaryStorageType]],"SSD &amp; HDD")</f>
        <v>SSD &amp; HDD</v>
      </c>
      <c r="Y402" t="s">
        <v>110</v>
      </c>
      <c r="Z402" s="4" t="str">
        <f>_xlfn.CONCAT(laptop[[#This Row],[CPU_company]]," ",laptop[[#This Row],[GPU_model]])</f>
        <v>Intel HD Graphics 500</v>
      </c>
    </row>
    <row r="403" spans="1:26" x14ac:dyDescent="0.25">
      <c r="A403" t="s">
        <v>55</v>
      </c>
      <c r="B403" t="s">
        <v>396</v>
      </c>
      <c r="C403" t="s">
        <v>83</v>
      </c>
      <c r="D403">
        <v>17.3</v>
      </c>
      <c r="E403">
        <v>16</v>
      </c>
      <c r="F403" t="s">
        <v>48</v>
      </c>
      <c r="G403">
        <v>2.9</v>
      </c>
      <c r="H403" s="16">
        <v>1529</v>
      </c>
      <c r="I403" t="s">
        <v>40</v>
      </c>
      <c r="J403">
        <v>1920</v>
      </c>
      <c r="K403">
        <v>1080</v>
      </c>
      <c r="L403" t="s">
        <v>27</v>
      </c>
      <c r="M403" t="s">
        <v>27</v>
      </c>
      <c r="N403" t="s">
        <v>27</v>
      </c>
      <c r="O403" t="s">
        <v>29</v>
      </c>
      <c r="P403">
        <v>2.8</v>
      </c>
      <c r="Q403" t="s">
        <v>118</v>
      </c>
      <c r="R403" t="str">
        <f>_xlfn.CONCAT(laptop[[#This Row],[CPU_company]]," ",laptop[[#This Row],[CPU_model]])</f>
        <v>Intel Core i7 7700HQ</v>
      </c>
      <c r="S403">
        <v>256</v>
      </c>
      <c r="T403">
        <v>1024</v>
      </c>
      <c r="U403">
        <f>laptop[[#This Row],[PrimaryStorage]]+laptop[[#This Row],[SecondaryStorage]]</f>
        <v>1280</v>
      </c>
      <c r="V403" t="s">
        <v>31</v>
      </c>
      <c r="W403" t="s">
        <v>51</v>
      </c>
      <c r="X403" t="str">
        <f>IF(laptop[[#This Row],[PrimaryStorageType]]=laptop[[#This Row],[SecondaryStorageType]],laptop[[#This Row],[PrimaryStorageType]],"SSD &amp; HDD")</f>
        <v>SSD &amp; HDD</v>
      </c>
      <c r="Y403" t="s">
        <v>85</v>
      </c>
      <c r="Z403" s="4" t="str">
        <f>_xlfn.CONCAT(laptop[[#This Row],[CPU_company]]," ",laptop[[#This Row],[GPU_model]])</f>
        <v>Intel GeForce GTX 1050</v>
      </c>
    </row>
    <row r="404" spans="1:26" x14ac:dyDescent="0.25">
      <c r="A404" t="s">
        <v>73</v>
      </c>
      <c r="B404" t="s">
        <v>393</v>
      </c>
      <c r="C404" t="s">
        <v>38</v>
      </c>
      <c r="D404">
        <v>15.6</v>
      </c>
      <c r="E404">
        <v>8</v>
      </c>
      <c r="F404" t="s">
        <v>48</v>
      </c>
      <c r="G404">
        <v>2.1</v>
      </c>
      <c r="H404" s="16">
        <v>1144.5</v>
      </c>
      <c r="I404" t="s">
        <v>40</v>
      </c>
      <c r="J404">
        <v>1920</v>
      </c>
      <c r="K404">
        <v>1080</v>
      </c>
      <c r="L404" t="s">
        <v>27</v>
      </c>
      <c r="M404" t="s">
        <v>28</v>
      </c>
      <c r="N404" t="s">
        <v>27</v>
      </c>
      <c r="O404" t="s">
        <v>29</v>
      </c>
      <c r="P404">
        <v>1.6</v>
      </c>
      <c r="Q404" t="s">
        <v>60</v>
      </c>
      <c r="R404" t="str">
        <f>_xlfn.CONCAT(laptop[[#This Row],[CPU_company]]," ",laptop[[#This Row],[CPU_model]])</f>
        <v>Intel Core i5 8250U</v>
      </c>
      <c r="S404">
        <v>256</v>
      </c>
      <c r="T404">
        <v>1024</v>
      </c>
      <c r="U404">
        <f>laptop[[#This Row],[PrimaryStorage]]+laptop[[#This Row],[SecondaryStorage]]</f>
        <v>1280</v>
      </c>
      <c r="V404" t="s">
        <v>31</v>
      </c>
      <c r="W404" t="s">
        <v>51</v>
      </c>
      <c r="X404" t="str">
        <f>IF(laptop[[#This Row],[PrimaryStorageType]]=laptop[[#This Row],[SecondaryStorageType]],laptop[[#This Row],[PrimaryStorageType]],"SSD &amp; HDD")</f>
        <v>SSD &amp; HDD</v>
      </c>
      <c r="Y404" t="s">
        <v>208</v>
      </c>
      <c r="Z404" s="4" t="str">
        <f>_xlfn.CONCAT(laptop[[#This Row],[CPU_company]]," ",laptop[[#This Row],[GPU_model]])</f>
        <v>Intel Radeon RX 550</v>
      </c>
    </row>
    <row r="405" spans="1:26" x14ac:dyDescent="0.25">
      <c r="A405" t="s">
        <v>46</v>
      </c>
      <c r="B405" t="s">
        <v>268</v>
      </c>
      <c r="C405" t="s">
        <v>38</v>
      </c>
      <c r="D405">
        <v>15.6</v>
      </c>
      <c r="E405">
        <v>8</v>
      </c>
      <c r="F405" t="s">
        <v>111</v>
      </c>
      <c r="G405">
        <v>2.5</v>
      </c>
      <c r="H405" s="16">
        <v>879</v>
      </c>
      <c r="I405" t="s">
        <v>40</v>
      </c>
      <c r="J405">
        <v>1920</v>
      </c>
      <c r="K405">
        <v>1080</v>
      </c>
      <c r="L405" t="s">
        <v>27</v>
      </c>
      <c r="M405" t="s">
        <v>27</v>
      </c>
      <c r="N405" t="s">
        <v>27</v>
      </c>
      <c r="O405" t="s">
        <v>29</v>
      </c>
      <c r="P405">
        <v>2.8</v>
      </c>
      <c r="Q405" t="s">
        <v>118</v>
      </c>
      <c r="R405" t="str">
        <f>_xlfn.CONCAT(laptop[[#This Row],[CPU_company]]," ",laptop[[#This Row],[CPU_model]])</f>
        <v>Intel Core i7 7700HQ</v>
      </c>
      <c r="S405">
        <v>256</v>
      </c>
      <c r="T405">
        <v>0</v>
      </c>
      <c r="U405">
        <f>laptop[[#This Row],[PrimaryStorage]]+laptop[[#This Row],[SecondaryStorage]]</f>
        <v>256</v>
      </c>
      <c r="V405" t="s">
        <v>31</v>
      </c>
      <c r="W405" t="s">
        <v>27</v>
      </c>
      <c r="X405" t="str">
        <f>IF(laptop[[#This Row],[PrimaryStorageType]]=laptop[[#This Row],[SecondaryStorageType]],laptop[[#This Row],[PrimaryStorageType]],"SSD &amp; HDD")</f>
        <v>SSD &amp; HDD</v>
      </c>
      <c r="Y405" t="s">
        <v>85</v>
      </c>
      <c r="Z405" s="4" t="str">
        <f>_xlfn.CONCAT(laptop[[#This Row],[CPU_company]]," ",laptop[[#This Row],[GPU_model]])</f>
        <v>Intel GeForce GTX 1050</v>
      </c>
    </row>
    <row r="406" spans="1:26" x14ac:dyDescent="0.25">
      <c r="A406" t="s">
        <v>141</v>
      </c>
      <c r="B406" t="s">
        <v>397</v>
      </c>
      <c r="C406" t="s">
        <v>83</v>
      </c>
      <c r="D406">
        <v>17.3</v>
      </c>
      <c r="E406">
        <v>16</v>
      </c>
      <c r="F406" t="s">
        <v>48</v>
      </c>
      <c r="G406">
        <v>2.8</v>
      </c>
      <c r="H406" s="16">
        <v>2249</v>
      </c>
      <c r="I406" t="s">
        <v>40</v>
      </c>
      <c r="J406">
        <v>1920</v>
      </c>
      <c r="K406">
        <v>1080</v>
      </c>
      <c r="L406" t="s">
        <v>27</v>
      </c>
      <c r="M406" t="s">
        <v>27</v>
      </c>
      <c r="N406" t="s">
        <v>27</v>
      </c>
      <c r="O406" t="s">
        <v>29</v>
      </c>
      <c r="P406">
        <v>2.8</v>
      </c>
      <c r="Q406" t="s">
        <v>118</v>
      </c>
      <c r="R406" t="str">
        <f>_xlfn.CONCAT(laptop[[#This Row],[CPU_company]]," ",laptop[[#This Row],[CPU_model]])</f>
        <v>Intel Core i7 7700HQ</v>
      </c>
      <c r="S406">
        <v>256</v>
      </c>
      <c r="T406">
        <v>1024</v>
      </c>
      <c r="U406">
        <f>laptop[[#This Row],[PrimaryStorage]]+laptop[[#This Row],[SecondaryStorage]]</f>
        <v>1280</v>
      </c>
      <c r="V406" t="s">
        <v>31</v>
      </c>
      <c r="W406" t="s">
        <v>51</v>
      </c>
      <c r="X406" t="str">
        <f>IF(laptop[[#This Row],[PrimaryStorageType]]=laptop[[#This Row],[SecondaryStorageType]],laptop[[#This Row],[PrimaryStorageType]],"SSD &amp; HDD")</f>
        <v>SSD &amp; HDD</v>
      </c>
      <c r="Y406" t="s">
        <v>143</v>
      </c>
      <c r="Z406" s="4" t="str">
        <f>_xlfn.CONCAT(laptop[[#This Row],[CPU_company]]," ",laptop[[#This Row],[GPU_model]])</f>
        <v>Intel GeForce GTX 1070</v>
      </c>
    </row>
    <row r="407" spans="1:26" x14ac:dyDescent="0.25">
      <c r="A407" t="s">
        <v>55</v>
      </c>
      <c r="B407" t="s">
        <v>398</v>
      </c>
      <c r="C407" t="s">
        <v>24</v>
      </c>
      <c r="D407">
        <v>14</v>
      </c>
      <c r="E407">
        <v>8</v>
      </c>
      <c r="F407" t="s">
        <v>48</v>
      </c>
      <c r="G407">
        <v>1.1000000000000001</v>
      </c>
      <c r="H407" s="16">
        <v>1873</v>
      </c>
      <c r="I407" t="s">
        <v>40</v>
      </c>
      <c r="J407">
        <v>1920</v>
      </c>
      <c r="K407">
        <v>1080</v>
      </c>
      <c r="L407" t="s">
        <v>27</v>
      </c>
      <c r="M407" t="s">
        <v>27</v>
      </c>
      <c r="N407" t="s">
        <v>27</v>
      </c>
      <c r="O407" t="s">
        <v>29</v>
      </c>
      <c r="P407">
        <v>2.7</v>
      </c>
      <c r="Q407" t="s">
        <v>71</v>
      </c>
      <c r="R407" t="str">
        <f>_xlfn.CONCAT(laptop[[#This Row],[CPU_company]]," ",laptop[[#This Row],[CPU_model]])</f>
        <v>Intel Core i7 7500U</v>
      </c>
      <c r="S407">
        <v>512</v>
      </c>
      <c r="T407">
        <v>0</v>
      </c>
      <c r="U407">
        <f>laptop[[#This Row],[PrimaryStorage]]+laptop[[#This Row],[SecondaryStorage]]</f>
        <v>512</v>
      </c>
      <c r="V407" t="s">
        <v>31</v>
      </c>
      <c r="W407" t="s">
        <v>27</v>
      </c>
      <c r="X407" t="str">
        <f>IF(laptop[[#This Row],[PrimaryStorageType]]=laptop[[#This Row],[SecondaryStorageType]],laptop[[#This Row],[PrimaryStorageType]],"SSD &amp; HDD")</f>
        <v>SSD &amp; HDD</v>
      </c>
      <c r="Y407" t="s">
        <v>42</v>
      </c>
      <c r="Z407" s="4" t="str">
        <f>_xlfn.CONCAT(laptop[[#This Row],[CPU_company]]," ",laptop[[#This Row],[GPU_model]])</f>
        <v>Intel HD Graphics 620</v>
      </c>
    </row>
    <row r="408" spans="1:26" x14ac:dyDescent="0.25">
      <c r="A408" t="s">
        <v>210</v>
      </c>
      <c r="B408" t="s">
        <v>399</v>
      </c>
      <c r="C408" t="s">
        <v>24</v>
      </c>
      <c r="D408">
        <v>13.3</v>
      </c>
      <c r="E408">
        <v>16</v>
      </c>
      <c r="F408" t="s">
        <v>48</v>
      </c>
      <c r="G408">
        <v>1.2</v>
      </c>
      <c r="H408" s="16">
        <v>1747</v>
      </c>
      <c r="I408" t="s">
        <v>40</v>
      </c>
      <c r="J408">
        <v>1920</v>
      </c>
      <c r="K408">
        <v>1080</v>
      </c>
      <c r="L408" t="s">
        <v>27</v>
      </c>
      <c r="M408" t="s">
        <v>27</v>
      </c>
      <c r="N408" t="s">
        <v>27</v>
      </c>
      <c r="O408" t="s">
        <v>29</v>
      </c>
      <c r="P408">
        <v>2.5</v>
      </c>
      <c r="Q408" t="s">
        <v>274</v>
      </c>
      <c r="R408" t="str">
        <f>_xlfn.CONCAT(laptop[[#This Row],[CPU_company]]," ",laptop[[#This Row],[CPU_model]])</f>
        <v>Intel Core i7 6500U</v>
      </c>
      <c r="S408">
        <v>512</v>
      </c>
      <c r="T408">
        <v>0</v>
      </c>
      <c r="U408">
        <f>laptop[[#This Row],[PrimaryStorage]]+laptop[[#This Row],[SecondaryStorage]]</f>
        <v>512</v>
      </c>
      <c r="V408" t="s">
        <v>31</v>
      </c>
      <c r="W408" t="s">
        <v>27</v>
      </c>
      <c r="X408" t="str">
        <f>IF(laptop[[#This Row],[PrimaryStorageType]]=laptop[[#This Row],[SecondaryStorageType]],laptop[[#This Row],[PrimaryStorageType]],"SSD &amp; HDD")</f>
        <v>SSD &amp; HDD</v>
      </c>
      <c r="Y408" t="s">
        <v>63</v>
      </c>
      <c r="Z408" s="4" t="str">
        <f>_xlfn.CONCAT(laptop[[#This Row],[CPU_company]]," ",laptop[[#This Row],[GPU_model]])</f>
        <v>Intel HD Graphics 520</v>
      </c>
    </row>
    <row r="409" spans="1:26" x14ac:dyDescent="0.25">
      <c r="A409" t="s">
        <v>65</v>
      </c>
      <c r="B409" t="s">
        <v>367</v>
      </c>
      <c r="C409" t="s">
        <v>24</v>
      </c>
      <c r="D409">
        <v>14</v>
      </c>
      <c r="E409">
        <v>8</v>
      </c>
      <c r="F409" t="s">
        <v>48</v>
      </c>
      <c r="G409">
        <v>1.36</v>
      </c>
      <c r="H409" s="16">
        <v>1680</v>
      </c>
      <c r="I409" t="s">
        <v>40</v>
      </c>
      <c r="J409">
        <v>1920</v>
      </c>
      <c r="K409">
        <v>1080</v>
      </c>
      <c r="L409" t="s">
        <v>27</v>
      </c>
      <c r="M409" t="s">
        <v>27</v>
      </c>
      <c r="N409" t="s">
        <v>27</v>
      </c>
      <c r="O409" t="s">
        <v>29</v>
      </c>
      <c r="P409">
        <v>2.8</v>
      </c>
      <c r="Q409" t="s">
        <v>335</v>
      </c>
      <c r="R409" t="str">
        <f>_xlfn.CONCAT(laptop[[#This Row],[CPU_company]]," ",laptop[[#This Row],[CPU_model]])</f>
        <v>Intel Core i7 7600U</v>
      </c>
      <c r="S409">
        <v>512</v>
      </c>
      <c r="T409">
        <v>0</v>
      </c>
      <c r="U409">
        <f>laptop[[#This Row],[PrimaryStorage]]+laptop[[#This Row],[SecondaryStorage]]</f>
        <v>512</v>
      </c>
      <c r="V409" t="s">
        <v>31</v>
      </c>
      <c r="W409" t="s">
        <v>27</v>
      </c>
      <c r="X409" t="str">
        <f>IF(laptop[[#This Row],[PrimaryStorageType]]=laptop[[#This Row],[SecondaryStorageType]],laptop[[#This Row],[PrimaryStorageType]],"SSD &amp; HDD")</f>
        <v>SSD &amp; HDD</v>
      </c>
      <c r="Y409" t="s">
        <v>102</v>
      </c>
      <c r="Z409" s="4" t="str">
        <f>_xlfn.CONCAT(laptop[[#This Row],[CPU_company]]," ",laptop[[#This Row],[GPU_model]])</f>
        <v>Intel HD Graphics</v>
      </c>
    </row>
    <row r="410" spans="1:26" x14ac:dyDescent="0.25">
      <c r="A410" t="s">
        <v>73</v>
      </c>
      <c r="B410" t="s">
        <v>125</v>
      </c>
      <c r="C410" t="s">
        <v>38</v>
      </c>
      <c r="D410">
        <v>15.6</v>
      </c>
      <c r="E410">
        <v>4</v>
      </c>
      <c r="F410" t="s">
        <v>48</v>
      </c>
      <c r="G410">
        <v>2.2000000000000002</v>
      </c>
      <c r="H410" s="16">
        <v>409</v>
      </c>
      <c r="I410" t="s">
        <v>40</v>
      </c>
      <c r="J410">
        <v>1920</v>
      </c>
      <c r="K410">
        <v>1080</v>
      </c>
      <c r="L410" t="s">
        <v>27</v>
      </c>
      <c r="M410" t="s">
        <v>27</v>
      </c>
      <c r="N410" t="s">
        <v>27</v>
      </c>
      <c r="O410" t="s">
        <v>29</v>
      </c>
      <c r="P410">
        <v>2</v>
      </c>
      <c r="Q410" t="s">
        <v>62</v>
      </c>
      <c r="R410" t="str">
        <f>_xlfn.CONCAT(laptop[[#This Row],[CPU_company]]," ",laptop[[#This Row],[CPU_model]])</f>
        <v>Intel Core i3 6006U</v>
      </c>
      <c r="S410">
        <v>500</v>
      </c>
      <c r="T410">
        <v>0</v>
      </c>
      <c r="U410">
        <f>laptop[[#This Row],[PrimaryStorage]]+laptop[[#This Row],[SecondaryStorage]]</f>
        <v>500</v>
      </c>
      <c r="V410" t="s">
        <v>51</v>
      </c>
      <c r="W410" t="s">
        <v>27</v>
      </c>
      <c r="X410" t="str">
        <f>IF(laptop[[#This Row],[PrimaryStorageType]]=laptop[[#This Row],[SecondaryStorageType]],laptop[[#This Row],[PrimaryStorageType]],"SSD &amp; HDD")</f>
        <v>SSD &amp; HDD</v>
      </c>
      <c r="Y410" t="s">
        <v>63</v>
      </c>
      <c r="Z410" s="4" t="str">
        <f>_xlfn.CONCAT(laptop[[#This Row],[CPU_company]]," ",laptop[[#This Row],[GPU_model]])</f>
        <v>Intel HD Graphics 520</v>
      </c>
    </row>
    <row r="411" spans="1:26" x14ac:dyDescent="0.25">
      <c r="A411" t="s">
        <v>73</v>
      </c>
      <c r="B411" t="s">
        <v>400</v>
      </c>
      <c r="C411" t="s">
        <v>38</v>
      </c>
      <c r="D411">
        <v>11.6</v>
      </c>
      <c r="E411">
        <v>2</v>
      </c>
      <c r="F411" t="s">
        <v>48</v>
      </c>
      <c r="G411">
        <v>1.1499999999999999</v>
      </c>
      <c r="H411" s="16">
        <v>304.45</v>
      </c>
      <c r="I411" t="s">
        <v>26</v>
      </c>
      <c r="J411">
        <v>1366</v>
      </c>
      <c r="K411">
        <v>768</v>
      </c>
      <c r="L411" t="s">
        <v>27</v>
      </c>
      <c r="M411" t="s">
        <v>27</v>
      </c>
      <c r="N411" t="s">
        <v>27</v>
      </c>
      <c r="O411" t="s">
        <v>29</v>
      </c>
      <c r="P411">
        <v>1.1000000000000001</v>
      </c>
      <c r="Q411" t="s">
        <v>109</v>
      </c>
      <c r="R411" t="str">
        <f>_xlfn.CONCAT(laptop[[#This Row],[CPU_company]]," ",laptop[[#This Row],[CPU_model]])</f>
        <v>Intel Celeron Dual Core N3350</v>
      </c>
      <c r="S411">
        <v>32</v>
      </c>
      <c r="T411">
        <v>0</v>
      </c>
      <c r="U411">
        <f>laptop[[#This Row],[PrimaryStorage]]+laptop[[#This Row],[SecondaryStorage]]</f>
        <v>32</v>
      </c>
      <c r="V411" t="s">
        <v>34</v>
      </c>
      <c r="W411" t="s">
        <v>27</v>
      </c>
      <c r="X411" t="str">
        <f>IF(laptop[[#This Row],[PrimaryStorageType]]=laptop[[#This Row],[SecondaryStorageType]],laptop[[#This Row],[PrimaryStorageType]],"SSD &amp; HDD")</f>
        <v>SSD &amp; HDD</v>
      </c>
      <c r="Y411" t="s">
        <v>110</v>
      </c>
      <c r="Z411" s="4" t="str">
        <f>_xlfn.CONCAT(laptop[[#This Row],[CPU_company]]," ",laptop[[#This Row],[GPU_model]])</f>
        <v>Intel HD Graphics 500</v>
      </c>
    </row>
    <row r="412" spans="1:26" x14ac:dyDescent="0.25">
      <c r="A412" t="s">
        <v>73</v>
      </c>
      <c r="B412" t="s">
        <v>401</v>
      </c>
      <c r="C412" t="s">
        <v>265</v>
      </c>
      <c r="D412">
        <v>15.6</v>
      </c>
      <c r="E412">
        <v>8</v>
      </c>
      <c r="F412" t="s">
        <v>48</v>
      </c>
      <c r="G412">
        <v>2.67</v>
      </c>
      <c r="H412" s="16">
        <v>1925</v>
      </c>
      <c r="I412" t="s">
        <v>40</v>
      </c>
      <c r="J412">
        <v>1920</v>
      </c>
      <c r="K412">
        <v>1080</v>
      </c>
      <c r="L412" t="s">
        <v>27</v>
      </c>
      <c r="M412" t="s">
        <v>27</v>
      </c>
      <c r="N412" t="s">
        <v>27</v>
      </c>
      <c r="O412" t="s">
        <v>29</v>
      </c>
      <c r="P412">
        <v>2.8</v>
      </c>
      <c r="Q412" t="s">
        <v>118</v>
      </c>
      <c r="R412" t="str">
        <f>_xlfn.CONCAT(laptop[[#This Row],[CPU_company]]," ",laptop[[#This Row],[CPU_model]])</f>
        <v>Intel Core i7 7700HQ</v>
      </c>
      <c r="S412">
        <v>512</v>
      </c>
      <c r="T412">
        <v>0</v>
      </c>
      <c r="U412">
        <f>laptop[[#This Row],[PrimaryStorage]]+laptop[[#This Row],[SecondaryStorage]]</f>
        <v>512</v>
      </c>
      <c r="V412" t="s">
        <v>31</v>
      </c>
      <c r="W412" t="s">
        <v>27</v>
      </c>
      <c r="X412" t="str">
        <f>IF(laptop[[#This Row],[PrimaryStorageType]]=laptop[[#This Row],[SecondaryStorageType]],laptop[[#This Row],[PrimaryStorageType]],"SSD &amp; HDD")</f>
        <v>SSD &amp; HDD</v>
      </c>
      <c r="Y412" t="s">
        <v>267</v>
      </c>
      <c r="Z412" s="4" t="str">
        <f>_xlfn.CONCAT(laptop[[#This Row],[CPU_company]]," ",laptop[[#This Row],[GPU_model]])</f>
        <v>Intel Quadro M1200</v>
      </c>
    </row>
    <row r="413" spans="1:26" x14ac:dyDescent="0.25">
      <c r="A413" t="s">
        <v>73</v>
      </c>
      <c r="B413" t="s">
        <v>402</v>
      </c>
      <c r="C413" t="s">
        <v>24</v>
      </c>
      <c r="D413">
        <v>14</v>
      </c>
      <c r="E413">
        <v>8</v>
      </c>
      <c r="F413" t="s">
        <v>48</v>
      </c>
      <c r="G413">
        <v>1.7</v>
      </c>
      <c r="H413" s="16">
        <v>1943</v>
      </c>
      <c r="I413" t="s">
        <v>40</v>
      </c>
      <c r="J413">
        <v>2560</v>
      </c>
      <c r="K413">
        <v>1440</v>
      </c>
      <c r="L413" t="s">
        <v>27</v>
      </c>
      <c r="M413" t="s">
        <v>28</v>
      </c>
      <c r="N413" t="s">
        <v>27</v>
      </c>
      <c r="O413" t="s">
        <v>29</v>
      </c>
      <c r="P413">
        <v>2.8</v>
      </c>
      <c r="Q413" t="s">
        <v>118</v>
      </c>
      <c r="R413" t="str">
        <f>_xlfn.CONCAT(laptop[[#This Row],[CPU_company]]," ",laptop[[#This Row],[CPU_model]])</f>
        <v>Intel Core i7 7700HQ</v>
      </c>
      <c r="S413">
        <v>512</v>
      </c>
      <c r="T413">
        <v>0</v>
      </c>
      <c r="U413">
        <f>laptop[[#This Row],[PrimaryStorage]]+laptop[[#This Row],[SecondaryStorage]]</f>
        <v>512</v>
      </c>
      <c r="V413" t="s">
        <v>31</v>
      </c>
      <c r="W413" t="s">
        <v>27</v>
      </c>
      <c r="X413" t="str">
        <f>IF(laptop[[#This Row],[PrimaryStorageType]]=laptop[[#This Row],[SecondaryStorageType]],laptop[[#This Row],[PrimaryStorageType]],"SSD &amp; HDD")</f>
        <v>SSD &amp; HDD</v>
      </c>
      <c r="Y413" t="s">
        <v>371</v>
      </c>
      <c r="Z413" s="4" t="str">
        <f>_xlfn.CONCAT(laptop[[#This Row],[CPU_company]]," ",laptop[[#This Row],[GPU_model]])</f>
        <v>Intel GeForce GT 940MX</v>
      </c>
    </row>
    <row r="414" spans="1:26" x14ac:dyDescent="0.25">
      <c r="A414" t="s">
        <v>36</v>
      </c>
      <c r="B414" t="s">
        <v>403</v>
      </c>
      <c r="C414" t="s">
        <v>38</v>
      </c>
      <c r="D414">
        <v>15.6</v>
      </c>
      <c r="E414">
        <v>4</v>
      </c>
      <c r="F414" t="s">
        <v>48</v>
      </c>
      <c r="G414">
        <v>2.1</v>
      </c>
      <c r="H414" s="16">
        <v>469</v>
      </c>
      <c r="I414" t="s">
        <v>40</v>
      </c>
      <c r="J414">
        <v>1920</v>
      </c>
      <c r="K414">
        <v>1080</v>
      </c>
      <c r="L414" t="s">
        <v>27</v>
      </c>
      <c r="M414" t="s">
        <v>27</v>
      </c>
      <c r="N414" t="s">
        <v>27</v>
      </c>
      <c r="O414" t="s">
        <v>29</v>
      </c>
      <c r="P414">
        <v>2</v>
      </c>
      <c r="Q414" t="s">
        <v>62</v>
      </c>
      <c r="R414" t="str">
        <f>_xlfn.CONCAT(laptop[[#This Row],[CPU_company]]," ",laptop[[#This Row],[CPU_model]])</f>
        <v>Intel Core i3 6006U</v>
      </c>
      <c r="S414">
        <v>1024</v>
      </c>
      <c r="T414">
        <v>0</v>
      </c>
      <c r="U414">
        <f>laptop[[#This Row],[PrimaryStorage]]+laptop[[#This Row],[SecondaryStorage]]</f>
        <v>1024</v>
      </c>
      <c r="V414" t="s">
        <v>51</v>
      </c>
      <c r="W414" t="s">
        <v>27</v>
      </c>
      <c r="X414" t="str">
        <f>IF(laptop[[#This Row],[PrimaryStorageType]]=laptop[[#This Row],[SecondaryStorageType]],laptop[[#This Row],[PrimaryStorageType]],"SSD &amp; HDD")</f>
        <v>SSD &amp; HDD</v>
      </c>
      <c r="Y414" t="s">
        <v>138</v>
      </c>
      <c r="Z414" s="4" t="str">
        <f>_xlfn.CONCAT(laptop[[#This Row],[CPU_company]]," ",laptop[[#This Row],[GPU_model]])</f>
        <v>Intel Radeon 520</v>
      </c>
    </row>
    <row r="415" spans="1:26" x14ac:dyDescent="0.25">
      <c r="A415" t="s">
        <v>46</v>
      </c>
      <c r="B415" t="s">
        <v>286</v>
      </c>
      <c r="C415" t="s">
        <v>90</v>
      </c>
      <c r="D415">
        <v>13.3</v>
      </c>
      <c r="E415">
        <v>8</v>
      </c>
      <c r="F415" t="s">
        <v>48</v>
      </c>
      <c r="G415">
        <v>1.6</v>
      </c>
      <c r="H415" s="16">
        <v>789.01</v>
      </c>
      <c r="I415" t="s">
        <v>40</v>
      </c>
      <c r="J415">
        <v>1920</v>
      </c>
      <c r="K415">
        <v>1080</v>
      </c>
      <c r="L415" t="s">
        <v>28</v>
      </c>
      <c r="M415" t="s">
        <v>28</v>
      </c>
      <c r="N415" t="s">
        <v>27</v>
      </c>
      <c r="O415" t="s">
        <v>29</v>
      </c>
      <c r="P415">
        <v>2.5</v>
      </c>
      <c r="Q415" t="s">
        <v>274</v>
      </c>
      <c r="R415" t="str">
        <f>_xlfn.CONCAT(laptop[[#This Row],[CPU_company]]," ",laptop[[#This Row],[CPU_model]])</f>
        <v>Intel Core i7 6500U</v>
      </c>
      <c r="S415">
        <v>256</v>
      </c>
      <c r="T415">
        <v>0</v>
      </c>
      <c r="U415">
        <f>laptop[[#This Row],[PrimaryStorage]]+laptop[[#This Row],[SecondaryStorage]]</f>
        <v>256</v>
      </c>
      <c r="V415" t="s">
        <v>31</v>
      </c>
      <c r="W415" t="s">
        <v>27</v>
      </c>
      <c r="X415" t="str">
        <f>IF(laptop[[#This Row],[PrimaryStorageType]]=laptop[[#This Row],[SecondaryStorageType]],laptop[[#This Row],[PrimaryStorageType]],"SSD &amp; HDD")</f>
        <v>SSD &amp; HDD</v>
      </c>
      <c r="Y415" t="s">
        <v>63</v>
      </c>
      <c r="Z415" s="4" t="str">
        <f>_xlfn.CONCAT(laptop[[#This Row],[CPU_company]]," ",laptop[[#This Row],[GPU_model]])</f>
        <v>Intel HD Graphics 520</v>
      </c>
    </row>
    <row r="416" spans="1:26" x14ac:dyDescent="0.25">
      <c r="A416" t="s">
        <v>55</v>
      </c>
      <c r="B416" t="s">
        <v>230</v>
      </c>
      <c r="C416" t="s">
        <v>90</v>
      </c>
      <c r="D416">
        <v>13.3</v>
      </c>
      <c r="E416">
        <v>8</v>
      </c>
      <c r="F416" t="s">
        <v>48</v>
      </c>
      <c r="G416">
        <v>1.27</v>
      </c>
      <c r="H416" s="16">
        <v>928</v>
      </c>
      <c r="I416" t="s">
        <v>40</v>
      </c>
      <c r="J416">
        <v>1920</v>
      </c>
      <c r="K416">
        <v>1080</v>
      </c>
      <c r="L416" t="s">
        <v>28</v>
      </c>
      <c r="M416" t="s">
        <v>28</v>
      </c>
      <c r="N416" t="s">
        <v>27</v>
      </c>
      <c r="O416" t="s">
        <v>29</v>
      </c>
      <c r="P416">
        <v>2.5</v>
      </c>
      <c r="Q416" t="s">
        <v>41</v>
      </c>
      <c r="R416" t="str">
        <f>_xlfn.CONCAT(laptop[[#This Row],[CPU_company]]," ",laptop[[#This Row],[CPU_model]])</f>
        <v>Intel Core i5 7200U</v>
      </c>
      <c r="S416">
        <v>256</v>
      </c>
      <c r="T416">
        <v>0</v>
      </c>
      <c r="U416">
        <f>laptop[[#This Row],[PrimaryStorage]]+laptop[[#This Row],[SecondaryStorage]]</f>
        <v>256</v>
      </c>
      <c r="V416" t="s">
        <v>31</v>
      </c>
      <c r="W416" t="s">
        <v>27</v>
      </c>
      <c r="X416" t="str">
        <f>IF(laptop[[#This Row],[PrimaryStorageType]]=laptop[[#This Row],[SecondaryStorageType]],laptop[[#This Row],[PrimaryStorageType]],"SSD &amp; HDD")</f>
        <v>SSD &amp; HDD</v>
      </c>
      <c r="Y416" t="s">
        <v>42</v>
      </c>
      <c r="Z416" s="4" t="str">
        <f>_xlfn.CONCAT(laptop[[#This Row],[CPU_company]]," ",laptop[[#This Row],[GPU_model]])</f>
        <v>Intel HD Graphics 620</v>
      </c>
    </row>
    <row r="417" spans="1:26" x14ac:dyDescent="0.25">
      <c r="A417" t="s">
        <v>65</v>
      </c>
      <c r="B417" t="s">
        <v>66</v>
      </c>
      <c r="C417" t="s">
        <v>38</v>
      </c>
      <c r="D417">
        <v>15.6</v>
      </c>
      <c r="E417">
        <v>4</v>
      </c>
      <c r="F417" t="s">
        <v>111</v>
      </c>
      <c r="G417">
        <v>2.2999999999999998</v>
      </c>
      <c r="H417" s="16">
        <v>598.9</v>
      </c>
      <c r="I417" t="s">
        <v>40</v>
      </c>
      <c r="J417">
        <v>1920</v>
      </c>
      <c r="K417">
        <v>1080</v>
      </c>
      <c r="L417" t="s">
        <v>27</v>
      </c>
      <c r="M417" t="s">
        <v>27</v>
      </c>
      <c r="N417" t="s">
        <v>27</v>
      </c>
      <c r="O417" t="s">
        <v>29</v>
      </c>
      <c r="P417">
        <v>2.5</v>
      </c>
      <c r="Q417" t="s">
        <v>41</v>
      </c>
      <c r="R417" t="str">
        <f>_xlfn.CONCAT(laptop[[#This Row],[CPU_company]]," ",laptop[[#This Row],[CPU_model]])</f>
        <v>Intel Core i5 7200U</v>
      </c>
      <c r="S417">
        <v>256</v>
      </c>
      <c r="T417">
        <v>0</v>
      </c>
      <c r="U417">
        <f>laptop[[#This Row],[PrimaryStorage]]+laptop[[#This Row],[SecondaryStorage]]</f>
        <v>256</v>
      </c>
      <c r="V417" t="s">
        <v>31</v>
      </c>
      <c r="W417" t="s">
        <v>27</v>
      </c>
      <c r="X417" t="str">
        <f>IF(laptop[[#This Row],[PrimaryStorageType]]=laptop[[#This Row],[SecondaryStorageType]],laptop[[#This Row],[PrimaryStorageType]],"SSD &amp; HDD")</f>
        <v>SSD &amp; HDD</v>
      </c>
      <c r="Y417" t="s">
        <v>67</v>
      </c>
      <c r="Z417" s="4" t="str">
        <f>_xlfn.CONCAT(laptop[[#This Row],[CPU_company]]," ",laptop[[#This Row],[GPU_model]])</f>
        <v>Intel Radeon R5 M430</v>
      </c>
    </row>
    <row r="418" spans="1:26" x14ac:dyDescent="0.25">
      <c r="A418" t="s">
        <v>65</v>
      </c>
      <c r="B418" t="s">
        <v>404</v>
      </c>
      <c r="C418" t="s">
        <v>38</v>
      </c>
      <c r="D418">
        <v>13.3</v>
      </c>
      <c r="E418">
        <v>4</v>
      </c>
      <c r="F418" t="s">
        <v>48</v>
      </c>
      <c r="G418">
        <v>1.65</v>
      </c>
      <c r="H418" s="16">
        <v>689</v>
      </c>
      <c r="I418" t="s">
        <v>26</v>
      </c>
      <c r="J418">
        <v>1366</v>
      </c>
      <c r="K418">
        <v>768</v>
      </c>
      <c r="L418" t="s">
        <v>27</v>
      </c>
      <c r="M418" t="s">
        <v>27</v>
      </c>
      <c r="N418" t="s">
        <v>27</v>
      </c>
      <c r="O418" t="s">
        <v>29</v>
      </c>
      <c r="P418">
        <v>2</v>
      </c>
      <c r="Q418" t="s">
        <v>62</v>
      </c>
      <c r="R418" t="str">
        <f>_xlfn.CONCAT(laptop[[#This Row],[CPU_company]]," ",laptop[[#This Row],[CPU_model]])</f>
        <v>Intel Core i3 6006U</v>
      </c>
      <c r="S418">
        <v>128</v>
      </c>
      <c r="T418">
        <v>0</v>
      </c>
      <c r="U418">
        <f>laptop[[#This Row],[PrimaryStorage]]+laptop[[#This Row],[SecondaryStorage]]</f>
        <v>128</v>
      </c>
      <c r="V418" t="s">
        <v>31</v>
      </c>
      <c r="W418" t="s">
        <v>27</v>
      </c>
      <c r="X418" t="str">
        <f>IF(laptop[[#This Row],[PrimaryStorageType]]=laptop[[#This Row],[SecondaryStorageType]],laptop[[#This Row],[PrimaryStorageType]],"SSD &amp; HDD")</f>
        <v>SSD &amp; HDD</v>
      </c>
      <c r="Y418" t="s">
        <v>63</v>
      </c>
      <c r="Z418" s="4" t="str">
        <f>_xlfn.CONCAT(laptop[[#This Row],[CPU_company]]," ",laptop[[#This Row],[GPU_model]])</f>
        <v>Intel HD Graphics 520</v>
      </c>
    </row>
    <row r="419" spans="1:26" x14ac:dyDescent="0.25">
      <c r="A419" t="s">
        <v>36</v>
      </c>
      <c r="B419" t="s">
        <v>405</v>
      </c>
      <c r="C419" t="s">
        <v>24</v>
      </c>
      <c r="D419">
        <v>14</v>
      </c>
      <c r="E419">
        <v>8</v>
      </c>
      <c r="F419" t="s">
        <v>48</v>
      </c>
      <c r="G419">
        <v>1.43</v>
      </c>
      <c r="H419" s="16">
        <v>1500</v>
      </c>
      <c r="I419" t="s">
        <v>40</v>
      </c>
      <c r="J419">
        <v>1920</v>
      </c>
      <c r="K419">
        <v>1080</v>
      </c>
      <c r="L419" t="s">
        <v>27</v>
      </c>
      <c r="M419" t="s">
        <v>27</v>
      </c>
      <c r="N419" t="s">
        <v>27</v>
      </c>
      <c r="O419" t="s">
        <v>29</v>
      </c>
      <c r="P419">
        <v>2.5</v>
      </c>
      <c r="Q419" t="s">
        <v>274</v>
      </c>
      <c r="R419" t="str">
        <f>_xlfn.CONCAT(laptop[[#This Row],[CPU_company]]," ",laptop[[#This Row],[CPU_model]])</f>
        <v>Intel Core i7 6500U</v>
      </c>
      <c r="S419">
        <v>256</v>
      </c>
      <c r="T419">
        <v>0</v>
      </c>
      <c r="U419">
        <f>laptop[[#This Row],[PrimaryStorage]]+laptop[[#This Row],[SecondaryStorage]]</f>
        <v>256</v>
      </c>
      <c r="V419" t="s">
        <v>31</v>
      </c>
      <c r="W419" t="s">
        <v>27</v>
      </c>
      <c r="X419" t="str">
        <f>IF(laptop[[#This Row],[PrimaryStorageType]]=laptop[[#This Row],[SecondaryStorageType]],laptop[[#This Row],[PrimaryStorageType]],"SSD &amp; HDD")</f>
        <v>SSD &amp; HDD</v>
      </c>
      <c r="Y419" t="s">
        <v>63</v>
      </c>
      <c r="Z419" s="4" t="str">
        <f>_xlfn.CONCAT(laptop[[#This Row],[CPU_company]]," ",laptop[[#This Row],[GPU_model]])</f>
        <v>Intel HD Graphics 520</v>
      </c>
    </row>
    <row r="420" spans="1:26" x14ac:dyDescent="0.25">
      <c r="A420" t="s">
        <v>65</v>
      </c>
      <c r="B420" t="s">
        <v>66</v>
      </c>
      <c r="C420" t="s">
        <v>38</v>
      </c>
      <c r="D420">
        <v>15.6</v>
      </c>
      <c r="E420">
        <v>8</v>
      </c>
      <c r="F420" t="s">
        <v>48</v>
      </c>
      <c r="G420">
        <v>2.14</v>
      </c>
      <c r="H420" s="16">
        <v>539.95000000000005</v>
      </c>
      <c r="I420" t="s">
        <v>26</v>
      </c>
      <c r="J420">
        <v>1366</v>
      </c>
      <c r="K420">
        <v>768</v>
      </c>
      <c r="L420" t="s">
        <v>27</v>
      </c>
      <c r="M420" t="s">
        <v>27</v>
      </c>
      <c r="N420" t="s">
        <v>27</v>
      </c>
      <c r="O420" t="s">
        <v>29</v>
      </c>
      <c r="P420">
        <v>2.5</v>
      </c>
      <c r="Q420" t="s">
        <v>41</v>
      </c>
      <c r="R420" t="str">
        <f>_xlfn.CONCAT(laptop[[#This Row],[CPU_company]]," ",laptop[[#This Row],[CPU_model]])</f>
        <v>Intel Core i5 7200U</v>
      </c>
      <c r="S420">
        <v>1024</v>
      </c>
      <c r="T420">
        <v>0</v>
      </c>
      <c r="U420">
        <f>laptop[[#This Row],[PrimaryStorage]]+laptop[[#This Row],[SecondaryStorage]]</f>
        <v>1024</v>
      </c>
      <c r="V420" t="s">
        <v>51</v>
      </c>
      <c r="W420" t="s">
        <v>27</v>
      </c>
      <c r="X420" t="str">
        <f>IF(laptop[[#This Row],[PrimaryStorageType]]=laptop[[#This Row],[SecondaryStorageType]],laptop[[#This Row],[PrimaryStorageType]],"SSD &amp; HDD")</f>
        <v>SSD &amp; HDD</v>
      </c>
      <c r="Y420" t="s">
        <v>42</v>
      </c>
      <c r="Z420" s="4" t="str">
        <f>_xlfn.CONCAT(laptop[[#This Row],[CPU_company]]," ",laptop[[#This Row],[GPU_model]])</f>
        <v>Intel HD Graphics 620</v>
      </c>
    </row>
    <row r="421" spans="1:26" x14ac:dyDescent="0.25">
      <c r="A421" t="s">
        <v>73</v>
      </c>
      <c r="B421" t="s">
        <v>207</v>
      </c>
      <c r="C421" t="s">
        <v>24</v>
      </c>
      <c r="D421">
        <v>14</v>
      </c>
      <c r="E421">
        <v>8</v>
      </c>
      <c r="F421" t="s">
        <v>48</v>
      </c>
      <c r="G421">
        <v>1.75</v>
      </c>
      <c r="H421" s="16">
        <v>1215.3800000000001</v>
      </c>
      <c r="I421" t="s">
        <v>40</v>
      </c>
      <c r="J421">
        <v>1920</v>
      </c>
      <c r="K421">
        <v>1080</v>
      </c>
      <c r="L421" t="s">
        <v>27</v>
      </c>
      <c r="M421" t="s">
        <v>28</v>
      </c>
      <c r="N421" t="s">
        <v>27</v>
      </c>
      <c r="O421" t="s">
        <v>29</v>
      </c>
      <c r="P421">
        <v>1.8</v>
      </c>
      <c r="Q421" t="s">
        <v>57</v>
      </c>
      <c r="R421" t="str">
        <f>_xlfn.CONCAT(laptop[[#This Row],[CPU_company]]," ",laptop[[#This Row],[CPU_model]])</f>
        <v>Intel Core i7 8550U</v>
      </c>
      <c r="S421">
        <v>256</v>
      </c>
      <c r="T421">
        <v>0</v>
      </c>
      <c r="U421">
        <f>laptop[[#This Row],[PrimaryStorage]]+laptop[[#This Row],[SecondaryStorage]]</f>
        <v>256</v>
      </c>
      <c r="V421" t="s">
        <v>31</v>
      </c>
      <c r="W421" t="s">
        <v>27</v>
      </c>
      <c r="X421" t="str">
        <f>IF(laptop[[#This Row],[PrimaryStorageType]]=laptop[[#This Row],[SecondaryStorageType]],laptop[[#This Row],[PrimaryStorageType]],"SSD &amp; HDD")</f>
        <v>SSD &amp; HDD</v>
      </c>
      <c r="Y421" t="s">
        <v>208</v>
      </c>
      <c r="Z421" s="4" t="str">
        <f>_xlfn.CONCAT(laptop[[#This Row],[CPU_company]]," ",laptop[[#This Row],[GPU_model]])</f>
        <v>Intel Radeon RX 550</v>
      </c>
    </row>
    <row r="422" spans="1:26" x14ac:dyDescent="0.25">
      <c r="A422" t="s">
        <v>73</v>
      </c>
      <c r="B422" t="s">
        <v>304</v>
      </c>
      <c r="C422" t="s">
        <v>90</v>
      </c>
      <c r="D422">
        <v>15.6</v>
      </c>
      <c r="E422">
        <v>16</v>
      </c>
      <c r="F422" t="s">
        <v>48</v>
      </c>
      <c r="G422">
        <v>2</v>
      </c>
      <c r="H422" s="16">
        <v>1899</v>
      </c>
      <c r="I422" t="s">
        <v>215</v>
      </c>
      <c r="J422">
        <v>3840</v>
      </c>
      <c r="K422">
        <v>2160</v>
      </c>
      <c r="L422" t="s">
        <v>28</v>
      </c>
      <c r="M422" t="s">
        <v>28</v>
      </c>
      <c r="N422" t="s">
        <v>27</v>
      </c>
      <c r="O422" t="s">
        <v>29</v>
      </c>
      <c r="P422">
        <v>2.8</v>
      </c>
      <c r="Q422" t="s">
        <v>118</v>
      </c>
      <c r="R422" t="str">
        <f>_xlfn.CONCAT(laptop[[#This Row],[CPU_company]]," ",laptop[[#This Row],[CPU_model]])</f>
        <v>Intel Core i7 7700HQ</v>
      </c>
      <c r="S422">
        <v>512</v>
      </c>
      <c r="T422">
        <v>0</v>
      </c>
      <c r="U422">
        <f>laptop[[#This Row],[PrimaryStorage]]+laptop[[#This Row],[SecondaryStorage]]</f>
        <v>512</v>
      </c>
      <c r="V422" t="s">
        <v>31</v>
      </c>
      <c r="W422" t="s">
        <v>27</v>
      </c>
      <c r="X422" t="str">
        <f>IF(laptop[[#This Row],[PrimaryStorageType]]=laptop[[#This Row],[SecondaryStorageType]],laptop[[#This Row],[PrimaryStorageType]],"SSD &amp; HDD")</f>
        <v>SSD &amp; HDD</v>
      </c>
      <c r="Y422" t="s">
        <v>85</v>
      </c>
      <c r="Z422" s="4" t="str">
        <f>_xlfn.CONCAT(laptop[[#This Row],[CPU_company]]," ",laptop[[#This Row],[GPU_model]])</f>
        <v>Intel GeForce GTX 1050</v>
      </c>
    </row>
    <row r="423" spans="1:26" x14ac:dyDescent="0.25">
      <c r="A423" t="s">
        <v>99</v>
      </c>
      <c r="B423" t="s">
        <v>406</v>
      </c>
      <c r="C423" t="s">
        <v>38</v>
      </c>
      <c r="D423">
        <v>12.3</v>
      </c>
      <c r="E423">
        <v>6</v>
      </c>
      <c r="F423" t="s">
        <v>48</v>
      </c>
      <c r="G423">
        <v>1.4</v>
      </c>
      <c r="H423" s="16">
        <v>449</v>
      </c>
      <c r="I423" t="s">
        <v>26</v>
      </c>
      <c r="J423">
        <v>2736</v>
      </c>
      <c r="K423">
        <v>1824</v>
      </c>
      <c r="L423" t="s">
        <v>27</v>
      </c>
      <c r="M423" t="s">
        <v>28</v>
      </c>
      <c r="N423" t="s">
        <v>28</v>
      </c>
      <c r="O423" t="s">
        <v>29</v>
      </c>
      <c r="P423">
        <v>1.1000000000000001</v>
      </c>
      <c r="Q423" t="s">
        <v>375</v>
      </c>
      <c r="R423" t="str">
        <f>_xlfn.CONCAT(laptop[[#This Row],[CPU_company]]," ",laptop[[#This Row],[CPU_model]])</f>
        <v>Intel Celeron Quad Core N3450</v>
      </c>
      <c r="S423">
        <v>64</v>
      </c>
      <c r="T423">
        <v>0</v>
      </c>
      <c r="U423">
        <f>laptop[[#This Row],[PrimaryStorage]]+laptop[[#This Row],[SecondaryStorage]]</f>
        <v>64</v>
      </c>
      <c r="V423" t="s">
        <v>34</v>
      </c>
      <c r="W423" t="s">
        <v>27</v>
      </c>
      <c r="X423" t="str">
        <f>IF(laptop[[#This Row],[PrimaryStorageType]]=laptop[[#This Row],[SecondaryStorageType]],laptop[[#This Row],[PrimaryStorageType]],"SSD &amp; HDD")</f>
        <v>SSD &amp; HDD</v>
      </c>
      <c r="Y423" t="s">
        <v>110</v>
      </c>
      <c r="Z423" s="4" t="str">
        <f>_xlfn.CONCAT(laptop[[#This Row],[CPU_company]]," ",laptop[[#This Row],[GPU_model]])</f>
        <v>Intel HD Graphics 500</v>
      </c>
    </row>
    <row r="424" spans="1:26" x14ac:dyDescent="0.25">
      <c r="A424" t="s">
        <v>36</v>
      </c>
      <c r="B424" t="s">
        <v>407</v>
      </c>
      <c r="C424" t="s">
        <v>38</v>
      </c>
      <c r="D424">
        <v>15.6</v>
      </c>
      <c r="E424">
        <v>8</v>
      </c>
      <c r="F424" t="s">
        <v>48</v>
      </c>
      <c r="G424">
        <v>2.31</v>
      </c>
      <c r="H424" s="16">
        <v>1427</v>
      </c>
      <c r="I424" t="s">
        <v>40</v>
      </c>
      <c r="J424">
        <v>1920</v>
      </c>
      <c r="K424">
        <v>1080</v>
      </c>
      <c r="L424" t="s">
        <v>27</v>
      </c>
      <c r="M424" t="s">
        <v>27</v>
      </c>
      <c r="N424" t="s">
        <v>27</v>
      </c>
      <c r="O424" t="s">
        <v>29</v>
      </c>
      <c r="P424">
        <v>2.9</v>
      </c>
      <c r="Q424" t="s">
        <v>324</v>
      </c>
      <c r="R424" t="str">
        <f>_xlfn.CONCAT(laptop[[#This Row],[CPU_company]]," ",laptop[[#This Row],[CPU_model]])</f>
        <v>Intel Core i7 7820HQ</v>
      </c>
      <c r="S424">
        <v>256</v>
      </c>
      <c r="T424">
        <v>0</v>
      </c>
      <c r="U424">
        <f>laptop[[#This Row],[PrimaryStorage]]+laptop[[#This Row],[SecondaryStorage]]</f>
        <v>256</v>
      </c>
      <c r="V424" t="s">
        <v>31</v>
      </c>
      <c r="W424" t="s">
        <v>27</v>
      </c>
      <c r="X424" t="str">
        <f>IF(laptop[[#This Row],[PrimaryStorageType]]=laptop[[#This Row],[SecondaryStorageType]],laptop[[#This Row],[PrimaryStorageType]],"SSD &amp; HDD")</f>
        <v>SSD &amp; HDD</v>
      </c>
      <c r="Y424" t="s">
        <v>315</v>
      </c>
      <c r="Z424" s="4" t="str">
        <f>_xlfn.CONCAT(laptop[[#This Row],[CPU_company]]," ",laptop[[#This Row],[GPU_model]])</f>
        <v>Intel HD Graphics 630</v>
      </c>
    </row>
    <row r="425" spans="1:26" x14ac:dyDescent="0.25">
      <c r="A425" t="s">
        <v>55</v>
      </c>
      <c r="B425" t="s">
        <v>408</v>
      </c>
      <c r="C425" t="s">
        <v>38</v>
      </c>
      <c r="D425">
        <v>15.6</v>
      </c>
      <c r="E425">
        <v>8</v>
      </c>
      <c r="F425" t="s">
        <v>111</v>
      </c>
      <c r="G425">
        <v>2.2999999999999998</v>
      </c>
      <c r="H425" s="16">
        <v>597</v>
      </c>
      <c r="I425" t="s">
        <v>40</v>
      </c>
      <c r="J425">
        <v>1920</v>
      </c>
      <c r="K425">
        <v>1080</v>
      </c>
      <c r="L425" t="s">
        <v>27</v>
      </c>
      <c r="M425" t="s">
        <v>27</v>
      </c>
      <c r="N425" t="s">
        <v>27</v>
      </c>
      <c r="O425" t="s">
        <v>29</v>
      </c>
      <c r="P425">
        <v>2.4</v>
      </c>
      <c r="Q425" t="s">
        <v>75</v>
      </c>
      <c r="R425" t="str">
        <f>_xlfn.CONCAT(laptop[[#This Row],[CPU_company]]," ",laptop[[#This Row],[CPU_model]])</f>
        <v>Intel Core i3 7100U</v>
      </c>
      <c r="S425">
        <v>1024</v>
      </c>
      <c r="T425">
        <v>0</v>
      </c>
      <c r="U425">
        <f>laptop[[#This Row],[PrimaryStorage]]+laptop[[#This Row],[SecondaryStorage]]</f>
        <v>1024</v>
      </c>
      <c r="V425" t="s">
        <v>51</v>
      </c>
      <c r="W425" t="s">
        <v>27</v>
      </c>
      <c r="X425" t="str">
        <f>IF(laptop[[#This Row],[PrimaryStorageType]]=laptop[[#This Row],[SecondaryStorageType]],laptop[[#This Row],[PrimaryStorageType]],"SSD &amp; HDD")</f>
        <v>SSD &amp; HDD</v>
      </c>
      <c r="Y425" t="s">
        <v>76</v>
      </c>
      <c r="Z425" s="4" t="str">
        <f>_xlfn.CONCAT(laptop[[#This Row],[CPU_company]]," ",laptop[[#This Row],[GPU_model]])</f>
        <v>Intel GeForce 940MX</v>
      </c>
    </row>
    <row r="426" spans="1:26" x14ac:dyDescent="0.25">
      <c r="A426" t="s">
        <v>65</v>
      </c>
      <c r="B426" t="s">
        <v>275</v>
      </c>
      <c r="C426" t="s">
        <v>83</v>
      </c>
      <c r="D426">
        <v>17.3</v>
      </c>
      <c r="E426">
        <v>16</v>
      </c>
      <c r="F426" t="s">
        <v>48</v>
      </c>
      <c r="G426">
        <v>4.42</v>
      </c>
      <c r="H426" s="16">
        <v>2799</v>
      </c>
      <c r="I426" t="s">
        <v>26</v>
      </c>
      <c r="J426">
        <v>2560</v>
      </c>
      <c r="K426">
        <v>1440</v>
      </c>
      <c r="L426" t="s">
        <v>27</v>
      </c>
      <c r="M426" t="s">
        <v>28</v>
      </c>
      <c r="N426" t="s">
        <v>27</v>
      </c>
      <c r="O426" t="s">
        <v>29</v>
      </c>
      <c r="P426">
        <v>2.9</v>
      </c>
      <c r="Q426" t="s">
        <v>258</v>
      </c>
      <c r="R426" t="str">
        <f>_xlfn.CONCAT(laptop[[#This Row],[CPU_company]]," ",laptop[[#This Row],[CPU_model]])</f>
        <v>Intel Core i7 7820HK</v>
      </c>
      <c r="S426">
        <v>256</v>
      </c>
      <c r="T426">
        <v>1024</v>
      </c>
      <c r="U426">
        <f>laptop[[#This Row],[PrimaryStorage]]+laptop[[#This Row],[SecondaryStorage]]</f>
        <v>1280</v>
      </c>
      <c r="V426" t="s">
        <v>31</v>
      </c>
      <c r="W426" t="s">
        <v>51</v>
      </c>
      <c r="X426" t="str">
        <f>IF(laptop[[#This Row],[PrimaryStorageType]]=laptop[[#This Row],[SecondaryStorageType]],laptop[[#This Row],[PrimaryStorageType]],"SSD &amp; HDD")</f>
        <v>SSD &amp; HDD</v>
      </c>
      <c r="Y426" t="s">
        <v>143</v>
      </c>
      <c r="Z426" s="4" t="str">
        <f>_xlfn.CONCAT(laptop[[#This Row],[CPU_company]]," ",laptop[[#This Row],[GPU_model]])</f>
        <v>Intel GeForce GTX 1070</v>
      </c>
    </row>
    <row r="427" spans="1:26" x14ac:dyDescent="0.25">
      <c r="A427" t="s">
        <v>65</v>
      </c>
      <c r="B427" t="s">
        <v>117</v>
      </c>
      <c r="C427" t="s">
        <v>83</v>
      </c>
      <c r="D427">
        <v>15.6</v>
      </c>
      <c r="E427">
        <v>8</v>
      </c>
      <c r="F427" t="s">
        <v>48</v>
      </c>
      <c r="G427">
        <v>2.62</v>
      </c>
      <c r="H427" s="16">
        <v>1159</v>
      </c>
      <c r="I427" t="s">
        <v>40</v>
      </c>
      <c r="J427">
        <v>1920</v>
      </c>
      <c r="K427">
        <v>1080</v>
      </c>
      <c r="L427" t="s">
        <v>27</v>
      </c>
      <c r="M427" t="s">
        <v>28</v>
      </c>
      <c r="N427" t="s">
        <v>27</v>
      </c>
      <c r="O427" t="s">
        <v>29</v>
      </c>
      <c r="P427">
        <v>2.8</v>
      </c>
      <c r="Q427" t="s">
        <v>118</v>
      </c>
      <c r="R427" t="str">
        <f>_xlfn.CONCAT(laptop[[#This Row],[CPU_company]]," ",laptop[[#This Row],[CPU_model]])</f>
        <v>Intel Core i7 7700HQ</v>
      </c>
      <c r="S427">
        <v>128</v>
      </c>
      <c r="T427">
        <v>1024</v>
      </c>
      <c r="U427">
        <f>laptop[[#This Row],[PrimaryStorage]]+laptop[[#This Row],[SecondaryStorage]]</f>
        <v>1152</v>
      </c>
      <c r="V427" t="s">
        <v>31</v>
      </c>
      <c r="W427" t="s">
        <v>51</v>
      </c>
      <c r="X427" t="str">
        <f>IF(laptop[[#This Row],[PrimaryStorageType]]=laptop[[#This Row],[SecondaryStorageType]],laptop[[#This Row],[PrimaryStorageType]],"SSD &amp; HDD")</f>
        <v>SSD &amp; HDD</v>
      </c>
      <c r="Y427" t="s">
        <v>149</v>
      </c>
      <c r="Z427" s="4" t="str">
        <f>_xlfn.CONCAT(laptop[[#This Row],[CPU_company]]," ",laptop[[#This Row],[GPU_model]])</f>
        <v>Intel GeForce GTX 1050 Ti</v>
      </c>
    </row>
    <row r="428" spans="1:26" x14ac:dyDescent="0.25">
      <c r="A428" t="s">
        <v>65</v>
      </c>
      <c r="B428" t="s">
        <v>93</v>
      </c>
      <c r="C428" t="s">
        <v>38</v>
      </c>
      <c r="D428">
        <v>15.6</v>
      </c>
      <c r="E428">
        <v>8</v>
      </c>
      <c r="F428" t="s">
        <v>48</v>
      </c>
      <c r="G428">
        <v>2.02</v>
      </c>
      <c r="H428" s="16">
        <v>1142.4000000000001</v>
      </c>
      <c r="I428" t="s">
        <v>40</v>
      </c>
      <c r="J428">
        <v>1920</v>
      </c>
      <c r="K428">
        <v>1080</v>
      </c>
      <c r="L428" t="s">
        <v>27</v>
      </c>
      <c r="M428" t="s">
        <v>27</v>
      </c>
      <c r="N428" t="s">
        <v>27</v>
      </c>
      <c r="O428" t="s">
        <v>29</v>
      </c>
      <c r="P428">
        <v>1.8</v>
      </c>
      <c r="Q428" t="s">
        <v>57</v>
      </c>
      <c r="R428" t="str">
        <f>_xlfn.CONCAT(laptop[[#This Row],[CPU_company]]," ",laptop[[#This Row],[CPU_model]])</f>
        <v>Intel Core i7 8550U</v>
      </c>
      <c r="S428">
        <v>256</v>
      </c>
      <c r="T428">
        <v>2048</v>
      </c>
      <c r="U428">
        <f>laptop[[#This Row],[PrimaryStorage]]+laptop[[#This Row],[SecondaryStorage]]</f>
        <v>2304</v>
      </c>
      <c r="V428" t="s">
        <v>31</v>
      </c>
      <c r="W428" t="s">
        <v>51</v>
      </c>
      <c r="X428" t="str">
        <f>IF(laptop[[#This Row],[PrimaryStorageType]]=laptop[[#This Row],[SecondaryStorageType]],laptop[[#This Row],[PrimaryStorageType]],"SSD &amp; HDD")</f>
        <v>SSD &amp; HDD</v>
      </c>
      <c r="Y428" t="s">
        <v>94</v>
      </c>
      <c r="Z428" s="4" t="str">
        <f>_xlfn.CONCAT(laptop[[#This Row],[CPU_company]]," ",laptop[[#This Row],[GPU_model]])</f>
        <v>Intel Radeon 530</v>
      </c>
    </row>
    <row r="429" spans="1:26" x14ac:dyDescent="0.25">
      <c r="A429" t="s">
        <v>65</v>
      </c>
      <c r="B429" t="s">
        <v>409</v>
      </c>
      <c r="C429" t="s">
        <v>24</v>
      </c>
      <c r="D429">
        <v>14</v>
      </c>
      <c r="E429">
        <v>8</v>
      </c>
      <c r="F429" t="s">
        <v>111</v>
      </c>
      <c r="G429">
        <v>1.6</v>
      </c>
      <c r="H429" s="16">
        <v>1099</v>
      </c>
      <c r="I429" t="s">
        <v>40</v>
      </c>
      <c r="J429">
        <v>1920</v>
      </c>
      <c r="K429">
        <v>1080</v>
      </c>
      <c r="L429" t="s">
        <v>27</v>
      </c>
      <c r="M429" t="s">
        <v>27</v>
      </c>
      <c r="N429" t="s">
        <v>27</v>
      </c>
      <c r="O429" t="s">
        <v>29</v>
      </c>
      <c r="P429">
        <v>2.8</v>
      </c>
      <c r="Q429" t="s">
        <v>335</v>
      </c>
      <c r="R429" t="str">
        <f>_xlfn.CONCAT(laptop[[#This Row],[CPU_company]]," ",laptop[[#This Row],[CPU_model]])</f>
        <v>Intel Core i7 7600U</v>
      </c>
      <c r="S429">
        <v>256</v>
      </c>
      <c r="T429">
        <v>0</v>
      </c>
      <c r="U429">
        <f>laptop[[#This Row],[PrimaryStorage]]+laptop[[#This Row],[SecondaryStorage]]</f>
        <v>256</v>
      </c>
      <c r="V429" t="s">
        <v>31</v>
      </c>
      <c r="W429" t="s">
        <v>27</v>
      </c>
      <c r="X429" t="str">
        <f>IF(laptop[[#This Row],[PrimaryStorageType]]=laptop[[#This Row],[SecondaryStorageType]],laptop[[#This Row],[PrimaryStorageType]],"SSD &amp; HDD")</f>
        <v>SSD &amp; HDD</v>
      </c>
      <c r="Y429" t="s">
        <v>42</v>
      </c>
      <c r="Z429" s="4" t="str">
        <f>_xlfn.CONCAT(laptop[[#This Row],[CPU_company]]," ",laptop[[#This Row],[GPU_model]])</f>
        <v>Intel HD Graphics 620</v>
      </c>
    </row>
    <row r="430" spans="1:26" x14ac:dyDescent="0.25">
      <c r="A430" t="s">
        <v>36</v>
      </c>
      <c r="B430" t="s">
        <v>410</v>
      </c>
      <c r="C430" t="s">
        <v>83</v>
      </c>
      <c r="D430">
        <v>17.3</v>
      </c>
      <c r="E430">
        <v>12</v>
      </c>
      <c r="F430" t="s">
        <v>48</v>
      </c>
      <c r="G430">
        <v>3.35</v>
      </c>
      <c r="H430" s="16">
        <v>1999</v>
      </c>
      <c r="I430" t="s">
        <v>40</v>
      </c>
      <c r="J430">
        <v>1920</v>
      </c>
      <c r="K430">
        <v>1080</v>
      </c>
      <c r="L430" t="s">
        <v>27</v>
      </c>
      <c r="M430" t="s">
        <v>27</v>
      </c>
      <c r="N430" t="s">
        <v>27</v>
      </c>
      <c r="O430" t="s">
        <v>29</v>
      </c>
      <c r="P430">
        <v>2.8</v>
      </c>
      <c r="Q430" t="s">
        <v>118</v>
      </c>
      <c r="R430" t="str">
        <f>_xlfn.CONCAT(laptop[[#This Row],[CPU_company]]," ",laptop[[#This Row],[CPU_model]])</f>
        <v>Intel Core i7 7700HQ</v>
      </c>
      <c r="S430">
        <v>256</v>
      </c>
      <c r="T430">
        <v>1024</v>
      </c>
      <c r="U430">
        <f>laptop[[#This Row],[PrimaryStorage]]+laptop[[#This Row],[SecondaryStorage]]</f>
        <v>1280</v>
      </c>
      <c r="V430" t="s">
        <v>31</v>
      </c>
      <c r="W430" t="s">
        <v>51</v>
      </c>
      <c r="X430" t="str">
        <f>IF(laptop[[#This Row],[PrimaryStorageType]]=laptop[[#This Row],[SecondaryStorageType]],laptop[[#This Row],[PrimaryStorageType]],"SSD &amp; HDD")</f>
        <v>SSD &amp; HDD</v>
      </c>
      <c r="Y430" t="s">
        <v>143</v>
      </c>
      <c r="Z430" s="4" t="str">
        <f>_xlfn.CONCAT(laptop[[#This Row],[CPU_company]]," ",laptop[[#This Row],[GPU_model]])</f>
        <v>Intel GeForce GTX 1070</v>
      </c>
    </row>
    <row r="431" spans="1:26" x14ac:dyDescent="0.25">
      <c r="A431" t="s">
        <v>411</v>
      </c>
      <c r="B431" t="s">
        <v>412</v>
      </c>
      <c r="C431" t="s">
        <v>90</v>
      </c>
      <c r="D431">
        <v>11.6</v>
      </c>
      <c r="E431">
        <v>4</v>
      </c>
      <c r="F431" t="s">
        <v>48</v>
      </c>
      <c r="G431">
        <v>1.1599999999999999</v>
      </c>
      <c r="H431" s="16">
        <v>299</v>
      </c>
      <c r="I431" t="s">
        <v>40</v>
      </c>
      <c r="J431">
        <v>1920</v>
      </c>
      <c r="K431">
        <v>1080</v>
      </c>
      <c r="L431" t="s">
        <v>28</v>
      </c>
      <c r="M431" t="s">
        <v>28</v>
      </c>
      <c r="N431" t="s">
        <v>27</v>
      </c>
      <c r="O431" t="s">
        <v>29</v>
      </c>
      <c r="P431">
        <v>1.1000000000000001</v>
      </c>
      <c r="Q431" t="s">
        <v>109</v>
      </c>
      <c r="R431" t="str">
        <f>_xlfn.CONCAT(laptop[[#This Row],[CPU_company]]," ",laptop[[#This Row],[CPU_model]])</f>
        <v>Intel Celeron Dual Core N3350</v>
      </c>
      <c r="S431">
        <v>32</v>
      </c>
      <c r="T431">
        <v>0</v>
      </c>
      <c r="U431">
        <f>laptop[[#This Row],[PrimaryStorage]]+laptop[[#This Row],[SecondaryStorage]]</f>
        <v>32</v>
      </c>
      <c r="V431" t="s">
        <v>31</v>
      </c>
      <c r="W431" t="s">
        <v>27</v>
      </c>
      <c r="X431" t="str">
        <f>IF(laptop[[#This Row],[PrimaryStorageType]]=laptop[[#This Row],[SecondaryStorageType]],laptop[[#This Row],[PrimaryStorageType]],"SSD &amp; HDD")</f>
        <v>SSD &amp; HDD</v>
      </c>
      <c r="Y431" t="s">
        <v>110</v>
      </c>
      <c r="Z431" s="4" t="str">
        <f>_xlfn.CONCAT(laptop[[#This Row],[CPU_company]]," ",laptop[[#This Row],[GPU_model]])</f>
        <v>Intel HD Graphics 500</v>
      </c>
    </row>
    <row r="432" spans="1:26" x14ac:dyDescent="0.25">
      <c r="A432" t="s">
        <v>413</v>
      </c>
      <c r="B432" t="s">
        <v>414</v>
      </c>
      <c r="C432" t="s">
        <v>79</v>
      </c>
      <c r="D432">
        <v>11.6</v>
      </c>
      <c r="E432">
        <v>4</v>
      </c>
      <c r="F432" t="s">
        <v>317</v>
      </c>
      <c r="G432">
        <v>1.1499999999999999</v>
      </c>
      <c r="H432" s="16">
        <v>269</v>
      </c>
      <c r="I432" t="s">
        <v>26</v>
      </c>
      <c r="J432">
        <v>1366</v>
      </c>
      <c r="K432">
        <v>768</v>
      </c>
      <c r="L432" t="s">
        <v>27</v>
      </c>
      <c r="M432" t="s">
        <v>27</v>
      </c>
      <c r="N432" t="s">
        <v>27</v>
      </c>
      <c r="O432" t="s">
        <v>29</v>
      </c>
      <c r="P432">
        <v>1.6</v>
      </c>
      <c r="Q432" t="s">
        <v>151</v>
      </c>
      <c r="R432" t="str">
        <f>_xlfn.CONCAT(laptop[[#This Row],[CPU_company]]," ",laptop[[#This Row],[CPU_model]])</f>
        <v>Intel Celeron Dual Core N3060</v>
      </c>
      <c r="S432">
        <v>16</v>
      </c>
      <c r="T432">
        <v>0</v>
      </c>
      <c r="U432">
        <f>laptop[[#This Row],[PrimaryStorage]]+laptop[[#This Row],[SecondaryStorage]]</f>
        <v>16</v>
      </c>
      <c r="V432" t="s">
        <v>34</v>
      </c>
      <c r="W432" t="s">
        <v>27</v>
      </c>
      <c r="X432" t="str">
        <f>IF(laptop[[#This Row],[PrimaryStorageType]]=laptop[[#This Row],[SecondaryStorageType]],laptop[[#This Row],[PrimaryStorageType]],"SSD &amp; HDD")</f>
        <v>SSD &amp; HDD</v>
      </c>
      <c r="Y432" t="s">
        <v>81</v>
      </c>
      <c r="Z432" s="4" t="str">
        <f>_xlfn.CONCAT(laptop[[#This Row],[CPU_company]]," ",laptop[[#This Row],[GPU_model]])</f>
        <v>Intel HD Graphics 400</v>
      </c>
    </row>
    <row r="433" spans="1:26" x14ac:dyDescent="0.25">
      <c r="A433" t="s">
        <v>73</v>
      </c>
      <c r="B433" t="s">
        <v>415</v>
      </c>
      <c r="C433" t="s">
        <v>38</v>
      </c>
      <c r="D433">
        <v>13.3</v>
      </c>
      <c r="E433">
        <v>8</v>
      </c>
      <c r="F433" t="s">
        <v>48</v>
      </c>
      <c r="G433">
        <v>1.4</v>
      </c>
      <c r="H433" s="16">
        <v>1010</v>
      </c>
      <c r="I433" t="s">
        <v>40</v>
      </c>
      <c r="J433">
        <v>1920</v>
      </c>
      <c r="K433">
        <v>1080</v>
      </c>
      <c r="L433" t="s">
        <v>27</v>
      </c>
      <c r="M433" t="s">
        <v>28</v>
      </c>
      <c r="N433" t="s">
        <v>27</v>
      </c>
      <c r="O433" t="s">
        <v>29</v>
      </c>
      <c r="P433">
        <v>2.7</v>
      </c>
      <c r="Q433" t="s">
        <v>71</v>
      </c>
      <c r="R433" t="str">
        <f>_xlfn.CONCAT(laptop[[#This Row],[CPU_company]]," ",laptop[[#This Row],[CPU_model]])</f>
        <v>Intel Core i7 7500U</v>
      </c>
      <c r="S433">
        <v>256</v>
      </c>
      <c r="T433">
        <v>0</v>
      </c>
      <c r="U433">
        <f>laptop[[#This Row],[PrimaryStorage]]+laptop[[#This Row],[SecondaryStorage]]</f>
        <v>256</v>
      </c>
      <c r="V433" t="s">
        <v>31</v>
      </c>
      <c r="W433" t="s">
        <v>27</v>
      </c>
      <c r="X433" t="str">
        <f>IF(laptop[[#This Row],[PrimaryStorageType]]=laptop[[#This Row],[SecondaryStorageType]],laptop[[#This Row],[PrimaryStorageType]],"SSD &amp; HDD")</f>
        <v>SSD &amp; HDD</v>
      </c>
      <c r="Y433" t="s">
        <v>42</v>
      </c>
      <c r="Z433" s="4" t="str">
        <f>_xlfn.CONCAT(laptop[[#This Row],[CPU_company]]," ",laptop[[#This Row],[GPU_model]])</f>
        <v>Intel HD Graphics 620</v>
      </c>
    </row>
    <row r="434" spans="1:26" x14ac:dyDescent="0.25">
      <c r="A434" t="s">
        <v>73</v>
      </c>
      <c r="B434" t="s">
        <v>416</v>
      </c>
      <c r="C434" t="s">
        <v>38</v>
      </c>
      <c r="D434">
        <v>14</v>
      </c>
      <c r="E434">
        <v>4</v>
      </c>
      <c r="F434" t="s">
        <v>48</v>
      </c>
      <c r="G434">
        <v>1.7</v>
      </c>
      <c r="H434" s="16">
        <v>599</v>
      </c>
      <c r="I434" t="s">
        <v>40</v>
      </c>
      <c r="J434">
        <v>1920</v>
      </c>
      <c r="K434">
        <v>1080</v>
      </c>
      <c r="L434" t="s">
        <v>27</v>
      </c>
      <c r="M434" t="s">
        <v>28</v>
      </c>
      <c r="N434" t="s">
        <v>27</v>
      </c>
      <c r="O434" t="s">
        <v>29</v>
      </c>
      <c r="P434">
        <v>2.7</v>
      </c>
      <c r="Q434" t="s">
        <v>112</v>
      </c>
      <c r="R434" t="str">
        <f>_xlfn.CONCAT(laptop[[#This Row],[CPU_company]]," ",laptop[[#This Row],[CPU_model]])</f>
        <v>Intel Core i3 7130U</v>
      </c>
      <c r="S434">
        <v>128</v>
      </c>
      <c r="T434">
        <v>0</v>
      </c>
      <c r="U434">
        <f>laptop[[#This Row],[PrimaryStorage]]+laptop[[#This Row],[SecondaryStorage]]</f>
        <v>128</v>
      </c>
      <c r="V434" t="s">
        <v>31</v>
      </c>
      <c r="W434" t="s">
        <v>27</v>
      </c>
      <c r="X434" t="str">
        <f>IF(laptop[[#This Row],[PrimaryStorageType]]=laptop[[#This Row],[SecondaryStorageType]],laptop[[#This Row],[PrimaryStorageType]],"SSD &amp; HDD")</f>
        <v>SSD &amp; HDD</v>
      </c>
      <c r="Y434" t="s">
        <v>42</v>
      </c>
      <c r="Z434" s="4" t="str">
        <f>_xlfn.CONCAT(laptop[[#This Row],[CPU_company]]," ",laptop[[#This Row],[GPU_model]])</f>
        <v>Intel HD Graphics 620</v>
      </c>
    </row>
    <row r="435" spans="1:26" x14ac:dyDescent="0.25">
      <c r="A435" t="s">
        <v>73</v>
      </c>
      <c r="B435" t="s">
        <v>314</v>
      </c>
      <c r="C435" t="s">
        <v>265</v>
      </c>
      <c r="D435">
        <v>15.6</v>
      </c>
      <c r="E435">
        <v>16</v>
      </c>
      <c r="F435" t="s">
        <v>48</v>
      </c>
      <c r="G435">
        <v>2.2999999999999998</v>
      </c>
      <c r="H435" s="16">
        <v>2445</v>
      </c>
      <c r="I435" t="s">
        <v>215</v>
      </c>
      <c r="J435">
        <v>3840</v>
      </c>
      <c r="K435">
        <v>2160</v>
      </c>
      <c r="L435" t="s">
        <v>27</v>
      </c>
      <c r="M435" t="s">
        <v>28</v>
      </c>
      <c r="N435" t="s">
        <v>27</v>
      </c>
      <c r="O435" t="s">
        <v>29</v>
      </c>
      <c r="P435">
        <v>2.8</v>
      </c>
      <c r="Q435" t="s">
        <v>335</v>
      </c>
      <c r="R435" t="str">
        <f>_xlfn.CONCAT(laptop[[#This Row],[CPU_company]]," ",laptop[[#This Row],[CPU_model]])</f>
        <v>Intel Core i7 7600U</v>
      </c>
      <c r="S435">
        <v>512</v>
      </c>
      <c r="T435">
        <v>0</v>
      </c>
      <c r="U435">
        <f>laptop[[#This Row],[PrimaryStorage]]+laptop[[#This Row],[SecondaryStorage]]</f>
        <v>512</v>
      </c>
      <c r="V435" t="s">
        <v>31</v>
      </c>
      <c r="W435" t="s">
        <v>27</v>
      </c>
      <c r="X435" t="str">
        <f>IF(laptop[[#This Row],[PrimaryStorageType]]=laptop[[#This Row],[SecondaryStorageType]],laptop[[#This Row],[PrimaryStorageType]],"SSD &amp; HDD")</f>
        <v>SSD &amp; HDD</v>
      </c>
      <c r="Y435" t="s">
        <v>76</v>
      </c>
      <c r="Z435" s="4" t="str">
        <f>_xlfn.CONCAT(laptop[[#This Row],[CPU_company]]," ",laptop[[#This Row],[GPU_model]])</f>
        <v>Intel GeForce 940MX</v>
      </c>
    </row>
    <row r="436" spans="1:26" x14ac:dyDescent="0.25">
      <c r="A436" t="s">
        <v>73</v>
      </c>
      <c r="B436" t="s">
        <v>417</v>
      </c>
      <c r="C436" t="s">
        <v>38</v>
      </c>
      <c r="D436">
        <v>15.6</v>
      </c>
      <c r="E436">
        <v>16</v>
      </c>
      <c r="F436" t="s">
        <v>48</v>
      </c>
      <c r="G436">
        <v>2.5</v>
      </c>
      <c r="H436" s="16">
        <v>2449</v>
      </c>
      <c r="I436" t="s">
        <v>40</v>
      </c>
      <c r="J436">
        <v>1920</v>
      </c>
      <c r="K436">
        <v>1080</v>
      </c>
      <c r="L436" t="s">
        <v>27</v>
      </c>
      <c r="M436" t="s">
        <v>27</v>
      </c>
      <c r="N436" t="s">
        <v>27</v>
      </c>
      <c r="O436" t="s">
        <v>29</v>
      </c>
      <c r="P436">
        <v>2.9</v>
      </c>
      <c r="Q436" t="s">
        <v>324</v>
      </c>
      <c r="R436" t="str">
        <f>_xlfn.CONCAT(laptop[[#This Row],[CPU_company]]," ",laptop[[#This Row],[CPU_model]])</f>
        <v>Intel Core i7 7820HQ</v>
      </c>
      <c r="S436">
        <v>512</v>
      </c>
      <c r="T436">
        <v>0</v>
      </c>
      <c r="U436">
        <f>laptop[[#This Row],[PrimaryStorage]]+laptop[[#This Row],[SecondaryStorage]]</f>
        <v>512</v>
      </c>
      <c r="V436" t="s">
        <v>31</v>
      </c>
      <c r="W436" t="s">
        <v>27</v>
      </c>
      <c r="X436" t="str">
        <f>IF(laptop[[#This Row],[PrimaryStorageType]]=laptop[[#This Row],[SecondaryStorageType]],laptop[[#This Row],[PrimaryStorageType]],"SSD &amp; HDD")</f>
        <v>SSD &amp; HDD</v>
      </c>
      <c r="Y436" t="s">
        <v>418</v>
      </c>
      <c r="Z436" s="4" t="str">
        <f>_xlfn.CONCAT(laptop[[#This Row],[CPU_company]]," ",laptop[[#This Row],[GPU_model]])</f>
        <v>Intel Quadro M2200M</v>
      </c>
    </row>
    <row r="437" spans="1:26" x14ac:dyDescent="0.25">
      <c r="A437" t="s">
        <v>55</v>
      </c>
      <c r="B437" t="s">
        <v>126</v>
      </c>
      <c r="C437" t="s">
        <v>83</v>
      </c>
      <c r="D437">
        <v>17.3</v>
      </c>
      <c r="E437">
        <v>8</v>
      </c>
      <c r="F437" t="s">
        <v>48</v>
      </c>
      <c r="G437">
        <v>3.2</v>
      </c>
      <c r="H437" s="16">
        <v>1695</v>
      </c>
      <c r="I437" t="s">
        <v>40</v>
      </c>
      <c r="J437">
        <v>1920</v>
      </c>
      <c r="K437">
        <v>1080</v>
      </c>
      <c r="L437" t="s">
        <v>27</v>
      </c>
      <c r="M437" t="s">
        <v>27</v>
      </c>
      <c r="N437" t="s">
        <v>27</v>
      </c>
      <c r="O437" t="s">
        <v>49</v>
      </c>
      <c r="P437">
        <v>3.2</v>
      </c>
      <c r="Q437" t="s">
        <v>419</v>
      </c>
      <c r="R437" t="str">
        <f>_xlfn.CONCAT(laptop[[#This Row],[CPU_company]]," ",laptop[[#This Row],[CPU_model]])</f>
        <v>AMD Ryzen 1600</v>
      </c>
      <c r="S437">
        <v>256</v>
      </c>
      <c r="T437">
        <v>1024</v>
      </c>
      <c r="U437">
        <f>laptop[[#This Row],[PrimaryStorage]]+laptop[[#This Row],[SecondaryStorage]]</f>
        <v>1280</v>
      </c>
      <c r="V437" t="s">
        <v>31</v>
      </c>
      <c r="W437" t="s">
        <v>51</v>
      </c>
      <c r="X437" t="str">
        <f>IF(laptop[[#This Row],[PrimaryStorageType]]=laptop[[#This Row],[SecondaryStorageType]],laptop[[#This Row],[PrimaryStorageType]],"SSD &amp; HDD")</f>
        <v>SSD &amp; HDD</v>
      </c>
      <c r="Y437" t="s">
        <v>128</v>
      </c>
      <c r="Z437" s="4" t="str">
        <f>_xlfn.CONCAT(laptop[[#This Row],[CPU_company]]," ",laptop[[#This Row],[GPU_model]])</f>
        <v>AMD Radeon RX 580</v>
      </c>
    </row>
    <row r="438" spans="1:26" x14ac:dyDescent="0.25">
      <c r="A438" t="s">
        <v>36</v>
      </c>
      <c r="B438" t="s">
        <v>420</v>
      </c>
      <c r="C438" t="s">
        <v>38</v>
      </c>
      <c r="D438">
        <v>15.6</v>
      </c>
      <c r="E438">
        <v>4</v>
      </c>
      <c r="F438" t="s">
        <v>48</v>
      </c>
      <c r="G438">
        <v>2.1</v>
      </c>
      <c r="H438" s="16">
        <v>347</v>
      </c>
      <c r="I438" t="s">
        <v>26</v>
      </c>
      <c r="J438">
        <v>1366</v>
      </c>
      <c r="K438">
        <v>768</v>
      </c>
      <c r="L438" t="s">
        <v>27</v>
      </c>
      <c r="M438" t="s">
        <v>27</v>
      </c>
      <c r="N438" t="s">
        <v>27</v>
      </c>
      <c r="O438" t="s">
        <v>29</v>
      </c>
      <c r="P438">
        <v>1.6</v>
      </c>
      <c r="Q438" t="s">
        <v>151</v>
      </c>
      <c r="R438" t="str">
        <f>_xlfn.CONCAT(laptop[[#This Row],[CPU_company]]," ",laptop[[#This Row],[CPU_model]])</f>
        <v>Intel Celeron Dual Core N3060</v>
      </c>
      <c r="S438">
        <v>500</v>
      </c>
      <c r="T438">
        <v>0</v>
      </c>
      <c r="U438">
        <f>laptop[[#This Row],[PrimaryStorage]]+laptop[[#This Row],[SecondaryStorage]]</f>
        <v>500</v>
      </c>
      <c r="V438" t="s">
        <v>51</v>
      </c>
      <c r="W438" t="s">
        <v>27</v>
      </c>
      <c r="X438" t="str">
        <f>IF(laptop[[#This Row],[PrimaryStorageType]]=laptop[[#This Row],[SecondaryStorageType]],laptop[[#This Row],[PrimaryStorageType]],"SSD &amp; HDD")</f>
        <v>SSD &amp; HDD</v>
      </c>
      <c r="Y438" t="s">
        <v>81</v>
      </c>
      <c r="Z438" s="4" t="str">
        <f>_xlfn.CONCAT(laptop[[#This Row],[CPU_company]]," ",laptop[[#This Row],[GPU_model]])</f>
        <v>Intel HD Graphics 400</v>
      </c>
    </row>
    <row r="439" spans="1:26" x14ac:dyDescent="0.25">
      <c r="A439" t="s">
        <v>421</v>
      </c>
      <c r="B439" t="s">
        <v>422</v>
      </c>
      <c r="C439" t="s">
        <v>24</v>
      </c>
      <c r="D439">
        <v>12.3</v>
      </c>
      <c r="E439">
        <v>16</v>
      </c>
      <c r="F439" t="s">
        <v>317</v>
      </c>
      <c r="G439">
        <v>1.1000000000000001</v>
      </c>
      <c r="H439" s="16">
        <v>2199</v>
      </c>
      <c r="I439" t="s">
        <v>26</v>
      </c>
      <c r="J439">
        <v>2400</v>
      </c>
      <c r="K439">
        <v>1600</v>
      </c>
      <c r="L439" t="s">
        <v>28</v>
      </c>
      <c r="M439" t="s">
        <v>27</v>
      </c>
      <c r="N439" t="s">
        <v>27</v>
      </c>
      <c r="O439" t="s">
        <v>29</v>
      </c>
      <c r="P439">
        <v>1.3</v>
      </c>
      <c r="Q439" t="s">
        <v>423</v>
      </c>
      <c r="R439" t="str">
        <f>_xlfn.CONCAT(laptop[[#This Row],[CPU_company]]," ",laptop[[#This Row],[CPU_model]])</f>
        <v>Intel Core i7 7Y75</v>
      </c>
      <c r="S439">
        <v>512</v>
      </c>
      <c r="T439">
        <v>0</v>
      </c>
      <c r="U439">
        <f>laptop[[#This Row],[PrimaryStorage]]+laptop[[#This Row],[SecondaryStorage]]</f>
        <v>512</v>
      </c>
      <c r="V439" t="s">
        <v>31</v>
      </c>
      <c r="W439" t="s">
        <v>27</v>
      </c>
      <c r="X439" t="str">
        <f>IF(laptop[[#This Row],[PrimaryStorageType]]=laptop[[#This Row],[SecondaryStorageType]],laptop[[#This Row],[PrimaryStorageType]],"SSD &amp; HDD")</f>
        <v>SSD &amp; HDD</v>
      </c>
      <c r="Y439" t="s">
        <v>70</v>
      </c>
      <c r="Z439" s="4" t="str">
        <f>_xlfn.CONCAT(laptop[[#This Row],[CPU_company]]," ",laptop[[#This Row],[GPU_model]])</f>
        <v>Intel HD Graphics 615</v>
      </c>
    </row>
    <row r="440" spans="1:26" x14ac:dyDescent="0.25">
      <c r="A440" t="s">
        <v>73</v>
      </c>
      <c r="B440" t="s">
        <v>424</v>
      </c>
      <c r="C440" t="s">
        <v>24</v>
      </c>
      <c r="D440">
        <v>14</v>
      </c>
      <c r="E440">
        <v>24</v>
      </c>
      <c r="F440" t="s">
        <v>48</v>
      </c>
      <c r="G440">
        <v>1.32</v>
      </c>
      <c r="H440" s="16">
        <v>2382</v>
      </c>
      <c r="I440" t="s">
        <v>26</v>
      </c>
      <c r="J440">
        <v>2560</v>
      </c>
      <c r="K440">
        <v>1440</v>
      </c>
      <c r="L440" t="s">
        <v>27</v>
      </c>
      <c r="M440" t="s">
        <v>27</v>
      </c>
      <c r="N440" t="s">
        <v>27</v>
      </c>
      <c r="O440" t="s">
        <v>29</v>
      </c>
      <c r="P440">
        <v>2.7</v>
      </c>
      <c r="Q440" t="s">
        <v>71</v>
      </c>
      <c r="R440" t="str">
        <f>_xlfn.CONCAT(laptop[[#This Row],[CPU_company]]," ",laptop[[#This Row],[CPU_model]])</f>
        <v>Intel Core i7 7500U</v>
      </c>
      <c r="S440">
        <v>512</v>
      </c>
      <c r="T440">
        <v>0</v>
      </c>
      <c r="U440">
        <f>laptop[[#This Row],[PrimaryStorage]]+laptop[[#This Row],[SecondaryStorage]]</f>
        <v>512</v>
      </c>
      <c r="V440" t="s">
        <v>31</v>
      </c>
      <c r="W440" t="s">
        <v>27</v>
      </c>
      <c r="X440" t="str">
        <f>IF(laptop[[#This Row],[PrimaryStorageType]]=laptop[[#This Row],[SecondaryStorageType]],laptop[[#This Row],[PrimaryStorageType]],"SSD &amp; HDD")</f>
        <v>SSD &amp; HDD</v>
      </c>
      <c r="Y440" t="s">
        <v>42</v>
      </c>
      <c r="Z440" s="4" t="str">
        <f>_xlfn.CONCAT(laptop[[#This Row],[CPU_company]]," ",laptop[[#This Row],[GPU_model]])</f>
        <v>Intel HD Graphics 620</v>
      </c>
    </row>
    <row r="441" spans="1:26" x14ac:dyDescent="0.25">
      <c r="A441" t="s">
        <v>55</v>
      </c>
      <c r="B441" t="s">
        <v>140</v>
      </c>
      <c r="C441" t="s">
        <v>38</v>
      </c>
      <c r="D441">
        <v>15.6</v>
      </c>
      <c r="E441">
        <v>4</v>
      </c>
      <c r="F441" t="s">
        <v>111</v>
      </c>
      <c r="G441">
        <v>2</v>
      </c>
      <c r="H441" s="16">
        <v>559</v>
      </c>
      <c r="I441" t="s">
        <v>40</v>
      </c>
      <c r="J441">
        <v>1920</v>
      </c>
      <c r="K441">
        <v>1080</v>
      </c>
      <c r="L441" t="s">
        <v>27</v>
      </c>
      <c r="M441" t="s">
        <v>27</v>
      </c>
      <c r="N441" t="s">
        <v>27</v>
      </c>
      <c r="O441" t="s">
        <v>29</v>
      </c>
      <c r="P441">
        <v>2.5</v>
      </c>
      <c r="Q441" t="s">
        <v>41</v>
      </c>
      <c r="R441" t="str">
        <f>_xlfn.CONCAT(laptop[[#This Row],[CPU_company]]," ",laptop[[#This Row],[CPU_model]])</f>
        <v>Intel Core i5 7200U</v>
      </c>
      <c r="S441">
        <v>256</v>
      </c>
      <c r="T441">
        <v>0</v>
      </c>
      <c r="U441">
        <f>laptop[[#This Row],[PrimaryStorage]]+laptop[[#This Row],[SecondaryStorage]]</f>
        <v>256</v>
      </c>
      <c r="V441" t="s">
        <v>31</v>
      </c>
      <c r="W441" t="s">
        <v>27</v>
      </c>
      <c r="X441" t="str">
        <f>IF(laptop[[#This Row],[PrimaryStorageType]]=laptop[[#This Row],[SecondaryStorageType]],laptop[[#This Row],[PrimaryStorageType]],"SSD &amp; HDD")</f>
        <v>SSD &amp; HDD</v>
      </c>
      <c r="Y441" t="s">
        <v>42</v>
      </c>
      <c r="Z441" s="4" t="str">
        <f>_xlfn.CONCAT(laptop[[#This Row],[CPU_company]]," ",laptop[[#This Row],[GPU_model]])</f>
        <v>Intel HD Graphics 620</v>
      </c>
    </row>
    <row r="442" spans="1:26" x14ac:dyDescent="0.25">
      <c r="A442" t="s">
        <v>73</v>
      </c>
      <c r="B442" t="s">
        <v>165</v>
      </c>
      <c r="C442" t="s">
        <v>38</v>
      </c>
      <c r="D442">
        <v>17.3</v>
      </c>
      <c r="E442">
        <v>8</v>
      </c>
      <c r="F442" t="s">
        <v>48</v>
      </c>
      <c r="G442">
        <v>2.8</v>
      </c>
      <c r="H442" s="16">
        <v>519</v>
      </c>
      <c r="I442" t="s">
        <v>26</v>
      </c>
      <c r="J442">
        <v>1600</v>
      </c>
      <c r="K442">
        <v>900</v>
      </c>
      <c r="L442" t="s">
        <v>27</v>
      </c>
      <c r="M442" t="s">
        <v>27</v>
      </c>
      <c r="N442" t="s">
        <v>27</v>
      </c>
      <c r="O442" t="s">
        <v>49</v>
      </c>
      <c r="P442">
        <v>2.5</v>
      </c>
      <c r="Q442" t="s">
        <v>106</v>
      </c>
      <c r="R442" t="str">
        <f>_xlfn.CONCAT(laptop[[#This Row],[CPU_company]]," ",laptop[[#This Row],[CPU_model]])</f>
        <v>AMD A6-Series 9220</v>
      </c>
      <c r="S442">
        <v>1024</v>
      </c>
      <c r="T442">
        <v>0</v>
      </c>
      <c r="U442">
        <f>laptop[[#This Row],[PrimaryStorage]]+laptop[[#This Row],[SecondaryStorage]]</f>
        <v>1024</v>
      </c>
      <c r="V442" t="s">
        <v>51</v>
      </c>
      <c r="W442" t="s">
        <v>27</v>
      </c>
      <c r="X442" t="str">
        <f>IF(laptop[[#This Row],[PrimaryStorageType]]=laptop[[#This Row],[SecondaryStorageType]],laptop[[#This Row],[PrimaryStorageType]],"SSD &amp; HDD")</f>
        <v>SSD &amp; HDD</v>
      </c>
      <c r="Y442" t="s">
        <v>425</v>
      </c>
      <c r="Z442" s="4" t="str">
        <f>_xlfn.CONCAT(laptop[[#This Row],[CPU_company]]," ",laptop[[#This Row],[GPU_model]])</f>
        <v>AMD Radeon R4</v>
      </c>
    </row>
    <row r="443" spans="1:26" x14ac:dyDescent="0.25">
      <c r="A443" t="s">
        <v>65</v>
      </c>
      <c r="B443" t="s">
        <v>93</v>
      </c>
      <c r="C443" t="s">
        <v>38</v>
      </c>
      <c r="D443">
        <v>15.6</v>
      </c>
      <c r="E443">
        <v>4</v>
      </c>
      <c r="F443" t="s">
        <v>48</v>
      </c>
      <c r="G443">
        <v>2.2000000000000002</v>
      </c>
      <c r="H443" s="16">
        <v>749</v>
      </c>
      <c r="I443" t="s">
        <v>40</v>
      </c>
      <c r="J443">
        <v>1920</v>
      </c>
      <c r="K443">
        <v>1080</v>
      </c>
      <c r="L443" t="s">
        <v>27</v>
      </c>
      <c r="M443" t="s">
        <v>27</v>
      </c>
      <c r="N443" t="s">
        <v>27</v>
      </c>
      <c r="O443" t="s">
        <v>29</v>
      </c>
      <c r="P443">
        <v>1.6</v>
      </c>
      <c r="Q443" t="s">
        <v>60</v>
      </c>
      <c r="R443" t="str">
        <f>_xlfn.CONCAT(laptop[[#This Row],[CPU_company]]," ",laptop[[#This Row],[CPU_model]])</f>
        <v>Intel Core i5 8250U</v>
      </c>
      <c r="S443">
        <v>256</v>
      </c>
      <c r="T443">
        <v>0</v>
      </c>
      <c r="U443">
        <f>laptop[[#This Row],[PrimaryStorage]]+laptop[[#This Row],[SecondaryStorage]]</f>
        <v>256</v>
      </c>
      <c r="V443" t="s">
        <v>31</v>
      </c>
      <c r="W443" t="s">
        <v>27</v>
      </c>
      <c r="X443" t="str">
        <f>IF(laptop[[#This Row],[PrimaryStorageType]]=laptop[[#This Row],[SecondaryStorageType]],laptop[[#This Row],[PrimaryStorageType]],"SSD &amp; HDD")</f>
        <v>SSD &amp; HDD</v>
      </c>
      <c r="Y443" t="s">
        <v>94</v>
      </c>
      <c r="Z443" s="4" t="str">
        <f>_xlfn.CONCAT(laptop[[#This Row],[CPU_company]]," ",laptop[[#This Row],[GPU_model]])</f>
        <v>Intel Radeon 530</v>
      </c>
    </row>
    <row r="444" spans="1:26" x14ac:dyDescent="0.25">
      <c r="A444" t="s">
        <v>73</v>
      </c>
      <c r="B444" t="s">
        <v>426</v>
      </c>
      <c r="C444" t="s">
        <v>24</v>
      </c>
      <c r="D444">
        <v>12.5</v>
      </c>
      <c r="E444">
        <v>8</v>
      </c>
      <c r="F444" t="s">
        <v>48</v>
      </c>
      <c r="G444">
        <v>1.36</v>
      </c>
      <c r="H444" s="16">
        <v>1429</v>
      </c>
      <c r="I444" t="s">
        <v>40</v>
      </c>
      <c r="J444">
        <v>1920</v>
      </c>
      <c r="K444">
        <v>1080</v>
      </c>
      <c r="L444" t="s">
        <v>27</v>
      </c>
      <c r="M444" t="s">
        <v>28</v>
      </c>
      <c r="N444" t="s">
        <v>27</v>
      </c>
      <c r="O444" t="s">
        <v>29</v>
      </c>
      <c r="P444">
        <v>2.5</v>
      </c>
      <c r="Q444" t="s">
        <v>41</v>
      </c>
      <c r="R444" t="str">
        <f>_xlfn.CONCAT(laptop[[#This Row],[CPU_company]]," ",laptop[[#This Row],[CPU_model]])</f>
        <v>Intel Core i5 7200U</v>
      </c>
      <c r="S444">
        <v>256</v>
      </c>
      <c r="T444">
        <v>0</v>
      </c>
      <c r="U444">
        <f>laptop[[#This Row],[PrimaryStorage]]+laptop[[#This Row],[SecondaryStorage]]</f>
        <v>256</v>
      </c>
      <c r="V444" t="s">
        <v>31</v>
      </c>
      <c r="W444" t="s">
        <v>27</v>
      </c>
      <c r="X444" t="str">
        <f>IF(laptop[[#This Row],[PrimaryStorageType]]=laptop[[#This Row],[SecondaryStorageType]],laptop[[#This Row],[PrimaryStorageType]],"SSD &amp; HDD")</f>
        <v>SSD &amp; HDD</v>
      </c>
      <c r="Y444" t="s">
        <v>42</v>
      </c>
      <c r="Z444" s="4" t="str">
        <f>_xlfn.CONCAT(laptop[[#This Row],[CPU_company]]," ",laptop[[#This Row],[GPU_model]])</f>
        <v>Intel HD Graphics 620</v>
      </c>
    </row>
    <row r="445" spans="1:26" x14ac:dyDescent="0.25">
      <c r="A445" t="s">
        <v>73</v>
      </c>
      <c r="B445" t="s">
        <v>333</v>
      </c>
      <c r="C445" t="s">
        <v>38</v>
      </c>
      <c r="D445">
        <v>15.6</v>
      </c>
      <c r="E445">
        <v>4</v>
      </c>
      <c r="F445" t="s">
        <v>48</v>
      </c>
      <c r="G445">
        <v>2.2000000000000002</v>
      </c>
      <c r="H445" s="16">
        <v>349</v>
      </c>
      <c r="I445" t="s">
        <v>40</v>
      </c>
      <c r="J445">
        <v>1920</v>
      </c>
      <c r="K445">
        <v>1080</v>
      </c>
      <c r="L445" t="s">
        <v>27</v>
      </c>
      <c r="M445" t="s">
        <v>27</v>
      </c>
      <c r="N445" t="s">
        <v>27</v>
      </c>
      <c r="O445" t="s">
        <v>29</v>
      </c>
      <c r="P445">
        <v>1.1000000000000001</v>
      </c>
      <c r="Q445" t="s">
        <v>130</v>
      </c>
      <c r="R445" t="str">
        <f>_xlfn.CONCAT(laptop[[#This Row],[CPU_company]]," ",laptop[[#This Row],[CPU_model]])</f>
        <v>Intel Pentium Quad Core N4200</v>
      </c>
      <c r="S445">
        <v>128</v>
      </c>
      <c r="T445">
        <v>0</v>
      </c>
      <c r="U445">
        <f>laptop[[#This Row],[PrimaryStorage]]+laptop[[#This Row],[SecondaryStorage]]</f>
        <v>128</v>
      </c>
      <c r="V445" t="s">
        <v>31</v>
      </c>
      <c r="W445" t="s">
        <v>27</v>
      </c>
      <c r="X445" t="str">
        <f>IF(laptop[[#This Row],[PrimaryStorageType]]=laptop[[#This Row],[SecondaryStorageType]],laptop[[#This Row],[PrimaryStorageType]],"SSD &amp; HDD")</f>
        <v>SSD &amp; HDD</v>
      </c>
      <c r="Y445" t="s">
        <v>237</v>
      </c>
      <c r="Z445" s="4" t="str">
        <f>_xlfn.CONCAT(laptop[[#This Row],[CPU_company]]," ",laptop[[#This Row],[GPU_model]])</f>
        <v>Intel HD Graphics 505</v>
      </c>
    </row>
    <row r="446" spans="1:26" x14ac:dyDescent="0.25">
      <c r="A446" t="s">
        <v>36</v>
      </c>
      <c r="B446" t="s">
        <v>427</v>
      </c>
      <c r="C446" t="s">
        <v>83</v>
      </c>
      <c r="D446">
        <v>15.6</v>
      </c>
      <c r="E446">
        <v>8</v>
      </c>
      <c r="F446" t="s">
        <v>48</v>
      </c>
      <c r="G446">
        <v>2.2000000000000002</v>
      </c>
      <c r="H446" s="16">
        <v>1099</v>
      </c>
      <c r="I446" t="s">
        <v>40</v>
      </c>
      <c r="J446">
        <v>1920</v>
      </c>
      <c r="K446">
        <v>1080</v>
      </c>
      <c r="L446" t="s">
        <v>27</v>
      </c>
      <c r="M446" t="s">
        <v>28</v>
      </c>
      <c r="N446" t="s">
        <v>27</v>
      </c>
      <c r="O446" t="s">
        <v>29</v>
      </c>
      <c r="P446">
        <v>2.8</v>
      </c>
      <c r="Q446" t="s">
        <v>118</v>
      </c>
      <c r="R446" t="str">
        <f>_xlfn.CONCAT(laptop[[#This Row],[CPU_company]]," ",laptop[[#This Row],[CPU_model]])</f>
        <v>Intel Core i7 7700HQ</v>
      </c>
      <c r="S446">
        <v>128</v>
      </c>
      <c r="T446">
        <v>1024</v>
      </c>
      <c r="U446">
        <f>laptop[[#This Row],[PrimaryStorage]]+laptop[[#This Row],[SecondaryStorage]]</f>
        <v>1152</v>
      </c>
      <c r="V446" t="s">
        <v>31</v>
      </c>
      <c r="W446" t="s">
        <v>51</v>
      </c>
      <c r="X446" t="str">
        <f>IF(laptop[[#This Row],[PrimaryStorageType]]=laptop[[#This Row],[SecondaryStorageType]],laptop[[#This Row],[PrimaryStorageType]],"SSD &amp; HDD")</f>
        <v>SSD &amp; HDD</v>
      </c>
      <c r="Y446" t="s">
        <v>85</v>
      </c>
      <c r="Z446" s="4" t="str">
        <f>_xlfn.CONCAT(laptop[[#This Row],[CPU_company]]," ",laptop[[#This Row],[GPU_model]])</f>
        <v>Intel GeForce GTX 1050</v>
      </c>
    </row>
    <row r="447" spans="1:26" x14ac:dyDescent="0.25">
      <c r="A447" t="s">
        <v>65</v>
      </c>
      <c r="B447" t="s">
        <v>409</v>
      </c>
      <c r="C447" t="s">
        <v>38</v>
      </c>
      <c r="D447">
        <v>14</v>
      </c>
      <c r="E447">
        <v>8</v>
      </c>
      <c r="F447" t="s">
        <v>48</v>
      </c>
      <c r="G447">
        <v>1.64</v>
      </c>
      <c r="H447" s="16">
        <v>1179</v>
      </c>
      <c r="I447" t="s">
        <v>40</v>
      </c>
      <c r="J447">
        <v>1920</v>
      </c>
      <c r="K447">
        <v>1080</v>
      </c>
      <c r="L447" t="s">
        <v>27</v>
      </c>
      <c r="M447" t="s">
        <v>27</v>
      </c>
      <c r="N447" t="s">
        <v>27</v>
      </c>
      <c r="O447" t="s">
        <v>29</v>
      </c>
      <c r="P447">
        <v>2.8</v>
      </c>
      <c r="Q447" t="s">
        <v>428</v>
      </c>
      <c r="R447" t="str">
        <f>_xlfn.CONCAT(laptop[[#This Row],[CPU_company]]," ",laptop[[#This Row],[CPU_model]])</f>
        <v>Intel Core i5 7440HQ</v>
      </c>
      <c r="S447">
        <v>256</v>
      </c>
      <c r="T447">
        <v>0</v>
      </c>
      <c r="U447">
        <f>laptop[[#This Row],[PrimaryStorage]]+laptop[[#This Row],[SecondaryStorage]]</f>
        <v>256</v>
      </c>
      <c r="V447" t="s">
        <v>31</v>
      </c>
      <c r="W447" t="s">
        <v>27</v>
      </c>
      <c r="X447" t="str">
        <f>IF(laptop[[#This Row],[PrimaryStorageType]]=laptop[[#This Row],[SecondaryStorageType]],laptop[[#This Row],[PrimaryStorageType]],"SSD &amp; HDD")</f>
        <v>SSD &amp; HDD</v>
      </c>
      <c r="Y447" t="s">
        <v>98</v>
      </c>
      <c r="Z447" s="4" t="str">
        <f>_xlfn.CONCAT(laptop[[#This Row],[CPU_company]]," ",laptop[[#This Row],[GPU_model]])</f>
        <v>Intel GeForce 930MX</v>
      </c>
    </row>
    <row r="448" spans="1:26" x14ac:dyDescent="0.25">
      <c r="A448" t="s">
        <v>46</v>
      </c>
      <c r="B448" t="s">
        <v>429</v>
      </c>
      <c r="C448" t="s">
        <v>38</v>
      </c>
      <c r="D448">
        <v>15.6</v>
      </c>
      <c r="E448">
        <v>4</v>
      </c>
      <c r="F448" t="s">
        <v>111</v>
      </c>
      <c r="G448">
        <v>2.4</v>
      </c>
      <c r="H448" s="16">
        <v>441.8</v>
      </c>
      <c r="I448" t="s">
        <v>26</v>
      </c>
      <c r="J448">
        <v>1366</v>
      </c>
      <c r="K448">
        <v>768</v>
      </c>
      <c r="L448" t="s">
        <v>27</v>
      </c>
      <c r="M448" t="s">
        <v>27</v>
      </c>
      <c r="N448" t="s">
        <v>27</v>
      </c>
      <c r="O448" t="s">
        <v>29</v>
      </c>
      <c r="P448">
        <v>2.5</v>
      </c>
      <c r="Q448" t="s">
        <v>41</v>
      </c>
      <c r="R448" t="str">
        <f>_xlfn.CONCAT(laptop[[#This Row],[CPU_company]]," ",laptop[[#This Row],[CPU_model]])</f>
        <v>Intel Core i5 7200U</v>
      </c>
      <c r="S448">
        <v>500</v>
      </c>
      <c r="T448">
        <v>0</v>
      </c>
      <c r="U448">
        <f>laptop[[#This Row],[PrimaryStorage]]+laptop[[#This Row],[SecondaryStorage]]</f>
        <v>500</v>
      </c>
      <c r="V448" t="s">
        <v>51</v>
      </c>
      <c r="W448" t="s">
        <v>27</v>
      </c>
      <c r="X448" t="str">
        <f>IF(laptop[[#This Row],[PrimaryStorageType]]=laptop[[#This Row],[SecondaryStorageType]],laptop[[#This Row],[PrimaryStorageType]],"SSD &amp; HDD")</f>
        <v>SSD &amp; HDD</v>
      </c>
      <c r="Y448" t="s">
        <v>42</v>
      </c>
      <c r="Z448" s="4" t="str">
        <f>_xlfn.CONCAT(laptop[[#This Row],[CPU_company]]," ",laptop[[#This Row],[GPU_model]])</f>
        <v>Intel HD Graphics 620</v>
      </c>
    </row>
    <row r="449" spans="1:26" x14ac:dyDescent="0.25">
      <c r="A449" t="s">
        <v>65</v>
      </c>
      <c r="B449" t="s">
        <v>430</v>
      </c>
      <c r="C449" t="s">
        <v>265</v>
      </c>
      <c r="D449">
        <v>15.6</v>
      </c>
      <c r="E449">
        <v>8</v>
      </c>
      <c r="F449" t="s">
        <v>48</v>
      </c>
      <c r="G449">
        <v>2.23</v>
      </c>
      <c r="H449" s="16">
        <v>1993</v>
      </c>
      <c r="I449" t="s">
        <v>40</v>
      </c>
      <c r="J449">
        <v>1920</v>
      </c>
      <c r="K449">
        <v>1080</v>
      </c>
      <c r="L449" t="s">
        <v>27</v>
      </c>
      <c r="M449" t="s">
        <v>27</v>
      </c>
      <c r="N449" t="s">
        <v>27</v>
      </c>
      <c r="O449" t="s">
        <v>29</v>
      </c>
      <c r="P449">
        <v>3</v>
      </c>
      <c r="Q449" t="s">
        <v>266</v>
      </c>
      <c r="R449" t="str">
        <f>_xlfn.CONCAT(laptop[[#This Row],[CPU_company]]," ",laptop[[#This Row],[CPU_model]])</f>
        <v>Intel Xeon E3-1505M V6</v>
      </c>
      <c r="S449">
        <v>64</v>
      </c>
      <c r="T449">
        <v>1024</v>
      </c>
      <c r="U449">
        <f>laptop[[#This Row],[PrimaryStorage]]+laptop[[#This Row],[SecondaryStorage]]</f>
        <v>1088</v>
      </c>
      <c r="V449" t="s">
        <v>34</v>
      </c>
      <c r="W449" t="s">
        <v>51</v>
      </c>
      <c r="X449" t="str">
        <f>IF(laptop[[#This Row],[PrimaryStorageType]]=laptop[[#This Row],[SecondaryStorageType]],laptop[[#This Row],[PrimaryStorageType]],"SSD &amp; HDD")</f>
        <v>SSD &amp; HDD</v>
      </c>
      <c r="Y449" t="s">
        <v>431</v>
      </c>
      <c r="Z449" s="4" t="str">
        <f>_xlfn.CONCAT(laptop[[#This Row],[CPU_company]]," ",laptop[[#This Row],[GPU_model]])</f>
        <v>Intel Quadro M620</v>
      </c>
    </row>
    <row r="450" spans="1:26" x14ac:dyDescent="0.25">
      <c r="A450" t="s">
        <v>141</v>
      </c>
      <c r="B450" t="s">
        <v>432</v>
      </c>
      <c r="C450" t="s">
        <v>83</v>
      </c>
      <c r="D450">
        <v>15.6</v>
      </c>
      <c r="E450">
        <v>8</v>
      </c>
      <c r="F450" t="s">
        <v>48</v>
      </c>
      <c r="G450">
        <v>2.2000000000000002</v>
      </c>
      <c r="H450" s="16">
        <v>1027.74</v>
      </c>
      <c r="I450" t="s">
        <v>40</v>
      </c>
      <c r="J450">
        <v>1920</v>
      </c>
      <c r="K450">
        <v>1080</v>
      </c>
      <c r="L450" t="s">
        <v>27</v>
      </c>
      <c r="M450" t="s">
        <v>27</v>
      </c>
      <c r="N450" t="s">
        <v>27</v>
      </c>
      <c r="O450" t="s">
        <v>29</v>
      </c>
      <c r="P450">
        <v>2.5</v>
      </c>
      <c r="Q450" t="s">
        <v>84</v>
      </c>
      <c r="R450" t="str">
        <f>_xlfn.CONCAT(laptop[[#This Row],[CPU_company]]," ",laptop[[#This Row],[CPU_model]])</f>
        <v>Intel Core i5 7300HQ</v>
      </c>
      <c r="S450">
        <v>256</v>
      </c>
      <c r="T450">
        <v>0</v>
      </c>
      <c r="U450">
        <f>laptop[[#This Row],[PrimaryStorage]]+laptop[[#This Row],[SecondaryStorage]]</f>
        <v>256</v>
      </c>
      <c r="V450" t="s">
        <v>31</v>
      </c>
      <c r="W450" t="s">
        <v>27</v>
      </c>
      <c r="X450" t="str">
        <f>IF(laptop[[#This Row],[PrimaryStorageType]]=laptop[[#This Row],[SecondaryStorageType]],laptop[[#This Row],[PrimaryStorageType]],"SSD &amp; HDD")</f>
        <v>SSD &amp; HDD</v>
      </c>
      <c r="Y450" t="s">
        <v>85</v>
      </c>
      <c r="Z450" s="4" t="str">
        <f>_xlfn.CONCAT(laptop[[#This Row],[CPU_company]]," ",laptop[[#This Row],[GPU_model]])</f>
        <v>Intel GeForce GTX 1050</v>
      </c>
    </row>
    <row r="451" spans="1:26" x14ac:dyDescent="0.25">
      <c r="A451" t="s">
        <v>154</v>
      </c>
      <c r="B451" t="s">
        <v>155</v>
      </c>
      <c r="C451" t="s">
        <v>24</v>
      </c>
      <c r="D451">
        <v>13.5</v>
      </c>
      <c r="E451">
        <v>16</v>
      </c>
      <c r="F451" t="s">
        <v>156</v>
      </c>
      <c r="G451">
        <v>1.25</v>
      </c>
      <c r="H451" s="16">
        <v>2589</v>
      </c>
      <c r="I451" t="s">
        <v>26</v>
      </c>
      <c r="J451">
        <v>2256</v>
      </c>
      <c r="K451">
        <v>1504</v>
      </c>
      <c r="L451" t="s">
        <v>28</v>
      </c>
      <c r="M451" t="s">
        <v>27</v>
      </c>
      <c r="N451" t="s">
        <v>27</v>
      </c>
      <c r="O451" t="s">
        <v>29</v>
      </c>
      <c r="P451">
        <v>2.5</v>
      </c>
      <c r="Q451" t="s">
        <v>433</v>
      </c>
      <c r="R451" t="str">
        <f>_xlfn.CONCAT(laptop[[#This Row],[CPU_company]]," ",laptop[[#This Row],[CPU_model]])</f>
        <v>Intel Core i7 7660U</v>
      </c>
      <c r="S451">
        <v>512</v>
      </c>
      <c r="T451">
        <v>0</v>
      </c>
      <c r="U451">
        <f>laptop[[#This Row],[PrimaryStorage]]+laptop[[#This Row],[SecondaryStorage]]</f>
        <v>512</v>
      </c>
      <c r="V451" t="s">
        <v>31</v>
      </c>
      <c r="W451" t="s">
        <v>27</v>
      </c>
      <c r="X451" t="str">
        <f>IF(laptop[[#This Row],[PrimaryStorageType]]=laptop[[#This Row],[SecondaryStorageType]],laptop[[#This Row],[PrimaryStorageType]],"SSD &amp; HDD")</f>
        <v>SSD &amp; HDD</v>
      </c>
      <c r="Y451" t="s">
        <v>32</v>
      </c>
      <c r="Z451" s="4" t="str">
        <f>_xlfn.CONCAT(laptop[[#This Row],[CPU_company]]," ",laptop[[#This Row],[GPU_model]])</f>
        <v>Intel Iris Plus Graphics 640</v>
      </c>
    </row>
    <row r="452" spans="1:26" x14ac:dyDescent="0.25">
      <c r="A452" t="s">
        <v>36</v>
      </c>
      <c r="B452" t="s">
        <v>434</v>
      </c>
      <c r="C452" t="s">
        <v>38</v>
      </c>
      <c r="D452">
        <v>15.6</v>
      </c>
      <c r="E452">
        <v>8</v>
      </c>
      <c r="F452" t="s">
        <v>48</v>
      </c>
      <c r="G452">
        <v>1.91</v>
      </c>
      <c r="H452" s="16">
        <v>589</v>
      </c>
      <c r="I452" t="s">
        <v>26</v>
      </c>
      <c r="J452">
        <v>1366</v>
      </c>
      <c r="K452">
        <v>768</v>
      </c>
      <c r="L452" t="s">
        <v>27</v>
      </c>
      <c r="M452" t="s">
        <v>27</v>
      </c>
      <c r="N452" t="s">
        <v>27</v>
      </c>
      <c r="O452" t="s">
        <v>29</v>
      </c>
      <c r="P452">
        <v>2.5</v>
      </c>
      <c r="Q452" t="s">
        <v>41</v>
      </c>
      <c r="R452" t="str">
        <f>_xlfn.CONCAT(laptop[[#This Row],[CPU_company]]," ",laptop[[#This Row],[CPU_model]])</f>
        <v>Intel Core i5 7200U</v>
      </c>
      <c r="S452">
        <v>128</v>
      </c>
      <c r="T452">
        <v>0</v>
      </c>
      <c r="U452">
        <f>laptop[[#This Row],[PrimaryStorage]]+laptop[[#This Row],[SecondaryStorage]]</f>
        <v>128</v>
      </c>
      <c r="V452" t="s">
        <v>31</v>
      </c>
      <c r="W452" t="s">
        <v>27</v>
      </c>
      <c r="X452" t="str">
        <f>IF(laptop[[#This Row],[PrimaryStorageType]]=laptop[[#This Row],[SecondaryStorageType]],laptop[[#This Row],[PrimaryStorageType]],"SSD &amp; HDD")</f>
        <v>SSD &amp; HDD</v>
      </c>
      <c r="Y452" t="s">
        <v>42</v>
      </c>
      <c r="Z452" s="4" t="str">
        <f>_xlfn.CONCAT(laptop[[#This Row],[CPU_company]]," ",laptop[[#This Row],[GPU_model]])</f>
        <v>Intel HD Graphics 620</v>
      </c>
    </row>
    <row r="453" spans="1:26" x14ac:dyDescent="0.25">
      <c r="A453" t="s">
        <v>65</v>
      </c>
      <c r="B453" t="s">
        <v>430</v>
      </c>
      <c r="C453" t="s">
        <v>265</v>
      </c>
      <c r="D453">
        <v>15.6</v>
      </c>
      <c r="E453">
        <v>16</v>
      </c>
      <c r="F453" t="s">
        <v>48</v>
      </c>
      <c r="G453">
        <v>2.17</v>
      </c>
      <c r="H453" s="16">
        <v>1975</v>
      </c>
      <c r="I453" t="s">
        <v>40</v>
      </c>
      <c r="J453">
        <v>1920</v>
      </c>
      <c r="K453">
        <v>1080</v>
      </c>
      <c r="L453" t="s">
        <v>27</v>
      </c>
      <c r="M453" t="s">
        <v>28</v>
      </c>
      <c r="N453" t="s">
        <v>27</v>
      </c>
      <c r="O453" t="s">
        <v>29</v>
      </c>
      <c r="P453">
        <v>2.7</v>
      </c>
      <c r="Q453" t="s">
        <v>388</v>
      </c>
      <c r="R453" t="str">
        <f>_xlfn.CONCAT(laptop[[#This Row],[CPU_company]]," ",laptop[[#This Row],[CPU_model]])</f>
        <v>Intel Core i7 6820HQ</v>
      </c>
      <c r="S453">
        <v>256</v>
      </c>
      <c r="T453">
        <v>0</v>
      </c>
      <c r="U453">
        <f>laptop[[#This Row],[PrimaryStorage]]+laptop[[#This Row],[SecondaryStorage]]</f>
        <v>256</v>
      </c>
      <c r="V453" t="s">
        <v>31</v>
      </c>
      <c r="W453" t="s">
        <v>27</v>
      </c>
      <c r="X453" t="str">
        <f>IF(laptop[[#This Row],[PrimaryStorageType]]=laptop[[#This Row],[SecondaryStorageType]],laptop[[#This Row],[PrimaryStorageType]],"SSD &amp; HDD")</f>
        <v>SSD &amp; HDD</v>
      </c>
      <c r="Y453" t="s">
        <v>431</v>
      </c>
      <c r="Z453" s="4" t="str">
        <f>_xlfn.CONCAT(laptop[[#This Row],[CPU_company]]," ",laptop[[#This Row],[GPU_model]])</f>
        <v>Intel Quadro M620</v>
      </c>
    </row>
    <row r="454" spans="1:26" x14ac:dyDescent="0.25">
      <c r="A454" t="s">
        <v>36</v>
      </c>
      <c r="B454" t="s">
        <v>407</v>
      </c>
      <c r="C454" t="s">
        <v>265</v>
      </c>
      <c r="D454">
        <v>15.6</v>
      </c>
      <c r="E454">
        <v>8</v>
      </c>
      <c r="F454" t="s">
        <v>48</v>
      </c>
      <c r="G454">
        <v>2.31</v>
      </c>
      <c r="H454" s="16">
        <v>1534</v>
      </c>
      <c r="I454" t="s">
        <v>40</v>
      </c>
      <c r="J454">
        <v>1920</v>
      </c>
      <c r="K454">
        <v>1080</v>
      </c>
      <c r="L454" t="s">
        <v>27</v>
      </c>
      <c r="M454" t="s">
        <v>28</v>
      </c>
      <c r="N454" t="s">
        <v>27</v>
      </c>
      <c r="O454" t="s">
        <v>29</v>
      </c>
      <c r="P454">
        <v>2.9</v>
      </c>
      <c r="Q454" t="s">
        <v>324</v>
      </c>
      <c r="R454" t="str">
        <f>_xlfn.CONCAT(laptop[[#This Row],[CPU_company]]," ",laptop[[#This Row],[CPU_model]])</f>
        <v>Intel Core i7 7820HQ</v>
      </c>
      <c r="S454">
        <v>512</v>
      </c>
      <c r="T454">
        <v>0</v>
      </c>
      <c r="U454">
        <f>laptop[[#This Row],[PrimaryStorage]]+laptop[[#This Row],[SecondaryStorage]]</f>
        <v>512</v>
      </c>
      <c r="V454" t="s">
        <v>31</v>
      </c>
      <c r="W454" t="s">
        <v>27</v>
      </c>
      <c r="X454" t="str">
        <f>IF(laptop[[#This Row],[PrimaryStorageType]]=laptop[[#This Row],[SecondaryStorageType]],laptop[[#This Row],[PrimaryStorageType]],"SSD &amp; HDD")</f>
        <v>SSD &amp; HDD</v>
      </c>
      <c r="Y454" t="s">
        <v>42</v>
      </c>
      <c r="Z454" s="4" t="str">
        <f>_xlfn.CONCAT(laptop[[#This Row],[CPU_company]]," ",laptop[[#This Row],[GPU_model]])</f>
        <v>Intel HD Graphics 620</v>
      </c>
    </row>
    <row r="455" spans="1:26" x14ac:dyDescent="0.25">
      <c r="A455" t="s">
        <v>73</v>
      </c>
      <c r="B455" t="s">
        <v>435</v>
      </c>
      <c r="C455" t="s">
        <v>38</v>
      </c>
      <c r="D455">
        <v>14</v>
      </c>
      <c r="E455">
        <v>8</v>
      </c>
      <c r="F455" t="s">
        <v>48</v>
      </c>
      <c r="G455">
        <v>1.65</v>
      </c>
      <c r="H455" s="16">
        <v>1345</v>
      </c>
      <c r="I455" t="s">
        <v>40</v>
      </c>
      <c r="J455">
        <v>1920</v>
      </c>
      <c r="K455">
        <v>1080</v>
      </c>
      <c r="L455" t="s">
        <v>27</v>
      </c>
      <c r="M455" t="s">
        <v>27</v>
      </c>
      <c r="N455" t="s">
        <v>27</v>
      </c>
      <c r="O455" t="s">
        <v>29</v>
      </c>
      <c r="P455">
        <v>2.5</v>
      </c>
      <c r="Q455" t="s">
        <v>41</v>
      </c>
      <c r="R455" t="str">
        <f>_xlfn.CONCAT(laptop[[#This Row],[CPU_company]]," ",laptop[[#This Row],[CPU_model]])</f>
        <v>Intel Core i5 7200U</v>
      </c>
      <c r="S455">
        <v>256</v>
      </c>
      <c r="T455">
        <v>0</v>
      </c>
      <c r="U455">
        <f>laptop[[#This Row],[PrimaryStorage]]+laptop[[#This Row],[SecondaryStorage]]</f>
        <v>256</v>
      </c>
      <c r="V455" t="s">
        <v>31</v>
      </c>
      <c r="W455" t="s">
        <v>27</v>
      </c>
      <c r="X455" t="str">
        <f>IF(laptop[[#This Row],[PrimaryStorageType]]=laptop[[#This Row],[SecondaryStorageType]],laptop[[#This Row],[PrimaryStorageType]],"SSD &amp; HDD")</f>
        <v>SSD &amp; HDD</v>
      </c>
      <c r="Y455" t="s">
        <v>42</v>
      </c>
      <c r="Z455" s="4" t="str">
        <f>_xlfn.CONCAT(laptop[[#This Row],[CPU_company]]," ",laptop[[#This Row],[GPU_model]])</f>
        <v>Intel HD Graphics 620</v>
      </c>
    </row>
    <row r="456" spans="1:26" x14ac:dyDescent="0.25">
      <c r="A456" t="s">
        <v>65</v>
      </c>
      <c r="B456" t="s">
        <v>93</v>
      </c>
      <c r="C456" t="s">
        <v>38</v>
      </c>
      <c r="D456">
        <v>15.6</v>
      </c>
      <c r="E456">
        <v>8</v>
      </c>
      <c r="F456" t="s">
        <v>48</v>
      </c>
      <c r="G456">
        <v>2.36</v>
      </c>
      <c r="H456" s="16">
        <v>979</v>
      </c>
      <c r="I456" t="s">
        <v>40</v>
      </c>
      <c r="J456">
        <v>1920</v>
      </c>
      <c r="K456">
        <v>1080</v>
      </c>
      <c r="L456" t="s">
        <v>27</v>
      </c>
      <c r="M456" t="s">
        <v>27</v>
      </c>
      <c r="N456" t="s">
        <v>27</v>
      </c>
      <c r="O456" t="s">
        <v>29</v>
      </c>
      <c r="P456">
        <v>1.8</v>
      </c>
      <c r="Q456" t="s">
        <v>57</v>
      </c>
      <c r="R456" t="str">
        <f>_xlfn.CONCAT(laptop[[#This Row],[CPU_company]]," ",laptop[[#This Row],[CPU_model]])</f>
        <v>Intel Core i7 8550U</v>
      </c>
      <c r="S456">
        <v>128</v>
      </c>
      <c r="T456">
        <v>1024</v>
      </c>
      <c r="U456">
        <f>laptop[[#This Row],[PrimaryStorage]]+laptop[[#This Row],[SecondaryStorage]]</f>
        <v>1152</v>
      </c>
      <c r="V456" t="s">
        <v>31</v>
      </c>
      <c r="W456" t="s">
        <v>51</v>
      </c>
      <c r="X456" t="str">
        <f>IF(laptop[[#This Row],[PrimaryStorageType]]=laptop[[#This Row],[SecondaryStorageType]],laptop[[#This Row],[PrimaryStorageType]],"SSD &amp; HDD")</f>
        <v>SSD &amp; HDD</v>
      </c>
      <c r="Y456" t="s">
        <v>94</v>
      </c>
      <c r="Z456" s="4" t="str">
        <f>_xlfn.CONCAT(laptop[[#This Row],[CPU_company]]," ",laptop[[#This Row],[GPU_model]])</f>
        <v>Intel Radeon 530</v>
      </c>
    </row>
    <row r="457" spans="1:26" x14ac:dyDescent="0.25">
      <c r="A457" t="s">
        <v>65</v>
      </c>
      <c r="B457" t="s">
        <v>436</v>
      </c>
      <c r="C457" t="s">
        <v>90</v>
      </c>
      <c r="D457">
        <v>11.6</v>
      </c>
      <c r="E457">
        <v>4</v>
      </c>
      <c r="F457" t="s">
        <v>48</v>
      </c>
      <c r="G457">
        <v>1.47</v>
      </c>
      <c r="H457" s="16">
        <v>479</v>
      </c>
      <c r="I457" t="s">
        <v>26</v>
      </c>
      <c r="J457">
        <v>1366</v>
      </c>
      <c r="K457">
        <v>768</v>
      </c>
      <c r="L457" t="s">
        <v>28</v>
      </c>
      <c r="M457" t="s">
        <v>27</v>
      </c>
      <c r="N457" t="s">
        <v>27</v>
      </c>
      <c r="O457" t="s">
        <v>29</v>
      </c>
      <c r="P457">
        <v>1.6</v>
      </c>
      <c r="Q457" t="s">
        <v>346</v>
      </c>
      <c r="R457" t="str">
        <f>_xlfn.CONCAT(laptop[[#This Row],[CPU_company]]," ",laptop[[#This Row],[CPU_model]])</f>
        <v>Intel Pentium Quad Core N3710</v>
      </c>
      <c r="S457">
        <v>500</v>
      </c>
      <c r="T457">
        <v>0</v>
      </c>
      <c r="U457">
        <f>laptop[[#This Row],[PrimaryStorage]]+laptop[[#This Row],[SecondaryStorage]]</f>
        <v>500</v>
      </c>
      <c r="V457" t="s">
        <v>51</v>
      </c>
      <c r="W457" t="s">
        <v>27</v>
      </c>
      <c r="X457" t="str">
        <f>IF(laptop[[#This Row],[PrimaryStorageType]]=laptop[[#This Row],[SecondaryStorageType]],laptop[[#This Row],[PrimaryStorageType]],"SSD &amp; HDD")</f>
        <v>SSD &amp; HDD</v>
      </c>
      <c r="Y457" t="s">
        <v>347</v>
      </c>
      <c r="Z457" s="4" t="str">
        <f>_xlfn.CONCAT(laptop[[#This Row],[CPU_company]]," ",laptop[[#This Row],[GPU_model]])</f>
        <v>Intel HD Graphics 405</v>
      </c>
    </row>
    <row r="458" spans="1:26" x14ac:dyDescent="0.25">
      <c r="A458" t="s">
        <v>65</v>
      </c>
      <c r="B458" t="s">
        <v>275</v>
      </c>
      <c r="C458" t="s">
        <v>38</v>
      </c>
      <c r="D458">
        <v>17.3</v>
      </c>
      <c r="E458">
        <v>8</v>
      </c>
      <c r="F458" t="s">
        <v>48</v>
      </c>
      <c r="G458">
        <v>4.42</v>
      </c>
      <c r="H458" s="16">
        <v>2046</v>
      </c>
      <c r="I458" t="s">
        <v>40</v>
      </c>
      <c r="J458">
        <v>1920</v>
      </c>
      <c r="K458">
        <v>1080</v>
      </c>
      <c r="L458" t="s">
        <v>27</v>
      </c>
      <c r="M458" t="s">
        <v>28</v>
      </c>
      <c r="N458" t="s">
        <v>27</v>
      </c>
      <c r="O458" t="s">
        <v>29</v>
      </c>
      <c r="P458">
        <v>2.7</v>
      </c>
      <c r="Q458" t="s">
        <v>118</v>
      </c>
      <c r="R458" t="str">
        <f>_xlfn.CONCAT(laptop[[#This Row],[CPU_company]]," ",laptop[[#This Row],[CPU_model]])</f>
        <v>Intel Core i7 7700HQ</v>
      </c>
      <c r="S458">
        <v>1024</v>
      </c>
      <c r="T458">
        <v>0</v>
      </c>
      <c r="U458">
        <f>laptop[[#This Row],[PrimaryStorage]]+laptop[[#This Row],[SecondaryStorage]]</f>
        <v>1024</v>
      </c>
      <c r="V458" t="s">
        <v>51</v>
      </c>
      <c r="W458" t="s">
        <v>27</v>
      </c>
      <c r="X458" t="str">
        <f>IF(laptop[[#This Row],[PrimaryStorageType]]=laptop[[#This Row],[SecondaryStorageType]],laptop[[#This Row],[PrimaryStorageType]],"SSD &amp; HDD")</f>
        <v>SSD &amp; HDD</v>
      </c>
      <c r="Y458" t="s">
        <v>119</v>
      </c>
      <c r="Z458" s="4" t="str">
        <f>_xlfn.CONCAT(laptop[[#This Row],[CPU_company]]," ",laptop[[#This Row],[GPU_model]])</f>
        <v>Intel GeForce GTX 1060</v>
      </c>
    </row>
    <row r="459" spans="1:26" x14ac:dyDescent="0.25">
      <c r="A459" t="s">
        <v>154</v>
      </c>
      <c r="B459" t="s">
        <v>155</v>
      </c>
      <c r="C459" t="s">
        <v>24</v>
      </c>
      <c r="D459">
        <v>13.5</v>
      </c>
      <c r="E459">
        <v>4</v>
      </c>
      <c r="F459" t="s">
        <v>156</v>
      </c>
      <c r="G459">
        <v>1.252</v>
      </c>
      <c r="H459" s="16">
        <v>989</v>
      </c>
      <c r="I459" t="s">
        <v>26</v>
      </c>
      <c r="J459">
        <v>2256</v>
      </c>
      <c r="K459">
        <v>1504</v>
      </c>
      <c r="L459" t="s">
        <v>28</v>
      </c>
      <c r="M459" t="s">
        <v>27</v>
      </c>
      <c r="N459" t="s">
        <v>27</v>
      </c>
      <c r="O459" t="s">
        <v>29</v>
      </c>
      <c r="P459">
        <v>2.2000000000000002</v>
      </c>
      <c r="Q459" t="s">
        <v>437</v>
      </c>
      <c r="R459" t="str">
        <f>_xlfn.CONCAT(laptop[[#This Row],[CPU_company]]," ",laptop[[#This Row],[CPU_model]])</f>
        <v>Intel Core M m3-7Y30</v>
      </c>
      <c r="S459">
        <v>128</v>
      </c>
      <c r="T459">
        <v>0</v>
      </c>
      <c r="U459">
        <f>laptop[[#This Row],[PrimaryStorage]]+laptop[[#This Row],[SecondaryStorage]]</f>
        <v>128</v>
      </c>
      <c r="V459" t="s">
        <v>31</v>
      </c>
      <c r="W459" t="s">
        <v>27</v>
      </c>
      <c r="X459" t="str">
        <f>IF(laptop[[#This Row],[PrimaryStorageType]]=laptop[[#This Row],[SecondaryStorageType]],laptop[[#This Row],[PrimaryStorageType]],"SSD &amp; HDD")</f>
        <v>SSD &amp; HDD</v>
      </c>
      <c r="Y459" t="s">
        <v>70</v>
      </c>
      <c r="Z459" s="4" t="str">
        <f>_xlfn.CONCAT(laptop[[#This Row],[CPU_company]]," ",laptop[[#This Row],[GPU_model]])</f>
        <v>Intel HD Graphics 615</v>
      </c>
    </row>
    <row r="460" spans="1:26" x14ac:dyDescent="0.25">
      <c r="A460" t="s">
        <v>154</v>
      </c>
      <c r="B460" t="s">
        <v>155</v>
      </c>
      <c r="C460" t="s">
        <v>24</v>
      </c>
      <c r="D460">
        <v>13.5</v>
      </c>
      <c r="E460">
        <v>8</v>
      </c>
      <c r="F460" t="s">
        <v>156</v>
      </c>
      <c r="G460">
        <v>1.25</v>
      </c>
      <c r="H460" s="16">
        <v>1799</v>
      </c>
      <c r="I460" t="s">
        <v>26</v>
      </c>
      <c r="J460">
        <v>2256</v>
      </c>
      <c r="K460">
        <v>1504</v>
      </c>
      <c r="L460" t="s">
        <v>28</v>
      </c>
      <c r="M460" t="s">
        <v>27</v>
      </c>
      <c r="N460" t="s">
        <v>27</v>
      </c>
      <c r="O460" t="s">
        <v>29</v>
      </c>
      <c r="P460">
        <v>2.5</v>
      </c>
      <c r="Q460" t="s">
        <v>433</v>
      </c>
      <c r="R460" t="str">
        <f>_xlfn.CONCAT(laptop[[#This Row],[CPU_company]]," ",laptop[[#This Row],[CPU_model]])</f>
        <v>Intel Core i7 7660U</v>
      </c>
      <c r="S460">
        <v>256</v>
      </c>
      <c r="T460">
        <v>0</v>
      </c>
      <c r="U460">
        <f>laptop[[#This Row],[PrimaryStorage]]+laptop[[#This Row],[SecondaryStorage]]</f>
        <v>256</v>
      </c>
      <c r="V460" t="s">
        <v>31</v>
      </c>
      <c r="W460" t="s">
        <v>27</v>
      </c>
      <c r="X460" t="str">
        <f>IF(laptop[[#This Row],[PrimaryStorageType]]=laptop[[#This Row],[SecondaryStorageType]],laptop[[#This Row],[PrimaryStorageType]],"SSD &amp; HDD")</f>
        <v>SSD &amp; HDD</v>
      </c>
      <c r="Y460" t="s">
        <v>32</v>
      </c>
      <c r="Z460" s="4" t="str">
        <f>_xlfn.CONCAT(laptop[[#This Row],[CPU_company]]," ",laptop[[#This Row],[GPU_model]])</f>
        <v>Intel Iris Plus Graphics 640</v>
      </c>
    </row>
    <row r="461" spans="1:26" x14ac:dyDescent="0.25">
      <c r="A461" t="s">
        <v>36</v>
      </c>
      <c r="B461" t="s">
        <v>438</v>
      </c>
      <c r="C461" t="s">
        <v>38</v>
      </c>
      <c r="D461">
        <v>17.3</v>
      </c>
      <c r="E461">
        <v>8</v>
      </c>
      <c r="F461" t="s">
        <v>48</v>
      </c>
      <c r="G461">
        <v>2.5</v>
      </c>
      <c r="H461" s="16">
        <v>639.9</v>
      </c>
      <c r="I461" t="s">
        <v>26</v>
      </c>
      <c r="J461">
        <v>1600</v>
      </c>
      <c r="K461">
        <v>900</v>
      </c>
      <c r="L461" t="s">
        <v>27</v>
      </c>
      <c r="M461" t="s">
        <v>27</v>
      </c>
      <c r="N461" t="s">
        <v>27</v>
      </c>
      <c r="O461" t="s">
        <v>29</v>
      </c>
      <c r="P461">
        <v>2</v>
      </c>
      <c r="Q461" t="s">
        <v>62</v>
      </c>
      <c r="R461" t="str">
        <f>_xlfn.CONCAT(laptop[[#This Row],[CPU_company]]," ",laptop[[#This Row],[CPU_model]])</f>
        <v>Intel Core i3 6006U</v>
      </c>
      <c r="S461">
        <v>256</v>
      </c>
      <c r="T461">
        <v>0</v>
      </c>
      <c r="U461">
        <f>laptop[[#This Row],[PrimaryStorage]]+laptop[[#This Row],[SecondaryStorage]]</f>
        <v>256</v>
      </c>
      <c r="V461" t="s">
        <v>31</v>
      </c>
      <c r="W461" t="s">
        <v>27</v>
      </c>
      <c r="X461" t="str">
        <f>IF(laptop[[#This Row],[PrimaryStorageType]]=laptop[[#This Row],[SecondaryStorageType]],laptop[[#This Row],[PrimaryStorageType]],"SSD &amp; HDD")</f>
        <v>SSD &amp; HDD</v>
      </c>
      <c r="Y461" t="s">
        <v>63</v>
      </c>
      <c r="Z461" s="4" t="str">
        <f>_xlfn.CONCAT(laptop[[#This Row],[CPU_company]]," ",laptop[[#This Row],[GPU_model]])</f>
        <v>Intel HD Graphics 520</v>
      </c>
    </row>
    <row r="462" spans="1:26" x14ac:dyDescent="0.25">
      <c r="A462" t="s">
        <v>46</v>
      </c>
      <c r="B462" t="s">
        <v>262</v>
      </c>
      <c r="C462" t="s">
        <v>38</v>
      </c>
      <c r="D462">
        <v>15.6</v>
      </c>
      <c r="E462">
        <v>4</v>
      </c>
      <c r="F462" t="s">
        <v>48</v>
      </c>
      <c r="G462">
        <v>2.23</v>
      </c>
      <c r="H462" s="16">
        <v>544</v>
      </c>
      <c r="I462" t="s">
        <v>40</v>
      </c>
      <c r="J462">
        <v>1920</v>
      </c>
      <c r="K462">
        <v>1080</v>
      </c>
      <c r="L462" t="s">
        <v>27</v>
      </c>
      <c r="M462" t="s">
        <v>27</v>
      </c>
      <c r="N462" t="s">
        <v>27</v>
      </c>
      <c r="O462" t="s">
        <v>29</v>
      </c>
      <c r="P462">
        <v>2</v>
      </c>
      <c r="Q462" t="s">
        <v>62</v>
      </c>
      <c r="R462" t="str">
        <f>_xlfn.CONCAT(laptop[[#This Row],[CPU_company]]," ",laptop[[#This Row],[CPU_model]])</f>
        <v>Intel Core i3 6006U</v>
      </c>
      <c r="S462">
        <v>1024</v>
      </c>
      <c r="T462">
        <v>0</v>
      </c>
      <c r="U462">
        <f>laptop[[#This Row],[PrimaryStorage]]+laptop[[#This Row],[SecondaryStorage]]</f>
        <v>1024</v>
      </c>
      <c r="V462" t="s">
        <v>51</v>
      </c>
      <c r="W462" t="s">
        <v>27</v>
      </c>
      <c r="X462" t="str">
        <f>IF(laptop[[#This Row],[PrimaryStorageType]]=laptop[[#This Row],[SecondaryStorageType]],laptop[[#This Row],[PrimaryStorageType]],"SSD &amp; HDD")</f>
        <v>SSD &amp; HDD</v>
      </c>
      <c r="Y462" t="s">
        <v>76</v>
      </c>
      <c r="Z462" s="4" t="str">
        <f>_xlfn.CONCAT(laptop[[#This Row],[CPU_company]]," ",laptop[[#This Row],[GPU_model]])</f>
        <v>Intel GeForce 940MX</v>
      </c>
    </row>
    <row r="463" spans="1:26" x14ac:dyDescent="0.25">
      <c r="A463" t="s">
        <v>46</v>
      </c>
      <c r="B463" t="s">
        <v>345</v>
      </c>
      <c r="C463" t="s">
        <v>79</v>
      </c>
      <c r="D463">
        <v>11.6</v>
      </c>
      <c r="E463">
        <v>4</v>
      </c>
      <c r="F463" t="s">
        <v>48</v>
      </c>
      <c r="G463">
        <v>1.4</v>
      </c>
      <c r="H463" s="16">
        <v>435</v>
      </c>
      <c r="I463" t="s">
        <v>26</v>
      </c>
      <c r="J463">
        <v>1366</v>
      </c>
      <c r="K463">
        <v>768</v>
      </c>
      <c r="L463" t="s">
        <v>27</v>
      </c>
      <c r="M463" t="s">
        <v>27</v>
      </c>
      <c r="N463" t="s">
        <v>27</v>
      </c>
      <c r="O463" t="s">
        <v>29</v>
      </c>
      <c r="P463">
        <v>1.6</v>
      </c>
      <c r="Q463" t="s">
        <v>151</v>
      </c>
      <c r="R463" t="str">
        <f>_xlfn.CONCAT(laptop[[#This Row],[CPU_company]]," ",laptop[[#This Row],[CPU_model]])</f>
        <v>Intel Celeron Dual Core N3060</v>
      </c>
      <c r="S463">
        <v>128</v>
      </c>
      <c r="T463">
        <v>0</v>
      </c>
      <c r="U463">
        <f>laptop[[#This Row],[PrimaryStorage]]+laptop[[#This Row],[SecondaryStorage]]</f>
        <v>128</v>
      </c>
      <c r="V463" t="s">
        <v>31</v>
      </c>
      <c r="W463" t="s">
        <v>27</v>
      </c>
      <c r="X463" t="str">
        <f>IF(laptop[[#This Row],[PrimaryStorageType]]=laptop[[#This Row],[SecondaryStorageType]],laptop[[#This Row],[PrimaryStorageType]],"SSD &amp; HDD")</f>
        <v>SSD &amp; HDD</v>
      </c>
      <c r="Y463" t="s">
        <v>81</v>
      </c>
      <c r="Z463" s="4" t="str">
        <f>_xlfn.CONCAT(laptop[[#This Row],[CPU_company]]," ",laptop[[#This Row],[GPU_model]])</f>
        <v>Intel HD Graphics 400</v>
      </c>
    </row>
    <row r="464" spans="1:26" x14ac:dyDescent="0.25">
      <c r="A464" t="s">
        <v>55</v>
      </c>
      <c r="B464" t="s">
        <v>439</v>
      </c>
      <c r="C464" t="s">
        <v>38</v>
      </c>
      <c r="D464">
        <v>15.6</v>
      </c>
      <c r="E464">
        <v>8</v>
      </c>
      <c r="F464" t="s">
        <v>48</v>
      </c>
      <c r="G464">
        <v>2.37</v>
      </c>
      <c r="H464" s="16">
        <v>749</v>
      </c>
      <c r="I464" t="s">
        <v>40</v>
      </c>
      <c r="J464">
        <v>1920</v>
      </c>
      <c r="K464">
        <v>1080</v>
      </c>
      <c r="L464" t="s">
        <v>27</v>
      </c>
      <c r="M464" t="s">
        <v>27</v>
      </c>
      <c r="N464" t="s">
        <v>27</v>
      </c>
      <c r="O464" t="s">
        <v>29</v>
      </c>
      <c r="P464">
        <v>2.5</v>
      </c>
      <c r="Q464" t="s">
        <v>41</v>
      </c>
      <c r="R464" t="str">
        <f>_xlfn.CONCAT(laptop[[#This Row],[CPU_company]]," ",laptop[[#This Row],[CPU_model]])</f>
        <v>Intel Core i5 7200U</v>
      </c>
      <c r="S464">
        <v>1024</v>
      </c>
      <c r="T464">
        <v>0</v>
      </c>
      <c r="U464">
        <f>laptop[[#This Row],[PrimaryStorage]]+laptop[[#This Row],[SecondaryStorage]]</f>
        <v>1024</v>
      </c>
      <c r="V464" t="s">
        <v>51</v>
      </c>
      <c r="W464" t="s">
        <v>27</v>
      </c>
      <c r="X464" t="str">
        <f>IF(laptop[[#This Row],[PrimaryStorageType]]=laptop[[#This Row],[SecondaryStorageType]],laptop[[#This Row],[PrimaryStorageType]],"SSD &amp; HDD")</f>
        <v>SSD &amp; HDD</v>
      </c>
      <c r="Y464" t="s">
        <v>42</v>
      </c>
      <c r="Z464" s="4" t="str">
        <f>_xlfn.CONCAT(laptop[[#This Row],[CPU_company]]," ",laptop[[#This Row],[GPU_model]])</f>
        <v>Intel HD Graphics 620</v>
      </c>
    </row>
    <row r="465" spans="1:26" x14ac:dyDescent="0.25">
      <c r="A465" t="s">
        <v>73</v>
      </c>
      <c r="B465" t="s">
        <v>440</v>
      </c>
      <c r="C465" t="s">
        <v>38</v>
      </c>
      <c r="D465">
        <v>14</v>
      </c>
      <c r="E465">
        <v>8</v>
      </c>
      <c r="F465" t="s">
        <v>39</v>
      </c>
      <c r="G465">
        <v>1.5</v>
      </c>
      <c r="H465" s="16">
        <v>799</v>
      </c>
      <c r="I465" t="s">
        <v>40</v>
      </c>
      <c r="J465">
        <v>1920</v>
      </c>
      <c r="K465">
        <v>1080</v>
      </c>
      <c r="L465" t="s">
        <v>27</v>
      </c>
      <c r="M465" t="s">
        <v>28</v>
      </c>
      <c r="N465" t="s">
        <v>27</v>
      </c>
      <c r="O465" t="s">
        <v>29</v>
      </c>
      <c r="P465">
        <v>2.7</v>
      </c>
      <c r="Q465" t="s">
        <v>71</v>
      </c>
      <c r="R465" t="str">
        <f>_xlfn.CONCAT(laptop[[#This Row],[CPU_company]]," ",laptop[[#This Row],[CPU_model]])</f>
        <v>Intel Core i7 7500U</v>
      </c>
      <c r="S465">
        <v>512</v>
      </c>
      <c r="T465">
        <v>0</v>
      </c>
      <c r="U465">
        <f>laptop[[#This Row],[PrimaryStorage]]+laptop[[#This Row],[SecondaryStorage]]</f>
        <v>512</v>
      </c>
      <c r="V465" t="s">
        <v>31</v>
      </c>
      <c r="W465" t="s">
        <v>27</v>
      </c>
      <c r="X465" t="str">
        <f>IF(laptop[[#This Row],[PrimaryStorageType]]=laptop[[#This Row],[SecondaryStorageType]],laptop[[#This Row],[PrimaryStorageType]],"SSD &amp; HDD")</f>
        <v>SSD &amp; HDD</v>
      </c>
      <c r="Y465" t="s">
        <v>441</v>
      </c>
      <c r="Z465" s="4" t="str">
        <f>_xlfn.CONCAT(laptop[[#This Row],[CPU_company]]," ",laptop[[#This Row],[GPU_model]])</f>
        <v>Intel Radeon R7 M460</v>
      </c>
    </row>
    <row r="466" spans="1:26" x14ac:dyDescent="0.25">
      <c r="A466" t="s">
        <v>73</v>
      </c>
      <c r="B466" t="s">
        <v>417</v>
      </c>
      <c r="C466" t="s">
        <v>38</v>
      </c>
      <c r="D466">
        <v>15.6</v>
      </c>
      <c r="E466">
        <v>8</v>
      </c>
      <c r="F466" t="s">
        <v>48</v>
      </c>
      <c r="G466">
        <v>2.67</v>
      </c>
      <c r="H466" s="16">
        <v>2090</v>
      </c>
      <c r="I466" t="s">
        <v>40</v>
      </c>
      <c r="J466">
        <v>1920</v>
      </c>
      <c r="K466">
        <v>1080</v>
      </c>
      <c r="L466" t="s">
        <v>27</v>
      </c>
      <c r="M466" t="s">
        <v>27</v>
      </c>
      <c r="N466" t="s">
        <v>27</v>
      </c>
      <c r="O466" t="s">
        <v>29</v>
      </c>
      <c r="P466">
        <v>2.9</v>
      </c>
      <c r="Q466" t="s">
        <v>324</v>
      </c>
      <c r="R466" t="str">
        <f>_xlfn.CONCAT(laptop[[#This Row],[CPU_company]]," ",laptop[[#This Row],[CPU_model]])</f>
        <v>Intel Core i7 7820HQ</v>
      </c>
      <c r="S466">
        <v>256</v>
      </c>
      <c r="T466">
        <v>0</v>
      </c>
      <c r="U466">
        <f>laptop[[#This Row],[PrimaryStorage]]+laptop[[#This Row],[SecondaryStorage]]</f>
        <v>256</v>
      </c>
      <c r="V466" t="s">
        <v>31</v>
      </c>
      <c r="W466" t="s">
        <v>27</v>
      </c>
      <c r="X466" t="str">
        <f>IF(laptop[[#This Row],[PrimaryStorageType]]=laptop[[#This Row],[SecondaryStorageType]],laptop[[#This Row],[PrimaryStorageType]],"SSD &amp; HDD")</f>
        <v>SSD &amp; HDD</v>
      </c>
      <c r="Y466" t="s">
        <v>418</v>
      </c>
      <c r="Z466" s="4" t="str">
        <f>_xlfn.CONCAT(laptop[[#This Row],[CPU_company]]," ",laptop[[#This Row],[GPU_model]])</f>
        <v>Intel Quadro M2200M</v>
      </c>
    </row>
    <row r="467" spans="1:26" x14ac:dyDescent="0.25">
      <c r="A467" t="s">
        <v>55</v>
      </c>
      <c r="B467" t="s">
        <v>442</v>
      </c>
      <c r="C467" t="s">
        <v>38</v>
      </c>
      <c r="D467">
        <v>15.6</v>
      </c>
      <c r="E467">
        <v>4</v>
      </c>
      <c r="F467" t="s">
        <v>48</v>
      </c>
      <c r="G467">
        <v>2</v>
      </c>
      <c r="H467" s="16">
        <v>304</v>
      </c>
      <c r="I467" t="s">
        <v>26</v>
      </c>
      <c r="J467">
        <v>1366</v>
      </c>
      <c r="K467">
        <v>768</v>
      </c>
      <c r="L467" t="s">
        <v>27</v>
      </c>
      <c r="M467" t="s">
        <v>27</v>
      </c>
      <c r="N467" t="s">
        <v>27</v>
      </c>
      <c r="O467" t="s">
        <v>29</v>
      </c>
      <c r="P467">
        <v>1.1000000000000001</v>
      </c>
      <c r="Q467" t="s">
        <v>130</v>
      </c>
      <c r="R467" t="str">
        <f>_xlfn.CONCAT(laptop[[#This Row],[CPU_company]]," ",laptop[[#This Row],[CPU_model]])</f>
        <v>Intel Pentium Quad Core N4200</v>
      </c>
      <c r="S467">
        <v>500</v>
      </c>
      <c r="T467">
        <v>0</v>
      </c>
      <c r="U467">
        <f>laptop[[#This Row],[PrimaryStorage]]+laptop[[#This Row],[SecondaryStorage]]</f>
        <v>500</v>
      </c>
      <c r="V467" t="s">
        <v>51</v>
      </c>
      <c r="W467" t="s">
        <v>27</v>
      </c>
      <c r="X467" t="str">
        <f>IF(laptop[[#This Row],[PrimaryStorageType]]=laptop[[#This Row],[SecondaryStorageType]],laptop[[#This Row],[PrimaryStorageType]],"SSD &amp; HDD")</f>
        <v>SSD &amp; HDD</v>
      </c>
      <c r="Y467" t="s">
        <v>110</v>
      </c>
      <c r="Z467" s="4" t="str">
        <f>_xlfn.CONCAT(laptop[[#This Row],[CPU_company]]," ",laptop[[#This Row],[GPU_model]])</f>
        <v>Intel HD Graphics 500</v>
      </c>
    </row>
    <row r="468" spans="1:26" x14ac:dyDescent="0.25">
      <c r="A468" t="s">
        <v>46</v>
      </c>
      <c r="B468" t="s">
        <v>173</v>
      </c>
      <c r="C468" t="s">
        <v>38</v>
      </c>
      <c r="D468">
        <v>15.6</v>
      </c>
      <c r="E468">
        <v>4</v>
      </c>
      <c r="F468" t="s">
        <v>48</v>
      </c>
      <c r="G468">
        <v>2.2000000000000002</v>
      </c>
      <c r="H468" s="16">
        <v>469</v>
      </c>
      <c r="I468" t="s">
        <v>26</v>
      </c>
      <c r="J468">
        <v>1366</v>
      </c>
      <c r="K468">
        <v>768</v>
      </c>
      <c r="L468" t="s">
        <v>27</v>
      </c>
      <c r="M468" t="s">
        <v>27</v>
      </c>
      <c r="N468" t="s">
        <v>27</v>
      </c>
      <c r="O468" t="s">
        <v>29</v>
      </c>
      <c r="P468">
        <v>2</v>
      </c>
      <c r="Q468" t="s">
        <v>62</v>
      </c>
      <c r="R468" t="str">
        <f>_xlfn.CONCAT(laptop[[#This Row],[CPU_company]]," ",laptop[[#This Row],[CPU_model]])</f>
        <v>Intel Core i3 6006U</v>
      </c>
      <c r="S468">
        <v>500</v>
      </c>
      <c r="T468">
        <v>0</v>
      </c>
      <c r="U468">
        <f>laptop[[#This Row],[PrimaryStorage]]+laptop[[#This Row],[SecondaryStorage]]</f>
        <v>500</v>
      </c>
      <c r="V468" t="s">
        <v>51</v>
      </c>
      <c r="W468" t="s">
        <v>27</v>
      </c>
      <c r="X468" t="str">
        <f>IF(laptop[[#This Row],[PrimaryStorageType]]=laptop[[#This Row],[SecondaryStorageType]],laptop[[#This Row],[PrimaryStorageType]],"SSD &amp; HDD")</f>
        <v>SSD &amp; HDD</v>
      </c>
      <c r="Y468" t="s">
        <v>168</v>
      </c>
      <c r="Z468" s="4" t="str">
        <f>_xlfn.CONCAT(laptop[[#This Row],[CPU_company]]," ",laptop[[#This Row],[GPU_model]])</f>
        <v>Intel GeForce GTX 940MX</v>
      </c>
    </row>
    <row r="469" spans="1:26" x14ac:dyDescent="0.25">
      <c r="A469" t="s">
        <v>65</v>
      </c>
      <c r="B469" t="s">
        <v>93</v>
      </c>
      <c r="C469" t="s">
        <v>38</v>
      </c>
      <c r="D469">
        <v>15.6</v>
      </c>
      <c r="E469">
        <v>8</v>
      </c>
      <c r="F469" t="s">
        <v>48</v>
      </c>
      <c r="G469">
        <v>2.02</v>
      </c>
      <c r="H469" s="16">
        <v>759</v>
      </c>
      <c r="I469" t="s">
        <v>40</v>
      </c>
      <c r="J469">
        <v>1920</v>
      </c>
      <c r="K469">
        <v>1080</v>
      </c>
      <c r="L469" t="s">
        <v>27</v>
      </c>
      <c r="M469" t="s">
        <v>27</v>
      </c>
      <c r="N469" t="s">
        <v>27</v>
      </c>
      <c r="O469" t="s">
        <v>29</v>
      </c>
      <c r="P469">
        <v>1.6</v>
      </c>
      <c r="Q469" t="s">
        <v>60</v>
      </c>
      <c r="R469" t="str">
        <f>_xlfn.CONCAT(laptop[[#This Row],[CPU_company]]," ",laptop[[#This Row],[CPU_model]])</f>
        <v>Intel Core i5 8250U</v>
      </c>
      <c r="S469">
        <v>2048</v>
      </c>
      <c r="T469">
        <v>0</v>
      </c>
      <c r="U469">
        <f>laptop[[#This Row],[PrimaryStorage]]+laptop[[#This Row],[SecondaryStorage]]</f>
        <v>2048</v>
      </c>
      <c r="V469" t="s">
        <v>51</v>
      </c>
      <c r="W469" t="s">
        <v>27</v>
      </c>
      <c r="X469" t="str">
        <f>IF(laptop[[#This Row],[PrimaryStorageType]]=laptop[[#This Row],[SecondaryStorageType]],laptop[[#This Row],[PrimaryStorageType]],"SSD &amp; HDD")</f>
        <v>SSD &amp; HDD</v>
      </c>
      <c r="Y469" t="s">
        <v>94</v>
      </c>
      <c r="Z469" s="4" t="str">
        <f>_xlfn.CONCAT(laptop[[#This Row],[CPU_company]]," ",laptop[[#This Row],[GPU_model]])</f>
        <v>Intel Radeon 530</v>
      </c>
    </row>
    <row r="470" spans="1:26" x14ac:dyDescent="0.25">
      <c r="A470" t="s">
        <v>36</v>
      </c>
      <c r="B470" t="s">
        <v>443</v>
      </c>
      <c r="C470" t="s">
        <v>83</v>
      </c>
      <c r="D470">
        <v>17.3</v>
      </c>
      <c r="E470">
        <v>12</v>
      </c>
      <c r="F470" t="s">
        <v>48</v>
      </c>
      <c r="G470">
        <v>3.78</v>
      </c>
      <c r="H470" s="16">
        <v>1699</v>
      </c>
      <c r="I470" t="s">
        <v>40</v>
      </c>
      <c r="J470">
        <v>1920</v>
      </c>
      <c r="K470">
        <v>1080</v>
      </c>
      <c r="L470" t="s">
        <v>27</v>
      </c>
      <c r="M470" t="s">
        <v>28</v>
      </c>
      <c r="N470" t="s">
        <v>27</v>
      </c>
      <c r="O470" t="s">
        <v>29</v>
      </c>
      <c r="P470">
        <v>2.8</v>
      </c>
      <c r="Q470" t="s">
        <v>118</v>
      </c>
      <c r="R470" t="str">
        <f>_xlfn.CONCAT(laptop[[#This Row],[CPU_company]]," ",laptop[[#This Row],[CPU_model]])</f>
        <v>Intel Core i7 7700HQ</v>
      </c>
      <c r="S470">
        <v>1024</v>
      </c>
      <c r="T470">
        <v>0</v>
      </c>
      <c r="U470">
        <f>laptop[[#This Row],[PrimaryStorage]]+laptop[[#This Row],[SecondaryStorage]]</f>
        <v>1024</v>
      </c>
      <c r="V470" t="s">
        <v>51</v>
      </c>
      <c r="W470" t="s">
        <v>27</v>
      </c>
      <c r="X470" t="str">
        <f>IF(laptop[[#This Row],[PrimaryStorageType]]=laptop[[#This Row],[SecondaryStorageType]],laptop[[#This Row],[PrimaryStorageType]],"SSD &amp; HDD")</f>
        <v>SSD &amp; HDD</v>
      </c>
      <c r="Y470" t="s">
        <v>119</v>
      </c>
      <c r="Z470" s="4" t="str">
        <f>_xlfn.CONCAT(laptop[[#This Row],[CPU_company]]," ",laptop[[#This Row],[GPU_model]])</f>
        <v>Intel GeForce GTX 1060</v>
      </c>
    </row>
    <row r="471" spans="1:26" x14ac:dyDescent="0.25">
      <c r="A471" t="s">
        <v>73</v>
      </c>
      <c r="B471" t="s">
        <v>444</v>
      </c>
      <c r="C471" t="s">
        <v>24</v>
      </c>
      <c r="D471">
        <v>14</v>
      </c>
      <c r="E471">
        <v>12</v>
      </c>
      <c r="F471" t="s">
        <v>48</v>
      </c>
      <c r="G471">
        <v>1.4</v>
      </c>
      <c r="H471" s="16">
        <v>1858</v>
      </c>
      <c r="I471" t="s">
        <v>107</v>
      </c>
      <c r="J471">
        <v>2560</v>
      </c>
      <c r="K471">
        <v>1440</v>
      </c>
      <c r="L471" t="s">
        <v>27</v>
      </c>
      <c r="M471" t="s">
        <v>28</v>
      </c>
      <c r="N471" t="s">
        <v>27</v>
      </c>
      <c r="O471" t="s">
        <v>29</v>
      </c>
      <c r="P471">
        <v>2.6</v>
      </c>
      <c r="Q471" t="s">
        <v>309</v>
      </c>
      <c r="R471" t="str">
        <f>_xlfn.CONCAT(laptop[[#This Row],[CPU_company]]," ",laptop[[#This Row],[CPU_model]])</f>
        <v>Intel Core i7 6600U</v>
      </c>
      <c r="S471">
        <v>256</v>
      </c>
      <c r="T471">
        <v>0</v>
      </c>
      <c r="U471">
        <f>laptop[[#This Row],[PrimaryStorage]]+laptop[[#This Row],[SecondaryStorage]]</f>
        <v>256</v>
      </c>
      <c r="V471" t="s">
        <v>31</v>
      </c>
      <c r="W471" t="s">
        <v>27</v>
      </c>
      <c r="X471" t="str">
        <f>IF(laptop[[#This Row],[PrimaryStorageType]]=laptop[[#This Row],[SecondaryStorageType]],laptop[[#This Row],[PrimaryStorageType]],"SSD &amp; HDD")</f>
        <v>SSD &amp; HDD</v>
      </c>
      <c r="Y471" t="s">
        <v>63</v>
      </c>
      <c r="Z471" s="4" t="str">
        <f>_xlfn.CONCAT(laptop[[#This Row],[CPU_company]]," ",laptop[[#This Row],[GPU_model]])</f>
        <v>Intel HD Graphics 520</v>
      </c>
    </row>
    <row r="472" spans="1:26" x14ac:dyDescent="0.25">
      <c r="A472" t="s">
        <v>36</v>
      </c>
      <c r="B472" t="s">
        <v>192</v>
      </c>
      <c r="C472" t="s">
        <v>90</v>
      </c>
      <c r="D472">
        <v>13.3</v>
      </c>
      <c r="E472">
        <v>8</v>
      </c>
      <c r="F472" t="s">
        <v>48</v>
      </c>
      <c r="G472">
        <v>1.29</v>
      </c>
      <c r="H472" s="16">
        <v>1999</v>
      </c>
      <c r="I472" t="s">
        <v>215</v>
      </c>
      <c r="J472">
        <v>3840</v>
      </c>
      <c r="K472">
        <v>2160</v>
      </c>
      <c r="L472" t="s">
        <v>28</v>
      </c>
      <c r="M472" t="s">
        <v>28</v>
      </c>
      <c r="N472" t="s">
        <v>27</v>
      </c>
      <c r="O472" t="s">
        <v>29</v>
      </c>
      <c r="P472">
        <v>1.8</v>
      </c>
      <c r="Q472" t="s">
        <v>57</v>
      </c>
      <c r="R472" t="str">
        <f>_xlfn.CONCAT(laptop[[#This Row],[CPU_company]]," ",laptop[[#This Row],[CPU_model]])</f>
        <v>Intel Core i7 8550U</v>
      </c>
      <c r="S472">
        <v>512</v>
      </c>
      <c r="T472">
        <v>0</v>
      </c>
      <c r="U472">
        <f>laptop[[#This Row],[PrimaryStorage]]+laptop[[#This Row],[SecondaryStorage]]</f>
        <v>512</v>
      </c>
      <c r="V472" t="s">
        <v>31</v>
      </c>
      <c r="W472" t="s">
        <v>27</v>
      </c>
      <c r="X472" t="str">
        <f>IF(laptop[[#This Row],[PrimaryStorageType]]=laptop[[#This Row],[SecondaryStorageType]],laptop[[#This Row],[PrimaryStorageType]],"SSD &amp; HDD")</f>
        <v>SSD &amp; HDD</v>
      </c>
      <c r="Y472" t="s">
        <v>61</v>
      </c>
      <c r="Z472" s="4" t="str">
        <f>_xlfn.CONCAT(laptop[[#This Row],[CPU_company]]," ",laptop[[#This Row],[GPU_model]])</f>
        <v>Intel UHD Graphics 620</v>
      </c>
    </row>
    <row r="473" spans="1:26" x14ac:dyDescent="0.25">
      <c r="A473" t="s">
        <v>36</v>
      </c>
      <c r="B473" t="s">
        <v>280</v>
      </c>
      <c r="C473" t="s">
        <v>38</v>
      </c>
      <c r="D473">
        <v>15.6</v>
      </c>
      <c r="E473">
        <v>8</v>
      </c>
      <c r="F473" t="s">
        <v>48</v>
      </c>
      <c r="G473">
        <v>1.9</v>
      </c>
      <c r="H473" s="16">
        <v>1154</v>
      </c>
      <c r="I473" t="s">
        <v>40</v>
      </c>
      <c r="J473">
        <v>1920</v>
      </c>
      <c r="K473">
        <v>1080</v>
      </c>
      <c r="L473" t="s">
        <v>27</v>
      </c>
      <c r="M473" t="s">
        <v>27</v>
      </c>
      <c r="N473" t="s">
        <v>27</v>
      </c>
      <c r="O473" t="s">
        <v>29</v>
      </c>
      <c r="P473">
        <v>2.5</v>
      </c>
      <c r="Q473" t="s">
        <v>41</v>
      </c>
      <c r="R473" t="str">
        <f>_xlfn.CONCAT(laptop[[#This Row],[CPU_company]]," ",laptop[[#This Row],[CPU_model]])</f>
        <v>Intel Core i5 7200U</v>
      </c>
      <c r="S473">
        <v>500</v>
      </c>
      <c r="T473">
        <v>0</v>
      </c>
      <c r="U473">
        <f>laptop[[#This Row],[PrimaryStorage]]+laptop[[#This Row],[SecondaryStorage]]</f>
        <v>500</v>
      </c>
      <c r="V473" t="s">
        <v>51</v>
      </c>
      <c r="W473" t="s">
        <v>27</v>
      </c>
      <c r="X473" t="str">
        <f>IF(laptop[[#This Row],[PrimaryStorageType]]=laptop[[#This Row],[SecondaryStorageType]],laptop[[#This Row],[PrimaryStorageType]],"SSD &amp; HDD")</f>
        <v>SSD &amp; HDD</v>
      </c>
      <c r="Y473" t="s">
        <v>281</v>
      </c>
      <c r="Z473" s="4" t="str">
        <f>_xlfn.CONCAT(laptop[[#This Row],[CPU_company]]," ",laptop[[#This Row],[GPU_model]])</f>
        <v xml:space="preserve">Intel FirePro W4190M </v>
      </c>
    </row>
    <row r="474" spans="1:26" x14ac:dyDescent="0.25">
      <c r="A474" t="s">
        <v>421</v>
      </c>
      <c r="B474" t="s">
        <v>422</v>
      </c>
      <c r="C474" t="s">
        <v>24</v>
      </c>
      <c r="D474">
        <v>12.3</v>
      </c>
      <c r="E474">
        <v>8</v>
      </c>
      <c r="F474" t="s">
        <v>317</v>
      </c>
      <c r="G474">
        <v>1.1000000000000001</v>
      </c>
      <c r="H474" s="16">
        <v>1275</v>
      </c>
      <c r="I474" t="s">
        <v>26</v>
      </c>
      <c r="J474">
        <v>2400</v>
      </c>
      <c r="K474">
        <v>1600</v>
      </c>
      <c r="L474" t="s">
        <v>28</v>
      </c>
      <c r="M474" t="s">
        <v>27</v>
      </c>
      <c r="N474" t="s">
        <v>27</v>
      </c>
      <c r="O474" t="s">
        <v>29</v>
      </c>
      <c r="P474">
        <v>1.2</v>
      </c>
      <c r="Q474" t="s">
        <v>445</v>
      </c>
      <c r="R474" t="str">
        <f>_xlfn.CONCAT(laptop[[#This Row],[CPU_company]]," ",laptop[[#This Row],[CPU_model]])</f>
        <v>Intel Core i5 7Y57</v>
      </c>
      <c r="S474">
        <v>128</v>
      </c>
      <c r="T474">
        <v>0</v>
      </c>
      <c r="U474">
        <f>laptop[[#This Row],[PrimaryStorage]]+laptop[[#This Row],[SecondaryStorage]]</f>
        <v>128</v>
      </c>
      <c r="V474" t="s">
        <v>31</v>
      </c>
      <c r="W474" t="s">
        <v>27</v>
      </c>
      <c r="X474" t="str">
        <f>IF(laptop[[#This Row],[PrimaryStorageType]]=laptop[[#This Row],[SecondaryStorageType]],laptop[[#This Row],[PrimaryStorageType]],"SSD &amp; HDD")</f>
        <v>SSD &amp; HDD</v>
      </c>
      <c r="Y474" t="s">
        <v>70</v>
      </c>
      <c r="Z474" s="4" t="str">
        <f>_xlfn.CONCAT(laptop[[#This Row],[CPU_company]]," ",laptop[[#This Row],[GPU_model]])</f>
        <v>Intel HD Graphics 615</v>
      </c>
    </row>
    <row r="475" spans="1:26" x14ac:dyDescent="0.25">
      <c r="A475" t="s">
        <v>65</v>
      </c>
      <c r="B475" t="s">
        <v>446</v>
      </c>
      <c r="C475" t="s">
        <v>24</v>
      </c>
      <c r="D475">
        <v>13.3</v>
      </c>
      <c r="E475">
        <v>8</v>
      </c>
      <c r="F475" t="s">
        <v>48</v>
      </c>
      <c r="G475">
        <v>1.42</v>
      </c>
      <c r="H475" s="16">
        <v>1841.85</v>
      </c>
      <c r="I475" t="s">
        <v>40</v>
      </c>
      <c r="J475">
        <v>1920</v>
      </c>
      <c r="K475">
        <v>1080</v>
      </c>
      <c r="L475" t="s">
        <v>28</v>
      </c>
      <c r="M475" t="s">
        <v>27</v>
      </c>
      <c r="N475" t="s">
        <v>27</v>
      </c>
      <c r="O475" t="s">
        <v>29</v>
      </c>
      <c r="P475">
        <v>1.6</v>
      </c>
      <c r="Q475" t="s">
        <v>60</v>
      </c>
      <c r="R475" t="str">
        <f>_xlfn.CONCAT(laptop[[#This Row],[CPU_company]]," ",laptop[[#This Row],[CPU_model]])</f>
        <v>Intel Core i5 8250U</v>
      </c>
      <c r="S475">
        <v>256</v>
      </c>
      <c r="T475">
        <v>0</v>
      </c>
      <c r="U475">
        <f>laptop[[#This Row],[PrimaryStorage]]+laptop[[#This Row],[SecondaryStorage]]</f>
        <v>256</v>
      </c>
      <c r="V475" t="s">
        <v>31</v>
      </c>
      <c r="W475" t="s">
        <v>27</v>
      </c>
      <c r="X475" t="str">
        <f>IF(laptop[[#This Row],[PrimaryStorageType]]=laptop[[#This Row],[SecondaryStorageType]],laptop[[#This Row],[PrimaryStorageType]],"SSD &amp; HDD")</f>
        <v>SSD &amp; HDD</v>
      </c>
      <c r="Y475" t="s">
        <v>61</v>
      </c>
      <c r="Z475" s="4" t="str">
        <f>_xlfn.CONCAT(laptop[[#This Row],[CPU_company]]," ",laptop[[#This Row],[GPU_model]])</f>
        <v>Intel UHD Graphics 620</v>
      </c>
    </row>
    <row r="476" spans="1:26" x14ac:dyDescent="0.25">
      <c r="A476" t="s">
        <v>55</v>
      </c>
      <c r="B476" t="s">
        <v>148</v>
      </c>
      <c r="C476" t="s">
        <v>38</v>
      </c>
      <c r="D476">
        <v>15.6</v>
      </c>
      <c r="E476">
        <v>12</v>
      </c>
      <c r="F476" t="s">
        <v>48</v>
      </c>
      <c r="G476">
        <v>2.06</v>
      </c>
      <c r="H476" s="16">
        <v>1299</v>
      </c>
      <c r="I476" t="s">
        <v>215</v>
      </c>
      <c r="J476">
        <v>3840</v>
      </c>
      <c r="K476">
        <v>2160</v>
      </c>
      <c r="L476" t="s">
        <v>27</v>
      </c>
      <c r="M476" t="s">
        <v>28</v>
      </c>
      <c r="N476" t="s">
        <v>27</v>
      </c>
      <c r="O476" t="s">
        <v>29</v>
      </c>
      <c r="P476">
        <v>2.6</v>
      </c>
      <c r="Q476" t="s">
        <v>447</v>
      </c>
      <c r="R476" t="str">
        <f>_xlfn.CONCAT(laptop[[#This Row],[CPU_company]]," ",laptop[[#This Row],[CPU_model]])</f>
        <v>Intel Core i7 6700HQ</v>
      </c>
      <c r="S476">
        <v>128</v>
      </c>
      <c r="T476">
        <v>1024</v>
      </c>
      <c r="U476">
        <f>laptop[[#This Row],[PrimaryStorage]]+laptop[[#This Row],[SecondaryStorage]]</f>
        <v>1152</v>
      </c>
      <c r="V476" t="s">
        <v>31</v>
      </c>
      <c r="W476" t="s">
        <v>51</v>
      </c>
      <c r="X476" t="str">
        <f>IF(laptop[[#This Row],[PrimaryStorageType]]=laptop[[#This Row],[SecondaryStorageType]],laptop[[#This Row],[PrimaryStorageType]],"SSD &amp; HDD")</f>
        <v>SSD &amp; HDD</v>
      </c>
      <c r="Y476" t="s">
        <v>448</v>
      </c>
      <c r="Z476" s="4" t="str">
        <f>_xlfn.CONCAT(laptop[[#This Row],[CPU_company]]," ",laptop[[#This Row],[GPU_model]])</f>
        <v>Intel HD Graphics 530</v>
      </c>
    </row>
    <row r="477" spans="1:26" x14ac:dyDescent="0.25">
      <c r="A477" t="s">
        <v>65</v>
      </c>
      <c r="B477" t="s">
        <v>449</v>
      </c>
      <c r="C477" t="s">
        <v>38</v>
      </c>
      <c r="D477">
        <v>14</v>
      </c>
      <c r="E477">
        <v>8</v>
      </c>
      <c r="F477" t="s">
        <v>48</v>
      </c>
      <c r="G477">
        <v>1.79</v>
      </c>
      <c r="H477" s="16">
        <v>740</v>
      </c>
      <c r="I477" t="s">
        <v>26</v>
      </c>
      <c r="J477">
        <v>1366</v>
      </c>
      <c r="K477">
        <v>768</v>
      </c>
      <c r="L477" t="s">
        <v>27</v>
      </c>
      <c r="M477" t="s">
        <v>27</v>
      </c>
      <c r="N477" t="s">
        <v>27</v>
      </c>
      <c r="O477" t="s">
        <v>29</v>
      </c>
      <c r="P477">
        <v>2.2999999999999998</v>
      </c>
      <c r="Q477" t="s">
        <v>450</v>
      </c>
      <c r="R477" t="str">
        <f>_xlfn.CONCAT(laptop[[#This Row],[CPU_company]]," ",laptop[[#This Row],[CPU_model]])</f>
        <v>Intel Core i3 6100U</v>
      </c>
      <c r="S477">
        <v>128</v>
      </c>
      <c r="T477">
        <v>0</v>
      </c>
      <c r="U477">
        <f>laptop[[#This Row],[PrimaryStorage]]+laptop[[#This Row],[SecondaryStorage]]</f>
        <v>128</v>
      </c>
      <c r="V477" t="s">
        <v>31</v>
      </c>
      <c r="W477" t="s">
        <v>27</v>
      </c>
      <c r="X477" t="str">
        <f>IF(laptop[[#This Row],[PrimaryStorageType]]=laptop[[#This Row],[SecondaryStorageType]],laptop[[#This Row],[PrimaryStorageType]],"SSD &amp; HDD")</f>
        <v>SSD &amp; HDD</v>
      </c>
      <c r="Y477" t="s">
        <v>63</v>
      </c>
      <c r="Z477" s="4" t="str">
        <f>_xlfn.CONCAT(laptop[[#This Row],[CPU_company]]," ",laptop[[#This Row],[GPU_model]])</f>
        <v>Intel HD Graphics 520</v>
      </c>
    </row>
    <row r="478" spans="1:26" x14ac:dyDescent="0.25">
      <c r="A478" t="s">
        <v>65</v>
      </c>
      <c r="B478" t="s">
        <v>395</v>
      </c>
      <c r="C478" t="s">
        <v>265</v>
      </c>
      <c r="D478">
        <v>15.6</v>
      </c>
      <c r="E478">
        <v>8</v>
      </c>
      <c r="F478" t="s">
        <v>48</v>
      </c>
      <c r="G478">
        <v>1.78</v>
      </c>
      <c r="H478" s="16">
        <v>2408</v>
      </c>
      <c r="I478" t="s">
        <v>40</v>
      </c>
      <c r="J478">
        <v>1920</v>
      </c>
      <c r="K478">
        <v>1080</v>
      </c>
      <c r="L478" t="s">
        <v>27</v>
      </c>
      <c r="M478" t="s">
        <v>27</v>
      </c>
      <c r="N478" t="s">
        <v>27</v>
      </c>
      <c r="O478" t="s">
        <v>29</v>
      </c>
      <c r="P478">
        <v>2.8</v>
      </c>
      <c r="Q478" t="s">
        <v>118</v>
      </c>
      <c r="R478" t="str">
        <f>_xlfn.CONCAT(laptop[[#This Row],[CPU_company]]," ",laptop[[#This Row],[CPU_model]])</f>
        <v>Intel Core i7 7700HQ</v>
      </c>
      <c r="S478">
        <v>256</v>
      </c>
      <c r="T478">
        <v>0</v>
      </c>
      <c r="U478">
        <f>laptop[[#This Row],[PrimaryStorage]]+laptop[[#This Row],[SecondaryStorage]]</f>
        <v>256</v>
      </c>
      <c r="V478" t="s">
        <v>31</v>
      </c>
      <c r="W478" t="s">
        <v>27</v>
      </c>
      <c r="X478" t="str">
        <f>IF(laptop[[#This Row],[PrimaryStorageType]]=laptop[[#This Row],[SecondaryStorageType]],laptop[[#This Row],[PrimaryStorageType]],"SSD &amp; HDD")</f>
        <v>SSD &amp; HDD</v>
      </c>
      <c r="Y478" t="s">
        <v>267</v>
      </c>
      <c r="Z478" s="4" t="str">
        <f>_xlfn.CONCAT(laptop[[#This Row],[CPU_company]]," ",laptop[[#This Row],[GPU_model]])</f>
        <v>Intel Quadro M1200</v>
      </c>
    </row>
    <row r="479" spans="1:26" x14ac:dyDescent="0.25">
      <c r="A479" t="s">
        <v>73</v>
      </c>
      <c r="B479" t="s">
        <v>187</v>
      </c>
      <c r="C479" t="s">
        <v>38</v>
      </c>
      <c r="D479">
        <v>14</v>
      </c>
      <c r="E479">
        <v>8</v>
      </c>
      <c r="F479" t="s">
        <v>48</v>
      </c>
      <c r="G479">
        <v>1.7</v>
      </c>
      <c r="H479" s="16">
        <v>1364</v>
      </c>
      <c r="I479" t="s">
        <v>40</v>
      </c>
      <c r="J479">
        <v>1920</v>
      </c>
      <c r="K479">
        <v>1080</v>
      </c>
      <c r="L479" t="s">
        <v>27</v>
      </c>
      <c r="M479" t="s">
        <v>27</v>
      </c>
      <c r="N479" t="s">
        <v>27</v>
      </c>
      <c r="O479" t="s">
        <v>29</v>
      </c>
      <c r="P479">
        <v>2.5</v>
      </c>
      <c r="Q479" t="s">
        <v>41</v>
      </c>
      <c r="R479" t="str">
        <f>_xlfn.CONCAT(laptop[[#This Row],[CPU_company]]," ",laptop[[#This Row],[CPU_model]])</f>
        <v>Intel Core i5 7200U</v>
      </c>
      <c r="S479">
        <v>180</v>
      </c>
      <c r="T479">
        <v>0</v>
      </c>
      <c r="U479">
        <f>laptop[[#This Row],[PrimaryStorage]]+laptop[[#This Row],[SecondaryStorage]]</f>
        <v>180</v>
      </c>
      <c r="V479" t="s">
        <v>31</v>
      </c>
      <c r="W479" t="s">
        <v>27</v>
      </c>
      <c r="X479" t="str">
        <f>IF(laptop[[#This Row],[PrimaryStorageType]]=laptop[[#This Row],[SecondaryStorageType]],laptop[[#This Row],[PrimaryStorageType]],"SSD &amp; HDD")</f>
        <v>SSD &amp; HDD</v>
      </c>
      <c r="Y479" t="s">
        <v>42</v>
      </c>
      <c r="Z479" s="4" t="str">
        <f>_xlfn.CONCAT(laptop[[#This Row],[CPU_company]]," ",laptop[[#This Row],[GPU_model]])</f>
        <v>Intel HD Graphics 620</v>
      </c>
    </row>
    <row r="480" spans="1:26" x14ac:dyDescent="0.25">
      <c r="A480" t="s">
        <v>65</v>
      </c>
      <c r="B480" t="s">
        <v>137</v>
      </c>
      <c r="C480" t="s">
        <v>38</v>
      </c>
      <c r="D480">
        <v>15.6</v>
      </c>
      <c r="E480">
        <v>8</v>
      </c>
      <c r="F480" t="s">
        <v>48</v>
      </c>
      <c r="G480">
        <v>2.2000000000000002</v>
      </c>
      <c r="H480" s="16">
        <v>675</v>
      </c>
      <c r="I480" t="s">
        <v>40</v>
      </c>
      <c r="J480">
        <v>1920</v>
      </c>
      <c r="K480">
        <v>1080</v>
      </c>
      <c r="L480" t="s">
        <v>27</v>
      </c>
      <c r="M480" t="s">
        <v>27</v>
      </c>
      <c r="N480" t="s">
        <v>27</v>
      </c>
      <c r="O480" t="s">
        <v>29</v>
      </c>
      <c r="P480">
        <v>1.6</v>
      </c>
      <c r="Q480" t="s">
        <v>60</v>
      </c>
      <c r="R480" t="str">
        <f>_xlfn.CONCAT(laptop[[#This Row],[CPU_company]]," ",laptop[[#This Row],[CPU_model]])</f>
        <v>Intel Core i5 8250U</v>
      </c>
      <c r="S480">
        <v>1024</v>
      </c>
      <c r="T480">
        <v>0</v>
      </c>
      <c r="U480">
        <f>laptop[[#This Row],[PrimaryStorage]]+laptop[[#This Row],[SecondaryStorage]]</f>
        <v>1024</v>
      </c>
      <c r="V480" t="s">
        <v>51</v>
      </c>
      <c r="W480" t="s">
        <v>27</v>
      </c>
      <c r="X480" t="str">
        <f>IF(laptop[[#This Row],[PrimaryStorageType]]=laptop[[#This Row],[SecondaryStorageType]],laptop[[#This Row],[PrimaryStorageType]],"SSD &amp; HDD")</f>
        <v>SSD &amp; HDD</v>
      </c>
      <c r="Y480" t="s">
        <v>138</v>
      </c>
      <c r="Z480" s="4" t="str">
        <f>_xlfn.CONCAT(laptop[[#This Row],[CPU_company]]," ",laptop[[#This Row],[GPU_model]])</f>
        <v>Intel Radeon 520</v>
      </c>
    </row>
    <row r="481" spans="1:26" x14ac:dyDescent="0.25">
      <c r="A481" t="s">
        <v>210</v>
      </c>
      <c r="B481" t="s">
        <v>451</v>
      </c>
      <c r="C481" t="s">
        <v>38</v>
      </c>
      <c r="D481">
        <v>13.3</v>
      </c>
      <c r="E481">
        <v>8</v>
      </c>
      <c r="F481" t="s">
        <v>48</v>
      </c>
      <c r="G481">
        <v>1.05</v>
      </c>
      <c r="H481" s="16">
        <v>1672</v>
      </c>
      <c r="I481" t="s">
        <v>40</v>
      </c>
      <c r="J481">
        <v>1920</v>
      </c>
      <c r="K481">
        <v>1080</v>
      </c>
      <c r="L481" t="s">
        <v>27</v>
      </c>
      <c r="M481" t="s">
        <v>28</v>
      </c>
      <c r="N481" t="s">
        <v>27</v>
      </c>
      <c r="O481" t="s">
        <v>29</v>
      </c>
      <c r="P481">
        <v>2.5</v>
      </c>
      <c r="Q481" t="s">
        <v>41</v>
      </c>
      <c r="R481" t="str">
        <f>_xlfn.CONCAT(laptop[[#This Row],[CPU_company]]," ",laptop[[#This Row],[CPU_model]])</f>
        <v>Intel Core i5 7200U</v>
      </c>
      <c r="S481">
        <v>256</v>
      </c>
      <c r="T481">
        <v>0</v>
      </c>
      <c r="U481">
        <f>laptop[[#This Row],[PrimaryStorage]]+laptop[[#This Row],[SecondaryStorage]]</f>
        <v>256</v>
      </c>
      <c r="V481" t="s">
        <v>31</v>
      </c>
      <c r="W481" t="s">
        <v>27</v>
      </c>
      <c r="X481" t="str">
        <f>IF(laptop[[#This Row],[PrimaryStorageType]]=laptop[[#This Row],[SecondaryStorageType]],laptop[[#This Row],[PrimaryStorageType]],"SSD &amp; HDD")</f>
        <v>SSD &amp; HDD</v>
      </c>
      <c r="Y481" t="s">
        <v>42</v>
      </c>
      <c r="Z481" s="4" t="str">
        <f>_xlfn.CONCAT(laptop[[#This Row],[CPU_company]]," ",laptop[[#This Row],[GPU_model]])</f>
        <v>Intel HD Graphics 620</v>
      </c>
    </row>
    <row r="482" spans="1:26" x14ac:dyDescent="0.25">
      <c r="A482" t="s">
        <v>65</v>
      </c>
      <c r="B482" t="s">
        <v>193</v>
      </c>
      <c r="C482" t="s">
        <v>38</v>
      </c>
      <c r="D482">
        <v>15.6</v>
      </c>
      <c r="E482">
        <v>8</v>
      </c>
      <c r="F482" t="s">
        <v>48</v>
      </c>
      <c r="G482">
        <v>2.16</v>
      </c>
      <c r="H482" s="16">
        <v>1262</v>
      </c>
      <c r="I482" t="s">
        <v>40</v>
      </c>
      <c r="J482">
        <v>1920</v>
      </c>
      <c r="K482">
        <v>1080</v>
      </c>
      <c r="L482" t="s">
        <v>27</v>
      </c>
      <c r="M482" t="s">
        <v>28</v>
      </c>
      <c r="N482" t="s">
        <v>27</v>
      </c>
      <c r="O482" t="s">
        <v>29</v>
      </c>
      <c r="P482">
        <v>1.8</v>
      </c>
      <c r="Q482" t="s">
        <v>57</v>
      </c>
      <c r="R482" t="str">
        <f>_xlfn.CONCAT(laptop[[#This Row],[CPU_company]]," ",laptop[[#This Row],[CPU_model]])</f>
        <v>Intel Core i7 8550U</v>
      </c>
      <c r="S482">
        <v>512</v>
      </c>
      <c r="T482">
        <v>0</v>
      </c>
      <c r="U482">
        <f>laptop[[#This Row],[PrimaryStorage]]+laptop[[#This Row],[SecondaryStorage]]</f>
        <v>512</v>
      </c>
      <c r="V482" t="s">
        <v>31</v>
      </c>
      <c r="W482" t="s">
        <v>27</v>
      </c>
      <c r="X482" t="str">
        <f>IF(laptop[[#This Row],[PrimaryStorageType]]=laptop[[#This Row],[SecondaryStorageType]],laptop[[#This Row],[PrimaryStorageType]],"SSD &amp; HDD")</f>
        <v>SSD &amp; HDD</v>
      </c>
      <c r="Y482" t="s">
        <v>76</v>
      </c>
      <c r="Z482" s="4" t="str">
        <f>_xlfn.CONCAT(laptop[[#This Row],[CPU_company]]," ",laptop[[#This Row],[GPU_model]])</f>
        <v>Intel GeForce 940MX</v>
      </c>
    </row>
    <row r="483" spans="1:26" x14ac:dyDescent="0.25">
      <c r="A483" t="s">
        <v>65</v>
      </c>
      <c r="B483" t="s">
        <v>305</v>
      </c>
      <c r="C483" t="s">
        <v>38</v>
      </c>
      <c r="D483">
        <v>15.6</v>
      </c>
      <c r="E483">
        <v>4</v>
      </c>
      <c r="F483" t="s">
        <v>48</v>
      </c>
      <c r="G483">
        <v>2.1800000000000002</v>
      </c>
      <c r="H483" s="16">
        <v>586.6</v>
      </c>
      <c r="I483" t="s">
        <v>26</v>
      </c>
      <c r="J483">
        <v>1366</v>
      </c>
      <c r="K483">
        <v>768</v>
      </c>
      <c r="L483" t="s">
        <v>27</v>
      </c>
      <c r="M483" t="s">
        <v>27</v>
      </c>
      <c r="N483" t="s">
        <v>27</v>
      </c>
      <c r="O483" t="s">
        <v>29</v>
      </c>
      <c r="P483">
        <v>2.4</v>
      </c>
      <c r="Q483" t="s">
        <v>75</v>
      </c>
      <c r="R483" t="str">
        <f>_xlfn.CONCAT(laptop[[#This Row],[CPU_company]]," ",laptop[[#This Row],[CPU_model]])</f>
        <v>Intel Core i3 7100U</v>
      </c>
      <c r="S483">
        <v>1024</v>
      </c>
      <c r="T483">
        <v>0</v>
      </c>
      <c r="U483">
        <f>laptop[[#This Row],[PrimaryStorage]]+laptop[[#This Row],[SecondaryStorage]]</f>
        <v>1024</v>
      </c>
      <c r="V483" t="s">
        <v>51</v>
      </c>
      <c r="W483" t="s">
        <v>27</v>
      </c>
      <c r="X483" t="str">
        <f>IF(laptop[[#This Row],[PrimaryStorageType]]=laptop[[#This Row],[SecondaryStorageType]],laptop[[#This Row],[PrimaryStorageType]],"SSD &amp; HDD")</f>
        <v>SSD &amp; HDD</v>
      </c>
      <c r="Y483" t="s">
        <v>42</v>
      </c>
      <c r="Z483" s="4" t="str">
        <f>_xlfn.CONCAT(laptop[[#This Row],[CPU_company]]," ",laptop[[#This Row],[GPU_model]])</f>
        <v>Intel HD Graphics 620</v>
      </c>
    </row>
    <row r="484" spans="1:26" x14ac:dyDescent="0.25">
      <c r="A484" t="s">
        <v>36</v>
      </c>
      <c r="B484" t="s">
        <v>136</v>
      </c>
      <c r="C484" t="s">
        <v>38</v>
      </c>
      <c r="D484">
        <v>13.3</v>
      </c>
      <c r="E484">
        <v>4</v>
      </c>
      <c r="F484" t="s">
        <v>48</v>
      </c>
      <c r="G484">
        <v>1.49</v>
      </c>
      <c r="H484" s="16">
        <v>726</v>
      </c>
      <c r="I484" t="s">
        <v>40</v>
      </c>
      <c r="J484">
        <v>1920</v>
      </c>
      <c r="K484">
        <v>1080</v>
      </c>
      <c r="L484" t="s">
        <v>27</v>
      </c>
      <c r="M484" t="s">
        <v>28</v>
      </c>
      <c r="N484" t="s">
        <v>27</v>
      </c>
      <c r="O484" t="s">
        <v>29</v>
      </c>
      <c r="P484">
        <v>1.6</v>
      </c>
      <c r="Q484" t="s">
        <v>60</v>
      </c>
      <c r="R484" t="str">
        <f>_xlfn.CONCAT(laptop[[#This Row],[CPU_company]]," ",laptop[[#This Row],[CPU_model]])</f>
        <v>Intel Core i5 8250U</v>
      </c>
      <c r="S484">
        <v>128</v>
      </c>
      <c r="T484">
        <v>0</v>
      </c>
      <c r="U484">
        <f>laptop[[#This Row],[PrimaryStorage]]+laptop[[#This Row],[SecondaryStorage]]</f>
        <v>128</v>
      </c>
      <c r="V484" t="s">
        <v>31</v>
      </c>
      <c r="W484" t="s">
        <v>27</v>
      </c>
      <c r="X484" t="str">
        <f>IF(laptop[[#This Row],[PrimaryStorageType]]=laptop[[#This Row],[SecondaryStorageType]],laptop[[#This Row],[PrimaryStorageType]],"SSD &amp; HDD")</f>
        <v>SSD &amp; HDD</v>
      </c>
      <c r="Y484" t="s">
        <v>61</v>
      </c>
      <c r="Z484" s="4" t="str">
        <f>_xlfn.CONCAT(laptop[[#This Row],[CPU_company]]," ",laptop[[#This Row],[GPU_model]])</f>
        <v>Intel UHD Graphics 620</v>
      </c>
    </row>
    <row r="485" spans="1:26" x14ac:dyDescent="0.25">
      <c r="A485" t="s">
        <v>99</v>
      </c>
      <c r="B485" t="s">
        <v>452</v>
      </c>
      <c r="C485" t="s">
        <v>38</v>
      </c>
      <c r="D485">
        <v>15.6</v>
      </c>
      <c r="E485">
        <v>4</v>
      </c>
      <c r="F485" t="s">
        <v>48</v>
      </c>
      <c r="G485">
        <v>1.89</v>
      </c>
      <c r="H485" s="16">
        <v>248.9</v>
      </c>
      <c r="I485" t="s">
        <v>40</v>
      </c>
      <c r="J485">
        <v>1920</v>
      </c>
      <c r="K485">
        <v>1080</v>
      </c>
      <c r="L485" t="s">
        <v>27</v>
      </c>
      <c r="M485" t="s">
        <v>27</v>
      </c>
      <c r="N485" t="s">
        <v>27</v>
      </c>
      <c r="O485" t="s">
        <v>29</v>
      </c>
      <c r="P485">
        <v>1.44</v>
      </c>
      <c r="Q485" t="s">
        <v>80</v>
      </c>
      <c r="R485" t="str">
        <f>_xlfn.CONCAT(laptop[[#This Row],[CPU_company]]," ",laptop[[#This Row],[CPU_model]])</f>
        <v>Intel Atom x5-Z8350</v>
      </c>
      <c r="S485">
        <v>64</v>
      </c>
      <c r="T485">
        <v>0</v>
      </c>
      <c r="U485">
        <f>laptop[[#This Row],[PrimaryStorage]]+laptop[[#This Row],[SecondaryStorage]]</f>
        <v>64</v>
      </c>
      <c r="V485" t="s">
        <v>34</v>
      </c>
      <c r="W485" t="s">
        <v>27</v>
      </c>
      <c r="X485" t="str">
        <f>IF(laptop[[#This Row],[PrimaryStorageType]]=laptop[[#This Row],[SecondaryStorageType]],laptop[[#This Row],[PrimaryStorageType]],"SSD &amp; HDD")</f>
        <v>SSD &amp; HDD</v>
      </c>
      <c r="Y485" t="s">
        <v>102</v>
      </c>
      <c r="Z485" s="4" t="str">
        <f>_xlfn.CONCAT(laptop[[#This Row],[CPU_company]]," ",laptop[[#This Row],[GPU_model]])</f>
        <v>Intel HD Graphics</v>
      </c>
    </row>
    <row r="486" spans="1:26" x14ac:dyDescent="0.25">
      <c r="A486" t="s">
        <v>73</v>
      </c>
      <c r="B486" t="s">
        <v>453</v>
      </c>
      <c r="C486" t="s">
        <v>38</v>
      </c>
      <c r="D486">
        <v>15.6</v>
      </c>
      <c r="E486">
        <v>4</v>
      </c>
      <c r="F486" t="s">
        <v>48</v>
      </c>
      <c r="G486">
        <v>2.2999999999999998</v>
      </c>
      <c r="H486" s="16">
        <v>565</v>
      </c>
      <c r="I486" t="s">
        <v>26</v>
      </c>
      <c r="J486">
        <v>1366</v>
      </c>
      <c r="K486">
        <v>768</v>
      </c>
      <c r="L486" t="s">
        <v>27</v>
      </c>
      <c r="M486" t="s">
        <v>27</v>
      </c>
      <c r="N486" t="s">
        <v>27</v>
      </c>
      <c r="O486" t="s">
        <v>29</v>
      </c>
      <c r="P486">
        <v>2</v>
      </c>
      <c r="Q486" t="s">
        <v>62</v>
      </c>
      <c r="R486" t="str">
        <f>_xlfn.CONCAT(laptop[[#This Row],[CPU_company]]," ",laptop[[#This Row],[CPU_model]])</f>
        <v>Intel Core i3 6006U</v>
      </c>
      <c r="S486">
        <v>128</v>
      </c>
      <c r="T486">
        <v>0</v>
      </c>
      <c r="U486">
        <f>laptop[[#This Row],[PrimaryStorage]]+laptop[[#This Row],[SecondaryStorage]]</f>
        <v>128</v>
      </c>
      <c r="V486" t="s">
        <v>31</v>
      </c>
      <c r="W486" t="s">
        <v>27</v>
      </c>
      <c r="X486" t="str">
        <f>IF(laptop[[#This Row],[PrimaryStorageType]]=laptop[[#This Row],[SecondaryStorageType]],laptop[[#This Row],[PrimaryStorageType]],"SSD &amp; HDD")</f>
        <v>SSD &amp; HDD</v>
      </c>
      <c r="Y486" t="s">
        <v>63</v>
      </c>
      <c r="Z486" s="4" t="str">
        <f>_xlfn.CONCAT(laptop[[#This Row],[CPU_company]]," ",laptop[[#This Row],[GPU_model]])</f>
        <v>Intel HD Graphics 520</v>
      </c>
    </row>
    <row r="487" spans="1:26" x14ac:dyDescent="0.25">
      <c r="A487" t="s">
        <v>73</v>
      </c>
      <c r="B487" t="s">
        <v>207</v>
      </c>
      <c r="C487" t="s">
        <v>38</v>
      </c>
      <c r="D487">
        <v>14</v>
      </c>
      <c r="E487">
        <v>8</v>
      </c>
      <c r="F487" t="s">
        <v>48</v>
      </c>
      <c r="G487">
        <v>1.75</v>
      </c>
      <c r="H487" s="16">
        <v>1049</v>
      </c>
      <c r="I487" t="s">
        <v>40</v>
      </c>
      <c r="J487">
        <v>1920</v>
      </c>
      <c r="K487">
        <v>1080</v>
      </c>
      <c r="L487" t="s">
        <v>27</v>
      </c>
      <c r="M487" t="s">
        <v>28</v>
      </c>
      <c r="N487" t="s">
        <v>27</v>
      </c>
      <c r="O487" t="s">
        <v>29</v>
      </c>
      <c r="P487">
        <v>1.6</v>
      </c>
      <c r="Q487" t="s">
        <v>60</v>
      </c>
      <c r="R487" t="str">
        <f>_xlfn.CONCAT(laptop[[#This Row],[CPU_company]]," ",laptop[[#This Row],[CPU_model]])</f>
        <v>Intel Core i5 8250U</v>
      </c>
      <c r="S487">
        <v>256</v>
      </c>
      <c r="T487">
        <v>0</v>
      </c>
      <c r="U487">
        <f>laptop[[#This Row],[PrimaryStorage]]+laptop[[#This Row],[SecondaryStorage]]</f>
        <v>256</v>
      </c>
      <c r="V487" t="s">
        <v>31</v>
      </c>
      <c r="W487" t="s">
        <v>27</v>
      </c>
      <c r="X487" t="str">
        <f>IF(laptop[[#This Row],[PrimaryStorageType]]=laptop[[#This Row],[SecondaryStorageType]],laptop[[#This Row],[PrimaryStorageType]],"SSD &amp; HDD")</f>
        <v>SSD &amp; HDD</v>
      </c>
      <c r="Y487" t="s">
        <v>61</v>
      </c>
      <c r="Z487" s="4" t="str">
        <f>_xlfn.CONCAT(laptop[[#This Row],[CPU_company]]," ",laptop[[#This Row],[GPU_model]])</f>
        <v>Intel UHD Graphics 620</v>
      </c>
    </row>
    <row r="488" spans="1:26" x14ac:dyDescent="0.25">
      <c r="A488" t="s">
        <v>65</v>
      </c>
      <c r="B488" t="s">
        <v>430</v>
      </c>
      <c r="C488" t="s">
        <v>265</v>
      </c>
      <c r="D488">
        <v>15.6</v>
      </c>
      <c r="E488">
        <v>16</v>
      </c>
      <c r="F488" t="s">
        <v>48</v>
      </c>
      <c r="G488">
        <v>2.17</v>
      </c>
      <c r="H488" s="16">
        <v>2338</v>
      </c>
      <c r="I488" t="s">
        <v>40</v>
      </c>
      <c r="J488">
        <v>1920</v>
      </c>
      <c r="K488">
        <v>1080</v>
      </c>
      <c r="L488" t="s">
        <v>27</v>
      </c>
      <c r="M488" t="s">
        <v>28</v>
      </c>
      <c r="N488" t="s">
        <v>27</v>
      </c>
      <c r="O488" t="s">
        <v>29</v>
      </c>
      <c r="P488">
        <v>2.7</v>
      </c>
      <c r="Q488" t="s">
        <v>388</v>
      </c>
      <c r="R488" t="str">
        <f>_xlfn.CONCAT(laptop[[#This Row],[CPU_company]]," ",laptop[[#This Row],[CPU_model]])</f>
        <v>Intel Core i7 6820HQ</v>
      </c>
      <c r="S488">
        <v>512</v>
      </c>
      <c r="T488">
        <v>0</v>
      </c>
      <c r="U488">
        <f>laptop[[#This Row],[PrimaryStorage]]+laptop[[#This Row],[SecondaryStorage]]</f>
        <v>512</v>
      </c>
      <c r="V488" t="s">
        <v>31</v>
      </c>
      <c r="W488" t="s">
        <v>27</v>
      </c>
      <c r="X488" t="str">
        <f>IF(laptop[[#This Row],[PrimaryStorageType]]=laptop[[#This Row],[SecondaryStorageType]],laptop[[#This Row],[PrimaryStorageType]],"SSD &amp; HDD")</f>
        <v>SSD &amp; HDD</v>
      </c>
      <c r="Y488" t="s">
        <v>431</v>
      </c>
      <c r="Z488" s="4" t="str">
        <f>_xlfn.CONCAT(laptop[[#This Row],[CPU_company]]," ",laptop[[#This Row],[GPU_model]])</f>
        <v>Intel Quadro M620</v>
      </c>
    </row>
    <row r="489" spans="1:26" x14ac:dyDescent="0.25">
      <c r="A489" t="s">
        <v>65</v>
      </c>
      <c r="B489" t="s">
        <v>249</v>
      </c>
      <c r="C489" t="s">
        <v>38</v>
      </c>
      <c r="D489">
        <v>15.6</v>
      </c>
      <c r="E489">
        <v>16</v>
      </c>
      <c r="F489" t="s">
        <v>48</v>
      </c>
      <c r="G489">
        <v>2.06</v>
      </c>
      <c r="H489" s="16">
        <v>1899</v>
      </c>
      <c r="I489" t="s">
        <v>40</v>
      </c>
      <c r="J489">
        <v>1920</v>
      </c>
      <c r="K489">
        <v>1080</v>
      </c>
      <c r="L489" t="s">
        <v>27</v>
      </c>
      <c r="M489" t="s">
        <v>27</v>
      </c>
      <c r="N489" t="s">
        <v>27</v>
      </c>
      <c r="O489" t="s">
        <v>29</v>
      </c>
      <c r="P489">
        <v>2.8</v>
      </c>
      <c r="Q489" t="s">
        <v>118</v>
      </c>
      <c r="R489" t="str">
        <f>_xlfn.CONCAT(laptop[[#This Row],[CPU_company]]," ",laptop[[#This Row],[CPU_model]])</f>
        <v>Intel Core i7 7700HQ</v>
      </c>
      <c r="S489">
        <v>512</v>
      </c>
      <c r="T489">
        <v>0</v>
      </c>
      <c r="U489">
        <f>laptop[[#This Row],[PrimaryStorage]]+laptop[[#This Row],[SecondaryStorage]]</f>
        <v>512</v>
      </c>
      <c r="V489" t="s">
        <v>31</v>
      </c>
      <c r="W489" t="s">
        <v>27</v>
      </c>
      <c r="X489" t="str">
        <f>IF(laptop[[#This Row],[PrimaryStorageType]]=laptop[[#This Row],[SecondaryStorageType]],laptop[[#This Row],[PrimaryStorageType]],"SSD &amp; HDD")</f>
        <v>SSD &amp; HDD</v>
      </c>
      <c r="Y489" t="s">
        <v>85</v>
      </c>
      <c r="Z489" s="4" t="str">
        <f>_xlfn.CONCAT(laptop[[#This Row],[CPU_company]]," ",laptop[[#This Row],[GPU_model]])</f>
        <v>Intel GeForce GTX 1050</v>
      </c>
    </row>
    <row r="490" spans="1:26" x14ac:dyDescent="0.25">
      <c r="A490" t="s">
        <v>73</v>
      </c>
      <c r="B490" t="s">
        <v>454</v>
      </c>
      <c r="C490" t="s">
        <v>24</v>
      </c>
      <c r="D490">
        <v>12.5</v>
      </c>
      <c r="E490">
        <v>16</v>
      </c>
      <c r="F490" t="s">
        <v>48</v>
      </c>
      <c r="G490">
        <v>1.36</v>
      </c>
      <c r="H490" s="16">
        <v>1798</v>
      </c>
      <c r="I490" t="s">
        <v>40</v>
      </c>
      <c r="J490">
        <v>1920</v>
      </c>
      <c r="K490">
        <v>1080</v>
      </c>
      <c r="L490" t="s">
        <v>27</v>
      </c>
      <c r="M490" t="s">
        <v>28</v>
      </c>
      <c r="N490" t="s">
        <v>27</v>
      </c>
      <c r="O490" t="s">
        <v>29</v>
      </c>
      <c r="P490">
        <v>2.7</v>
      </c>
      <c r="Q490" t="s">
        <v>71</v>
      </c>
      <c r="R490" t="str">
        <f>_xlfn.CONCAT(laptop[[#This Row],[CPU_company]]," ",laptop[[#This Row],[CPU_model]])</f>
        <v>Intel Core i7 7500U</v>
      </c>
      <c r="S490">
        <v>512</v>
      </c>
      <c r="T490">
        <v>0</v>
      </c>
      <c r="U490">
        <f>laptop[[#This Row],[PrimaryStorage]]+laptop[[#This Row],[SecondaryStorage]]</f>
        <v>512</v>
      </c>
      <c r="V490" t="s">
        <v>31</v>
      </c>
      <c r="W490" t="s">
        <v>27</v>
      </c>
      <c r="X490" t="str">
        <f>IF(laptop[[#This Row],[PrimaryStorageType]]=laptop[[#This Row],[SecondaryStorageType]],laptop[[#This Row],[PrimaryStorageType]],"SSD &amp; HDD")</f>
        <v>SSD &amp; HDD</v>
      </c>
      <c r="Y490" t="s">
        <v>42</v>
      </c>
      <c r="Z490" s="4" t="str">
        <f>_xlfn.CONCAT(laptop[[#This Row],[CPU_company]]," ",laptop[[#This Row],[GPU_model]])</f>
        <v>Intel HD Graphics 620</v>
      </c>
    </row>
    <row r="491" spans="1:26" x14ac:dyDescent="0.25">
      <c r="A491" t="s">
        <v>55</v>
      </c>
      <c r="B491" t="s">
        <v>455</v>
      </c>
      <c r="C491" t="s">
        <v>24</v>
      </c>
      <c r="D491">
        <v>12.5</v>
      </c>
      <c r="E491">
        <v>16</v>
      </c>
      <c r="F491" t="s">
        <v>48</v>
      </c>
      <c r="G491">
        <v>0.91</v>
      </c>
      <c r="H491" s="16">
        <v>1950</v>
      </c>
      <c r="I491" t="s">
        <v>40</v>
      </c>
      <c r="J491">
        <v>1920</v>
      </c>
      <c r="K491">
        <v>1080</v>
      </c>
      <c r="L491" t="s">
        <v>27</v>
      </c>
      <c r="M491" t="s">
        <v>27</v>
      </c>
      <c r="N491" t="s">
        <v>27</v>
      </c>
      <c r="O491" t="s">
        <v>29</v>
      </c>
      <c r="P491">
        <v>2.7</v>
      </c>
      <c r="Q491" t="s">
        <v>71</v>
      </c>
      <c r="R491" t="str">
        <f>_xlfn.CONCAT(laptop[[#This Row],[CPU_company]]," ",laptop[[#This Row],[CPU_model]])</f>
        <v>Intel Core i7 7500U</v>
      </c>
      <c r="S491">
        <v>512</v>
      </c>
      <c r="T491">
        <v>0</v>
      </c>
      <c r="U491">
        <f>laptop[[#This Row],[PrimaryStorage]]+laptop[[#This Row],[SecondaryStorage]]</f>
        <v>512</v>
      </c>
      <c r="V491" t="s">
        <v>31</v>
      </c>
      <c r="W491" t="s">
        <v>27</v>
      </c>
      <c r="X491" t="str">
        <f>IF(laptop[[#This Row],[PrimaryStorageType]]=laptop[[#This Row],[SecondaryStorageType]],laptop[[#This Row],[PrimaryStorageType]],"SSD &amp; HDD")</f>
        <v>SSD &amp; HDD</v>
      </c>
      <c r="Y491" t="s">
        <v>42</v>
      </c>
      <c r="Z491" s="4" t="str">
        <f>_xlfn.CONCAT(laptop[[#This Row],[CPU_company]]," ",laptop[[#This Row],[GPU_model]])</f>
        <v>Intel HD Graphics 620</v>
      </c>
    </row>
    <row r="492" spans="1:26" x14ac:dyDescent="0.25">
      <c r="A492" t="s">
        <v>73</v>
      </c>
      <c r="B492" t="s">
        <v>456</v>
      </c>
      <c r="C492" t="s">
        <v>38</v>
      </c>
      <c r="D492">
        <v>15.6</v>
      </c>
      <c r="E492">
        <v>8</v>
      </c>
      <c r="F492" t="s">
        <v>48</v>
      </c>
      <c r="G492">
        <v>2.2999999999999998</v>
      </c>
      <c r="H492" s="16">
        <v>1011.99</v>
      </c>
      <c r="I492" t="s">
        <v>40</v>
      </c>
      <c r="J492">
        <v>1920</v>
      </c>
      <c r="K492">
        <v>1080</v>
      </c>
      <c r="L492" t="s">
        <v>27</v>
      </c>
      <c r="M492" t="s">
        <v>28</v>
      </c>
      <c r="N492" t="s">
        <v>27</v>
      </c>
      <c r="O492" t="s">
        <v>29</v>
      </c>
      <c r="P492">
        <v>2.5</v>
      </c>
      <c r="Q492" t="s">
        <v>41</v>
      </c>
      <c r="R492" t="str">
        <f>_xlfn.CONCAT(laptop[[#This Row],[CPU_company]]," ",laptop[[#This Row],[CPU_model]])</f>
        <v>Intel Core i5 7200U</v>
      </c>
      <c r="S492">
        <v>256</v>
      </c>
      <c r="T492">
        <v>0</v>
      </c>
      <c r="U492">
        <f>laptop[[#This Row],[PrimaryStorage]]+laptop[[#This Row],[SecondaryStorage]]</f>
        <v>256</v>
      </c>
      <c r="V492" t="s">
        <v>31</v>
      </c>
      <c r="W492" t="s">
        <v>27</v>
      </c>
      <c r="X492" t="str">
        <f>IF(laptop[[#This Row],[PrimaryStorageType]]=laptop[[#This Row],[SecondaryStorageType]],laptop[[#This Row],[PrimaryStorageType]],"SSD &amp; HDD")</f>
        <v>SSD &amp; HDD</v>
      </c>
      <c r="Y492" t="s">
        <v>76</v>
      </c>
      <c r="Z492" s="4" t="str">
        <f>_xlfn.CONCAT(laptop[[#This Row],[CPU_company]]," ",laptop[[#This Row],[GPU_model]])</f>
        <v>Intel GeForce 940MX</v>
      </c>
    </row>
    <row r="493" spans="1:26" x14ac:dyDescent="0.25">
      <c r="A493" t="s">
        <v>210</v>
      </c>
      <c r="B493" t="s">
        <v>457</v>
      </c>
      <c r="C493" t="s">
        <v>24</v>
      </c>
      <c r="D493">
        <v>13.3</v>
      </c>
      <c r="E493">
        <v>32</v>
      </c>
      <c r="F493" t="s">
        <v>48</v>
      </c>
      <c r="G493">
        <v>1.05</v>
      </c>
      <c r="H493" s="16">
        <v>2799</v>
      </c>
      <c r="I493" t="s">
        <v>40</v>
      </c>
      <c r="J493">
        <v>1920</v>
      </c>
      <c r="K493">
        <v>1080</v>
      </c>
      <c r="L493" t="s">
        <v>28</v>
      </c>
      <c r="M493" t="s">
        <v>27</v>
      </c>
      <c r="N493" t="s">
        <v>27</v>
      </c>
      <c r="O493" t="s">
        <v>29</v>
      </c>
      <c r="P493">
        <v>2.7</v>
      </c>
      <c r="Q493" t="s">
        <v>71</v>
      </c>
      <c r="R493" t="str">
        <f>_xlfn.CONCAT(laptop[[#This Row],[CPU_company]]," ",laptop[[#This Row],[CPU_model]])</f>
        <v>Intel Core i7 7500U</v>
      </c>
      <c r="S493">
        <v>512</v>
      </c>
      <c r="T493">
        <v>0</v>
      </c>
      <c r="U493">
        <f>laptop[[#This Row],[PrimaryStorage]]+laptop[[#This Row],[SecondaryStorage]]</f>
        <v>512</v>
      </c>
      <c r="V493" t="s">
        <v>31</v>
      </c>
      <c r="W493" t="s">
        <v>27</v>
      </c>
      <c r="X493" t="str">
        <f>IF(laptop[[#This Row],[PrimaryStorageType]]=laptop[[#This Row],[SecondaryStorageType]],laptop[[#This Row],[PrimaryStorageType]],"SSD &amp; HDD")</f>
        <v>SSD &amp; HDD</v>
      </c>
      <c r="Y493" t="s">
        <v>42</v>
      </c>
      <c r="Z493" s="4" t="str">
        <f>_xlfn.CONCAT(laptop[[#This Row],[CPU_company]]," ",laptop[[#This Row],[GPU_model]])</f>
        <v>Intel HD Graphics 620</v>
      </c>
    </row>
    <row r="494" spans="1:26" x14ac:dyDescent="0.25">
      <c r="A494" t="s">
        <v>55</v>
      </c>
      <c r="B494" t="s">
        <v>291</v>
      </c>
      <c r="C494" t="s">
        <v>83</v>
      </c>
      <c r="D494">
        <v>15.6</v>
      </c>
      <c r="E494">
        <v>8</v>
      </c>
      <c r="F494" t="s">
        <v>48</v>
      </c>
      <c r="G494">
        <v>1.99</v>
      </c>
      <c r="H494" s="16">
        <v>1350</v>
      </c>
      <c r="I494" t="s">
        <v>40</v>
      </c>
      <c r="J494">
        <v>1920</v>
      </c>
      <c r="K494">
        <v>1080</v>
      </c>
      <c r="L494" t="s">
        <v>27</v>
      </c>
      <c r="M494" t="s">
        <v>27</v>
      </c>
      <c r="N494" t="s">
        <v>27</v>
      </c>
      <c r="O494" t="s">
        <v>29</v>
      </c>
      <c r="P494">
        <v>2.8</v>
      </c>
      <c r="Q494" t="s">
        <v>118</v>
      </c>
      <c r="R494" t="str">
        <f>_xlfn.CONCAT(laptop[[#This Row],[CPU_company]]," ",laptop[[#This Row],[CPU_model]])</f>
        <v>Intel Core i7 7700HQ</v>
      </c>
      <c r="S494">
        <v>128</v>
      </c>
      <c r="T494">
        <v>1024</v>
      </c>
      <c r="U494">
        <f>laptop[[#This Row],[PrimaryStorage]]+laptop[[#This Row],[SecondaryStorage]]</f>
        <v>1152</v>
      </c>
      <c r="V494" t="s">
        <v>31</v>
      </c>
      <c r="W494" t="s">
        <v>51</v>
      </c>
      <c r="X494" t="str">
        <f>IF(laptop[[#This Row],[PrimaryStorageType]]=laptop[[#This Row],[SecondaryStorageType]],laptop[[#This Row],[PrimaryStorageType]],"SSD &amp; HDD")</f>
        <v>SSD &amp; HDD</v>
      </c>
      <c r="Y494" t="s">
        <v>85</v>
      </c>
      <c r="Z494" s="4" t="str">
        <f>_xlfn.CONCAT(laptop[[#This Row],[CPU_company]]," ",laptop[[#This Row],[GPU_model]])</f>
        <v>Intel GeForce GTX 1050</v>
      </c>
    </row>
    <row r="495" spans="1:26" x14ac:dyDescent="0.25">
      <c r="A495" t="s">
        <v>46</v>
      </c>
      <c r="B495" t="s">
        <v>173</v>
      </c>
      <c r="C495" t="s">
        <v>38</v>
      </c>
      <c r="D495">
        <v>15.6</v>
      </c>
      <c r="E495">
        <v>8</v>
      </c>
      <c r="F495" t="s">
        <v>48</v>
      </c>
      <c r="G495">
        <v>2.2000000000000002</v>
      </c>
      <c r="H495" s="16">
        <v>579</v>
      </c>
      <c r="I495" t="s">
        <v>26</v>
      </c>
      <c r="J495">
        <v>1366</v>
      </c>
      <c r="K495">
        <v>768</v>
      </c>
      <c r="L495" t="s">
        <v>27</v>
      </c>
      <c r="M495" t="s">
        <v>27</v>
      </c>
      <c r="N495" t="s">
        <v>27</v>
      </c>
      <c r="O495" t="s">
        <v>49</v>
      </c>
      <c r="P495">
        <v>2.5</v>
      </c>
      <c r="Q495" t="s">
        <v>458</v>
      </c>
      <c r="R495" t="str">
        <f>_xlfn.CONCAT(laptop[[#This Row],[CPU_company]]," ",laptop[[#This Row],[CPU_model]])</f>
        <v>AMD A10-Series 9620P</v>
      </c>
      <c r="S495">
        <v>1024</v>
      </c>
      <c r="T495">
        <v>0</v>
      </c>
      <c r="U495">
        <f>laptop[[#This Row],[PrimaryStorage]]+laptop[[#This Row],[SecondaryStorage]]</f>
        <v>1024</v>
      </c>
      <c r="V495" t="s">
        <v>51</v>
      </c>
      <c r="W495" t="s">
        <v>27</v>
      </c>
      <c r="X495" t="str">
        <f>IF(laptop[[#This Row],[PrimaryStorageType]]=laptop[[#This Row],[SecondaryStorageType]],laptop[[#This Row],[PrimaryStorageType]],"SSD &amp; HDD")</f>
        <v>SSD &amp; HDD</v>
      </c>
      <c r="Y495" t="s">
        <v>351</v>
      </c>
      <c r="Z495" s="4" t="str">
        <f>_xlfn.CONCAT(laptop[[#This Row],[CPU_company]]," ",laptop[[#This Row],[GPU_model]])</f>
        <v>AMD Radeon RX 540</v>
      </c>
    </row>
    <row r="496" spans="1:26" x14ac:dyDescent="0.25">
      <c r="A496" t="s">
        <v>55</v>
      </c>
      <c r="B496" t="s">
        <v>459</v>
      </c>
      <c r="C496" t="s">
        <v>83</v>
      </c>
      <c r="D496">
        <v>17.3</v>
      </c>
      <c r="E496">
        <v>24</v>
      </c>
      <c r="F496" t="s">
        <v>48</v>
      </c>
      <c r="G496">
        <v>4.33</v>
      </c>
      <c r="H496" s="16">
        <v>1269</v>
      </c>
      <c r="I496" t="s">
        <v>40</v>
      </c>
      <c r="J496">
        <v>1920</v>
      </c>
      <c r="K496">
        <v>1080</v>
      </c>
      <c r="L496" t="s">
        <v>28</v>
      </c>
      <c r="M496" t="s">
        <v>28</v>
      </c>
      <c r="N496" t="s">
        <v>27</v>
      </c>
      <c r="O496" t="s">
        <v>29</v>
      </c>
      <c r="P496">
        <v>2.6</v>
      </c>
      <c r="Q496" t="s">
        <v>447</v>
      </c>
      <c r="R496" t="str">
        <f>_xlfn.CONCAT(laptop[[#This Row],[CPU_company]]," ",laptop[[#This Row],[CPU_model]])</f>
        <v>Intel Core i7 6700HQ</v>
      </c>
      <c r="S496">
        <v>256</v>
      </c>
      <c r="T496">
        <v>1024</v>
      </c>
      <c r="U496">
        <f>laptop[[#This Row],[PrimaryStorage]]+laptop[[#This Row],[SecondaryStorage]]</f>
        <v>1280</v>
      </c>
      <c r="V496" t="s">
        <v>31</v>
      </c>
      <c r="W496" t="s">
        <v>51</v>
      </c>
      <c r="X496" t="str">
        <f>IF(laptop[[#This Row],[PrimaryStorageType]]=laptop[[#This Row],[SecondaryStorageType]],laptop[[#This Row],[PrimaryStorageType]],"SSD &amp; HDD")</f>
        <v>SSD &amp; HDD</v>
      </c>
      <c r="Y496" t="s">
        <v>460</v>
      </c>
      <c r="Z496" s="4" t="str">
        <f>_xlfn.CONCAT(laptop[[#This Row],[CPU_company]]," ",laptop[[#This Row],[GPU_model]])</f>
        <v>Intel GeForce GTX 965M</v>
      </c>
    </row>
    <row r="497" spans="1:26" x14ac:dyDescent="0.25">
      <c r="A497" t="s">
        <v>73</v>
      </c>
      <c r="B497" t="s">
        <v>461</v>
      </c>
      <c r="C497" t="s">
        <v>24</v>
      </c>
      <c r="D497">
        <v>12.5</v>
      </c>
      <c r="E497">
        <v>8</v>
      </c>
      <c r="F497" t="s">
        <v>48</v>
      </c>
      <c r="G497">
        <v>1.3</v>
      </c>
      <c r="H497" s="16">
        <v>1099</v>
      </c>
      <c r="I497" t="s">
        <v>26</v>
      </c>
      <c r="J497">
        <v>1366</v>
      </c>
      <c r="K497">
        <v>768</v>
      </c>
      <c r="L497" t="s">
        <v>27</v>
      </c>
      <c r="M497" t="s">
        <v>28</v>
      </c>
      <c r="N497" t="s">
        <v>27</v>
      </c>
      <c r="O497" t="s">
        <v>29</v>
      </c>
      <c r="P497">
        <v>2.2999999999999998</v>
      </c>
      <c r="Q497" t="s">
        <v>212</v>
      </c>
      <c r="R497" t="str">
        <f>_xlfn.CONCAT(laptop[[#This Row],[CPU_company]]," ",laptop[[#This Row],[CPU_model]])</f>
        <v>Intel Core i5 6200U</v>
      </c>
      <c r="S497">
        <v>180</v>
      </c>
      <c r="T497">
        <v>0</v>
      </c>
      <c r="U497">
        <f>laptop[[#This Row],[PrimaryStorage]]+laptop[[#This Row],[SecondaryStorage]]</f>
        <v>180</v>
      </c>
      <c r="V497" t="s">
        <v>31</v>
      </c>
      <c r="W497" t="s">
        <v>27</v>
      </c>
      <c r="X497" t="str">
        <f>IF(laptop[[#This Row],[PrimaryStorageType]]=laptop[[#This Row],[SecondaryStorageType]],laptop[[#This Row],[PrimaryStorageType]],"SSD &amp; HDD")</f>
        <v>SSD &amp; HDD</v>
      </c>
      <c r="Y497" t="s">
        <v>63</v>
      </c>
      <c r="Z497" s="4" t="str">
        <f>_xlfn.CONCAT(laptop[[#This Row],[CPU_company]]," ",laptop[[#This Row],[GPU_model]])</f>
        <v>Intel HD Graphics 520</v>
      </c>
    </row>
    <row r="498" spans="1:26" x14ac:dyDescent="0.25">
      <c r="A498" t="s">
        <v>73</v>
      </c>
      <c r="B498" t="s">
        <v>462</v>
      </c>
      <c r="C498" t="s">
        <v>38</v>
      </c>
      <c r="D498">
        <v>15.6</v>
      </c>
      <c r="E498">
        <v>8</v>
      </c>
      <c r="F498" t="s">
        <v>48</v>
      </c>
      <c r="G498">
        <v>2.17</v>
      </c>
      <c r="H498" s="16">
        <v>898.9</v>
      </c>
      <c r="I498" t="s">
        <v>40</v>
      </c>
      <c r="J498">
        <v>1920</v>
      </c>
      <c r="K498">
        <v>1080</v>
      </c>
      <c r="L498" t="s">
        <v>27</v>
      </c>
      <c r="M498" t="s">
        <v>27</v>
      </c>
      <c r="N498" t="s">
        <v>27</v>
      </c>
      <c r="O498" t="s">
        <v>29</v>
      </c>
      <c r="P498">
        <v>1.8</v>
      </c>
      <c r="Q498" t="s">
        <v>57</v>
      </c>
      <c r="R498" t="str">
        <f>_xlfn.CONCAT(laptop[[#This Row],[CPU_company]]," ",laptop[[#This Row],[CPU_model]])</f>
        <v>Intel Core i7 8550U</v>
      </c>
      <c r="S498">
        <v>256</v>
      </c>
      <c r="T498">
        <v>0</v>
      </c>
      <c r="U498">
        <f>laptop[[#This Row],[PrimaryStorage]]+laptop[[#This Row],[SecondaryStorage]]</f>
        <v>256</v>
      </c>
      <c r="V498" t="s">
        <v>31</v>
      </c>
      <c r="W498" t="s">
        <v>27</v>
      </c>
      <c r="X498" t="str">
        <f>IF(laptop[[#This Row],[PrimaryStorageType]]=laptop[[#This Row],[SecondaryStorageType]],laptop[[#This Row],[PrimaryStorageType]],"SSD &amp; HDD")</f>
        <v>SSD &amp; HDD</v>
      </c>
      <c r="Y498" t="s">
        <v>61</v>
      </c>
      <c r="Z498" s="4" t="str">
        <f>_xlfn.CONCAT(laptop[[#This Row],[CPU_company]]," ",laptop[[#This Row],[GPU_model]])</f>
        <v>Intel UHD Graphics 620</v>
      </c>
    </row>
    <row r="499" spans="1:26" x14ac:dyDescent="0.25">
      <c r="A499" t="s">
        <v>36</v>
      </c>
      <c r="B499" t="s">
        <v>226</v>
      </c>
      <c r="C499" t="s">
        <v>38</v>
      </c>
      <c r="D499">
        <v>14</v>
      </c>
      <c r="E499">
        <v>8</v>
      </c>
      <c r="F499" t="s">
        <v>48</v>
      </c>
      <c r="G499">
        <v>1.48</v>
      </c>
      <c r="H499" s="16">
        <v>1749</v>
      </c>
      <c r="I499" t="s">
        <v>40</v>
      </c>
      <c r="J499">
        <v>1920</v>
      </c>
      <c r="K499">
        <v>1080</v>
      </c>
      <c r="L499" t="s">
        <v>27</v>
      </c>
      <c r="M499" t="s">
        <v>27</v>
      </c>
      <c r="N499" t="s">
        <v>27</v>
      </c>
      <c r="O499" t="s">
        <v>29</v>
      </c>
      <c r="P499">
        <v>2.8</v>
      </c>
      <c r="Q499" t="s">
        <v>335</v>
      </c>
      <c r="R499" t="str">
        <f>_xlfn.CONCAT(laptop[[#This Row],[CPU_company]]," ",laptop[[#This Row],[CPU_model]])</f>
        <v>Intel Core i7 7600U</v>
      </c>
      <c r="S499">
        <v>1024</v>
      </c>
      <c r="T499">
        <v>0</v>
      </c>
      <c r="U499">
        <f>laptop[[#This Row],[PrimaryStorage]]+laptop[[#This Row],[SecondaryStorage]]</f>
        <v>1024</v>
      </c>
      <c r="V499" t="s">
        <v>31</v>
      </c>
      <c r="W499" t="s">
        <v>27</v>
      </c>
      <c r="X499" t="str">
        <f>IF(laptop[[#This Row],[PrimaryStorageType]]=laptop[[#This Row],[SecondaryStorageType]],laptop[[#This Row],[PrimaryStorageType]],"SSD &amp; HDD")</f>
        <v>SSD &amp; HDD</v>
      </c>
      <c r="Y499" t="s">
        <v>42</v>
      </c>
      <c r="Z499" s="4" t="str">
        <f>_xlfn.CONCAT(laptop[[#This Row],[CPU_company]]," ",laptop[[#This Row],[GPU_model]])</f>
        <v>Intel HD Graphics 620</v>
      </c>
    </row>
    <row r="500" spans="1:26" x14ac:dyDescent="0.25">
      <c r="A500" t="s">
        <v>73</v>
      </c>
      <c r="B500" t="s">
        <v>341</v>
      </c>
      <c r="C500" t="s">
        <v>38</v>
      </c>
      <c r="D500">
        <v>13.3</v>
      </c>
      <c r="E500">
        <v>8</v>
      </c>
      <c r="F500" t="s">
        <v>48</v>
      </c>
      <c r="G500">
        <v>1.4</v>
      </c>
      <c r="H500" s="16">
        <v>949</v>
      </c>
      <c r="I500" t="s">
        <v>40</v>
      </c>
      <c r="J500">
        <v>1920</v>
      </c>
      <c r="K500">
        <v>1080</v>
      </c>
      <c r="L500" t="s">
        <v>27</v>
      </c>
      <c r="M500" t="s">
        <v>28</v>
      </c>
      <c r="N500" t="s">
        <v>27</v>
      </c>
      <c r="O500" t="s">
        <v>29</v>
      </c>
      <c r="P500">
        <v>2.4</v>
      </c>
      <c r="Q500" t="s">
        <v>75</v>
      </c>
      <c r="R500" t="str">
        <f>_xlfn.CONCAT(laptop[[#This Row],[CPU_company]]," ",laptop[[#This Row],[CPU_model]])</f>
        <v>Intel Core i3 7100U</v>
      </c>
      <c r="S500">
        <v>256</v>
      </c>
      <c r="T500">
        <v>0</v>
      </c>
      <c r="U500">
        <f>laptop[[#This Row],[PrimaryStorage]]+laptop[[#This Row],[SecondaryStorage]]</f>
        <v>256</v>
      </c>
      <c r="V500" t="s">
        <v>31</v>
      </c>
      <c r="W500" t="s">
        <v>27</v>
      </c>
      <c r="X500" t="str">
        <f>IF(laptop[[#This Row],[PrimaryStorageType]]=laptop[[#This Row],[SecondaryStorageType]],laptop[[#This Row],[PrimaryStorageType]],"SSD &amp; HDD")</f>
        <v>SSD &amp; HDD</v>
      </c>
      <c r="Y500" t="s">
        <v>42</v>
      </c>
      <c r="Z500" s="4" t="str">
        <f>_xlfn.CONCAT(laptop[[#This Row],[CPU_company]]," ",laptop[[#This Row],[GPU_model]])</f>
        <v>Intel HD Graphics 620</v>
      </c>
    </row>
    <row r="501" spans="1:26" x14ac:dyDescent="0.25">
      <c r="A501" t="s">
        <v>73</v>
      </c>
      <c r="B501" t="s">
        <v>463</v>
      </c>
      <c r="C501" t="s">
        <v>38</v>
      </c>
      <c r="D501">
        <v>15.6</v>
      </c>
      <c r="E501">
        <v>8</v>
      </c>
      <c r="F501" t="s">
        <v>48</v>
      </c>
      <c r="G501">
        <v>2.2999999999999998</v>
      </c>
      <c r="H501" s="16">
        <v>911</v>
      </c>
      <c r="I501" t="s">
        <v>40</v>
      </c>
      <c r="J501">
        <v>1920</v>
      </c>
      <c r="K501">
        <v>1080</v>
      </c>
      <c r="L501" t="s">
        <v>27</v>
      </c>
      <c r="M501" t="s">
        <v>28</v>
      </c>
      <c r="N501" t="s">
        <v>27</v>
      </c>
      <c r="O501" t="s">
        <v>29</v>
      </c>
      <c r="P501">
        <v>2.5</v>
      </c>
      <c r="Q501" t="s">
        <v>41</v>
      </c>
      <c r="R501" t="str">
        <f>_xlfn.CONCAT(laptop[[#This Row],[CPU_company]]," ",laptop[[#This Row],[CPU_model]])</f>
        <v>Intel Core i5 7200U</v>
      </c>
      <c r="S501">
        <v>256</v>
      </c>
      <c r="T501">
        <v>0</v>
      </c>
      <c r="U501">
        <f>laptop[[#This Row],[PrimaryStorage]]+laptop[[#This Row],[SecondaryStorage]]</f>
        <v>256</v>
      </c>
      <c r="V501" t="s">
        <v>31</v>
      </c>
      <c r="W501" t="s">
        <v>27</v>
      </c>
      <c r="X501" t="str">
        <f>IF(laptop[[#This Row],[PrimaryStorageType]]=laptop[[#This Row],[SecondaryStorageType]],laptop[[#This Row],[PrimaryStorageType]],"SSD &amp; HDD")</f>
        <v>SSD &amp; HDD</v>
      </c>
      <c r="Y501" t="s">
        <v>42</v>
      </c>
      <c r="Z501" s="4" t="str">
        <f>_xlfn.CONCAT(laptop[[#This Row],[CPU_company]]," ",laptop[[#This Row],[GPU_model]])</f>
        <v>Intel HD Graphics 620</v>
      </c>
    </row>
    <row r="502" spans="1:26" x14ac:dyDescent="0.25">
      <c r="A502" t="s">
        <v>55</v>
      </c>
      <c r="B502" t="s">
        <v>464</v>
      </c>
      <c r="C502" t="s">
        <v>79</v>
      </c>
      <c r="D502">
        <v>11.6</v>
      </c>
      <c r="E502">
        <v>4</v>
      </c>
      <c r="F502" t="s">
        <v>156</v>
      </c>
      <c r="G502">
        <v>1.2</v>
      </c>
      <c r="H502" s="16">
        <v>340</v>
      </c>
      <c r="I502" t="s">
        <v>26</v>
      </c>
      <c r="J502">
        <v>1366</v>
      </c>
      <c r="K502">
        <v>768</v>
      </c>
      <c r="L502" t="s">
        <v>27</v>
      </c>
      <c r="M502" t="s">
        <v>27</v>
      </c>
      <c r="N502" t="s">
        <v>27</v>
      </c>
      <c r="O502" t="s">
        <v>29</v>
      </c>
      <c r="P502">
        <v>1.1000000000000001</v>
      </c>
      <c r="Q502" t="s">
        <v>109</v>
      </c>
      <c r="R502" t="str">
        <f>_xlfn.CONCAT(laptop[[#This Row],[CPU_company]]," ",laptop[[#This Row],[CPU_model]])</f>
        <v>Intel Celeron Dual Core N3350</v>
      </c>
      <c r="S502">
        <v>64</v>
      </c>
      <c r="T502">
        <v>0</v>
      </c>
      <c r="U502">
        <f>laptop[[#This Row],[PrimaryStorage]]+laptop[[#This Row],[SecondaryStorage]]</f>
        <v>64</v>
      </c>
      <c r="V502" t="s">
        <v>34</v>
      </c>
      <c r="W502" t="s">
        <v>27</v>
      </c>
      <c r="X502" t="str">
        <f>IF(laptop[[#This Row],[PrimaryStorageType]]=laptop[[#This Row],[SecondaryStorageType]],laptop[[#This Row],[PrimaryStorageType]],"SSD &amp; HDD")</f>
        <v>SSD &amp; HDD</v>
      </c>
      <c r="Y502" t="s">
        <v>110</v>
      </c>
      <c r="Z502" s="4" t="str">
        <f>_xlfn.CONCAT(laptop[[#This Row],[CPU_company]]," ",laptop[[#This Row],[GPU_model]])</f>
        <v>Intel HD Graphics 500</v>
      </c>
    </row>
    <row r="503" spans="1:26" x14ac:dyDescent="0.25">
      <c r="A503" t="s">
        <v>36</v>
      </c>
      <c r="B503" t="s">
        <v>465</v>
      </c>
      <c r="C503" t="s">
        <v>38</v>
      </c>
      <c r="D503">
        <v>15.6</v>
      </c>
      <c r="E503">
        <v>8</v>
      </c>
      <c r="F503" t="s">
        <v>48</v>
      </c>
      <c r="G503">
        <v>1.91</v>
      </c>
      <c r="H503" s="16">
        <v>618.99</v>
      </c>
      <c r="I503" t="s">
        <v>26</v>
      </c>
      <c r="J503">
        <v>1366</v>
      </c>
      <c r="K503">
        <v>768</v>
      </c>
      <c r="L503" t="s">
        <v>27</v>
      </c>
      <c r="M503" t="s">
        <v>27</v>
      </c>
      <c r="N503" t="s">
        <v>27</v>
      </c>
      <c r="O503" t="s">
        <v>29</v>
      </c>
      <c r="P503">
        <v>2.5</v>
      </c>
      <c r="Q503" t="s">
        <v>41</v>
      </c>
      <c r="R503" t="str">
        <f>_xlfn.CONCAT(laptop[[#This Row],[CPU_company]]," ",laptop[[#This Row],[CPU_model]])</f>
        <v>Intel Core i5 7200U</v>
      </c>
      <c r="S503">
        <v>256</v>
      </c>
      <c r="T503">
        <v>0</v>
      </c>
      <c r="U503">
        <f>laptop[[#This Row],[PrimaryStorage]]+laptop[[#This Row],[SecondaryStorage]]</f>
        <v>256</v>
      </c>
      <c r="V503" t="s">
        <v>31</v>
      </c>
      <c r="W503" t="s">
        <v>27</v>
      </c>
      <c r="X503" t="str">
        <f>IF(laptop[[#This Row],[PrimaryStorageType]]=laptop[[#This Row],[SecondaryStorageType]],laptop[[#This Row],[PrimaryStorageType]],"SSD &amp; HDD")</f>
        <v>SSD &amp; HDD</v>
      </c>
      <c r="Y503" t="s">
        <v>138</v>
      </c>
      <c r="Z503" s="4" t="str">
        <f>_xlfn.CONCAT(laptop[[#This Row],[CPU_company]]," ",laptop[[#This Row],[GPU_model]])</f>
        <v>Intel Radeon 520</v>
      </c>
    </row>
    <row r="504" spans="1:26" x14ac:dyDescent="0.25">
      <c r="A504" t="s">
        <v>73</v>
      </c>
      <c r="B504" t="s">
        <v>246</v>
      </c>
      <c r="C504" t="s">
        <v>90</v>
      </c>
      <c r="D504">
        <v>13.9</v>
      </c>
      <c r="E504">
        <v>8</v>
      </c>
      <c r="F504" t="s">
        <v>48</v>
      </c>
      <c r="G504">
        <v>1.4</v>
      </c>
      <c r="H504" s="16">
        <v>1599</v>
      </c>
      <c r="I504" t="s">
        <v>40</v>
      </c>
      <c r="J504">
        <v>1920</v>
      </c>
      <c r="K504">
        <v>1080</v>
      </c>
      <c r="L504" t="s">
        <v>28</v>
      </c>
      <c r="M504" t="s">
        <v>28</v>
      </c>
      <c r="N504" t="s">
        <v>27</v>
      </c>
      <c r="O504" t="s">
        <v>29</v>
      </c>
      <c r="P504">
        <v>1.6</v>
      </c>
      <c r="Q504" t="s">
        <v>60</v>
      </c>
      <c r="R504" t="str">
        <f>_xlfn.CONCAT(laptop[[#This Row],[CPU_company]]," ",laptop[[#This Row],[CPU_model]])</f>
        <v>Intel Core i5 8250U</v>
      </c>
      <c r="S504">
        <v>256</v>
      </c>
      <c r="T504">
        <v>0</v>
      </c>
      <c r="U504">
        <f>laptop[[#This Row],[PrimaryStorage]]+laptop[[#This Row],[SecondaryStorage]]</f>
        <v>256</v>
      </c>
      <c r="V504" t="s">
        <v>31</v>
      </c>
      <c r="W504" t="s">
        <v>27</v>
      </c>
      <c r="X504" t="str">
        <f>IF(laptop[[#This Row],[PrimaryStorageType]]=laptop[[#This Row],[SecondaryStorageType]],laptop[[#This Row],[PrimaryStorageType]],"SSD &amp; HDD")</f>
        <v>SSD &amp; HDD</v>
      </c>
      <c r="Y504" t="s">
        <v>61</v>
      </c>
      <c r="Z504" s="4" t="str">
        <f>_xlfn.CONCAT(laptop[[#This Row],[CPU_company]]," ",laptop[[#This Row],[GPU_model]])</f>
        <v>Intel UHD Graphics 620</v>
      </c>
    </row>
    <row r="505" spans="1:26" x14ac:dyDescent="0.25">
      <c r="A505" t="s">
        <v>73</v>
      </c>
      <c r="B505" t="s">
        <v>466</v>
      </c>
      <c r="C505" t="s">
        <v>38</v>
      </c>
      <c r="D505">
        <v>14</v>
      </c>
      <c r="E505">
        <v>4</v>
      </c>
      <c r="F505" t="s">
        <v>48</v>
      </c>
      <c r="G505">
        <v>2.1</v>
      </c>
      <c r="H505" s="16">
        <v>299</v>
      </c>
      <c r="I505" t="s">
        <v>26</v>
      </c>
      <c r="J505">
        <v>1366</v>
      </c>
      <c r="K505">
        <v>768</v>
      </c>
      <c r="L505" t="s">
        <v>27</v>
      </c>
      <c r="M505" t="s">
        <v>27</v>
      </c>
      <c r="N505" t="s">
        <v>27</v>
      </c>
      <c r="O505" t="s">
        <v>29</v>
      </c>
      <c r="P505">
        <v>1.1000000000000001</v>
      </c>
      <c r="Q505" t="s">
        <v>109</v>
      </c>
      <c r="R505" t="str">
        <f>_xlfn.CONCAT(laptop[[#This Row],[CPU_company]]," ",laptop[[#This Row],[CPU_model]])</f>
        <v>Intel Celeron Dual Core N3350</v>
      </c>
      <c r="S505">
        <v>500</v>
      </c>
      <c r="T505">
        <v>0</v>
      </c>
      <c r="U505">
        <f>laptop[[#This Row],[PrimaryStorage]]+laptop[[#This Row],[SecondaryStorage]]</f>
        <v>500</v>
      </c>
      <c r="V505" t="s">
        <v>51</v>
      </c>
      <c r="W505" t="s">
        <v>27</v>
      </c>
      <c r="X505" t="str">
        <f>IF(laptop[[#This Row],[PrimaryStorageType]]=laptop[[#This Row],[SecondaryStorageType]],laptop[[#This Row],[PrimaryStorageType]],"SSD &amp; HDD")</f>
        <v>SSD &amp; HDD</v>
      </c>
      <c r="Y505" t="s">
        <v>110</v>
      </c>
      <c r="Z505" s="4" t="str">
        <f>_xlfn.CONCAT(laptop[[#This Row],[CPU_company]]," ",laptop[[#This Row],[GPU_model]])</f>
        <v>Intel HD Graphics 500</v>
      </c>
    </row>
    <row r="506" spans="1:26" x14ac:dyDescent="0.25">
      <c r="A506" t="s">
        <v>73</v>
      </c>
      <c r="B506" t="s">
        <v>467</v>
      </c>
      <c r="C506" t="s">
        <v>79</v>
      </c>
      <c r="D506">
        <v>11.6</v>
      </c>
      <c r="E506">
        <v>4</v>
      </c>
      <c r="F506" t="s">
        <v>317</v>
      </c>
      <c r="G506">
        <v>1.25</v>
      </c>
      <c r="H506" s="16">
        <v>265</v>
      </c>
      <c r="I506" t="s">
        <v>26</v>
      </c>
      <c r="J506">
        <v>1366</v>
      </c>
      <c r="K506">
        <v>768</v>
      </c>
      <c r="L506" t="s">
        <v>27</v>
      </c>
      <c r="M506" t="s">
        <v>27</v>
      </c>
      <c r="N506" t="s">
        <v>27</v>
      </c>
      <c r="O506" t="s">
        <v>29</v>
      </c>
      <c r="P506">
        <v>1.6</v>
      </c>
      <c r="Q506" t="s">
        <v>151</v>
      </c>
      <c r="R506" t="str">
        <f>_xlfn.CONCAT(laptop[[#This Row],[CPU_company]]," ",laptop[[#This Row],[CPU_model]])</f>
        <v>Intel Celeron Dual Core N3060</v>
      </c>
      <c r="S506">
        <v>16</v>
      </c>
      <c r="T506">
        <v>0</v>
      </c>
      <c r="U506">
        <f>laptop[[#This Row],[PrimaryStorage]]+laptop[[#This Row],[SecondaryStorage]]</f>
        <v>16</v>
      </c>
      <c r="V506" t="s">
        <v>31</v>
      </c>
      <c r="W506" t="s">
        <v>27</v>
      </c>
      <c r="X506" t="str">
        <f>IF(laptop[[#This Row],[PrimaryStorageType]]=laptop[[#This Row],[SecondaryStorageType]],laptop[[#This Row],[PrimaryStorageType]],"SSD &amp; HDD")</f>
        <v>SSD &amp; HDD</v>
      </c>
      <c r="Y506" t="s">
        <v>81</v>
      </c>
      <c r="Z506" s="4" t="str">
        <f>_xlfn.CONCAT(laptop[[#This Row],[CPU_company]]," ",laptop[[#This Row],[GPU_model]])</f>
        <v>Intel HD Graphics 400</v>
      </c>
    </row>
    <row r="507" spans="1:26" x14ac:dyDescent="0.25">
      <c r="A507" t="s">
        <v>73</v>
      </c>
      <c r="B507" t="s">
        <v>341</v>
      </c>
      <c r="C507" t="s">
        <v>38</v>
      </c>
      <c r="D507">
        <v>13.3</v>
      </c>
      <c r="E507">
        <v>8</v>
      </c>
      <c r="F507" t="s">
        <v>48</v>
      </c>
      <c r="G507">
        <v>1.44</v>
      </c>
      <c r="H507" s="16">
        <v>949</v>
      </c>
      <c r="I507" t="s">
        <v>40</v>
      </c>
      <c r="J507">
        <v>1920</v>
      </c>
      <c r="K507">
        <v>1080</v>
      </c>
      <c r="L507" t="s">
        <v>27</v>
      </c>
      <c r="M507" t="s">
        <v>27</v>
      </c>
      <c r="N507" t="s">
        <v>27</v>
      </c>
      <c r="O507" t="s">
        <v>29</v>
      </c>
      <c r="P507">
        <v>2.5</v>
      </c>
      <c r="Q507" t="s">
        <v>41</v>
      </c>
      <c r="R507" t="str">
        <f>_xlfn.CONCAT(laptop[[#This Row],[CPU_company]]," ",laptop[[#This Row],[CPU_model]])</f>
        <v>Intel Core i5 7200U</v>
      </c>
      <c r="S507">
        <v>256</v>
      </c>
      <c r="T507">
        <v>0</v>
      </c>
      <c r="U507">
        <f>laptop[[#This Row],[PrimaryStorage]]+laptop[[#This Row],[SecondaryStorage]]</f>
        <v>256</v>
      </c>
      <c r="V507" t="s">
        <v>31</v>
      </c>
      <c r="W507" t="s">
        <v>27</v>
      </c>
      <c r="X507" t="str">
        <f>IF(laptop[[#This Row],[PrimaryStorageType]]=laptop[[#This Row],[SecondaryStorageType]],laptop[[#This Row],[PrimaryStorageType]],"SSD &amp; HDD")</f>
        <v>SSD &amp; HDD</v>
      </c>
      <c r="Y507" t="s">
        <v>42</v>
      </c>
      <c r="Z507" s="4" t="str">
        <f>_xlfn.CONCAT(laptop[[#This Row],[CPU_company]]," ",laptop[[#This Row],[GPU_model]])</f>
        <v>Intel HD Graphics 620</v>
      </c>
    </row>
    <row r="508" spans="1:26" x14ac:dyDescent="0.25">
      <c r="A508" t="s">
        <v>55</v>
      </c>
      <c r="B508" t="s">
        <v>468</v>
      </c>
      <c r="C508" t="s">
        <v>38</v>
      </c>
      <c r="D508">
        <v>15.6</v>
      </c>
      <c r="E508">
        <v>8</v>
      </c>
      <c r="F508" t="s">
        <v>48</v>
      </c>
      <c r="G508">
        <v>2</v>
      </c>
      <c r="H508" s="16">
        <v>1224</v>
      </c>
      <c r="I508" t="s">
        <v>40</v>
      </c>
      <c r="J508">
        <v>1920</v>
      </c>
      <c r="K508">
        <v>1080</v>
      </c>
      <c r="L508" t="s">
        <v>27</v>
      </c>
      <c r="M508" t="s">
        <v>27</v>
      </c>
      <c r="N508" t="s">
        <v>27</v>
      </c>
      <c r="O508" t="s">
        <v>29</v>
      </c>
      <c r="P508">
        <v>2.7</v>
      </c>
      <c r="Q508" t="s">
        <v>71</v>
      </c>
      <c r="R508" t="str">
        <f>_xlfn.CONCAT(laptop[[#This Row],[CPU_company]]," ",laptop[[#This Row],[CPU_model]])</f>
        <v>Intel Core i7 7500U</v>
      </c>
      <c r="S508">
        <v>256</v>
      </c>
      <c r="T508">
        <v>1024</v>
      </c>
      <c r="U508">
        <f>laptop[[#This Row],[PrimaryStorage]]+laptop[[#This Row],[SecondaryStorage]]</f>
        <v>1280</v>
      </c>
      <c r="V508" t="s">
        <v>31</v>
      </c>
      <c r="W508" t="s">
        <v>51</v>
      </c>
      <c r="X508" t="str">
        <f>IF(laptop[[#This Row],[PrimaryStorageType]]=laptop[[#This Row],[SecondaryStorageType]],laptop[[#This Row],[PrimaryStorageType]],"SSD &amp; HDD")</f>
        <v>SSD &amp; HDD</v>
      </c>
      <c r="Y508" t="s">
        <v>42</v>
      </c>
      <c r="Z508" s="4" t="str">
        <f>_xlfn.CONCAT(laptop[[#This Row],[CPU_company]]," ",laptop[[#This Row],[GPU_model]])</f>
        <v>Intel HD Graphics 620</v>
      </c>
    </row>
    <row r="509" spans="1:26" x14ac:dyDescent="0.25">
      <c r="A509" t="s">
        <v>46</v>
      </c>
      <c r="B509" t="s">
        <v>469</v>
      </c>
      <c r="C509" t="s">
        <v>38</v>
      </c>
      <c r="D509">
        <v>15.6</v>
      </c>
      <c r="E509">
        <v>4</v>
      </c>
      <c r="F509" t="s">
        <v>48</v>
      </c>
      <c r="G509">
        <v>2.2000000000000002</v>
      </c>
      <c r="H509" s="16">
        <v>613</v>
      </c>
      <c r="I509" t="s">
        <v>40</v>
      </c>
      <c r="J509">
        <v>1920</v>
      </c>
      <c r="K509">
        <v>1080</v>
      </c>
      <c r="L509" t="s">
        <v>27</v>
      </c>
      <c r="M509" t="s">
        <v>28</v>
      </c>
      <c r="N509" t="s">
        <v>27</v>
      </c>
      <c r="O509" t="s">
        <v>29</v>
      </c>
      <c r="P509">
        <v>1.6</v>
      </c>
      <c r="Q509" t="s">
        <v>60</v>
      </c>
      <c r="R509" t="str">
        <f>_xlfn.CONCAT(laptop[[#This Row],[CPU_company]]," ",laptop[[#This Row],[CPU_model]])</f>
        <v>Intel Core i5 8250U</v>
      </c>
      <c r="S509">
        <v>1024</v>
      </c>
      <c r="T509">
        <v>0</v>
      </c>
      <c r="U509">
        <f>laptop[[#This Row],[PrimaryStorage]]+laptop[[#This Row],[SecondaryStorage]]</f>
        <v>1024</v>
      </c>
      <c r="V509" t="s">
        <v>51</v>
      </c>
      <c r="W509" t="s">
        <v>27</v>
      </c>
      <c r="X509" t="str">
        <f>IF(laptop[[#This Row],[PrimaryStorageType]]=laptop[[#This Row],[SecondaryStorageType]],laptop[[#This Row],[PrimaryStorageType]],"SSD &amp; HDD")</f>
        <v>SSD &amp; HDD</v>
      </c>
      <c r="Y509" t="s">
        <v>58</v>
      </c>
      <c r="Z509" s="4" t="str">
        <f>_xlfn.CONCAT(laptop[[#This Row],[CPU_company]]," ",laptop[[#This Row],[GPU_model]])</f>
        <v>Intel GeForce MX150</v>
      </c>
    </row>
    <row r="510" spans="1:26" x14ac:dyDescent="0.25">
      <c r="A510" t="s">
        <v>36</v>
      </c>
      <c r="B510" t="s">
        <v>470</v>
      </c>
      <c r="C510" t="s">
        <v>24</v>
      </c>
      <c r="D510">
        <v>13.3</v>
      </c>
      <c r="E510">
        <v>8</v>
      </c>
      <c r="F510" t="s">
        <v>48</v>
      </c>
      <c r="G510">
        <v>1.34</v>
      </c>
      <c r="H510" s="16">
        <v>1323</v>
      </c>
      <c r="I510" t="s">
        <v>40</v>
      </c>
      <c r="J510">
        <v>1920</v>
      </c>
      <c r="K510">
        <v>1080</v>
      </c>
      <c r="L510" t="s">
        <v>27</v>
      </c>
      <c r="M510" t="s">
        <v>28</v>
      </c>
      <c r="N510" t="s">
        <v>27</v>
      </c>
      <c r="O510" t="s">
        <v>29</v>
      </c>
      <c r="P510">
        <v>2.7</v>
      </c>
      <c r="Q510" t="s">
        <v>71</v>
      </c>
      <c r="R510" t="str">
        <f>_xlfn.CONCAT(laptop[[#This Row],[CPU_company]]," ",laptop[[#This Row],[CPU_model]])</f>
        <v>Intel Core i7 7500U</v>
      </c>
      <c r="S510">
        <v>512</v>
      </c>
      <c r="T510">
        <v>0</v>
      </c>
      <c r="U510">
        <f>laptop[[#This Row],[PrimaryStorage]]+laptop[[#This Row],[SecondaryStorage]]</f>
        <v>512</v>
      </c>
      <c r="V510" t="s">
        <v>31</v>
      </c>
      <c r="W510" t="s">
        <v>27</v>
      </c>
      <c r="X510" t="str">
        <f>IF(laptop[[#This Row],[PrimaryStorageType]]=laptop[[#This Row],[SecondaryStorageType]],laptop[[#This Row],[PrimaryStorageType]],"SSD &amp; HDD")</f>
        <v>SSD &amp; HDD</v>
      </c>
      <c r="Y510" t="s">
        <v>42</v>
      </c>
      <c r="Z510" s="4" t="str">
        <f>_xlfn.CONCAT(laptop[[#This Row],[CPU_company]]," ",laptop[[#This Row],[GPU_model]])</f>
        <v>Intel HD Graphics 620</v>
      </c>
    </row>
    <row r="511" spans="1:26" x14ac:dyDescent="0.25">
      <c r="A511" t="s">
        <v>73</v>
      </c>
      <c r="B511" t="s">
        <v>82</v>
      </c>
      <c r="C511" t="s">
        <v>83</v>
      </c>
      <c r="D511">
        <v>15.6</v>
      </c>
      <c r="E511">
        <v>8</v>
      </c>
      <c r="F511" t="s">
        <v>39</v>
      </c>
      <c r="G511">
        <v>2.4</v>
      </c>
      <c r="H511" s="16">
        <v>1149</v>
      </c>
      <c r="I511" t="s">
        <v>40</v>
      </c>
      <c r="J511">
        <v>1920</v>
      </c>
      <c r="K511">
        <v>1080</v>
      </c>
      <c r="L511" t="s">
        <v>27</v>
      </c>
      <c r="M511" t="s">
        <v>28</v>
      </c>
      <c r="N511" t="s">
        <v>27</v>
      </c>
      <c r="O511" t="s">
        <v>29</v>
      </c>
      <c r="P511">
        <v>2.8</v>
      </c>
      <c r="Q511" t="s">
        <v>118</v>
      </c>
      <c r="R511" t="str">
        <f>_xlfn.CONCAT(laptop[[#This Row],[CPU_company]]," ",laptop[[#This Row],[CPU_model]])</f>
        <v>Intel Core i7 7700HQ</v>
      </c>
      <c r="S511">
        <v>256</v>
      </c>
      <c r="T511">
        <v>1024</v>
      </c>
      <c r="U511">
        <f>laptop[[#This Row],[PrimaryStorage]]+laptop[[#This Row],[SecondaryStorage]]</f>
        <v>1280</v>
      </c>
      <c r="V511" t="s">
        <v>31</v>
      </c>
      <c r="W511" t="s">
        <v>51</v>
      </c>
      <c r="X511" t="str">
        <f>IF(laptop[[#This Row],[PrimaryStorageType]]=laptop[[#This Row],[SecondaryStorageType]],laptop[[#This Row],[PrimaryStorageType]],"SSD &amp; HDD")</f>
        <v>SSD &amp; HDD</v>
      </c>
      <c r="Y511" t="s">
        <v>119</v>
      </c>
      <c r="Z511" s="4" t="str">
        <f>_xlfn.CONCAT(laptop[[#This Row],[CPU_company]]," ",laptop[[#This Row],[GPU_model]])</f>
        <v>Intel GeForce GTX 1060</v>
      </c>
    </row>
    <row r="512" spans="1:26" x14ac:dyDescent="0.25">
      <c r="A512" t="s">
        <v>65</v>
      </c>
      <c r="B512" t="s">
        <v>77</v>
      </c>
      <c r="C512" t="s">
        <v>24</v>
      </c>
      <c r="D512">
        <v>13.3</v>
      </c>
      <c r="E512">
        <v>8</v>
      </c>
      <c r="F512" t="s">
        <v>48</v>
      </c>
      <c r="G512">
        <v>1.29</v>
      </c>
      <c r="H512" s="16">
        <v>899</v>
      </c>
      <c r="I512" t="s">
        <v>40</v>
      </c>
      <c r="J512">
        <v>1920</v>
      </c>
      <c r="K512">
        <v>1080</v>
      </c>
      <c r="L512" t="s">
        <v>28</v>
      </c>
      <c r="M512" t="s">
        <v>28</v>
      </c>
      <c r="N512" t="s">
        <v>27</v>
      </c>
      <c r="O512" t="s">
        <v>29</v>
      </c>
      <c r="P512">
        <v>2.5</v>
      </c>
      <c r="Q512" t="s">
        <v>41</v>
      </c>
      <c r="R512" t="str">
        <f>_xlfn.CONCAT(laptop[[#This Row],[CPU_company]]," ",laptop[[#This Row],[CPU_model]])</f>
        <v>Intel Core i5 7200U</v>
      </c>
      <c r="S512">
        <v>128</v>
      </c>
      <c r="T512">
        <v>0</v>
      </c>
      <c r="U512">
        <f>laptop[[#This Row],[PrimaryStorage]]+laptop[[#This Row],[SecondaryStorage]]</f>
        <v>128</v>
      </c>
      <c r="V512" t="s">
        <v>31</v>
      </c>
      <c r="W512" t="s">
        <v>27</v>
      </c>
      <c r="X512" t="str">
        <f>IF(laptop[[#This Row],[PrimaryStorageType]]=laptop[[#This Row],[SecondaryStorageType]],laptop[[#This Row],[PrimaryStorageType]],"SSD &amp; HDD")</f>
        <v>SSD &amp; HDD</v>
      </c>
      <c r="Y512" t="s">
        <v>42</v>
      </c>
      <c r="Z512" s="4" t="str">
        <f>_xlfn.CONCAT(laptop[[#This Row],[CPU_company]]," ",laptop[[#This Row],[GPU_model]])</f>
        <v>Intel HD Graphics 620</v>
      </c>
    </row>
    <row r="513" spans="1:26" x14ac:dyDescent="0.25">
      <c r="A513" t="s">
        <v>46</v>
      </c>
      <c r="B513" t="s">
        <v>121</v>
      </c>
      <c r="C513" t="s">
        <v>38</v>
      </c>
      <c r="D513">
        <v>15.6</v>
      </c>
      <c r="E513">
        <v>4</v>
      </c>
      <c r="F513" t="s">
        <v>48</v>
      </c>
      <c r="G513">
        <v>2.2000000000000002</v>
      </c>
      <c r="H513" s="16">
        <v>639</v>
      </c>
      <c r="I513" t="s">
        <v>40</v>
      </c>
      <c r="J513">
        <v>1920</v>
      </c>
      <c r="K513">
        <v>1080</v>
      </c>
      <c r="L513" t="s">
        <v>27</v>
      </c>
      <c r="M513" t="s">
        <v>27</v>
      </c>
      <c r="N513" t="s">
        <v>27</v>
      </c>
      <c r="O513" t="s">
        <v>29</v>
      </c>
      <c r="P513">
        <v>2.7</v>
      </c>
      <c r="Q513" t="s">
        <v>71</v>
      </c>
      <c r="R513" t="str">
        <f>_xlfn.CONCAT(laptop[[#This Row],[CPU_company]]," ",laptop[[#This Row],[CPU_model]])</f>
        <v>Intel Core i7 7500U</v>
      </c>
      <c r="S513">
        <v>500</v>
      </c>
      <c r="T513">
        <v>0</v>
      </c>
      <c r="U513">
        <f>laptop[[#This Row],[PrimaryStorage]]+laptop[[#This Row],[SecondaryStorage]]</f>
        <v>500</v>
      </c>
      <c r="V513" t="s">
        <v>51</v>
      </c>
      <c r="W513" t="s">
        <v>27</v>
      </c>
      <c r="X513" t="str">
        <f>IF(laptop[[#This Row],[PrimaryStorageType]]=laptop[[#This Row],[SecondaryStorageType]],laptop[[#This Row],[PrimaryStorageType]],"SSD &amp; HDD")</f>
        <v>SSD &amp; HDD</v>
      </c>
      <c r="Y513" t="s">
        <v>76</v>
      </c>
      <c r="Z513" s="4" t="str">
        <f>_xlfn.CONCAT(laptop[[#This Row],[CPU_company]]," ",laptop[[#This Row],[GPU_model]])</f>
        <v>Intel GeForce 940MX</v>
      </c>
    </row>
    <row r="514" spans="1:26" x14ac:dyDescent="0.25">
      <c r="A514" t="s">
        <v>65</v>
      </c>
      <c r="B514" t="s">
        <v>471</v>
      </c>
      <c r="C514" t="s">
        <v>38</v>
      </c>
      <c r="D514">
        <v>15.6</v>
      </c>
      <c r="E514">
        <v>8</v>
      </c>
      <c r="F514" t="s">
        <v>48</v>
      </c>
      <c r="G514">
        <v>2.1800000000000002</v>
      </c>
      <c r="H514" s="16">
        <v>836</v>
      </c>
      <c r="I514" t="s">
        <v>40</v>
      </c>
      <c r="J514">
        <v>1920</v>
      </c>
      <c r="K514">
        <v>1080</v>
      </c>
      <c r="L514" t="s">
        <v>27</v>
      </c>
      <c r="M514" t="s">
        <v>27</v>
      </c>
      <c r="N514" t="s">
        <v>27</v>
      </c>
      <c r="O514" t="s">
        <v>29</v>
      </c>
      <c r="P514">
        <v>2.5</v>
      </c>
      <c r="Q514" t="s">
        <v>41</v>
      </c>
      <c r="R514" t="str">
        <f>_xlfn.CONCAT(laptop[[#This Row],[CPU_company]]," ",laptop[[#This Row],[CPU_model]])</f>
        <v>Intel Core i5 7200U</v>
      </c>
      <c r="S514">
        <v>1024</v>
      </c>
      <c r="T514">
        <v>0</v>
      </c>
      <c r="U514">
        <f>laptop[[#This Row],[PrimaryStorage]]+laptop[[#This Row],[SecondaryStorage]]</f>
        <v>1024</v>
      </c>
      <c r="V514" t="s">
        <v>51</v>
      </c>
      <c r="W514" t="s">
        <v>27</v>
      </c>
      <c r="X514" t="str">
        <f>IF(laptop[[#This Row],[PrimaryStorageType]]=laptop[[#This Row],[SecondaryStorageType]],laptop[[#This Row],[PrimaryStorageType]],"SSD &amp; HDD")</f>
        <v>SSD &amp; HDD</v>
      </c>
      <c r="Y514" t="s">
        <v>42</v>
      </c>
      <c r="Z514" s="4" t="str">
        <f>_xlfn.CONCAT(laptop[[#This Row],[CPU_company]]," ",laptop[[#This Row],[GPU_model]])</f>
        <v>Intel HD Graphics 620</v>
      </c>
    </row>
    <row r="515" spans="1:26" x14ac:dyDescent="0.25">
      <c r="A515" t="s">
        <v>65</v>
      </c>
      <c r="B515" t="s">
        <v>93</v>
      </c>
      <c r="C515" t="s">
        <v>38</v>
      </c>
      <c r="D515">
        <v>15.6</v>
      </c>
      <c r="E515">
        <v>16</v>
      </c>
      <c r="F515" t="s">
        <v>48</v>
      </c>
      <c r="G515">
        <v>2.2000000000000002</v>
      </c>
      <c r="H515" s="16">
        <v>1219.24</v>
      </c>
      <c r="I515" t="s">
        <v>40</v>
      </c>
      <c r="J515">
        <v>1920</v>
      </c>
      <c r="K515">
        <v>1080</v>
      </c>
      <c r="L515" t="s">
        <v>27</v>
      </c>
      <c r="M515" t="s">
        <v>27</v>
      </c>
      <c r="N515" t="s">
        <v>27</v>
      </c>
      <c r="O515" t="s">
        <v>29</v>
      </c>
      <c r="P515">
        <v>1.8</v>
      </c>
      <c r="Q515" t="s">
        <v>57</v>
      </c>
      <c r="R515" t="str">
        <f>_xlfn.CONCAT(laptop[[#This Row],[CPU_company]]," ",laptop[[#This Row],[CPU_model]])</f>
        <v>Intel Core i7 8550U</v>
      </c>
      <c r="S515">
        <v>256</v>
      </c>
      <c r="T515">
        <v>2048</v>
      </c>
      <c r="U515">
        <f>laptop[[#This Row],[PrimaryStorage]]+laptop[[#This Row],[SecondaryStorage]]</f>
        <v>2304</v>
      </c>
      <c r="V515" t="s">
        <v>31</v>
      </c>
      <c r="W515" t="s">
        <v>51</v>
      </c>
      <c r="X515" t="str">
        <f>IF(laptop[[#This Row],[PrimaryStorageType]]=laptop[[#This Row],[SecondaryStorageType]],laptop[[#This Row],[PrimaryStorageType]],"SSD &amp; HDD")</f>
        <v>SSD &amp; HDD</v>
      </c>
      <c r="Y515" t="s">
        <v>94</v>
      </c>
      <c r="Z515" s="4" t="str">
        <f>_xlfn.CONCAT(laptop[[#This Row],[CPU_company]]," ",laptop[[#This Row],[GPU_model]])</f>
        <v>Intel Radeon 530</v>
      </c>
    </row>
    <row r="516" spans="1:26" x14ac:dyDescent="0.25">
      <c r="A516" t="s">
        <v>247</v>
      </c>
      <c r="B516" t="s">
        <v>248</v>
      </c>
      <c r="C516" t="s">
        <v>38</v>
      </c>
      <c r="D516">
        <v>15.6</v>
      </c>
      <c r="E516">
        <v>16</v>
      </c>
      <c r="F516" t="s">
        <v>39</v>
      </c>
      <c r="G516">
        <v>1.95</v>
      </c>
      <c r="H516" s="16">
        <v>1399.95</v>
      </c>
      <c r="I516" t="s">
        <v>40</v>
      </c>
      <c r="J516">
        <v>1920</v>
      </c>
      <c r="K516">
        <v>1080</v>
      </c>
      <c r="L516" t="s">
        <v>27</v>
      </c>
      <c r="M516" t="s">
        <v>28</v>
      </c>
      <c r="N516" t="s">
        <v>27</v>
      </c>
      <c r="O516" t="s">
        <v>29</v>
      </c>
      <c r="P516">
        <v>1.8</v>
      </c>
      <c r="Q516" t="s">
        <v>57</v>
      </c>
      <c r="R516" t="str">
        <f>_xlfn.CONCAT(laptop[[#This Row],[CPU_company]]," ",laptop[[#This Row],[CPU_model]])</f>
        <v>Intel Core i7 8550U</v>
      </c>
      <c r="S516">
        <v>256</v>
      </c>
      <c r="T516">
        <v>0</v>
      </c>
      <c r="U516">
        <f>laptop[[#This Row],[PrimaryStorage]]+laptop[[#This Row],[SecondaryStorage]]</f>
        <v>256</v>
      </c>
      <c r="V516" t="s">
        <v>31</v>
      </c>
      <c r="W516" t="s">
        <v>27</v>
      </c>
      <c r="X516" t="str">
        <f>IF(laptop[[#This Row],[PrimaryStorageType]]=laptop[[#This Row],[SecondaryStorageType]],laptop[[#This Row],[PrimaryStorageType]],"SSD &amp; HDD")</f>
        <v>SSD &amp; HDD</v>
      </c>
      <c r="Y516" t="s">
        <v>58</v>
      </c>
      <c r="Z516" s="4" t="str">
        <f>_xlfn.CONCAT(laptop[[#This Row],[CPU_company]]," ",laptop[[#This Row],[GPU_model]])</f>
        <v>Intel GeForce MX150</v>
      </c>
    </row>
    <row r="517" spans="1:26" x14ac:dyDescent="0.25">
      <c r="A517" t="s">
        <v>55</v>
      </c>
      <c r="B517" t="s">
        <v>472</v>
      </c>
      <c r="C517" t="s">
        <v>79</v>
      </c>
      <c r="D517">
        <v>11.6</v>
      </c>
      <c r="E517">
        <v>2</v>
      </c>
      <c r="F517" t="s">
        <v>48</v>
      </c>
      <c r="G517">
        <v>1.1000000000000001</v>
      </c>
      <c r="H517" s="16">
        <v>245</v>
      </c>
      <c r="I517" t="s">
        <v>26</v>
      </c>
      <c r="J517">
        <v>1366</v>
      </c>
      <c r="K517">
        <v>768</v>
      </c>
      <c r="L517" t="s">
        <v>27</v>
      </c>
      <c r="M517" t="s">
        <v>27</v>
      </c>
      <c r="N517" t="s">
        <v>27</v>
      </c>
      <c r="O517" t="s">
        <v>29</v>
      </c>
      <c r="P517">
        <v>1.1000000000000001</v>
      </c>
      <c r="Q517" t="s">
        <v>109</v>
      </c>
      <c r="R517" t="str">
        <f>_xlfn.CONCAT(laptop[[#This Row],[CPU_company]]," ",laptop[[#This Row],[CPU_model]])</f>
        <v>Intel Celeron Dual Core N3350</v>
      </c>
      <c r="S517">
        <v>32</v>
      </c>
      <c r="T517">
        <v>0</v>
      </c>
      <c r="U517">
        <f>laptop[[#This Row],[PrimaryStorage]]+laptop[[#This Row],[SecondaryStorage]]</f>
        <v>32</v>
      </c>
      <c r="V517" t="s">
        <v>34</v>
      </c>
      <c r="W517" t="s">
        <v>27</v>
      </c>
      <c r="X517" t="str">
        <f>IF(laptop[[#This Row],[PrimaryStorageType]]=laptop[[#This Row],[SecondaryStorageType]],laptop[[#This Row],[PrimaryStorageType]],"SSD &amp; HDD")</f>
        <v>SSD &amp; HDD</v>
      </c>
      <c r="Y517" t="s">
        <v>110</v>
      </c>
      <c r="Z517" s="4" t="str">
        <f>_xlfn.CONCAT(laptop[[#This Row],[CPU_company]]," ",laptop[[#This Row],[GPU_model]])</f>
        <v>Intel HD Graphics 500</v>
      </c>
    </row>
    <row r="518" spans="1:26" x14ac:dyDescent="0.25">
      <c r="A518" t="s">
        <v>36</v>
      </c>
      <c r="B518" t="s">
        <v>473</v>
      </c>
      <c r="C518" t="s">
        <v>38</v>
      </c>
      <c r="D518">
        <v>15.6</v>
      </c>
      <c r="E518">
        <v>4</v>
      </c>
      <c r="F518" t="s">
        <v>48</v>
      </c>
      <c r="G518">
        <v>2.04</v>
      </c>
      <c r="H518" s="16">
        <v>521.47</v>
      </c>
      <c r="I518" t="s">
        <v>26</v>
      </c>
      <c r="J518">
        <v>1366</v>
      </c>
      <c r="K518">
        <v>768</v>
      </c>
      <c r="L518" t="s">
        <v>28</v>
      </c>
      <c r="M518" t="s">
        <v>27</v>
      </c>
      <c r="N518" t="s">
        <v>27</v>
      </c>
      <c r="O518" t="s">
        <v>29</v>
      </c>
      <c r="P518">
        <v>1.6</v>
      </c>
      <c r="Q518" t="s">
        <v>60</v>
      </c>
      <c r="R518" t="str">
        <f>_xlfn.CONCAT(laptop[[#This Row],[CPU_company]]," ",laptop[[#This Row],[CPU_model]])</f>
        <v>Intel Core i5 8250U</v>
      </c>
      <c r="S518">
        <v>1024</v>
      </c>
      <c r="T518">
        <v>0</v>
      </c>
      <c r="U518">
        <f>laptop[[#This Row],[PrimaryStorage]]+laptop[[#This Row],[SecondaryStorage]]</f>
        <v>1024</v>
      </c>
      <c r="V518" t="s">
        <v>51</v>
      </c>
      <c r="W518" t="s">
        <v>27</v>
      </c>
      <c r="X518" t="str">
        <f>IF(laptop[[#This Row],[PrimaryStorageType]]=laptop[[#This Row],[SecondaryStorageType]],laptop[[#This Row],[PrimaryStorageType]],"SSD &amp; HDD")</f>
        <v>SSD &amp; HDD</v>
      </c>
      <c r="Y518" t="s">
        <v>61</v>
      </c>
      <c r="Z518" s="4" t="str">
        <f>_xlfn.CONCAT(laptop[[#This Row],[CPU_company]]," ",laptop[[#This Row],[GPU_model]])</f>
        <v>Intel UHD Graphics 620</v>
      </c>
    </row>
    <row r="519" spans="1:26" x14ac:dyDescent="0.25">
      <c r="A519" t="s">
        <v>55</v>
      </c>
      <c r="B519" t="s">
        <v>474</v>
      </c>
      <c r="C519" t="s">
        <v>83</v>
      </c>
      <c r="D519">
        <v>15.6</v>
      </c>
      <c r="E519">
        <v>24</v>
      </c>
      <c r="F519" t="s">
        <v>48</v>
      </c>
      <c r="G519">
        <v>2.2400000000000002</v>
      </c>
      <c r="H519" s="16">
        <v>2968</v>
      </c>
      <c r="I519" t="s">
        <v>40</v>
      </c>
      <c r="J519">
        <v>1920</v>
      </c>
      <c r="K519">
        <v>1080</v>
      </c>
      <c r="L519" t="s">
        <v>27</v>
      </c>
      <c r="M519" t="s">
        <v>27</v>
      </c>
      <c r="N519" t="s">
        <v>27</v>
      </c>
      <c r="O519" t="s">
        <v>29</v>
      </c>
      <c r="P519">
        <v>2.8</v>
      </c>
      <c r="Q519" t="s">
        <v>118</v>
      </c>
      <c r="R519" t="str">
        <f>_xlfn.CONCAT(laptop[[#This Row],[CPU_company]]," ",laptop[[#This Row],[CPU_model]])</f>
        <v>Intel Core i7 7700HQ</v>
      </c>
      <c r="S519">
        <v>512</v>
      </c>
      <c r="T519">
        <v>0</v>
      </c>
      <c r="U519">
        <f>laptop[[#This Row],[PrimaryStorage]]+laptop[[#This Row],[SecondaryStorage]]</f>
        <v>512</v>
      </c>
      <c r="V519" t="s">
        <v>31</v>
      </c>
      <c r="W519" t="s">
        <v>27</v>
      </c>
      <c r="X519" t="str">
        <f>IF(laptop[[#This Row],[PrimaryStorageType]]=laptop[[#This Row],[SecondaryStorageType]],laptop[[#This Row],[PrimaryStorageType]],"SSD &amp; HDD")</f>
        <v>SSD &amp; HDD</v>
      </c>
      <c r="Y519" t="s">
        <v>475</v>
      </c>
      <c r="Z519" s="4" t="str">
        <f>_xlfn.CONCAT(laptop[[#This Row],[CPU_company]]," ",laptop[[#This Row],[GPU_model]])</f>
        <v>Intel GeForce GTX1080</v>
      </c>
    </row>
    <row r="520" spans="1:26" x14ac:dyDescent="0.25">
      <c r="A520" t="s">
        <v>36</v>
      </c>
      <c r="B520" t="s">
        <v>476</v>
      </c>
      <c r="C520" t="s">
        <v>38</v>
      </c>
      <c r="D520">
        <v>15.6</v>
      </c>
      <c r="E520">
        <v>8</v>
      </c>
      <c r="F520" t="s">
        <v>48</v>
      </c>
      <c r="G520">
        <v>2.04</v>
      </c>
      <c r="H520" s="16">
        <v>889</v>
      </c>
      <c r="I520" t="s">
        <v>40</v>
      </c>
      <c r="J520">
        <v>1920</v>
      </c>
      <c r="K520">
        <v>1080</v>
      </c>
      <c r="L520" t="s">
        <v>27</v>
      </c>
      <c r="M520" t="s">
        <v>27</v>
      </c>
      <c r="N520" t="s">
        <v>27</v>
      </c>
      <c r="O520" t="s">
        <v>29</v>
      </c>
      <c r="P520">
        <v>2.5</v>
      </c>
      <c r="Q520" t="s">
        <v>41</v>
      </c>
      <c r="R520" t="str">
        <f>_xlfn.CONCAT(laptop[[#This Row],[CPU_company]]," ",laptop[[#This Row],[CPU_model]])</f>
        <v>Intel Core i5 7200U</v>
      </c>
      <c r="S520">
        <v>256</v>
      </c>
      <c r="T520">
        <v>0</v>
      </c>
      <c r="U520">
        <f>laptop[[#This Row],[PrimaryStorage]]+laptop[[#This Row],[SecondaryStorage]]</f>
        <v>256</v>
      </c>
      <c r="V520" t="s">
        <v>31</v>
      </c>
      <c r="W520" t="s">
        <v>27</v>
      </c>
      <c r="X520" t="str">
        <f>IF(laptop[[#This Row],[PrimaryStorageType]]=laptop[[#This Row],[SecondaryStorageType]],laptop[[#This Row],[PrimaryStorageType]],"SSD &amp; HDD")</f>
        <v>SSD &amp; HDD</v>
      </c>
      <c r="Y520" t="s">
        <v>98</v>
      </c>
      <c r="Z520" s="4" t="str">
        <f>_xlfn.CONCAT(laptop[[#This Row],[CPU_company]]," ",laptop[[#This Row],[GPU_model]])</f>
        <v>Intel GeForce 930MX</v>
      </c>
    </row>
    <row r="521" spans="1:26" x14ac:dyDescent="0.25">
      <c r="A521" t="s">
        <v>55</v>
      </c>
      <c r="B521" t="s">
        <v>477</v>
      </c>
      <c r="C521" t="s">
        <v>83</v>
      </c>
      <c r="D521">
        <v>17.3</v>
      </c>
      <c r="E521">
        <v>16</v>
      </c>
      <c r="F521" t="s">
        <v>48</v>
      </c>
      <c r="G521">
        <v>3</v>
      </c>
      <c r="H521" s="16">
        <v>1504</v>
      </c>
      <c r="I521" t="s">
        <v>40</v>
      </c>
      <c r="J521">
        <v>1920</v>
      </c>
      <c r="K521">
        <v>1080</v>
      </c>
      <c r="L521" t="s">
        <v>27</v>
      </c>
      <c r="M521" t="s">
        <v>27</v>
      </c>
      <c r="N521" t="s">
        <v>27</v>
      </c>
      <c r="O521" t="s">
        <v>29</v>
      </c>
      <c r="P521">
        <v>2.8</v>
      </c>
      <c r="Q521" t="s">
        <v>118</v>
      </c>
      <c r="R521" t="str">
        <f>_xlfn.CONCAT(laptop[[#This Row],[CPU_company]]," ",laptop[[#This Row],[CPU_model]])</f>
        <v>Intel Core i7 7700HQ</v>
      </c>
      <c r="S521">
        <v>256</v>
      </c>
      <c r="T521">
        <v>1024</v>
      </c>
      <c r="U521">
        <f>laptop[[#This Row],[PrimaryStorage]]+laptop[[#This Row],[SecondaryStorage]]</f>
        <v>1280</v>
      </c>
      <c r="V521" t="s">
        <v>31</v>
      </c>
      <c r="W521" t="s">
        <v>51</v>
      </c>
      <c r="X521" t="str">
        <f>IF(laptop[[#This Row],[PrimaryStorageType]]=laptop[[#This Row],[SecondaryStorageType]],laptop[[#This Row],[PrimaryStorageType]],"SSD &amp; HDD")</f>
        <v>SSD &amp; HDD</v>
      </c>
      <c r="Y521" t="s">
        <v>478</v>
      </c>
      <c r="Z521" s="4" t="str">
        <f>_xlfn.CONCAT(laptop[[#This Row],[CPU_company]]," ",laptop[[#This Row],[GPU_model]])</f>
        <v>Intel GeForce GTX1050 Ti</v>
      </c>
    </row>
    <row r="522" spans="1:26" x14ac:dyDescent="0.25">
      <c r="A522" t="s">
        <v>73</v>
      </c>
      <c r="B522" t="s">
        <v>263</v>
      </c>
      <c r="C522" t="s">
        <v>83</v>
      </c>
      <c r="D522">
        <v>15.6</v>
      </c>
      <c r="E522">
        <v>8</v>
      </c>
      <c r="F522" t="s">
        <v>48</v>
      </c>
      <c r="G522">
        <v>3.2</v>
      </c>
      <c r="H522" s="16">
        <v>1399</v>
      </c>
      <c r="I522" t="s">
        <v>40</v>
      </c>
      <c r="J522">
        <v>1920</v>
      </c>
      <c r="K522">
        <v>1080</v>
      </c>
      <c r="L522" t="s">
        <v>27</v>
      </c>
      <c r="M522" t="s">
        <v>28</v>
      </c>
      <c r="N522" t="s">
        <v>27</v>
      </c>
      <c r="O522" t="s">
        <v>29</v>
      </c>
      <c r="P522">
        <v>2.8</v>
      </c>
      <c r="Q522" t="s">
        <v>118</v>
      </c>
      <c r="R522" t="str">
        <f>_xlfn.CONCAT(laptop[[#This Row],[CPU_company]]," ",laptop[[#This Row],[CPU_model]])</f>
        <v>Intel Core i7 7700HQ</v>
      </c>
      <c r="S522">
        <v>256</v>
      </c>
      <c r="T522">
        <v>1024</v>
      </c>
      <c r="U522">
        <f>laptop[[#This Row],[PrimaryStorage]]+laptop[[#This Row],[SecondaryStorage]]</f>
        <v>1280</v>
      </c>
      <c r="V522" t="s">
        <v>31</v>
      </c>
      <c r="W522" t="s">
        <v>51</v>
      </c>
      <c r="X522" t="str">
        <f>IF(laptop[[#This Row],[PrimaryStorageType]]=laptop[[#This Row],[SecondaryStorageType]],laptop[[#This Row],[PrimaryStorageType]],"SSD &amp; HDD")</f>
        <v>SSD &amp; HDD</v>
      </c>
      <c r="Y522" t="s">
        <v>119</v>
      </c>
      <c r="Z522" s="4" t="str">
        <f>_xlfn.CONCAT(laptop[[#This Row],[CPU_company]]," ",laptop[[#This Row],[GPU_model]])</f>
        <v>Intel GeForce GTX 1060</v>
      </c>
    </row>
    <row r="523" spans="1:26" x14ac:dyDescent="0.25">
      <c r="A523" t="s">
        <v>36</v>
      </c>
      <c r="B523" t="s">
        <v>479</v>
      </c>
      <c r="C523" t="s">
        <v>24</v>
      </c>
      <c r="D523">
        <v>13.3</v>
      </c>
      <c r="E523">
        <v>8</v>
      </c>
      <c r="F523" t="s">
        <v>48</v>
      </c>
      <c r="G523">
        <v>1.32</v>
      </c>
      <c r="H523" s="16">
        <v>1399</v>
      </c>
      <c r="I523" t="s">
        <v>40</v>
      </c>
      <c r="J523">
        <v>1920</v>
      </c>
      <c r="K523">
        <v>1080</v>
      </c>
      <c r="L523" t="s">
        <v>27</v>
      </c>
      <c r="M523" t="s">
        <v>28</v>
      </c>
      <c r="N523" t="s">
        <v>27</v>
      </c>
      <c r="O523" t="s">
        <v>29</v>
      </c>
      <c r="P523">
        <v>2.7</v>
      </c>
      <c r="Q523" t="s">
        <v>71</v>
      </c>
      <c r="R523" t="str">
        <f>_xlfn.CONCAT(laptop[[#This Row],[CPU_company]]," ",laptop[[#This Row],[CPU_model]])</f>
        <v>Intel Core i7 7500U</v>
      </c>
      <c r="S523">
        <v>256</v>
      </c>
      <c r="T523">
        <v>0</v>
      </c>
      <c r="U523">
        <f>laptop[[#This Row],[PrimaryStorage]]+laptop[[#This Row],[SecondaryStorage]]</f>
        <v>256</v>
      </c>
      <c r="V523" t="s">
        <v>31</v>
      </c>
      <c r="W523" t="s">
        <v>27</v>
      </c>
      <c r="X523" t="str">
        <f>IF(laptop[[#This Row],[PrimaryStorageType]]=laptop[[#This Row],[SecondaryStorageType]],laptop[[#This Row],[PrimaryStorageType]],"SSD &amp; HDD")</f>
        <v>SSD &amp; HDD</v>
      </c>
      <c r="Y523" t="s">
        <v>42</v>
      </c>
      <c r="Z523" s="4" t="str">
        <f>_xlfn.CONCAT(laptop[[#This Row],[CPU_company]]," ",laptop[[#This Row],[GPU_model]])</f>
        <v>Intel HD Graphics 620</v>
      </c>
    </row>
    <row r="524" spans="1:26" x14ac:dyDescent="0.25">
      <c r="A524" t="s">
        <v>65</v>
      </c>
      <c r="B524" t="s">
        <v>409</v>
      </c>
      <c r="C524" t="s">
        <v>38</v>
      </c>
      <c r="D524">
        <v>14</v>
      </c>
      <c r="E524">
        <v>8</v>
      </c>
      <c r="F524" t="s">
        <v>48</v>
      </c>
      <c r="G524">
        <v>1.64</v>
      </c>
      <c r="H524" s="16">
        <v>1279.73</v>
      </c>
      <c r="I524" t="s">
        <v>40</v>
      </c>
      <c r="J524">
        <v>1920</v>
      </c>
      <c r="K524">
        <v>1080</v>
      </c>
      <c r="L524" t="s">
        <v>27</v>
      </c>
      <c r="M524" t="s">
        <v>27</v>
      </c>
      <c r="N524" t="s">
        <v>27</v>
      </c>
      <c r="O524" t="s">
        <v>29</v>
      </c>
      <c r="P524">
        <v>2.6</v>
      </c>
      <c r="Q524" t="s">
        <v>358</v>
      </c>
      <c r="R524" t="str">
        <f>_xlfn.CONCAT(laptop[[#This Row],[CPU_company]]," ",laptop[[#This Row],[CPU_model]])</f>
        <v>Intel Core i5 7300U</v>
      </c>
      <c r="S524">
        <v>256</v>
      </c>
      <c r="T524">
        <v>0</v>
      </c>
      <c r="U524">
        <f>laptop[[#This Row],[PrimaryStorage]]+laptop[[#This Row],[SecondaryStorage]]</f>
        <v>256</v>
      </c>
      <c r="V524" t="s">
        <v>31</v>
      </c>
      <c r="W524" t="s">
        <v>27</v>
      </c>
      <c r="X524" t="str">
        <f>IF(laptop[[#This Row],[PrimaryStorageType]]=laptop[[#This Row],[SecondaryStorageType]],laptop[[#This Row],[PrimaryStorageType]],"SSD &amp; HDD")</f>
        <v>SSD &amp; HDD</v>
      </c>
      <c r="Y524" t="s">
        <v>42</v>
      </c>
      <c r="Z524" s="4" t="str">
        <f>_xlfn.CONCAT(laptop[[#This Row],[CPU_company]]," ",laptop[[#This Row],[GPU_model]])</f>
        <v>Intel HD Graphics 620</v>
      </c>
    </row>
    <row r="525" spans="1:26" x14ac:dyDescent="0.25">
      <c r="A525" t="s">
        <v>36</v>
      </c>
      <c r="B525" t="s">
        <v>164</v>
      </c>
      <c r="C525" t="s">
        <v>38</v>
      </c>
      <c r="D525">
        <v>15.6</v>
      </c>
      <c r="E525">
        <v>4</v>
      </c>
      <c r="F525" t="s">
        <v>48</v>
      </c>
      <c r="G525">
        <v>1.63</v>
      </c>
      <c r="H525" s="16">
        <v>689</v>
      </c>
      <c r="I525" t="s">
        <v>26</v>
      </c>
      <c r="J525">
        <v>1366</v>
      </c>
      <c r="K525">
        <v>768</v>
      </c>
      <c r="L525" t="s">
        <v>27</v>
      </c>
      <c r="M525" t="s">
        <v>27</v>
      </c>
      <c r="N525" t="s">
        <v>27</v>
      </c>
      <c r="O525" t="s">
        <v>29</v>
      </c>
      <c r="P525">
        <v>2</v>
      </c>
      <c r="Q525" t="s">
        <v>62</v>
      </c>
      <c r="R525" t="str">
        <f>_xlfn.CONCAT(laptop[[#This Row],[CPU_company]]," ",laptop[[#This Row],[CPU_model]])</f>
        <v>Intel Core i3 6006U</v>
      </c>
      <c r="S525">
        <v>128</v>
      </c>
      <c r="T525">
        <v>0</v>
      </c>
      <c r="U525">
        <f>laptop[[#This Row],[PrimaryStorage]]+laptop[[#This Row],[SecondaryStorage]]</f>
        <v>128</v>
      </c>
      <c r="V525" t="s">
        <v>31</v>
      </c>
      <c r="W525" t="s">
        <v>27</v>
      </c>
      <c r="X525" t="str">
        <f>IF(laptop[[#This Row],[PrimaryStorageType]]=laptop[[#This Row],[SecondaryStorageType]],laptop[[#This Row],[PrimaryStorageType]],"SSD &amp; HDD")</f>
        <v>SSD &amp; HDD</v>
      </c>
      <c r="Y525" t="s">
        <v>63</v>
      </c>
      <c r="Z525" s="4" t="str">
        <f>_xlfn.CONCAT(laptop[[#This Row],[CPU_company]]," ",laptop[[#This Row],[GPU_model]])</f>
        <v>Intel HD Graphics 520</v>
      </c>
    </row>
    <row r="526" spans="1:26" x14ac:dyDescent="0.25">
      <c r="A526" t="s">
        <v>65</v>
      </c>
      <c r="B526" t="s">
        <v>113</v>
      </c>
      <c r="C526" t="s">
        <v>38</v>
      </c>
      <c r="D526">
        <v>17.3</v>
      </c>
      <c r="E526">
        <v>8</v>
      </c>
      <c r="F526" t="s">
        <v>111</v>
      </c>
      <c r="G526">
        <v>2.8</v>
      </c>
      <c r="H526" s="16">
        <v>889</v>
      </c>
      <c r="I526" t="s">
        <v>40</v>
      </c>
      <c r="J526">
        <v>1920</v>
      </c>
      <c r="K526">
        <v>1080</v>
      </c>
      <c r="L526" t="s">
        <v>27</v>
      </c>
      <c r="M526" t="s">
        <v>28</v>
      </c>
      <c r="N526" t="s">
        <v>27</v>
      </c>
      <c r="O526" t="s">
        <v>29</v>
      </c>
      <c r="P526">
        <v>1.6</v>
      </c>
      <c r="Q526" t="s">
        <v>60</v>
      </c>
      <c r="R526" t="str">
        <f>_xlfn.CONCAT(laptop[[#This Row],[CPU_company]]," ",laptop[[#This Row],[CPU_model]])</f>
        <v>Intel Core i5 8250U</v>
      </c>
      <c r="S526">
        <v>128</v>
      </c>
      <c r="T526">
        <v>1024</v>
      </c>
      <c r="U526">
        <f>laptop[[#This Row],[PrimaryStorage]]+laptop[[#This Row],[SecondaryStorage]]</f>
        <v>1152</v>
      </c>
      <c r="V526" t="s">
        <v>31</v>
      </c>
      <c r="W526" t="s">
        <v>51</v>
      </c>
      <c r="X526" t="str">
        <f>IF(laptop[[#This Row],[PrimaryStorageType]]=laptop[[#This Row],[SecondaryStorageType]],laptop[[#This Row],[PrimaryStorageType]],"SSD &amp; HDD")</f>
        <v>SSD &amp; HDD</v>
      </c>
      <c r="Y526" t="s">
        <v>94</v>
      </c>
      <c r="Z526" s="4" t="str">
        <f>_xlfn.CONCAT(laptop[[#This Row],[CPU_company]]," ",laptop[[#This Row],[GPU_model]])</f>
        <v>Intel Radeon 530</v>
      </c>
    </row>
    <row r="527" spans="1:26" x14ac:dyDescent="0.25">
      <c r="A527" t="s">
        <v>73</v>
      </c>
      <c r="B527" t="s">
        <v>394</v>
      </c>
      <c r="C527" t="s">
        <v>38</v>
      </c>
      <c r="D527">
        <v>14</v>
      </c>
      <c r="E527">
        <v>8</v>
      </c>
      <c r="F527" t="s">
        <v>480</v>
      </c>
      <c r="G527">
        <v>2.02</v>
      </c>
      <c r="H527" s="16">
        <v>1340</v>
      </c>
      <c r="I527" t="s">
        <v>40</v>
      </c>
      <c r="J527">
        <v>1920</v>
      </c>
      <c r="K527">
        <v>1080</v>
      </c>
      <c r="L527" t="s">
        <v>27</v>
      </c>
      <c r="M527" t="s">
        <v>27</v>
      </c>
      <c r="N527" t="s">
        <v>27</v>
      </c>
      <c r="O527" t="s">
        <v>29</v>
      </c>
      <c r="P527">
        <v>2.2999999999999998</v>
      </c>
      <c r="Q527" t="s">
        <v>212</v>
      </c>
      <c r="R527" t="str">
        <f>_xlfn.CONCAT(laptop[[#This Row],[CPU_company]]," ",laptop[[#This Row],[CPU_model]])</f>
        <v>Intel Core i5 6200U</v>
      </c>
      <c r="S527">
        <v>256</v>
      </c>
      <c r="T527">
        <v>0</v>
      </c>
      <c r="U527">
        <f>laptop[[#This Row],[PrimaryStorage]]+laptop[[#This Row],[SecondaryStorage]]</f>
        <v>256</v>
      </c>
      <c r="V527" t="s">
        <v>31</v>
      </c>
      <c r="W527" t="s">
        <v>27</v>
      </c>
      <c r="X527" t="str">
        <f>IF(laptop[[#This Row],[PrimaryStorageType]]=laptop[[#This Row],[SecondaryStorageType]],laptop[[#This Row],[PrimaryStorageType]],"SSD &amp; HDD")</f>
        <v>SSD &amp; HDD</v>
      </c>
      <c r="Y527" t="s">
        <v>63</v>
      </c>
      <c r="Z527" s="4" t="str">
        <f>_xlfn.CONCAT(laptop[[#This Row],[CPU_company]]," ",laptop[[#This Row],[GPU_model]])</f>
        <v>Intel HD Graphics 520</v>
      </c>
    </row>
    <row r="528" spans="1:26" x14ac:dyDescent="0.25">
      <c r="A528" t="s">
        <v>73</v>
      </c>
      <c r="B528" t="s">
        <v>74</v>
      </c>
      <c r="C528" t="s">
        <v>38</v>
      </c>
      <c r="D528">
        <v>15.6</v>
      </c>
      <c r="E528">
        <v>4</v>
      </c>
      <c r="F528" t="s">
        <v>48</v>
      </c>
      <c r="G528">
        <v>2.2000000000000002</v>
      </c>
      <c r="H528" s="16">
        <v>799</v>
      </c>
      <c r="I528" t="s">
        <v>40</v>
      </c>
      <c r="J528">
        <v>1920</v>
      </c>
      <c r="K528">
        <v>1080</v>
      </c>
      <c r="L528" t="s">
        <v>27</v>
      </c>
      <c r="M528" t="s">
        <v>27</v>
      </c>
      <c r="N528" t="s">
        <v>27</v>
      </c>
      <c r="O528" t="s">
        <v>29</v>
      </c>
      <c r="P528">
        <v>2.7</v>
      </c>
      <c r="Q528" t="s">
        <v>71</v>
      </c>
      <c r="R528" t="str">
        <f>_xlfn.CONCAT(laptop[[#This Row],[CPU_company]]," ",laptop[[#This Row],[CPU_model]])</f>
        <v>Intel Core i7 7500U</v>
      </c>
      <c r="S528">
        <v>1024</v>
      </c>
      <c r="T528">
        <v>0</v>
      </c>
      <c r="U528">
        <f>laptop[[#This Row],[PrimaryStorage]]+laptop[[#This Row],[SecondaryStorage]]</f>
        <v>1024</v>
      </c>
      <c r="V528" t="s">
        <v>51</v>
      </c>
      <c r="W528" t="s">
        <v>27</v>
      </c>
      <c r="X528" t="str">
        <f>IF(laptop[[#This Row],[PrimaryStorageType]]=laptop[[#This Row],[SecondaryStorageType]],laptop[[#This Row],[PrimaryStorageType]],"SSD &amp; HDD")</f>
        <v>SSD &amp; HDD</v>
      </c>
      <c r="Y528" t="s">
        <v>131</v>
      </c>
      <c r="Z528" s="4" t="str">
        <f>_xlfn.CONCAT(laptop[[#This Row],[CPU_company]]," ",laptop[[#This Row],[GPU_model]])</f>
        <v>Intel GeForce 920MX</v>
      </c>
    </row>
    <row r="529" spans="1:26" x14ac:dyDescent="0.25">
      <c r="A529" t="s">
        <v>73</v>
      </c>
      <c r="B529" t="s">
        <v>125</v>
      </c>
      <c r="C529" t="s">
        <v>38</v>
      </c>
      <c r="D529">
        <v>15.6</v>
      </c>
      <c r="E529">
        <v>8</v>
      </c>
      <c r="F529" t="s">
        <v>39</v>
      </c>
      <c r="G529">
        <v>2.2000000000000002</v>
      </c>
      <c r="H529" s="16">
        <v>459</v>
      </c>
      <c r="I529" t="s">
        <v>26</v>
      </c>
      <c r="J529">
        <v>1366</v>
      </c>
      <c r="K529">
        <v>768</v>
      </c>
      <c r="L529" t="s">
        <v>27</v>
      </c>
      <c r="M529" t="s">
        <v>27</v>
      </c>
      <c r="N529" t="s">
        <v>27</v>
      </c>
      <c r="O529" t="s">
        <v>29</v>
      </c>
      <c r="P529">
        <v>2</v>
      </c>
      <c r="Q529" t="s">
        <v>62</v>
      </c>
      <c r="R529" t="str">
        <f>_xlfn.CONCAT(laptop[[#This Row],[CPU_company]]," ",laptop[[#This Row],[CPU_model]])</f>
        <v>Intel Core i3 6006U</v>
      </c>
      <c r="S529">
        <v>2048</v>
      </c>
      <c r="T529">
        <v>0</v>
      </c>
      <c r="U529">
        <f>laptop[[#This Row],[PrimaryStorage]]+laptop[[#This Row],[SecondaryStorage]]</f>
        <v>2048</v>
      </c>
      <c r="V529" t="s">
        <v>51</v>
      </c>
      <c r="W529" t="s">
        <v>27</v>
      </c>
      <c r="X529" t="str">
        <f>IF(laptop[[#This Row],[PrimaryStorageType]]=laptop[[#This Row],[SecondaryStorageType]],laptop[[#This Row],[PrimaryStorageType]],"SSD &amp; HDD")</f>
        <v>SSD &amp; HDD</v>
      </c>
      <c r="Y529" t="s">
        <v>277</v>
      </c>
      <c r="Z529" s="4" t="str">
        <f>_xlfn.CONCAT(laptop[[#This Row],[CPU_company]]," ",laptop[[#This Row],[GPU_model]])</f>
        <v xml:space="preserve">Intel GeForce 920MX </v>
      </c>
    </row>
    <row r="530" spans="1:26" x14ac:dyDescent="0.25">
      <c r="A530" t="s">
        <v>65</v>
      </c>
      <c r="B530" t="s">
        <v>66</v>
      </c>
      <c r="C530" t="s">
        <v>38</v>
      </c>
      <c r="D530">
        <v>15.6</v>
      </c>
      <c r="E530">
        <v>4</v>
      </c>
      <c r="F530" t="s">
        <v>48</v>
      </c>
      <c r="G530">
        <v>2.2999999999999998</v>
      </c>
      <c r="H530" s="16">
        <v>585</v>
      </c>
      <c r="I530" t="s">
        <v>40</v>
      </c>
      <c r="J530">
        <v>1920</v>
      </c>
      <c r="K530">
        <v>1080</v>
      </c>
      <c r="L530" t="s">
        <v>27</v>
      </c>
      <c r="M530" t="s">
        <v>27</v>
      </c>
      <c r="N530" t="s">
        <v>27</v>
      </c>
      <c r="O530" t="s">
        <v>29</v>
      </c>
      <c r="P530">
        <v>2.5</v>
      </c>
      <c r="Q530" t="s">
        <v>41</v>
      </c>
      <c r="R530" t="str">
        <f>_xlfn.CONCAT(laptop[[#This Row],[CPU_company]]," ",laptop[[#This Row],[CPU_model]])</f>
        <v>Intel Core i5 7200U</v>
      </c>
      <c r="S530">
        <v>500</v>
      </c>
      <c r="T530">
        <v>0</v>
      </c>
      <c r="U530">
        <f>laptop[[#This Row],[PrimaryStorage]]+laptop[[#This Row],[SecondaryStorage]]</f>
        <v>500</v>
      </c>
      <c r="V530" t="s">
        <v>51</v>
      </c>
      <c r="W530" t="s">
        <v>27</v>
      </c>
      <c r="X530" t="str">
        <f>IF(laptop[[#This Row],[PrimaryStorageType]]=laptop[[#This Row],[SecondaryStorageType]],laptop[[#This Row],[PrimaryStorageType]],"SSD &amp; HDD")</f>
        <v>SSD &amp; HDD</v>
      </c>
      <c r="Y530" t="s">
        <v>67</v>
      </c>
      <c r="Z530" s="4" t="str">
        <f>_xlfn.CONCAT(laptop[[#This Row],[CPU_company]]," ",laptop[[#This Row],[GPU_model]])</f>
        <v>Intel Radeon R5 M430</v>
      </c>
    </row>
    <row r="531" spans="1:26" x14ac:dyDescent="0.25">
      <c r="A531" t="s">
        <v>65</v>
      </c>
      <c r="B531" t="s">
        <v>481</v>
      </c>
      <c r="C531" t="s">
        <v>38</v>
      </c>
      <c r="D531">
        <v>15.6</v>
      </c>
      <c r="E531">
        <v>8</v>
      </c>
      <c r="F531" t="s">
        <v>48</v>
      </c>
      <c r="G531">
        <v>1.9</v>
      </c>
      <c r="H531" s="16">
        <v>1377</v>
      </c>
      <c r="I531" t="s">
        <v>40</v>
      </c>
      <c r="J531">
        <v>1920</v>
      </c>
      <c r="K531">
        <v>1080</v>
      </c>
      <c r="L531" t="s">
        <v>27</v>
      </c>
      <c r="M531" t="s">
        <v>27</v>
      </c>
      <c r="N531" t="s">
        <v>27</v>
      </c>
      <c r="O531" t="s">
        <v>29</v>
      </c>
      <c r="P531">
        <v>2.8</v>
      </c>
      <c r="Q531" t="s">
        <v>428</v>
      </c>
      <c r="R531" t="str">
        <f>_xlfn.CONCAT(laptop[[#This Row],[CPU_company]]," ",laptop[[#This Row],[CPU_model]])</f>
        <v>Intel Core i5 7440HQ</v>
      </c>
      <c r="S531">
        <v>256</v>
      </c>
      <c r="T531">
        <v>0</v>
      </c>
      <c r="U531">
        <f>laptop[[#This Row],[PrimaryStorage]]+laptop[[#This Row],[SecondaryStorage]]</f>
        <v>256</v>
      </c>
      <c r="V531" t="s">
        <v>31</v>
      </c>
      <c r="W531" t="s">
        <v>27</v>
      </c>
      <c r="X531" t="str">
        <f>IF(laptop[[#This Row],[PrimaryStorageType]]=laptop[[#This Row],[SecondaryStorageType]],laptop[[#This Row],[PrimaryStorageType]],"SSD &amp; HDD")</f>
        <v>SSD &amp; HDD</v>
      </c>
      <c r="Y531" t="s">
        <v>42</v>
      </c>
      <c r="Z531" s="4" t="str">
        <f>_xlfn.CONCAT(laptop[[#This Row],[CPU_company]]," ",laptop[[#This Row],[GPU_model]])</f>
        <v>Intel HD Graphics 620</v>
      </c>
    </row>
    <row r="532" spans="1:26" x14ac:dyDescent="0.25">
      <c r="A532" t="s">
        <v>65</v>
      </c>
      <c r="B532" t="s">
        <v>275</v>
      </c>
      <c r="C532" t="s">
        <v>83</v>
      </c>
      <c r="D532">
        <v>17.3</v>
      </c>
      <c r="E532">
        <v>16</v>
      </c>
      <c r="F532" t="s">
        <v>48</v>
      </c>
      <c r="G532">
        <v>4.42</v>
      </c>
      <c r="H532" s="16">
        <v>3012.77</v>
      </c>
      <c r="I532" t="s">
        <v>40</v>
      </c>
      <c r="J532">
        <v>1920</v>
      </c>
      <c r="K532">
        <v>1080</v>
      </c>
      <c r="L532" t="s">
        <v>27</v>
      </c>
      <c r="M532" t="s">
        <v>28</v>
      </c>
      <c r="N532" t="s">
        <v>27</v>
      </c>
      <c r="O532" t="s">
        <v>29</v>
      </c>
      <c r="P532">
        <v>2.8</v>
      </c>
      <c r="Q532" t="s">
        <v>118</v>
      </c>
      <c r="R532" t="str">
        <f>_xlfn.CONCAT(laptop[[#This Row],[CPU_company]]," ",laptop[[#This Row],[CPU_model]])</f>
        <v>Intel Core i7 7700HQ</v>
      </c>
      <c r="S532">
        <v>128</v>
      </c>
      <c r="T532">
        <v>1024</v>
      </c>
      <c r="U532">
        <f>laptop[[#This Row],[PrimaryStorage]]+laptop[[#This Row],[SecondaryStorage]]</f>
        <v>1152</v>
      </c>
      <c r="V532" t="s">
        <v>31</v>
      </c>
      <c r="W532" t="s">
        <v>51</v>
      </c>
      <c r="X532" t="str">
        <f>IF(laptop[[#This Row],[PrimaryStorageType]]=laptop[[#This Row],[SecondaryStorageType]],laptop[[#This Row],[PrimaryStorageType]],"SSD &amp; HDD")</f>
        <v>SSD &amp; HDD</v>
      </c>
      <c r="Y532" t="s">
        <v>143</v>
      </c>
      <c r="Z532" s="4" t="str">
        <f>_xlfn.CONCAT(laptop[[#This Row],[CPU_company]]," ",laptop[[#This Row],[GPU_model]])</f>
        <v>Intel GeForce GTX 1070</v>
      </c>
    </row>
    <row r="533" spans="1:26" x14ac:dyDescent="0.25">
      <c r="A533" t="s">
        <v>210</v>
      </c>
      <c r="B533" t="s">
        <v>211</v>
      </c>
      <c r="C533" t="s">
        <v>38</v>
      </c>
      <c r="D533">
        <v>15.6</v>
      </c>
      <c r="E533">
        <v>8</v>
      </c>
      <c r="F533" t="s">
        <v>48</v>
      </c>
      <c r="G533">
        <v>2</v>
      </c>
      <c r="H533" s="16">
        <v>860</v>
      </c>
      <c r="I533" t="s">
        <v>40</v>
      </c>
      <c r="J533">
        <v>1920</v>
      </c>
      <c r="K533">
        <v>1080</v>
      </c>
      <c r="L533" t="s">
        <v>27</v>
      </c>
      <c r="M533" t="s">
        <v>28</v>
      </c>
      <c r="N533" t="s">
        <v>27</v>
      </c>
      <c r="O533" t="s">
        <v>29</v>
      </c>
      <c r="P533">
        <v>2.5</v>
      </c>
      <c r="Q533" t="s">
        <v>41</v>
      </c>
      <c r="R533" t="str">
        <f>_xlfn.CONCAT(laptop[[#This Row],[CPU_company]]," ",laptop[[#This Row],[CPU_model]])</f>
        <v>Intel Core i5 7200U</v>
      </c>
      <c r="S533">
        <v>500</v>
      </c>
      <c r="T533">
        <v>0</v>
      </c>
      <c r="U533">
        <f>laptop[[#This Row],[PrimaryStorage]]+laptop[[#This Row],[SecondaryStorage]]</f>
        <v>500</v>
      </c>
      <c r="V533" t="s">
        <v>51</v>
      </c>
      <c r="W533" t="s">
        <v>27</v>
      </c>
      <c r="X533" t="str">
        <f>IF(laptop[[#This Row],[PrimaryStorageType]]=laptop[[#This Row],[SecondaryStorageType]],laptop[[#This Row],[PrimaryStorageType]],"SSD &amp; HDD")</f>
        <v>SSD &amp; HDD</v>
      </c>
      <c r="Y533" t="s">
        <v>42</v>
      </c>
      <c r="Z533" s="4" t="str">
        <f>_xlfn.CONCAT(laptop[[#This Row],[CPU_company]]," ",laptop[[#This Row],[GPU_model]])</f>
        <v>Intel HD Graphics 620</v>
      </c>
    </row>
    <row r="534" spans="1:26" x14ac:dyDescent="0.25">
      <c r="A534" t="s">
        <v>55</v>
      </c>
      <c r="B534" t="s">
        <v>482</v>
      </c>
      <c r="C534" t="s">
        <v>38</v>
      </c>
      <c r="D534">
        <v>15.6</v>
      </c>
      <c r="E534">
        <v>8</v>
      </c>
      <c r="F534" t="s">
        <v>48</v>
      </c>
      <c r="G534">
        <v>2</v>
      </c>
      <c r="H534" s="16">
        <v>1299</v>
      </c>
      <c r="I534" t="s">
        <v>215</v>
      </c>
      <c r="J534">
        <v>3840</v>
      </c>
      <c r="K534">
        <v>2160</v>
      </c>
      <c r="L534" t="s">
        <v>27</v>
      </c>
      <c r="M534" t="s">
        <v>28</v>
      </c>
      <c r="N534" t="s">
        <v>27</v>
      </c>
      <c r="O534" t="s">
        <v>29</v>
      </c>
      <c r="P534">
        <v>2.7</v>
      </c>
      <c r="Q534" t="s">
        <v>71</v>
      </c>
      <c r="R534" t="str">
        <f>_xlfn.CONCAT(laptop[[#This Row],[CPU_company]]," ",laptop[[#This Row],[CPU_model]])</f>
        <v>Intel Core i7 7500U</v>
      </c>
      <c r="S534">
        <v>256</v>
      </c>
      <c r="T534">
        <v>1024</v>
      </c>
      <c r="U534">
        <f>laptop[[#This Row],[PrimaryStorage]]+laptop[[#This Row],[SecondaryStorage]]</f>
        <v>1280</v>
      </c>
      <c r="V534" t="s">
        <v>31</v>
      </c>
      <c r="W534" t="s">
        <v>51</v>
      </c>
      <c r="X534" t="str">
        <f>IF(laptop[[#This Row],[PrimaryStorageType]]=laptop[[#This Row],[SecondaryStorageType]],laptop[[#This Row],[PrimaryStorageType]],"SSD &amp; HDD")</f>
        <v>SSD &amp; HDD</v>
      </c>
      <c r="Y534" t="s">
        <v>483</v>
      </c>
      <c r="Z534" s="4" t="str">
        <f>_xlfn.CONCAT(laptop[[#This Row],[CPU_company]]," ",laptop[[#This Row],[GPU_model]])</f>
        <v>Intel GeForce GTX 960M</v>
      </c>
    </row>
    <row r="535" spans="1:26" x14ac:dyDescent="0.25">
      <c r="A535" t="s">
        <v>411</v>
      </c>
      <c r="B535" t="s">
        <v>484</v>
      </c>
      <c r="C535" t="s">
        <v>38</v>
      </c>
      <c r="D535">
        <v>13.3</v>
      </c>
      <c r="E535">
        <v>4</v>
      </c>
      <c r="F535" t="s">
        <v>48</v>
      </c>
      <c r="G535">
        <v>1.2</v>
      </c>
      <c r="H535" s="16">
        <v>369</v>
      </c>
      <c r="I535" t="s">
        <v>40</v>
      </c>
      <c r="J535">
        <v>1920</v>
      </c>
      <c r="K535">
        <v>1080</v>
      </c>
      <c r="L535" t="s">
        <v>27</v>
      </c>
      <c r="M535" t="s">
        <v>28</v>
      </c>
      <c r="N535" t="s">
        <v>27</v>
      </c>
      <c r="O535" t="s">
        <v>29</v>
      </c>
      <c r="P535">
        <v>1.1000000000000001</v>
      </c>
      <c r="Q535" t="s">
        <v>375</v>
      </c>
      <c r="R535" t="str">
        <f>_xlfn.CONCAT(laptop[[#This Row],[CPU_company]]," ",laptop[[#This Row],[CPU_model]])</f>
        <v>Intel Celeron Quad Core N3450</v>
      </c>
      <c r="S535">
        <v>32</v>
      </c>
      <c r="T535">
        <v>0</v>
      </c>
      <c r="U535">
        <f>laptop[[#This Row],[PrimaryStorage]]+laptop[[#This Row],[SecondaryStorage]]</f>
        <v>32</v>
      </c>
      <c r="V535" t="s">
        <v>31</v>
      </c>
      <c r="W535" t="s">
        <v>27</v>
      </c>
      <c r="X535" t="str">
        <f>IF(laptop[[#This Row],[PrimaryStorageType]]=laptop[[#This Row],[SecondaryStorageType]],laptop[[#This Row],[PrimaryStorageType]],"SSD &amp; HDD")</f>
        <v>SSD &amp; HDD</v>
      </c>
      <c r="Y535" t="s">
        <v>110</v>
      </c>
      <c r="Z535" s="4" t="str">
        <f>_xlfn.CONCAT(laptop[[#This Row],[CPU_company]]," ",laptop[[#This Row],[GPU_model]])</f>
        <v>Intel HD Graphics 500</v>
      </c>
    </row>
    <row r="536" spans="1:26" x14ac:dyDescent="0.25">
      <c r="A536" t="s">
        <v>55</v>
      </c>
      <c r="B536" t="s">
        <v>379</v>
      </c>
      <c r="C536" t="s">
        <v>83</v>
      </c>
      <c r="D536">
        <v>15.6</v>
      </c>
      <c r="E536">
        <v>8</v>
      </c>
      <c r="F536" t="s">
        <v>48</v>
      </c>
      <c r="G536">
        <v>2.2999999999999998</v>
      </c>
      <c r="H536" s="16">
        <v>1649</v>
      </c>
      <c r="I536" t="s">
        <v>40</v>
      </c>
      <c r="J536">
        <v>1920</v>
      </c>
      <c r="K536">
        <v>1080</v>
      </c>
      <c r="L536" t="s">
        <v>27</v>
      </c>
      <c r="M536" t="s">
        <v>28</v>
      </c>
      <c r="N536" t="s">
        <v>27</v>
      </c>
      <c r="O536" t="s">
        <v>29</v>
      </c>
      <c r="P536">
        <v>2.5</v>
      </c>
      <c r="Q536" t="s">
        <v>84</v>
      </c>
      <c r="R536" t="str">
        <f>_xlfn.CONCAT(laptop[[#This Row],[CPU_company]]," ",laptop[[#This Row],[CPU_model]])</f>
        <v>Intel Core i5 7300HQ</v>
      </c>
      <c r="S536">
        <v>128</v>
      </c>
      <c r="T536">
        <v>1024</v>
      </c>
      <c r="U536">
        <f>laptop[[#This Row],[PrimaryStorage]]+laptop[[#This Row],[SecondaryStorage]]</f>
        <v>1152</v>
      </c>
      <c r="V536" t="s">
        <v>31</v>
      </c>
      <c r="W536" t="s">
        <v>51</v>
      </c>
      <c r="X536" t="str">
        <f>IF(laptop[[#This Row],[PrimaryStorageType]]=laptop[[#This Row],[SecondaryStorageType]],laptop[[#This Row],[PrimaryStorageType]],"SSD &amp; HDD")</f>
        <v>SSD &amp; HDD</v>
      </c>
      <c r="Y536" t="s">
        <v>119</v>
      </c>
      <c r="Z536" s="4" t="str">
        <f>_xlfn.CONCAT(laptop[[#This Row],[CPU_company]]," ",laptop[[#This Row],[GPU_model]])</f>
        <v>Intel GeForce GTX 1060</v>
      </c>
    </row>
    <row r="537" spans="1:26" x14ac:dyDescent="0.25">
      <c r="A537" t="s">
        <v>65</v>
      </c>
      <c r="B537" t="s">
        <v>481</v>
      </c>
      <c r="C537" t="s">
        <v>38</v>
      </c>
      <c r="D537">
        <v>15.6</v>
      </c>
      <c r="E537">
        <v>8</v>
      </c>
      <c r="F537" t="s">
        <v>48</v>
      </c>
      <c r="G537">
        <v>1.93</v>
      </c>
      <c r="H537" s="16">
        <v>1369</v>
      </c>
      <c r="I537" t="s">
        <v>40</v>
      </c>
      <c r="J537">
        <v>1920</v>
      </c>
      <c r="K537">
        <v>1080</v>
      </c>
      <c r="L537" t="s">
        <v>27</v>
      </c>
      <c r="M537" t="s">
        <v>27</v>
      </c>
      <c r="N537" t="s">
        <v>27</v>
      </c>
      <c r="O537" t="s">
        <v>29</v>
      </c>
      <c r="P537">
        <v>2.8</v>
      </c>
      <c r="Q537" t="s">
        <v>335</v>
      </c>
      <c r="R537" t="str">
        <f>_xlfn.CONCAT(laptop[[#This Row],[CPU_company]]," ",laptop[[#This Row],[CPU_model]])</f>
        <v>Intel Core i7 7600U</v>
      </c>
      <c r="S537">
        <v>256</v>
      </c>
      <c r="T537">
        <v>0</v>
      </c>
      <c r="U537">
        <f>laptop[[#This Row],[PrimaryStorage]]+laptop[[#This Row],[SecondaryStorage]]</f>
        <v>256</v>
      </c>
      <c r="V537" t="s">
        <v>31</v>
      </c>
      <c r="W537" t="s">
        <v>27</v>
      </c>
      <c r="X537" t="str">
        <f>IF(laptop[[#This Row],[PrimaryStorageType]]=laptop[[#This Row],[SecondaryStorageType]],laptop[[#This Row],[PrimaryStorageType]],"SSD &amp; HDD")</f>
        <v>SSD &amp; HDD</v>
      </c>
      <c r="Y537" t="s">
        <v>98</v>
      </c>
      <c r="Z537" s="4" t="str">
        <f>_xlfn.CONCAT(laptop[[#This Row],[CPU_company]]," ",laptop[[#This Row],[GPU_model]])</f>
        <v>Intel GeForce 930MX</v>
      </c>
    </row>
    <row r="538" spans="1:26" x14ac:dyDescent="0.25">
      <c r="A538" t="s">
        <v>65</v>
      </c>
      <c r="B538" t="s">
        <v>93</v>
      </c>
      <c r="C538" t="s">
        <v>38</v>
      </c>
      <c r="D538">
        <v>15.6</v>
      </c>
      <c r="E538">
        <v>8</v>
      </c>
      <c r="F538" t="s">
        <v>48</v>
      </c>
      <c r="G538">
        <v>2.2000000000000002</v>
      </c>
      <c r="H538" s="16">
        <v>797.41</v>
      </c>
      <c r="I538" t="s">
        <v>40</v>
      </c>
      <c r="J538">
        <v>1920</v>
      </c>
      <c r="K538">
        <v>1080</v>
      </c>
      <c r="L538" t="s">
        <v>27</v>
      </c>
      <c r="M538" t="s">
        <v>27</v>
      </c>
      <c r="N538" t="s">
        <v>27</v>
      </c>
      <c r="O538" t="s">
        <v>29</v>
      </c>
      <c r="P538">
        <v>1.6</v>
      </c>
      <c r="Q538" t="s">
        <v>60</v>
      </c>
      <c r="R538" t="str">
        <f>_xlfn.CONCAT(laptop[[#This Row],[CPU_company]]," ",laptop[[#This Row],[CPU_model]])</f>
        <v>Intel Core i5 8250U</v>
      </c>
      <c r="S538">
        <v>256</v>
      </c>
      <c r="T538">
        <v>0</v>
      </c>
      <c r="U538">
        <f>laptop[[#This Row],[PrimaryStorage]]+laptop[[#This Row],[SecondaryStorage]]</f>
        <v>256</v>
      </c>
      <c r="V538" t="s">
        <v>31</v>
      </c>
      <c r="W538" t="s">
        <v>27</v>
      </c>
      <c r="X538" t="str">
        <f>IF(laptop[[#This Row],[PrimaryStorageType]]=laptop[[#This Row],[SecondaryStorageType]],laptop[[#This Row],[PrimaryStorageType]],"SSD &amp; HDD")</f>
        <v>SSD &amp; HDD</v>
      </c>
      <c r="Y538" t="s">
        <v>94</v>
      </c>
      <c r="Z538" s="4" t="str">
        <f>_xlfn.CONCAT(laptop[[#This Row],[CPU_company]]," ",laptop[[#This Row],[GPU_model]])</f>
        <v>Intel Radeon 530</v>
      </c>
    </row>
    <row r="539" spans="1:26" x14ac:dyDescent="0.25">
      <c r="A539" t="s">
        <v>36</v>
      </c>
      <c r="B539" t="s">
        <v>37</v>
      </c>
      <c r="C539" t="s">
        <v>38</v>
      </c>
      <c r="D539">
        <v>15.6</v>
      </c>
      <c r="E539">
        <v>4</v>
      </c>
      <c r="F539" t="s">
        <v>48</v>
      </c>
      <c r="G539">
        <v>1.86</v>
      </c>
      <c r="H539" s="16">
        <v>398.99</v>
      </c>
      <c r="I539" t="s">
        <v>40</v>
      </c>
      <c r="J539">
        <v>1920</v>
      </c>
      <c r="K539">
        <v>1080</v>
      </c>
      <c r="L539" t="s">
        <v>27</v>
      </c>
      <c r="M539" t="s">
        <v>27</v>
      </c>
      <c r="N539" t="s">
        <v>27</v>
      </c>
      <c r="O539" t="s">
        <v>29</v>
      </c>
      <c r="P539">
        <v>1.6</v>
      </c>
      <c r="Q539" t="s">
        <v>346</v>
      </c>
      <c r="R539" t="str">
        <f>_xlfn.CONCAT(laptop[[#This Row],[CPU_company]]," ",laptop[[#This Row],[CPU_model]])</f>
        <v>Intel Pentium Quad Core N3710</v>
      </c>
      <c r="S539">
        <v>256</v>
      </c>
      <c r="T539">
        <v>0</v>
      </c>
      <c r="U539">
        <f>laptop[[#This Row],[PrimaryStorage]]+laptop[[#This Row],[SecondaryStorage]]</f>
        <v>256</v>
      </c>
      <c r="V539" t="s">
        <v>31</v>
      </c>
      <c r="W539" t="s">
        <v>27</v>
      </c>
      <c r="X539" t="str">
        <f>IF(laptop[[#This Row],[PrimaryStorageType]]=laptop[[#This Row],[SecondaryStorageType]],laptop[[#This Row],[PrimaryStorageType]],"SSD &amp; HDD")</f>
        <v>SSD &amp; HDD</v>
      </c>
      <c r="Y539" t="s">
        <v>347</v>
      </c>
      <c r="Z539" s="4" t="str">
        <f>_xlfn.CONCAT(laptop[[#This Row],[CPU_company]]," ",laptop[[#This Row],[GPU_model]])</f>
        <v>Intel HD Graphics 405</v>
      </c>
    </row>
    <row r="540" spans="1:26" x14ac:dyDescent="0.25">
      <c r="A540" t="s">
        <v>36</v>
      </c>
      <c r="B540" t="s">
        <v>485</v>
      </c>
      <c r="C540" t="s">
        <v>83</v>
      </c>
      <c r="D540">
        <v>17.3</v>
      </c>
      <c r="E540">
        <v>12</v>
      </c>
      <c r="F540" t="s">
        <v>48</v>
      </c>
      <c r="G540">
        <v>2.62</v>
      </c>
      <c r="H540" s="16">
        <v>1799</v>
      </c>
      <c r="I540" t="s">
        <v>40</v>
      </c>
      <c r="J540">
        <v>1920</v>
      </c>
      <c r="K540">
        <v>1080</v>
      </c>
      <c r="L540" t="s">
        <v>27</v>
      </c>
      <c r="M540" t="s">
        <v>27</v>
      </c>
      <c r="N540" t="s">
        <v>27</v>
      </c>
      <c r="O540" t="s">
        <v>29</v>
      </c>
      <c r="P540">
        <v>2.8</v>
      </c>
      <c r="Q540" t="s">
        <v>118</v>
      </c>
      <c r="R540" t="str">
        <f>_xlfn.CONCAT(laptop[[#This Row],[CPU_company]]," ",laptop[[#This Row],[CPU_model]])</f>
        <v>Intel Core i7 7700HQ</v>
      </c>
      <c r="S540">
        <v>1024</v>
      </c>
      <c r="T540">
        <v>0</v>
      </c>
      <c r="U540">
        <f>laptop[[#This Row],[PrimaryStorage]]+laptop[[#This Row],[SecondaryStorage]]</f>
        <v>1024</v>
      </c>
      <c r="V540" t="s">
        <v>51</v>
      </c>
      <c r="W540" t="s">
        <v>27</v>
      </c>
      <c r="X540" t="str">
        <f>IF(laptop[[#This Row],[PrimaryStorageType]]=laptop[[#This Row],[SecondaryStorageType]],laptop[[#This Row],[PrimaryStorageType]],"SSD &amp; HDD")</f>
        <v>SSD &amp; HDD</v>
      </c>
      <c r="Y540" t="s">
        <v>119</v>
      </c>
      <c r="Z540" s="4" t="str">
        <f>_xlfn.CONCAT(laptop[[#This Row],[CPU_company]]," ",laptop[[#This Row],[GPU_model]])</f>
        <v>Intel GeForce GTX 1060</v>
      </c>
    </row>
    <row r="541" spans="1:26" x14ac:dyDescent="0.25">
      <c r="A541" t="s">
        <v>73</v>
      </c>
      <c r="B541" t="s">
        <v>486</v>
      </c>
      <c r="C541" t="s">
        <v>38</v>
      </c>
      <c r="D541">
        <v>14</v>
      </c>
      <c r="E541">
        <v>8</v>
      </c>
      <c r="F541" t="s">
        <v>48</v>
      </c>
      <c r="G541">
        <v>1.87</v>
      </c>
      <c r="H541" s="16">
        <v>859</v>
      </c>
      <c r="I541" t="s">
        <v>40</v>
      </c>
      <c r="J541">
        <v>1920</v>
      </c>
      <c r="K541">
        <v>1080</v>
      </c>
      <c r="L541" t="s">
        <v>27</v>
      </c>
      <c r="M541" t="s">
        <v>28</v>
      </c>
      <c r="N541" t="s">
        <v>27</v>
      </c>
      <c r="O541" t="s">
        <v>29</v>
      </c>
      <c r="P541">
        <v>2.7</v>
      </c>
      <c r="Q541" t="s">
        <v>71</v>
      </c>
      <c r="R541" t="str">
        <f>_xlfn.CONCAT(laptop[[#This Row],[CPU_company]]," ",laptop[[#This Row],[CPU_model]])</f>
        <v>Intel Core i7 7500U</v>
      </c>
      <c r="S541">
        <v>256</v>
      </c>
      <c r="T541">
        <v>0</v>
      </c>
      <c r="U541">
        <f>laptop[[#This Row],[PrimaryStorage]]+laptop[[#This Row],[SecondaryStorage]]</f>
        <v>256</v>
      </c>
      <c r="V541" t="s">
        <v>31</v>
      </c>
      <c r="W541" t="s">
        <v>27</v>
      </c>
      <c r="X541" t="str">
        <f>IF(laptop[[#This Row],[PrimaryStorageType]]=laptop[[#This Row],[SecondaryStorageType]],laptop[[#This Row],[PrimaryStorageType]],"SSD &amp; HDD")</f>
        <v>SSD &amp; HDD</v>
      </c>
      <c r="Y541" t="s">
        <v>76</v>
      </c>
      <c r="Z541" s="4" t="str">
        <f>_xlfn.CONCAT(laptop[[#This Row],[CPU_company]]," ",laptop[[#This Row],[GPU_model]])</f>
        <v>Intel GeForce 940MX</v>
      </c>
    </row>
    <row r="542" spans="1:26" x14ac:dyDescent="0.25">
      <c r="A542" t="s">
        <v>65</v>
      </c>
      <c r="B542" t="s">
        <v>77</v>
      </c>
      <c r="C542" t="s">
        <v>24</v>
      </c>
      <c r="D542">
        <v>13.3</v>
      </c>
      <c r="E542">
        <v>8</v>
      </c>
      <c r="F542" t="s">
        <v>48</v>
      </c>
      <c r="G542">
        <v>1.2</v>
      </c>
      <c r="H542" s="16">
        <v>1399</v>
      </c>
      <c r="I542" t="s">
        <v>107</v>
      </c>
      <c r="J542">
        <v>3200</v>
      </c>
      <c r="K542">
        <v>1800</v>
      </c>
      <c r="L542" t="s">
        <v>28</v>
      </c>
      <c r="M542" t="s">
        <v>27</v>
      </c>
      <c r="N542" t="s">
        <v>27</v>
      </c>
      <c r="O542" t="s">
        <v>29</v>
      </c>
      <c r="P542">
        <v>1.8</v>
      </c>
      <c r="Q542" t="s">
        <v>57</v>
      </c>
      <c r="R542" t="str">
        <f>_xlfn.CONCAT(laptop[[#This Row],[CPU_company]]," ",laptop[[#This Row],[CPU_model]])</f>
        <v>Intel Core i7 8550U</v>
      </c>
      <c r="S542">
        <v>256</v>
      </c>
      <c r="T542">
        <v>0</v>
      </c>
      <c r="U542">
        <f>laptop[[#This Row],[PrimaryStorage]]+laptop[[#This Row],[SecondaryStorage]]</f>
        <v>256</v>
      </c>
      <c r="V542" t="s">
        <v>31</v>
      </c>
      <c r="W542" t="s">
        <v>27</v>
      </c>
      <c r="X542" t="str">
        <f>IF(laptop[[#This Row],[PrimaryStorageType]]=laptop[[#This Row],[SecondaryStorageType]],laptop[[#This Row],[PrimaryStorageType]],"SSD &amp; HDD")</f>
        <v>SSD &amp; HDD</v>
      </c>
      <c r="Y542" t="s">
        <v>61</v>
      </c>
      <c r="Z542" s="4" t="str">
        <f>_xlfn.CONCAT(laptop[[#This Row],[CPU_company]]," ",laptop[[#This Row],[GPU_model]])</f>
        <v>Intel UHD Graphics 620</v>
      </c>
    </row>
    <row r="543" spans="1:26" x14ac:dyDescent="0.25">
      <c r="A543" t="s">
        <v>65</v>
      </c>
      <c r="B543" t="s">
        <v>285</v>
      </c>
      <c r="C543" t="s">
        <v>38</v>
      </c>
      <c r="D543">
        <v>14</v>
      </c>
      <c r="E543">
        <v>4</v>
      </c>
      <c r="F543" t="s">
        <v>48</v>
      </c>
      <c r="G543">
        <v>1.6</v>
      </c>
      <c r="H543" s="16">
        <v>735.87</v>
      </c>
      <c r="I543" t="s">
        <v>40</v>
      </c>
      <c r="J543">
        <v>1920</v>
      </c>
      <c r="K543">
        <v>1080</v>
      </c>
      <c r="L543" t="s">
        <v>27</v>
      </c>
      <c r="M543" t="s">
        <v>27</v>
      </c>
      <c r="N543" t="s">
        <v>27</v>
      </c>
      <c r="O543" t="s">
        <v>29</v>
      </c>
      <c r="P543">
        <v>2</v>
      </c>
      <c r="Q543" t="s">
        <v>62</v>
      </c>
      <c r="R543" t="str">
        <f>_xlfn.CONCAT(laptop[[#This Row],[CPU_company]]," ",laptop[[#This Row],[CPU_model]])</f>
        <v>Intel Core i3 6006U</v>
      </c>
      <c r="S543">
        <v>128</v>
      </c>
      <c r="T543">
        <v>0</v>
      </c>
      <c r="U543">
        <f>laptop[[#This Row],[PrimaryStorage]]+laptop[[#This Row],[SecondaryStorage]]</f>
        <v>128</v>
      </c>
      <c r="V543" t="s">
        <v>31</v>
      </c>
      <c r="W543" t="s">
        <v>27</v>
      </c>
      <c r="X543" t="str">
        <f>IF(laptop[[#This Row],[PrimaryStorageType]]=laptop[[#This Row],[SecondaryStorageType]],laptop[[#This Row],[PrimaryStorageType]],"SSD &amp; HDD")</f>
        <v>SSD &amp; HDD</v>
      </c>
      <c r="Y543" t="s">
        <v>63</v>
      </c>
      <c r="Z543" s="4" t="str">
        <f>_xlfn.CONCAT(laptop[[#This Row],[CPU_company]]," ",laptop[[#This Row],[GPU_model]])</f>
        <v>Intel HD Graphics 520</v>
      </c>
    </row>
    <row r="544" spans="1:26" x14ac:dyDescent="0.25">
      <c r="A544" t="s">
        <v>36</v>
      </c>
      <c r="B544" t="s">
        <v>487</v>
      </c>
      <c r="C544" t="s">
        <v>24</v>
      </c>
      <c r="D544">
        <v>13.3</v>
      </c>
      <c r="E544">
        <v>8</v>
      </c>
      <c r="F544" t="s">
        <v>48</v>
      </c>
      <c r="G544">
        <v>1.34</v>
      </c>
      <c r="H544" s="16">
        <v>1145</v>
      </c>
      <c r="I544" t="s">
        <v>107</v>
      </c>
      <c r="J544">
        <v>3200</v>
      </c>
      <c r="K544">
        <v>1800</v>
      </c>
      <c r="L544" t="s">
        <v>27</v>
      </c>
      <c r="M544" t="s">
        <v>28</v>
      </c>
      <c r="N544" t="s">
        <v>27</v>
      </c>
      <c r="O544" t="s">
        <v>29</v>
      </c>
      <c r="P544">
        <v>2.7</v>
      </c>
      <c r="Q544" t="s">
        <v>71</v>
      </c>
      <c r="R544" t="str">
        <f>_xlfn.CONCAT(laptop[[#This Row],[CPU_company]]," ",laptop[[#This Row],[CPU_model]])</f>
        <v>Intel Core i7 7500U</v>
      </c>
      <c r="S544">
        <v>256</v>
      </c>
      <c r="T544">
        <v>0</v>
      </c>
      <c r="U544">
        <f>laptop[[#This Row],[PrimaryStorage]]+laptop[[#This Row],[SecondaryStorage]]</f>
        <v>256</v>
      </c>
      <c r="V544" t="s">
        <v>31</v>
      </c>
      <c r="W544" t="s">
        <v>27</v>
      </c>
      <c r="X544" t="str">
        <f>IF(laptop[[#This Row],[PrimaryStorageType]]=laptop[[#This Row],[SecondaryStorageType]],laptop[[#This Row],[PrimaryStorageType]],"SSD &amp; HDD")</f>
        <v>SSD &amp; HDD</v>
      </c>
      <c r="Y544" t="s">
        <v>42</v>
      </c>
      <c r="Z544" s="4" t="str">
        <f>_xlfn.CONCAT(laptop[[#This Row],[CPU_company]]," ",laptop[[#This Row],[GPU_model]])</f>
        <v>Intel HD Graphics 620</v>
      </c>
    </row>
    <row r="545" spans="1:26" x14ac:dyDescent="0.25">
      <c r="A545" t="s">
        <v>46</v>
      </c>
      <c r="B545" t="s">
        <v>268</v>
      </c>
      <c r="C545" t="s">
        <v>83</v>
      </c>
      <c r="D545">
        <v>15.6</v>
      </c>
      <c r="E545">
        <v>8</v>
      </c>
      <c r="F545" t="s">
        <v>111</v>
      </c>
      <c r="G545">
        <v>2.4</v>
      </c>
      <c r="H545" s="16">
        <v>798</v>
      </c>
      <c r="I545" t="s">
        <v>40</v>
      </c>
      <c r="J545">
        <v>1920</v>
      </c>
      <c r="K545">
        <v>1080</v>
      </c>
      <c r="L545" t="s">
        <v>27</v>
      </c>
      <c r="M545" t="s">
        <v>27</v>
      </c>
      <c r="N545" t="s">
        <v>27</v>
      </c>
      <c r="O545" t="s">
        <v>29</v>
      </c>
      <c r="P545">
        <v>2.5</v>
      </c>
      <c r="Q545" t="s">
        <v>84</v>
      </c>
      <c r="R545" t="str">
        <f>_xlfn.CONCAT(laptop[[#This Row],[CPU_company]]," ",laptop[[#This Row],[CPU_model]])</f>
        <v>Intel Core i5 7300HQ</v>
      </c>
      <c r="S545">
        <v>1024</v>
      </c>
      <c r="T545">
        <v>0</v>
      </c>
      <c r="U545">
        <f>laptop[[#This Row],[PrimaryStorage]]+laptop[[#This Row],[SecondaryStorage]]</f>
        <v>1024</v>
      </c>
      <c r="V545" t="s">
        <v>51</v>
      </c>
      <c r="W545" t="s">
        <v>27</v>
      </c>
      <c r="X545" t="str">
        <f>IF(laptop[[#This Row],[PrimaryStorageType]]=laptop[[#This Row],[SecondaryStorageType]],laptop[[#This Row],[PrimaryStorageType]],"SSD &amp; HDD")</f>
        <v>SSD &amp; HDD</v>
      </c>
      <c r="Y545" t="s">
        <v>85</v>
      </c>
      <c r="Z545" s="4" t="str">
        <f>_xlfn.CONCAT(laptop[[#This Row],[CPU_company]]," ",laptop[[#This Row],[GPU_model]])</f>
        <v>Intel GeForce GTX 1050</v>
      </c>
    </row>
    <row r="546" spans="1:26" x14ac:dyDescent="0.25">
      <c r="A546" t="s">
        <v>55</v>
      </c>
      <c r="B546" t="s">
        <v>488</v>
      </c>
      <c r="C546" t="s">
        <v>38</v>
      </c>
      <c r="D546">
        <v>15.6</v>
      </c>
      <c r="E546">
        <v>4</v>
      </c>
      <c r="F546" t="s">
        <v>48</v>
      </c>
      <c r="G546">
        <v>2</v>
      </c>
      <c r="H546" s="16">
        <v>349</v>
      </c>
      <c r="I546" t="s">
        <v>26</v>
      </c>
      <c r="J546">
        <v>1366</v>
      </c>
      <c r="K546">
        <v>768</v>
      </c>
      <c r="L546" t="s">
        <v>27</v>
      </c>
      <c r="M546" t="s">
        <v>27</v>
      </c>
      <c r="N546" t="s">
        <v>27</v>
      </c>
      <c r="O546" t="s">
        <v>49</v>
      </c>
      <c r="P546">
        <v>1.8</v>
      </c>
      <c r="Q546" t="s">
        <v>489</v>
      </c>
      <c r="R546" t="str">
        <f>_xlfn.CONCAT(laptop[[#This Row],[CPU_company]]," ",laptop[[#This Row],[CPU_model]])</f>
        <v>AMD E-Series 7110</v>
      </c>
      <c r="S546">
        <v>500</v>
      </c>
      <c r="T546">
        <v>0</v>
      </c>
      <c r="U546">
        <f>laptop[[#This Row],[PrimaryStorage]]+laptop[[#This Row],[SecondaryStorage]]</f>
        <v>500</v>
      </c>
      <c r="V546" t="s">
        <v>51</v>
      </c>
      <c r="W546" t="s">
        <v>27</v>
      </c>
      <c r="X546" t="str">
        <f>IF(laptop[[#This Row],[PrimaryStorageType]]=laptop[[#This Row],[SecondaryStorageType]],laptop[[#This Row],[PrimaryStorageType]],"SSD &amp; HDD")</f>
        <v>SSD &amp; HDD</v>
      </c>
      <c r="Y546" t="s">
        <v>490</v>
      </c>
      <c r="Z546" s="4" t="str">
        <f>_xlfn.CONCAT(laptop[[#This Row],[CPU_company]]," ",laptop[[#This Row],[GPU_model]])</f>
        <v>AMD Radeon R2 Graphics</v>
      </c>
    </row>
    <row r="547" spans="1:26" x14ac:dyDescent="0.25">
      <c r="A547" t="s">
        <v>36</v>
      </c>
      <c r="B547" t="s">
        <v>114</v>
      </c>
      <c r="C547" t="s">
        <v>38</v>
      </c>
      <c r="D547">
        <v>15.6</v>
      </c>
      <c r="E547">
        <v>4</v>
      </c>
      <c r="F547" t="s">
        <v>48</v>
      </c>
      <c r="G547">
        <v>2.1</v>
      </c>
      <c r="H547" s="16">
        <v>705.5</v>
      </c>
      <c r="I547" t="s">
        <v>40</v>
      </c>
      <c r="J547">
        <v>1920</v>
      </c>
      <c r="K547">
        <v>1080</v>
      </c>
      <c r="L547" t="s">
        <v>27</v>
      </c>
      <c r="M547" t="s">
        <v>27</v>
      </c>
      <c r="N547" t="s">
        <v>27</v>
      </c>
      <c r="O547" t="s">
        <v>29</v>
      </c>
      <c r="P547">
        <v>2.4</v>
      </c>
      <c r="Q547" t="s">
        <v>75</v>
      </c>
      <c r="R547" t="str">
        <f>_xlfn.CONCAT(laptop[[#This Row],[CPU_company]]," ",laptop[[#This Row],[CPU_model]])</f>
        <v>Intel Core i3 7100U</v>
      </c>
      <c r="S547">
        <v>128</v>
      </c>
      <c r="T547">
        <v>0</v>
      </c>
      <c r="U547">
        <f>laptop[[#This Row],[PrimaryStorage]]+laptop[[#This Row],[SecondaryStorage]]</f>
        <v>128</v>
      </c>
      <c r="V547" t="s">
        <v>31</v>
      </c>
      <c r="W547" t="s">
        <v>27</v>
      </c>
      <c r="X547" t="str">
        <f>IF(laptop[[#This Row],[PrimaryStorageType]]=laptop[[#This Row],[SecondaryStorageType]],laptop[[#This Row],[PrimaryStorageType]],"SSD &amp; HDD")</f>
        <v>SSD &amp; HDD</v>
      </c>
      <c r="Y547" t="s">
        <v>42</v>
      </c>
      <c r="Z547" s="4" t="str">
        <f>_xlfn.CONCAT(laptop[[#This Row],[CPU_company]]," ",laptop[[#This Row],[GPU_model]])</f>
        <v>Intel HD Graphics 620</v>
      </c>
    </row>
    <row r="548" spans="1:26" x14ac:dyDescent="0.25">
      <c r="A548" t="s">
        <v>73</v>
      </c>
      <c r="B548" t="s">
        <v>491</v>
      </c>
      <c r="C548" t="s">
        <v>38</v>
      </c>
      <c r="D548">
        <v>14</v>
      </c>
      <c r="E548">
        <v>4</v>
      </c>
      <c r="F548" t="s">
        <v>48</v>
      </c>
      <c r="G548">
        <v>1.87</v>
      </c>
      <c r="H548" s="16">
        <v>785</v>
      </c>
      <c r="I548" t="s">
        <v>40</v>
      </c>
      <c r="J548">
        <v>1920</v>
      </c>
      <c r="K548">
        <v>1080</v>
      </c>
      <c r="L548" t="s">
        <v>27</v>
      </c>
      <c r="M548" t="s">
        <v>27</v>
      </c>
      <c r="N548" t="s">
        <v>27</v>
      </c>
      <c r="O548" t="s">
        <v>29</v>
      </c>
      <c r="P548">
        <v>2.5</v>
      </c>
      <c r="Q548" t="s">
        <v>41</v>
      </c>
      <c r="R548" t="str">
        <f>_xlfn.CONCAT(laptop[[#This Row],[CPU_company]]," ",laptop[[#This Row],[CPU_model]])</f>
        <v>Intel Core i5 7200U</v>
      </c>
      <c r="S548">
        <v>500</v>
      </c>
      <c r="T548">
        <v>0</v>
      </c>
      <c r="U548">
        <f>laptop[[#This Row],[PrimaryStorage]]+laptop[[#This Row],[SecondaryStorage]]</f>
        <v>500</v>
      </c>
      <c r="V548" t="s">
        <v>51</v>
      </c>
      <c r="W548" t="s">
        <v>27</v>
      </c>
      <c r="X548" t="str">
        <f>IF(laptop[[#This Row],[PrimaryStorageType]]=laptop[[#This Row],[SecondaryStorageType]],laptop[[#This Row],[PrimaryStorageType]],"SSD &amp; HDD")</f>
        <v>SSD &amp; HDD</v>
      </c>
      <c r="Y548" t="s">
        <v>42</v>
      </c>
      <c r="Z548" s="4" t="str">
        <f>_xlfn.CONCAT(laptop[[#This Row],[CPU_company]]," ",laptop[[#This Row],[GPU_model]])</f>
        <v>Intel HD Graphics 620</v>
      </c>
    </row>
    <row r="549" spans="1:26" x14ac:dyDescent="0.25">
      <c r="A549" t="s">
        <v>73</v>
      </c>
      <c r="B549" t="s">
        <v>492</v>
      </c>
      <c r="C549" t="s">
        <v>38</v>
      </c>
      <c r="D549">
        <v>15.6</v>
      </c>
      <c r="E549">
        <v>4</v>
      </c>
      <c r="F549" t="s">
        <v>39</v>
      </c>
      <c r="G549">
        <v>2.15</v>
      </c>
      <c r="H549" s="16">
        <v>462.35</v>
      </c>
      <c r="I549" t="s">
        <v>40</v>
      </c>
      <c r="J549">
        <v>1920</v>
      </c>
      <c r="K549">
        <v>1080</v>
      </c>
      <c r="L549" t="s">
        <v>27</v>
      </c>
      <c r="M549" t="s">
        <v>27</v>
      </c>
      <c r="N549" t="s">
        <v>27</v>
      </c>
      <c r="O549" t="s">
        <v>29</v>
      </c>
      <c r="P549">
        <v>2.2999999999999998</v>
      </c>
      <c r="Q549" t="s">
        <v>212</v>
      </c>
      <c r="R549" t="str">
        <f>_xlfn.CONCAT(laptop[[#This Row],[CPU_company]]," ",laptop[[#This Row],[CPU_model]])</f>
        <v>Intel Core i5 6200U</v>
      </c>
      <c r="S549">
        <v>1024</v>
      </c>
      <c r="T549">
        <v>0</v>
      </c>
      <c r="U549">
        <f>laptop[[#This Row],[PrimaryStorage]]+laptop[[#This Row],[SecondaryStorage]]</f>
        <v>1024</v>
      </c>
      <c r="V549" t="s">
        <v>51</v>
      </c>
      <c r="W549" t="s">
        <v>27</v>
      </c>
      <c r="X549" t="str">
        <f>IF(laptop[[#This Row],[PrimaryStorageType]]=laptop[[#This Row],[SecondaryStorageType]],laptop[[#This Row],[PrimaryStorageType]],"SSD &amp; HDD")</f>
        <v>SSD &amp; HDD</v>
      </c>
      <c r="Y549" t="s">
        <v>63</v>
      </c>
      <c r="Z549" s="4" t="str">
        <f>_xlfn.CONCAT(laptop[[#This Row],[CPU_company]]," ",laptop[[#This Row],[GPU_model]])</f>
        <v>Intel HD Graphics 520</v>
      </c>
    </row>
    <row r="550" spans="1:26" x14ac:dyDescent="0.25">
      <c r="A550" t="s">
        <v>36</v>
      </c>
      <c r="B550" t="s">
        <v>37</v>
      </c>
      <c r="C550" t="s">
        <v>38</v>
      </c>
      <c r="D550">
        <v>15.6</v>
      </c>
      <c r="E550">
        <v>4</v>
      </c>
      <c r="F550" t="s">
        <v>48</v>
      </c>
      <c r="G550">
        <v>1.86</v>
      </c>
      <c r="H550" s="16">
        <v>397</v>
      </c>
      <c r="I550" t="s">
        <v>40</v>
      </c>
      <c r="J550">
        <v>1920</v>
      </c>
      <c r="K550">
        <v>1080</v>
      </c>
      <c r="L550" t="s">
        <v>27</v>
      </c>
      <c r="M550" t="s">
        <v>27</v>
      </c>
      <c r="N550" t="s">
        <v>27</v>
      </c>
      <c r="O550" t="s">
        <v>29</v>
      </c>
      <c r="P550">
        <v>2</v>
      </c>
      <c r="Q550" t="s">
        <v>62</v>
      </c>
      <c r="R550" t="str">
        <f>_xlfn.CONCAT(laptop[[#This Row],[CPU_company]]," ",laptop[[#This Row],[CPU_model]])</f>
        <v>Intel Core i3 6006U</v>
      </c>
      <c r="S550">
        <v>500</v>
      </c>
      <c r="T550">
        <v>0</v>
      </c>
      <c r="U550">
        <f>laptop[[#This Row],[PrimaryStorage]]+laptop[[#This Row],[SecondaryStorage]]</f>
        <v>500</v>
      </c>
      <c r="V550" t="s">
        <v>51</v>
      </c>
      <c r="W550" t="s">
        <v>27</v>
      </c>
      <c r="X550" t="str">
        <f>IF(laptop[[#This Row],[PrimaryStorageType]]=laptop[[#This Row],[SecondaryStorageType]],laptop[[#This Row],[PrimaryStorageType]],"SSD &amp; HDD")</f>
        <v>SSD &amp; HDD</v>
      </c>
      <c r="Y550" t="s">
        <v>63</v>
      </c>
      <c r="Z550" s="4" t="str">
        <f>_xlfn.CONCAT(laptop[[#This Row],[CPU_company]]," ",laptop[[#This Row],[GPU_model]])</f>
        <v>Intel HD Graphics 520</v>
      </c>
    </row>
    <row r="551" spans="1:26" x14ac:dyDescent="0.25">
      <c r="A551" t="s">
        <v>73</v>
      </c>
      <c r="B551" t="s">
        <v>493</v>
      </c>
      <c r="C551" t="s">
        <v>38</v>
      </c>
      <c r="D551">
        <v>15.6</v>
      </c>
      <c r="E551">
        <v>8</v>
      </c>
      <c r="F551" t="s">
        <v>48</v>
      </c>
      <c r="G551">
        <v>1.99</v>
      </c>
      <c r="H551" s="16">
        <v>1729</v>
      </c>
      <c r="I551" t="s">
        <v>40</v>
      </c>
      <c r="J551">
        <v>1920</v>
      </c>
      <c r="K551">
        <v>1080</v>
      </c>
      <c r="L551" t="s">
        <v>27</v>
      </c>
      <c r="M551" t="s">
        <v>28</v>
      </c>
      <c r="N551" t="s">
        <v>27</v>
      </c>
      <c r="O551" t="s">
        <v>29</v>
      </c>
      <c r="P551">
        <v>2.7</v>
      </c>
      <c r="Q551" t="s">
        <v>71</v>
      </c>
      <c r="R551" t="str">
        <f>_xlfn.CONCAT(laptop[[#This Row],[CPU_company]]," ",laptop[[#This Row],[CPU_model]])</f>
        <v>Intel Core i7 7500U</v>
      </c>
      <c r="S551">
        <v>512</v>
      </c>
      <c r="T551">
        <v>0</v>
      </c>
      <c r="U551">
        <f>laptop[[#This Row],[PrimaryStorage]]+laptop[[#This Row],[SecondaryStorage]]</f>
        <v>512</v>
      </c>
      <c r="V551" t="s">
        <v>31</v>
      </c>
      <c r="W551" t="s">
        <v>27</v>
      </c>
      <c r="X551" t="str">
        <f>IF(laptop[[#This Row],[PrimaryStorageType]]=laptop[[#This Row],[SecondaryStorageType]],laptop[[#This Row],[PrimaryStorageType]],"SSD &amp; HDD")</f>
        <v>SSD &amp; HDD</v>
      </c>
      <c r="Y551" t="s">
        <v>42</v>
      </c>
      <c r="Z551" s="4" t="str">
        <f>_xlfn.CONCAT(laptop[[#This Row],[CPU_company]]," ",laptop[[#This Row],[GPU_model]])</f>
        <v>Intel HD Graphics 620</v>
      </c>
    </row>
    <row r="552" spans="1:26" x14ac:dyDescent="0.25">
      <c r="A552" t="s">
        <v>73</v>
      </c>
      <c r="B552" t="s">
        <v>125</v>
      </c>
      <c r="C552" t="s">
        <v>38</v>
      </c>
      <c r="D552">
        <v>15.6</v>
      </c>
      <c r="E552">
        <v>4</v>
      </c>
      <c r="F552" t="s">
        <v>48</v>
      </c>
      <c r="G552">
        <v>2.2000000000000002</v>
      </c>
      <c r="H552" s="16">
        <v>499</v>
      </c>
      <c r="I552" t="s">
        <v>40</v>
      </c>
      <c r="J552">
        <v>1920</v>
      </c>
      <c r="K552">
        <v>1080</v>
      </c>
      <c r="L552" t="s">
        <v>27</v>
      </c>
      <c r="M552" t="s">
        <v>27</v>
      </c>
      <c r="N552" t="s">
        <v>27</v>
      </c>
      <c r="O552" t="s">
        <v>29</v>
      </c>
      <c r="P552">
        <v>2</v>
      </c>
      <c r="Q552" t="s">
        <v>62</v>
      </c>
      <c r="R552" t="str">
        <f>_xlfn.CONCAT(laptop[[#This Row],[CPU_company]]," ",laptop[[#This Row],[CPU_model]])</f>
        <v>Intel Core i3 6006U</v>
      </c>
      <c r="S552">
        <v>128</v>
      </c>
      <c r="T552">
        <v>0</v>
      </c>
      <c r="U552">
        <f>laptop[[#This Row],[PrimaryStorage]]+laptop[[#This Row],[SecondaryStorage]]</f>
        <v>128</v>
      </c>
      <c r="V552" t="s">
        <v>31</v>
      </c>
      <c r="W552" t="s">
        <v>27</v>
      </c>
      <c r="X552" t="str">
        <f>IF(laptop[[#This Row],[PrimaryStorageType]]=laptop[[#This Row],[SecondaryStorageType]],laptop[[#This Row],[PrimaryStorageType]],"SSD &amp; HDD")</f>
        <v>SSD &amp; HDD</v>
      </c>
      <c r="Y552" t="s">
        <v>63</v>
      </c>
      <c r="Z552" s="4" t="str">
        <f>_xlfn.CONCAT(laptop[[#This Row],[CPU_company]]," ",laptop[[#This Row],[GPU_model]])</f>
        <v>Intel HD Graphics 520</v>
      </c>
    </row>
    <row r="553" spans="1:26" x14ac:dyDescent="0.25">
      <c r="A553" t="s">
        <v>65</v>
      </c>
      <c r="B553" t="s">
        <v>481</v>
      </c>
      <c r="C553" t="s">
        <v>38</v>
      </c>
      <c r="D553">
        <v>15.6</v>
      </c>
      <c r="E553">
        <v>8</v>
      </c>
      <c r="F553" t="s">
        <v>48</v>
      </c>
      <c r="G553">
        <v>1.9</v>
      </c>
      <c r="H553" s="16">
        <v>1116.99</v>
      </c>
      <c r="I553" t="s">
        <v>40</v>
      </c>
      <c r="J553">
        <v>1920</v>
      </c>
      <c r="K553">
        <v>1080</v>
      </c>
      <c r="L553" t="s">
        <v>27</v>
      </c>
      <c r="M553" t="s">
        <v>27</v>
      </c>
      <c r="N553" t="s">
        <v>27</v>
      </c>
      <c r="O553" t="s">
        <v>29</v>
      </c>
      <c r="P553">
        <v>2.5</v>
      </c>
      <c r="Q553" t="s">
        <v>41</v>
      </c>
      <c r="R553" t="str">
        <f>_xlfn.CONCAT(laptop[[#This Row],[CPU_company]]," ",laptop[[#This Row],[CPU_model]])</f>
        <v>Intel Core i5 7200U</v>
      </c>
      <c r="S553">
        <v>256</v>
      </c>
      <c r="T553">
        <v>0</v>
      </c>
      <c r="U553">
        <f>laptop[[#This Row],[PrimaryStorage]]+laptop[[#This Row],[SecondaryStorage]]</f>
        <v>256</v>
      </c>
      <c r="V553" t="s">
        <v>31</v>
      </c>
      <c r="W553" t="s">
        <v>27</v>
      </c>
      <c r="X553" t="str">
        <f>IF(laptop[[#This Row],[PrimaryStorageType]]=laptop[[#This Row],[SecondaryStorageType]],laptop[[#This Row],[PrimaryStorageType]],"SSD &amp; HDD")</f>
        <v>SSD &amp; HDD</v>
      </c>
      <c r="Y553" t="s">
        <v>42</v>
      </c>
      <c r="Z553" s="4" t="str">
        <f>_xlfn.CONCAT(laptop[[#This Row],[CPU_company]]," ",laptop[[#This Row],[GPU_model]])</f>
        <v>Intel HD Graphics 620</v>
      </c>
    </row>
    <row r="554" spans="1:26" x14ac:dyDescent="0.25">
      <c r="A554" t="s">
        <v>65</v>
      </c>
      <c r="B554" t="s">
        <v>275</v>
      </c>
      <c r="C554" t="s">
        <v>83</v>
      </c>
      <c r="D554">
        <v>17.3</v>
      </c>
      <c r="E554">
        <v>16</v>
      </c>
      <c r="F554" t="s">
        <v>48</v>
      </c>
      <c r="G554">
        <v>4.42</v>
      </c>
      <c r="H554" s="16">
        <v>2699</v>
      </c>
      <c r="I554" t="s">
        <v>40</v>
      </c>
      <c r="J554">
        <v>1920</v>
      </c>
      <c r="K554">
        <v>1080</v>
      </c>
      <c r="L554" t="s">
        <v>27</v>
      </c>
      <c r="M554" t="s">
        <v>28</v>
      </c>
      <c r="N554" t="s">
        <v>27</v>
      </c>
      <c r="O554" t="s">
        <v>29</v>
      </c>
      <c r="P554">
        <v>2.8</v>
      </c>
      <c r="Q554" t="s">
        <v>118</v>
      </c>
      <c r="R554" t="str">
        <f>_xlfn.CONCAT(laptop[[#This Row],[CPU_company]]," ",laptop[[#This Row],[CPU_model]])</f>
        <v>Intel Core i7 7700HQ</v>
      </c>
      <c r="S554">
        <v>256</v>
      </c>
      <c r="T554">
        <v>1024</v>
      </c>
      <c r="U554">
        <f>laptop[[#This Row],[PrimaryStorage]]+laptop[[#This Row],[SecondaryStorage]]</f>
        <v>1280</v>
      </c>
      <c r="V554" t="s">
        <v>31</v>
      </c>
      <c r="W554" t="s">
        <v>51</v>
      </c>
      <c r="X554" t="str">
        <f>IF(laptop[[#This Row],[PrimaryStorageType]]=laptop[[#This Row],[SecondaryStorageType]],laptop[[#This Row],[PrimaryStorageType]],"SSD &amp; HDD")</f>
        <v>SSD &amp; HDD</v>
      </c>
      <c r="Y554" t="s">
        <v>143</v>
      </c>
      <c r="Z554" s="4" t="str">
        <f>_xlfn.CONCAT(laptop[[#This Row],[CPU_company]]," ",laptop[[#This Row],[GPU_model]])</f>
        <v>Intel GeForce GTX 1070</v>
      </c>
    </row>
    <row r="555" spans="1:26" x14ac:dyDescent="0.25">
      <c r="A555" t="s">
        <v>36</v>
      </c>
      <c r="B555" t="s">
        <v>494</v>
      </c>
      <c r="C555" t="s">
        <v>38</v>
      </c>
      <c r="D555">
        <v>17.3</v>
      </c>
      <c r="E555">
        <v>8</v>
      </c>
      <c r="F555" t="s">
        <v>48</v>
      </c>
      <c r="G555">
        <v>2.65</v>
      </c>
      <c r="H555" s="16">
        <v>544.15</v>
      </c>
      <c r="I555" t="s">
        <v>26</v>
      </c>
      <c r="J555">
        <v>1600</v>
      </c>
      <c r="K555">
        <v>900</v>
      </c>
      <c r="L555" t="s">
        <v>27</v>
      </c>
      <c r="M555" t="s">
        <v>27</v>
      </c>
      <c r="N555" t="s">
        <v>27</v>
      </c>
      <c r="O555" t="s">
        <v>29</v>
      </c>
      <c r="P555">
        <v>2</v>
      </c>
      <c r="Q555" t="s">
        <v>62</v>
      </c>
      <c r="R555" t="str">
        <f>_xlfn.CONCAT(laptop[[#This Row],[CPU_company]]," ",laptop[[#This Row],[CPU_model]])</f>
        <v>Intel Core i3 6006U</v>
      </c>
      <c r="S555">
        <v>1024</v>
      </c>
      <c r="T555">
        <v>0</v>
      </c>
      <c r="U555">
        <f>laptop[[#This Row],[PrimaryStorage]]+laptop[[#This Row],[SecondaryStorage]]</f>
        <v>1024</v>
      </c>
      <c r="V555" t="s">
        <v>51</v>
      </c>
      <c r="W555" t="s">
        <v>27</v>
      </c>
      <c r="X555" t="str">
        <f>IF(laptop[[#This Row],[PrimaryStorageType]]=laptop[[#This Row],[SecondaryStorageType]],laptop[[#This Row],[PrimaryStorageType]],"SSD &amp; HDD")</f>
        <v>SSD &amp; HDD</v>
      </c>
      <c r="Y555" t="s">
        <v>63</v>
      </c>
      <c r="Z555" s="4" t="str">
        <f>_xlfn.CONCAT(laptop[[#This Row],[CPU_company]]," ",laptop[[#This Row],[GPU_model]])</f>
        <v>Intel HD Graphics 520</v>
      </c>
    </row>
    <row r="556" spans="1:26" x14ac:dyDescent="0.25">
      <c r="A556" t="s">
        <v>36</v>
      </c>
      <c r="B556" t="s">
        <v>97</v>
      </c>
      <c r="C556" t="s">
        <v>38</v>
      </c>
      <c r="D556">
        <v>17.3</v>
      </c>
      <c r="E556">
        <v>8</v>
      </c>
      <c r="F556" t="s">
        <v>48</v>
      </c>
      <c r="G556">
        <v>2.63</v>
      </c>
      <c r="H556" s="16">
        <v>1280</v>
      </c>
      <c r="I556" t="s">
        <v>40</v>
      </c>
      <c r="J556">
        <v>1920</v>
      </c>
      <c r="K556">
        <v>1080</v>
      </c>
      <c r="L556" t="s">
        <v>27</v>
      </c>
      <c r="M556" t="s">
        <v>27</v>
      </c>
      <c r="N556" t="s">
        <v>27</v>
      </c>
      <c r="O556" t="s">
        <v>29</v>
      </c>
      <c r="P556">
        <v>2.7</v>
      </c>
      <c r="Q556" t="s">
        <v>71</v>
      </c>
      <c r="R556" t="str">
        <f>_xlfn.CONCAT(laptop[[#This Row],[CPU_company]]," ",laptop[[#This Row],[CPU_model]])</f>
        <v>Intel Core i7 7500U</v>
      </c>
      <c r="S556">
        <v>1024</v>
      </c>
      <c r="T556">
        <v>0</v>
      </c>
      <c r="U556">
        <f>laptop[[#This Row],[PrimaryStorage]]+laptop[[#This Row],[SecondaryStorage]]</f>
        <v>1024</v>
      </c>
      <c r="V556" t="s">
        <v>51</v>
      </c>
      <c r="W556" t="s">
        <v>27</v>
      </c>
      <c r="X556" t="str">
        <f>IF(laptop[[#This Row],[PrimaryStorageType]]=laptop[[#This Row],[SecondaryStorageType]],laptop[[#This Row],[PrimaryStorageType]],"SSD &amp; HDD")</f>
        <v>SSD &amp; HDD</v>
      </c>
      <c r="Y556" t="s">
        <v>98</v>
      </c>
      <c r="Z556" s="4" t="str">
        <f>_xlfn.CONCAT(laptop[[#This Row],[CPU_company]]," ",laptop[[#This Row],[GPU_model]])</f>
        <v>Intel GeForce 930MX</v>
      </c>
    </row>
    <row r="557" spans="1:26" x14ac:dyDescent="0.25">
      <c r="A557" t="s">
        <v>55</v>
      </c>
      <c r="B557" t="s">
        <v>495</v>
      </c>
      <c r="C557" t="s">
        <v>38</v>
      </c>
      <c r="D557">
        <v>15.6</v>
      </c>
      <c r="E557">
        <v>4</v>
      </c>
      <c r="F557" t="s">
        <v>111</v>
      </c>
      <c r="G557">
        <v>2</v>
      </c>
      <c r="H557" s="16">
        <v>224</v>
      </c>
      <c r="I557" t="s">
        <v>26</v>
      </c>
      <c r="J557">
        <v>1366</v>
      </c>
      <c r="K557">
        <v>768</v>
      </c>
      <c r="L557" t="s">
        <v>27</v>
      </c>
      <c r="M557" t="s">
        <v>27</v>
      </c>
      <c r="N557" t="s">
        <v>27</v>
      </c>
      <c r="O557" t="s">
        <v>29</v>
      </c>
      <c r="P557">
        <v>1.1000000000000001</v>
      </c>
      <c r="Q557" t="s">
        <v>109</v>
      </c>
      <c r="R557" t="str">
        <f>_xlfn.CONCAT(laptop[[#This Row],[CPU_company]]," ",laptop[[#This Row],[CPU_model]])</f>
        <v>Intel Celeron Dual Core N3350</v>
      </c>
      <c r="S557">
        <v>500</v>
      </c>
      <c r="T557">
        <v>0</v>
      </c>
      <c r="U557">
        <f>laptop[[#This Row],[PrimaryStorage]]+laptop[[#This Row],[SecondaryStorage]]</f>
        <v>500</v>
      </c>
      <c r="V557" t="s">
        <v>51</v>
      </c>
      <c r="W557" t="s">
        <v>27</v>
      </c>
      <c r="X557" t="str">
        <f>IF(laptop[[#This Row],[PrimaryStorageType]]=laptop[[#This Row],[SecondaryStorageType]],laptop[[#This Row],[PrimaryStorageType]],"SSD &amp; HDD")</f>
        <v>SSD &amp; HDD</v>
      </c>
      <c r="Y557" t="s">
        <v>110</v>
      </c>
      <c r="Z557" s="4" t="str">
        <f>_xlfn.CONCAT(laptop[[#This Row],[CPU_company]]," ",laptop[[#This Row],[GPU_model]])</f>
        <v>Intel HD Graphics 500</v>
      </c>
    </row>
    <row r="558" spans="1:26" x14ac:dyDescent="0.25">
      <c r="A558" t="s">
        <v>411</v>
      </c>
      <c r="B558" t="s">
        <v>496</v>
      </c>
      <c r="C558" t="s">
        <v>38</v>
      </c>
      <c r="D558">
        <v>13.3</v>
      </c>
      <c r="E558">
        <v>4</v>
      </c>
      <c r="F558" t="s">
        <v>48</v>
      </c>
      <c r="G558">
        <v>1.35</v>
      </c>
      <c r="H558" s="16">
        <v>255</v>
      </c>
      <c r="I558" t="s">
        <v>40</v>
      </c>
      <c r="J558">
        <v>1920</v>
      </c>
      <c r="K558">
        <v>1080</v>
      </c>
      <c r="L558" t="s">
        <v>27</v>
      </c>
      <c r="M558" t="s">
        <v>28</v>
      </c>
      <c r="N558" t="s">
        <v>27</v>
      </c>
      <c r="O558" t="s">
        <v>29</v>
      </c>
      <c r="P558">
        <v>1.44</v>
      </c>
      <c r="Q558" t="s">
        <v>80</v>
      </c>
      <c r="R558" t="str">
        <f>_xlfn.CONCAT(laptop[[#This Row],[CPU_company]]," ",laptop[[#This Row],[CPU_model]])</f>
        <v>Intel Atom x5-Z8350</v>
      </c>
      <c r="S558">
        <v>32</v>
      </c>
      <c r="T558">
        <v>0</v>
      </c>
      <c r="U558">
        <f>laptop[[#This Row],[PrimaryStorage]]+laptop[[#This Row],[SecondaryStorage]]</f>
        <v>32</v>
      </c>
      <c r="V558" t="s">
        <v>34</v>
      </c>
      <c r="W558" t="s">
        <v>27</v>
      </c>
      <c r="X558" t="str">
        <f>IF(laptop[[#This Row],[PrimaryStorageType]]=laptop[[#This Row],[SecondaryStorageType]],laptop[[#This Row],[PrimaryStorageType]],"SSD &amp; HDD")</f>
        <v>SSD &amp; HDD</v>
      </c>
      <c r="Y558" t="s">
        <v>102</v>
      </c>
      <c r="Z558" s="4" t="str">
        <f>_xlfn.CONCAT(laptop[[#This Row],[CPU_company]]," ",laptop[[#This Row],[GPU_model]])</f>
        <v>Intel HD Graphics</v>
      </c>
    </row>
    <row r="559" spans="1:26" x14ac:dyDescent="0.25">
      <c r="A559" t="s">
        <v>73</v>
      </c>
      <c r="B559" t="s">
        <v>271</v>
      </c>
      <c r="C559" t="s">
        <v>38</v>
      </c>
      <c r="D559">
        <v>17.3</v>
      </c>
      <c r="E559">
        <v>6</v>
      </c>
      <c r="F559" t="s">
        <v>48</v>
      </c>
      <c r="G559">
        <v>2.8</v>
      </c>
      <c r="H559" s="16">
        <v>949</v>
      </c>
      <c r="I559" t="s">
        <v>26</v>
      </c>
      <c r="J559">
        <v>1600</v>
      </c>
      <c r="K559">
        <v>900</v>
      </c>
      <c r="L559" t="s">
        <v>27</v>
      </c>
      <c r="M559" t="s">
        <v>27</v>
      </c>
      <c r="N559" t="s">
        <v>27</v>
      </c>
      <c r="O559" t="s">
        <v>29</v>
      </c>
      <c r="P559">
        <v>2.7</v>
      </c>
      <c r="Q559" t="s">
        <v>71</v>
      </c>
      <c r="R559" t="str">
        <f>_xlfn.CONCAT(laptop[[#This Row],[CPU_company]]," ",laptop[[#This Row],[CPU_model]])</f>
        <v>Intel Core i7 7500U</v>
      </c>
      <c r="S559">
        <v>128</v>
      </c>
      <c r="T559">
        <v>1024</v>
      </c>
      <c r="U559">
        <f>laptop[[#This Row],[PrimaryStorage]]+laptop[[#This Row],[SecondaryStorage]]</f>
        <v>1152</v>
      </c>
      <c r="V559" t="s">
        <v>31</v>
      </c>
      <c r="W559" t="s">
        <v>51</v>
      </c>
      <c r="X559" t="str">
        <f>IF(laptop[[#This Row],[PrimaryStorageType]]=laptop[[#This Row],[SecondaryStorageType]],laptop[[#This Row],[PrimaryStorageType]],"SSD &amp; HDD")</f>
        <v>SSD &amp; HDD</v>
      </c>
      <c r="Y559" t="s">
        <v>76</v>
      </c>
      <c r="Z559" s="4" t="str">
        <f>_xlfn.CONCAT(laptop[[#This Row],[CPU_company]]," ",laptop[[#This Row],[GPU_model]])</f>
        <v>Intel GeForce 940MX</v>
      </c>
    </row>
    <row r="560" spans="1:26" x14ac:dyDescent="0.25">
      <c r="A560" t="s">
        <v>36</v>
      </c>
      <c r="B560" t="s">
        <v>497</v>
      </c>
      <c r="C560" t="s">
        <v>38</v>
      </c>
      <c r="D560">
        <v>15.6</v>
      </c>
      <c r="E560">
        <v>6</v>
      </c>
      <c r="F560" t="s">
        <v>48</v>
      </c>
      <c r="G560">
        <v>1.91</v>
      </c>
      <c r="H560" s="16">
        <v>568.9</v>
      </c>
      <c r="I560" t="s">
        <v>40</v>
      </c>
      <c r="J560">
        <v>1920</v>
      </c>
      <c r="K560">
        <v>1080</v>
      </c>
      <c r="L560" t="s">
        <v>27</v>
      </c>
      <c r="M560" t="s">
        <v>28</v>
      </c>
      <c r="N560" t="s">
        <v>27</v>
      </c>
      <c r="O560" t="s">
        <v>49</v>
      </c>
      <c r="P560">
        <v>2.5</v>
      </c>
      <c r="Q560" t="s">
        <v>288</v>
      </c>
      <c r="R560" t="str">
        <f>_xlfn.CONCAT(laptop[[#This Row],[CPU_company]]," ",laptop[[#This Row],[CPU_model]])</f>
        <v>AMD A10-Series A10-9620P</v>
      </c>
      <c r="S560">
        <v>128</v>
      </c>
      <c r="T560">
        <v>0</v>
      </c>
      <c r="U560">
        <f>laptop[[#This Row],[PrimaryStorage]]+laptop[[#This Row],[SecondaryStorage]]</f>
        <v>128</v>
      </c>
      <c r="V560" t="s">
        <v>31</v>
      </c>
      <c r="W560" t="s">
        <v>27</v>
      </c>
      <c r="X560" t="str">
        <f>IF(laptop[[#This Row],[PrimaryStorageType]]=laptop[[#This Row],[SecondaryStorageType]],laptop[[#This Row],[PrimaryStorageType]],"SSD &amp; HDD")</f>
        <v>SSD &amp; HDD</v>
      </c>
      <c r="Y560" t="s">
        <v>94</v>
      </c>
      <c r="Z560" s="4" t="str">
        <f>_xlfn.CONCAT(laptop[[#This Row],[CPU_company]]," ",laptop[[#This Row],[GPU_model]])</f>
        <v>AMD Radeon 530</v>
      </c>
    </row>
    <row r="561" spans="1:26" x14ac:dyDescent="0.25">
      <c r="A561" t="s">
        <v>65</v>
      </c>
      <c r="B561" t="s">
        <v>305</v>
      </c>
      <c r="C561" t="s">
        <v>38</v>
      </c>
      <c r="D561">
        <v>15.6</v>
      </c>
      <c r="E561">
        <v>4</v>
      </c>
      <c r="F561" t="s">
        <v>48</v>
      </c>
      <c r="G561">
        <v>2.1800000000000002</v>
      </c>
      <c r="H561" s="16">
        <v>617.9</v>
      </c>
      <c r="I561" t="s">
        <v>26</v>
      </c>
      <c r="J561">
        <v>1366</v>
      </c>
      <c r="K561">
        <v>768</v>
      </c>
      <c r="L561" t="s">
        <v>27</v>
      </c>
      <c r="M561" t="s">
        <v>27</v>
      </c>
      <c r="N561" t="s">
        <v>27</v>
      </c>
      <c r="O561" t="s">
        <v>29</v>
      </c>
      <c r="P561">
        <v>2</v>
      </c>
      <c r="Q561" t="s">
        <v>62</v>
      </c>
      <c r="R561" t="str">
        <f>_xlfn.CONCAT(laptop[[#This Row],[CPU_company]]," ",laptop[[#This Row],[CPU_model]])</f>
        <v>Intel Core i3 6006U</v>
      </c>
      <c r="S561">
        <v>1024</v>
      </c>
      <c r="T561">
        <v>0</v>
      </c>
      <c r="U561">
        <f>laptop[[#This Row],[PrimaryStorage]]+laptop[[#This Row],[SecondaryStorage]]</f>
        <v>1024</v>
      </c>
      <c r="V561" t="s">
        <v>51</v>
      </c>
      <c r="W561" t="s">
        <v>27</v>
      </c>
      <c r="X561" t="str">
        <f>IF(laptop[[#This Row],[PrimaryStorageType]]=laptop[[#This Row],[SecondaryStorageType]],laptop[[#This Row],[PrimaryStorageType]],"SSD &amp; HDD")</f>
        <v>SSD &amp; HDD</v>
      </c>
      <c r="Y561" t="s">
        <v>233</v>
      </c>
      <c r="Z561" s="4" t="str">
        <f>_xlfn.CONCAT(laptop[[#This Row],[CPU_company]]," ",laptop[[#This Row],[GPU_model]])</f>
        <v>Intel Radeon R5 M420</v>
      </c>
    </row>
    <row r="562" spans="1:26" x14ac:dyDescent="0.25">
      <c r="A562" t="s">
        <v>46</v>
      </c>
      <c r="B562" t="s">
        <v>498</v>
      </c>
      <c r="C562" t="s">
        <v>90</v>
      </c>
      <c r="D562">
        <v>11.6</v>
      </c>
      <c r="E562">
        <v>4</v>
      </c>
      <c r="F562" t="s">
        <v>48</v>
      </c>
      <c r="G562">
        <v>1.25</v>
      </c>
      <c r="H562" s="16">
        <v>349</v>
      </c>
      <c r="I562" t="s">
        <v>40</v>
      </c>
      <c r="J562">
        <v>1920</v>
      </c>
      <c r="K562">
        <v>1080</v>
      </c>
      <c r="L562" t="s">
        <v>28</v>
      </c>
      <c r="M562" t="s">
        <v>28</v>
      </c>
      <c r="N562" t="s">
        <v>27</v>
      </c>
      <c r="O562" t="s">
        <v>29</v>
      </c>
      <c r="P562">
        <v>2</v>
      </c>
      <c r="Q562" t="s">
        <v>109</v>
      </c>
      <c r="R562" t="str">
        <f>_xlfn.CONCAT(laptop[[#This Row],[CPU_company]]," ",laptop[[#This Row],[CPU_model]])</f>
        <v>Intel Celeron Dual Core N3350</v>
      </c>
      <c r="S562">
        <v>32</v>
      </c>
      <c r="T562">
        <v>0</v>
      </c>
      <c r="U562">
        <f>laptop[[#This Row],[PrimaryStorage]]+laptop[[#This Row],[SecondaryStorage]]</f>
        <v>32</v>
      </c>
      <c r="V562" t="s">
        <v>34</v>
      </c>
      <c r="W562" t="s">
        <v>27</v>
      </c>
      <c r="X562" t="str">
        <f>IF(laptop[[#This Row],[PrimaryStorageType]]=laptop[[#This Row],[SecondaryStorageType]],laptop[[#This Row],[PrimaryStorageType]],"SSD &amp; HDD")</f>
        <v>SSD &amp; HDD</v>
      </c>
      <c r="Y562" t="s">
        <v>110</v>
      </c>
      <c r="Z562" s="4" t="str">
        <f>_xlfn.CONCAT(laptop[[#This Row],[CPU_company]]," ",laptop[[#This Row],[GPU_model]])</f>
        <v>Intel HD Graphics 500</v>
      </c>
    </row>
    <row r="563" spans="1:26" x14ac:dyDescent="0.25">
      <c r="A563" t="s">
        <v>73</v>
      </c>
      <c r="B563" t="s">
        <v>499</v>
      </c>
      <c r="C563" t="s">
        <v>38</v>
      </c>
      <c r="D563">
        <v>15.6</v>
      </c>
      <c r="E563">
        <v>4</v>
      </c>
      <c r="F563" t="s">
        <v>48</v>
      </c>
      <c r="G563">
        <v>2.0499999999999998</v>
      </c>
      <c r="H563" s="16">
        <v>630</v>
      </c>
      <c r="I563" t="s">
        <v>40</v>
      </c>
      <c r="J563">
        <v>1920</v>
      </c>
      <c r="K563">
        <v>1080</v>
      </c>
      <c r="L563" t="s">
        <v>27</v>
      </c>
      <c r="M563" t="s">
        <v>27</v>
      </c>
      <c r="N563" t="s">
        <v>27</v>
      </c>
      <c r="O563" t="s">
        <v>29</v>
      </c>
      <c r="P563">
        <v>2.7</v>
      </c>
      <c r="Q563" t="s">
        <v>112</v>
      </c>
      <c r="R563" t="str">
        <f>_xlfn.CONCAT(laptop[[#This Row],[CPU_company]]," ",laptop[[#This Row],[CPU_model]])</f>
        <v>Intel Core i3 7130U</v>
      </c>
      <c r="S563">
        <v>128</v>
      </c>
      <c r="T563">
        <v>0</v>
      </c>
      <c r="U563">
        <f>laptop[[#This Row],[PrimaryStorage]]+laptop[[#This Row],[SecondaryStorage]]</f>
        <v>128</v>
      </c>
      <c r="V563" t="s">
        <v>31</v>
      </c>
      <c r="W563" t="s">
        <v>27</v>
      </c>
      <c r="X563" t="str">
        <f>IF(laptop[[#This Row],[PrimaryStorageType]]=laptop[[#This Row],[SecondaryStorageType]],laptop[[#This Row],[PrimaryStorageType]],"SSD &amp; HDD")</f>
        <v>SSD &amp; HDD</v>
      </c>
      <c r="Y563" t="s">
        <v>42</v>
      </c>
      <c r="Z563" s="4" t="str">
        <f>_xlfn.CONCAT(laptop[[#This Row],[CPU_company]]," ",laptop[[#This Row],[GPU_model]])</f>
        <v>Intel HD Graphics 620</v>
      </c>
    </row>
    <row r="564" spans="1:26" x14ac:dyDescent="0.25">
      <c r="A564" t="s">
        <v>36</v>
      </c>
      <c r="B564" t="s">
        <v>500</v>
      </c>
      <c r="C564" t="s">
        <v>24</v>
      </c>
      <c r="D564">
        <v>13.3</v>
      </c>
      <c r="E564">
        <v>16</v>
      </c>
      <c r="F564" t="s">
        <v>48</v>
      </c>
      <c r="G564">
        <v>1.1599999999999999</v>
      </c>
      <c r="H564" s="16">
        <v>1965</v>
      </c>
      <c r="I564" t="s">
        <v>107</v>
      </c>
      <c r="J564">
        <v>3200</v>
      </c>
      <c r="K564">
        <v>1800</v>
      </c>
      <c r="L564" t="s">
        <v>28</v>
      </c>
      <c r="M564" t="s">
        <v>28</v>
      </c>
      <c r="N564" t="s">
        <v>27</v>
      </c>
      <c r="O564" t="s">
        <v>29</v>
      </c>
      <c r="P564">
        <v>1.2</v>
      </c>
      <c r="Q564" t="s">
        <v>216</v>
      </c>
      <c r="R564" t="str">
        <f>_xlfn.CONCAT(laptop[[#This Row],[CPU_company]]," ",laptop[[#This Row],[CPU_model]])</f>
        <v>Intel Core M 6Y75</v>
      </c>
      <c r="S564">
        <v>512</v>
      </c>
      <c r="T564">
        <v>0</v>
      </c>
      <c r="U564">
        <f>laptop[[#This Row],[PrimaryStorage]]+laptop[[#This Row],[SecondaryStorage]]</f>
        <v>512</v>
      </c>
      <c r="V564" t="s">
        <v>31</v>
      </c>
      <c r="W564" t="s">
        <v>27</v>
      </c>
      <c r="X564" t="str">
        <f>IF(laptop[[#This Row],[PrimaryStorageType]]=laptop[[#This Row],[SecondaryStorageType]],laptop[[#This Row],[PrimaryStorageType]],"SSD &amp; HDD")</f>
        <v>SSD &amp; HDD</v>
      </c>
      <c r="Y564" t="s">
        <v>217</v>
      </c>
      <c r="Z564" s="4" t="str">
        <f>_xlfn.CONCAT(laptop[[#This Row],[CPU_company]]," ",laptop[[#This Row],[GPU_model]])</f>
        <v>Intel HD Graphics 515</v>
      </c>
    </row>
    <row r="565" spans="1:26" x14ac:dyDescent="0.25">
      <c r="A565" t="s">
        <v>73</v>
      </c>
      <c r="B565" t="s">
        <v>501</v>
      </c>
      <c r="C565" t="s">
        <v>38</v>
      </c>
      <c r="D565">
        <v>17.3</v>
      </c>
      <c r="E565">
        <v>8</v>
      </c>
      <c r="F565" t="s">
        <v>48</v>
      </c>
      <c r="G565">
        <v>3.4</v>
      </c>
      <c r="H565" s="16">
        <v>2999</v>
      </c>
      <c r="I565" t="s">
        <v>40</v>
      </c>
      <c r="J565">
        <v>1920</v>
      </c>
      <c r="K565">
        <v>1080</v>
      </c>
      <c r="L565" t="s">
        <v>27</v>
      </c>
      <c r="M565" t="s">
        <v>28</v>
      </c>
      <c r="N565" t="s">
        <v>27</v>
      </c>
      <c r="O565" t="s">
        <v>29</v>
      </c>
      <c r="P565">
        <v>2.8</v>
      </c>
      <c r="Q565" t="s">
        <v>118</v>
      </c>
      <c r="R565" t="str">
        <f>_xlfn.CONCAT(laptop[[#This Row],[CPU_company]]," ",laptop[[#This Row],[CPU_model]])</f>
        <v>Intel Core i7 7700HQ</v>
      </c>
      <c r="S565">
        <v>256</v>
      </c>
      <c r="T565">
        <v>0</v>
      </c>
      <c r="U565">
        <f>laptop[[#This Row],[PrimaryStorage]]+laptop[[#This Row],[SecondaryStorage]]</f>
        <v>256</v>
      </c>
      <c r="V565" t="s">
        <v>31</v>
      </c>
      <c r="W565" t="s">
        <v>27</v>
      </c>
      <c r="X565" t="str">
        <f>IF(laptop[[#This Row],[PrimaryStorageType]]=laptop[[#This Row],[SecondaryStorageType]],laptop[[#This Row],[PrimaryStorageType]],"SSD &amp; HDD")</f>
        <v>SSD &amp; HDD</v>
      </c>
      <c r="Y565" t="s">
        <v>502</v>
      </c>
      <c r="Z565" s="4" t="str">
        <f>_xlfn.CONCAT(laptop[[#This Row],[CPU_company]]," ",laptop[[#This Row],[GPU_model]])</f>
        <v>Intel Quadro M620M</v>
      </c>
    </row>
    <row r="566" spans="1:26" x14ac:dyDescent="0.25">
      <c r="A566" t="s">
        <v>55</v>
      </c>
      <c r="B566" t="s">
        <v>503</v>
      </c>
      <c r="C566" t="s">
        <v>38</v>
      </c>
      <c r="D566">
        <v>15.6</v>
      </c>
      <c r="E566">
        <v>8</v>
      </c>
      <c r="F566" t="s">
        <v>48</v>
      </c>
      <c r="G566">
        <v>2.5</v>
      </c>
      <c r="H566" s="16">
        <v>839</v>
      </c>
      <c r="I566" t="s">
        <v>40</v>
      </c>
      <c r="J566">
        <v>1920</v>
      </c>
      <c r="K566">
        <v>1080</v>
      </c>
      <c r="L566" t="s">
        <v>27</v>
      </c>
      <c r="M566" t="s">
        <v>27</v>
      </c>
      <c r="N566" t="s">
        <v>27</v>
      </c>
      <c r="O566" t="s">
        <v>29</v>
      </c>
      <c r="P566">
        <v>2.5</v>
      </c>
      <c r="Q566" t="s">
        <v>84</v>
      </c>
      <c r="R566" t="str">
        <f>_xlfn.CONCAT(laptop[[#This Row],[CPU_company]]," ",laptop[[#This Row],[CPU_model]])</f>
        <v>Intel Core i5 7300HQ</v>
      </c>
      <c r="S566">
        <v>128</v>
      </c>
      <c r="T566">
        <v>1024</v>
      </c>
      <c r="U566">
        <f>laptop[[#This Row],[PrimaryStorage]]+laptop[[#This Row],[SecondaryStorage]]</f>
        <v>1152</v>
      </c>
      <c r="V566" t="s">
        <v>31</v>
      </c>
      <c r="W566" t="s">
        <v>51</v>
      </c>
      <c r="X566" t="str">
        <f>IF(laptop[[#This Row],[PrimaryStorageType]]=laptop[[#This Row],[SecondaryStorageType]],laptop[[#This Row],[PrimaryStorageType]],"SSD &amp; HDD")</f>
        <v>SSD &amp; HDD</v>
      </c>
      <c r="Y566" t="s">
        <v>85</v>
      </c>
      <c r="Z566" s="4" t="str">
        <f>_xlfn.CONCAT(laptop[[#This Row],[CPU_company]]," ",laptop[[#This Row],[GPU_model]])</f>
        <v>Intel GeForce GTX 1050</v>
      </c>
    </row>
    <row r="567" spans="1:26" x14ac:dyDescent="0.25">
      <c r="A567" t="s">
        <v>65</v>
      </c>
      <c r="B567" t="s">
        <v>77</v>
      </c>
      <c r="C567" t="s">
        <v>24</v>
      </c>
      <c r="D567">
        <v>13.3</v>
      </c>
      <c r="E567">
        <v>8</v>
      </c>
      <c r="F567" t="s">
        <v>48</v>
      </c>
      <c r="G567">
        <v>1.21</v>
      </c>
      <c r="H567" s="16">
        <v>1599</v>
      </c>
      <c r="I567" t="s">
        <v>215</v>
      </c>
      <c r="J567">
        <v>3840</v>
      </c>
      <c r="K567">
        <v>2160</v>
      </c>
      <c r="L567" t="s">
        <v>28</v>
      </c>
      <c r="M567" t="s">
        <v>28</v>
      </c>
      <c r="N567" t="s">
        <v>27</v>
      </c>
      <c r="O567" t="s">
        <v>29</v>
      </c>
      <c r="P567">
        <v>1.6</v>
      </c>
      <c r="Q567" t="s">
        <v>60</v>
      </c>
      <c r="R567" t="str">
        <f>_xlfn.CONCAT(laptop[[#This Row],[CPU_company]]," ",laptop[[#This Row],[CPU_model]])</f>
        <v>Intel Core i5 8250U</v>
      </c>
      <c r="S567">
        <v>128</v>
      </c>
      <c r="T567">
        <v>0</v>
      </c>
      <c r="U567">
        <f>laptop[[#This Row],[PrimaryStorage]]+laptop[[#This Row],[SecondaryStorage]]</f>
        <v>128</v>
      </c>
      <c r="V567" t="s">
        <v>31</v>
      </c>
      <c r="W567" t="s">
        <v>27</v>
      </c>
      <c r="X567" t="str">
        <f>IF(laptop[[#This Row],[PrimaryStorageType]]=laptop[[#This Row],[SecondaryStorageType]],laptop[[#This Row],[PrimaryStorageType]],"SSD &amp; HDD")</f>
        <v>SSD &amp; HDD</v>
      </c>
      <c r="Y567" t="s">
        <v>61</v>
      </c>
      <c r="Z567" s="4" t="str">
        <f>_xlfn.CONCAT(laptop[[#This Row],[CPU_company]]," ",laptop[[#This Row],[GPU_model]])</f>
        <v>Intel UHD Graphics 620</v>
      </c>
    </row>
    <row r="568" spans="1:26" x14ac:dyDescent="0.25">
      <c r="A568" t="s">
        <v>65</v>
      </c>
      <c r="B568" t="s">
        <v>481</v>
      </c>
      <c r="C568" t="s">
        <v>38</v>
      </c>
      <c r="D568">
        <v>15.6</v>
      </c>
      <c r="E568">
        <v>4</v>
      </c>
      <c r="F568" t="s">
        <v>48</v>
      </c>
      <c r="G568">
        <v>1.93</v>
      </c>
      <c r="H568" s="16">
        <v>959</v>
      </c>
      <c r="I568" t="s">
        <v>26</v>
      </c>
      <c r="J568">
        <v>1366</v>
      </c>
      <c r="K568">
        <v>768</v>
      </c>
      <c r="L568" t="s">
        <v>27</v>
      </c>
      <c r="M568" t="s">
        <v>27</v>
      </c>
      <c r="N568" t="s">
        <v>27</v>
      </c>
      <c r="O568" t="s">
        <v>29</v>
      </c>
      <c r="P568">
        <v>2.6</v>
      </c>
      <c r="Q568" t="s">
        <v>358</v>
      </c>
      <c r="R568" t="str">
        <f>_xlfn.CONCAT(laptop[[#This Row],[CPU_company]]," ",laptop[[#This Row],[CPU_model]])</f>
        <v>Intel Core i5 7300U</v>
      </c>
      <c r="S568">
        <v>500</v>
      </c>
      <c r="T568">
        <v>0</v>
      </c>
      <c r="U568">
        <f>laptop[[#This Row],[PrimaryStorage]]+laptop[[#This Row],[SecondaryStorage]]</f>
        <v>500</v>
      </c>
      <c r="V568" t="s">
        <v>51</v>
      </c>
      <c r="W568" t="s">
        <v>27</v>
      </c>
      <c r="X568" t="str">
        <f>IF(laptop[[#This Row],[PrimaryStorageType]]=laptop[[#This Row],[SecondaryStorageType]],laptop[[#This Row],[PrimaryStorageType]],"SSD &amp; HDD")</f>
        <v>SSD &amp; HDD</v>
      </c>
      <c r="Y568" t="s">
        <v>42</v>
      </c>
      <c r="Z568" s="4" t="str">
        <f>_xlfn.CONCAT(laptop[[#This Row],[CPU_company]]," ",laptop[[#This Row],[GPU_model]])</f>
        <v>Intel HD Graphics 620</v>
      </c>
    </row>
    <row r="569" spans="1:26" x14ac:dyDescent="0.25">
      <c r="A569" t="s">
        <v>504</v>
      </c>
      <c r="B569" t="s">
        <v>505</v>
      </c>
      <c r="C569" t="s">
        <v>38</v>
      </c>
      <c r="D569">
        <v>15.6</v>
      </c>
      <c r="E569">
        <v>8</v>
      </c>
      <c r="F569" t="s">
        <v>48</v>
      </c>
      <c r="G569">
        <v>2.2000000000000002</v>
      </c>
      <c r="H569" s="16">
        <v>739</v>
      </c>
      <c r="I569" t="s">
        <v>26</v>
      </c>
      <c r="J569">
        <v>1366</v>
      </c>
      <c r="K569">
        <v>768</v>
      </c>
      <c r="L569" t="s">
        <v>27</v>
      </c>
      <c r="M569" t="s">
        <v>27</v>
      </c>
      <c r="N569" t="s">
        <v>27</v>
      </c>
      <c r="O569" t="s">
        <v>29</v>
      </c>
      <c r="P569">
        <v>2.5</v>
      </c>
      <c r="Q569" t="s">
        <v>41</v>
      </c>
      <c r="R569" t="str">
        <f>_xlfn.CONCAT(laptop[[#This Row],[CPU_company]]," ",laptop[[#This Row],[CPU_model]])</f>
        <v>Intel Core i5 7200U</v>
      </c>
      <c r="S569">
        <v>1024</v>
      </c>
      <c r="T569">
        <v>0</v>
      </c>
      <c r="U569">
        <f>laptop[[#This Row],[PrimaryStorage]]+laptop[[#This Row],[SecondaryStorage]]</f>
        <v>1024</v>
      </c>
      <c r="V569" t="s">
        <v>51</v>
      </c>
      <c r="W569" t="s">
        <v>27</v>
      </c>
      <c r="X569" t="str">
        <f>IF(laptop[[#This Row],[PrimaryStorageType]]=laptop[[#This Row],[SecondaryStorageType]],laptop[[#This Row],[PrimaryStorageType]],"SSD &amp; HDD")</f>
        <v>SSD &amp; HDD</v>
      </c>
      <c r="Y569" t="s">
        <v>42</v>
      </c>
      <c r="Z569" s="4" t="str">
        <f>_xlfn.CONCAT(laptop[[#This Row],[CPU_company]]," ",laptop[[#This Row],[GPU_model]])</f>
        <v>Intel HD Graphics 620</v>
      </c>
    </row>
    <row r="570" spans="1:26" x14ac:dyDescent="0.25">
      <c r="A570" t="s">
        <v>73</v>
      </c>
      <c r="B570" t="s">
        <v>333</v>
      </c>
      <c r="C570" t="s">
        <v>38</v>
      </c>
      <c r="D570">
        <v>15.6</v>
      </c>
      <c r="E570">
        <v>4</v>
      </c>
      <c r="F570" t="s">
        <v>48</v>
      </c>
      <c r="G570">
        <v>2.2000000000000002</v>
      </c>
      <c r="H570" s="16">
        <v>344</v>
      </c>
      <c r="I570" t="s">
        <v>40</v>
      </c>
      <c r="J570">
        <v>1920</v>
      </c>
      <c r="K570">
        <v>1080</v>
      </c>
      <c r="L570" t="s">
        <v>27</v>
      </c>
      <c r="M570" t="s">
        <v>27</v>
      </c>
      <c r="N570" t="s">
        <v>27</v>
      </c>
      <c r="O570" t="s">
        <v>29</v>
      </c>
      <c r="P570">
        <v>1.1000000000000001</v>
      </c>
      <c r="Q570" t="s">
        <v>130</v>
      </c>
      <c r="R570" t="str">
        <f>_xlfn.CONCAT(laptop[[#This Row],[CPU_company]]," ",laptop[[#This Row],[CPU_model]])</f>
        <v>Intel Pentium Quad Core N4200</v>
      </c>
      <c r="S570">
        <v>500</v>
      </c>
      <c r="T570">
        <v>0</v>
      </c>
      <c r="U570">
        <f>laptop[[#This Row],[PrimaryStorage]]+laptop[[#This Row],[SecondaryStorage]]</f>
        <v>500</v>
      </c>
      <c r="V570" t="s">
        <v>51</v>
      </c>
      <c r="W570" t="s">
        <v>27</v>
      </c>
      <c r="X570" t="str">
        <f>IF(laptop[[#This Row],[PrimaryStorageType]]=laptop[[#This Row],[SecondaryStorageType]],laptop[[#This Row],[PrimaryStorageType]],"SSD &amp; HDD")</f>
        <v>SSD &amp; HDD</v>
      </c>
      <c r="Y570" t="s">
        <v>237</v>
      </c>
      <c r="Z570" s="4" t="str">
        <f>_xlfn.CONCAT(laptop[[#This Row],[CPU_company]]," ",laptop[[#This Row],[GPU_model]])</f>
        <v>Intel HD Graphics 505</v>
      </c>
    </row>
    <row r="571" spans="1:26" x14ac:dyDescent="0.25">
      <c r="A571" t="s">
        <v>73</v>
      </c>
      <c r="B571" t="s">
        <v>394</v>
      </c>
      <c r="C571" t="s">
        <v>38</v>
      </c>
      <c r="D571">
        <v>14</v>
      </c>
      <c r="E571">
        <v>4</v>
      </c>
      <c r="F571" t="s">
        <v>48</v>
      </c>
      <c r="G571">
        <v>2.02</v>
      </c>
      <c r="H571" s="16">
        <v>990</v>
      </c>
      <c r="I571" t="s">
        <v>26</v>
      </c>
      <c r="J571">
        <v>1366</v>
      </c>
      <c r="K571">
        <v>768</v>
      </c>
      <c r="L571" t="s">
        <v>27</v>
      </c>
      <c r="M571" t="s">
        <v>27</v>
      </c>
      <c r="N571" t="s">
        <v>27</v>
      </c>
      <c r="O571" t="s">
        <v>29</v>
      </c>
      <c r="P571">
        <v>2.5</v>
      </c>
      <c r="Q571" t="s">
        <v>41</v>
      </c>
      <c r="R571" t="str">
        <f>_xlfn.CONCAT(laptop[[#This Row],[CPU_company]]," ",laptop[[#This Row],[CPU_model]])</f>
        <v>Intel Core i5 7200U</v>
      </c>
      <c r="S571">
        <v>500</v>
      </c>
      <c r="T571">
        <v>0</v>
      </c>
      <c r="U571">
        <f>laptop[[#This Row],[PrimaryStorage]]+laptop[[#This Row],[SecondaryStorage]]</f>
        <v>500</v>
      </c>
      <c r="V571" t="s">
        <v>51</v>
      </c>
      <c r="W571" t="s">
        <v>27</v>
      </c>
      <c r="X571" t="str">
        <f>IF(laptop[[#This Row],[PrimaryStorageType]]=laptop[[#This Row],[SecondaryStorageType]],laptop[[#This Row],[PrimaryStorageType]],"SSD &amp; HDD")</f>
        <v>SSD &amp; HDD</v>
      </c>
      <c r="Y571" t="s">
        <v>42</v>
      </c>
      <c r="Z571" s="4" t="str">
        <f>_xlfn.CONCAT(laptop[[#This Row],[CPU_company]]," ",laptop[[#This Row],[GPU_model]])</f>
        <v>Intel HD Graphics 620</v>
      </c>
    </row>
    <row r="572" spans="1:26" x14ac:dyDescent="0.25">
      <c r="A572" t="s">
        <v>36</v>
      </c>
      <c r="B572" t="s">
        <v>506</v>
      </c>
      <c r="C572" t="s">
        <v>265</v>
      </c>
      <c r="D572">
        <v>17.3</v>
      </c>
      <c r="E572">
        <v>8</v>
      </c>
      <c r="F572" t="s">
        <v>48</v>
      </c>
      <c r="G572">
        <v>3.14</v>
      </c>
      <c r="H572" s="16">
        <v>1860.99</v>
      </c>
      <c r="I572" t="s">
        <v>26</v>
      </c>
      <c r="J572">
        <v>1600</v>
      </c>
      <c r="K572">
        <v>900</v>
      </c>
      <c r="L572" t="s">
        <v>27</v>
      </c>
      <c r="M572" t="s">
        <v>27</v>
      </c>
      <c r="N572" t="s">
        <v>27</v>
      </c>
      <c r="O572" t="s">
        <v>29</v>
      </c>
      <c r="P572">
        <v>2.8</v>
      </c>
      <c r="Q572" t="s">
        <v>428</v>
      </c>
      <c r="R572" t="str">
        <f>_xlfn.CONCAT(laptop[[#This Row],[CPU_company]]," ",laptop[[#This Row],[CPU_model]])</f>
        <v>Intel Core i5 7440HQ</v>
      </c>
      <c r="S572">
        <v>500</v>
      </c>
      <c r="T572">
        <v>0</v>
      </c>
      <c r="U572">
        <f>laptop[[#This Row],[PrimaryStorage]]+laptop[[#This Row],[SecondaryStorage]]</f>
        <v>500</v>
      </c>
      <c r="V572" t="s">
        <v>51</v>
      </c>
      <c r="W572" t="s">
        <v>27</v>
      </c>
      <c r="X572" t="str">
        <f>IF(laptop[[#This Row],[PrimaryStorageType]]=laptop[[#This Row],[SecondaryStorageType]],laptop[[#This Row],[PrimaryStorageType]],"SSD &amp; HDD")</f>
        <v>SSD &amp; HDD</v>
      </c>
      <c r="Y572" t="s">
        <v>267</v>
      </c>
      <c r="Z572" s="4" t="str">
        <f>_xlfn.CONCAT(laptop[[#This Row],[CPU_company]]," ",laptop[[#This Row],[GPU_model]])</f>
        <v>Intel Quadro M1200</v>
      </c>
    </row>
    <row r="573" spans="1:26" x14ac:dyDescent="0.25">
      <c r="A573" t="s">
        <v>36</v>
      </c>
      <c r="B573" t="s">
        <v>507</v>
      </c>
      <c r="C573" t="s">
        <v>38</v>
      </c>
      <c r="D573">
        <v>14</v>
      </c>
      <c r="E573">
        <v>8</v>
      </c>
      <c r="F573" t="s">
        <v>48</v>
      </c>
      <c r="G573">
        <v>1.94</v>
      </c>
      <c r="H573" s="16">
        <v>389</v>
      </c>
      <c r="I573" t="s">
        <v>26</v>
      </c>
      <c r="J573">
        <v>1366</v>
      </c>
      <c r="K573">
        <v>768</v>
      </c>
      <c r="L573" t="s">
        <v>27</v>
      </c>
      <c r="M573" t="s">
        <v>27</v>
      </c>
      <c r="N573" t="s">
        <v>27</v>
      </c>
      <c r="O573" t="s">
        <v>29</v>
      </c>
      <c r="P573">
        <v>1.6</v>
      </c>
      <c r="Q573" t="s">
        <v>346</v>
      </c>
      <c r="R573" t="str">
        <f>_xlfn.CONCAT(laptop[[#This Row],[CPU_company]]," ",laptop[[#This Row],[CPU_model]])</f>
        <v>Intel Pentium Quad Core N3710</v>
      </c>
      <c r="S573">
        <v>2048</v>
      </c>
      <c r="T573">
        <v>0</v>
      </c>
      <c r="U573">
        <f>laptop[[#This Row],[PrimaryStorage]]+laptop[[#This Row],[SecondaryStorage]]</f>
        <v>2048</v>
      </c>
      <c r="V573" t="s">
        <v>51</v>
      </c>
      <c r="W573" t="s">
        <v>27</v>
      </c>
      <c r="X573" t="str">
        <f>IF(laptop[[#This Row],[PrimaryStorageType]]=laptop[[#This Row],[SecondaryStorageType]],laptop[[#This Row],[PrimaryStorageType]],"SSD &amp; HDD")</f>
        <v>SSD &amp; HDD</v>
      </c>
      <c r="Y573" t="s">
        <v>347</v>
      </c>
      <c r="Z573" s="4" t="str">
        <f>_xlfn.CONCAT(laptop[[#This Row],[CPU_company]]," ",laptop[[#This Row],[GPU_model]])</f>
        <v>Intel HD Graphics 405</v>
      </c>
    </row>
    <row r="574" spans="1:26" x14ac:dyDescent="0.25">
      <c r="A574" t="s">
        <v>36</v>
      </c>
      <c r="B574" t="s">
        <v>508</v>
      </c>
      <c r="C574" t="s">
        <v>38</v>
      </c>
      <c r="D574">
        <v>15.6</v>
      </c>
      <c r="E574">
        <v>6</v>
      </c>
      <c r="F574" t="s">
        <v>48</v>
      </c>
      <c r="G574">
        <v>1.95</v>
      </c>
      <c r="H574" s="16">
        <v>649</v>
      </c>
      <c r="I574" t="s">
        <v>40</v>
      </c>
      <c r="J574">
        <v>1920</v>
      </c>
      <c r="K574">
        <v>1080</v>
      </c>
      <c r="L574" t="s">
        <v>27</v>
      </c>
      <c r="M574" t="s">
        <v>28</v>
      </c>
      <c r="N574" t="s">
        <v>27</v>
      </c>
      <c r="O574" t="s">
        <v>49</v>
      </c>
      <c r="P574">
        <v>3</v>
      </c>
      <c r="Q574" t="s">
        <v>509</v>
      </c>
      <c r="R574" t="str">
        <f>_xlfn.CONCAT(laptop[[#This Row],[CPU_company]]," ",laptop[[#This Row],[CPU_model]])</f>
        <v>AMD A9-Series A9-9420</v>
      </c>
      <c r="S574">
        <v>256</v>
      </c>
      <c r="T574">
        <v>0</v>
      </c>
      <c r="U574">
        <f>laptop[[#This Row],[PrimaryStorage]]+laptop[[#This Row],[SecondaryStorage]]</f>
        <v>256</v>
      </c>
      <c r="V574" t="s">
        <v>31</v>
      </c>
      <c r="W574" t="s">
        <v>27</v>
      </c>
      <c r="X574" t="str">
        <f>IF(laptop[[#This Row],[PrimaryStorageType]]=laptop[[#This Row],[SecondaryStorageType]],laptop[[#This Row],[PrimaryStorageType]],"SSD &amp; HDD")</f>
        <v>SSD &amp; HDD</v>
      </c>
      <c r="Y574" t="s">
        <v>94</v>
      </c>
      <c r="Z574" s="4" t="str">
        <f>_xlfn.CONCAT(laptop[[#This Row],[CPU_company]]," ",laptop[[#This Row],[GPU_model]])</f>
        <v>AMD Radeon 530</v>
      </c>
    </row>
    <row r="575" spans="1:26" x14ac:dyDescent="0.25">
      <c r="A575" t="s">
        <v>73</v>
      </c>
      <c r="B575" t="s">
        <v>456</v>
      </c>
      <c r="C575" t="s">
        <v>38</v>
      </c>
      <c r="D575">
        <v>15.6</v>
      </c>
      <c r="E575">
        <v>8</v>
      </c>
      <c r="F575" t="s">
        <v>48</v>
      </c>
      <c r="G575">
        <v>2.2999999999999998</v>
      </c>
      <c r="H575" s="16">
        <v>830</v>
      </c>
      <c r="I575" t="s">
        <v>40</v>
      </c>
      <c r="J575">
        <v>1920</v>
      </c>
      <c r="K575">
        <v>1080</v>
      </c>
      <c r="L575" t="s">
        <v>27</v>
      </c>
      <c r="M575" t="s">
        <v>27</v>
      </c>
      <c r="N575" t="s">
        <v>27</v>
      </c>
      <c r="O575" t="s">
        <v>29</v>
      </c>
      <c r="P575">
        <v>2.5</v>
      </c>
      <c r="Q575" t="s">
        <v>41</v>
      </c>
      <c r="R575" t="str">
        <f>_xlfn.CONCAT(laptop[[#This Row],[CPU_company]]," ",laptop[[#This Row],[CPU_model]])</f>
        <v>Intel Core i5 7200U</v>
      </c>
      <c r="S575">
        <v>256</v>
      </c>
      <c r="T575">
        <v>0</v>
      </c>
      <c r="U575">
        <f>laptop[[#This Row],[PrimaryStorage]]+laptop[[#This Row],[SecondaryStorage]]</f>
        <v>256</v>
      </c>
      <c r="V575" t="s">
        <v>31</v>
      </c>
      <c r="W575" t="s">
        <v>27</v>
      </c>
      <c r="X575" t="str">
        <f>IF(laptop[[#This Row],[PrimaryStorageType]]=laptop[[#This Row],[SecondaryStorageType]],laptop[[#This Row],[PrimaryStorageType]],"SSD &amp; HDD")</f>
        <v>SSD &amp; HDD</v>
      </c>
      <c r="Y575" t="s">
        <v>42</v>
      </c>
      <c r="Z575" s="4" t="str">
        <f>_xlfn.CONCAT(laptop[[#This Row],[CPU_company]]," ",laptop[[#This Row],[GPU_model]])</f>
        <v>Intel HD Graphics 620</v>
      </c>
    </row>
    <row r="576" spans="1:26" x14ac:dyDescent="0.25">
      <c r="A576" t="s">
        <v>73</v>
      </c>
      <c r="B576" t="s">
        <v>510</v>
      </c>
      <c r="C576" t="s">
        <v>38</v>
      </c>
      <c r="D576">
        <v>15.6</v>
      </c>
      <c r="E576">
        <v>4</v>
      </c>
      <c r="F576" t="s">
        <v>48</v>
      </c>
      <c r="G576">
        <v>2.0499999999999998</v>
      </c>
      <c r="H576" s="16">
        <v>685</v>
      </c>
      <c r="I576" t="s">
        <v>40</v>
      </c>
      <c r="J576">
        <v>1920</v>
      </c>
      <c r="K576">
        <v>1080</v>
      </c>
      <c r="L576" t="s">
        <v>27</v>
      </c>
      <c r="M576" t="s">
        <v>27</v>
      </c>
      <c r="N576" t="s">
        <v>27</v>
      </c>
      <c r="O576" t="s">
        <v>29</v>
      </c>
      <c r="P576">
        <v>1.6</v>
      </c>
      <c r="Q576" t="s">
        <v>60</v>
      </c>
      <c r="R576" t="str">
        <f>_xlfn.CONCAT(laptop[[#This Row],[CPU_company]]," ",laptop[[#This Row],[CPU_model]])</f>
        <v>Intel Core i5 8250U</v>
      </c>
      <c r="S576">
        <v>500</v>
      </c>
      <c r="T576">
        <v>0</v>
      </c>
      <c r="U576">
        <f>laptop[[#This Row],[PrimaryStorage]]+laptop[[#This Row],[SecondaryStorage]]</f>
        <v>500</v>
      </c>
      <c r="V576" t="s">
        <v>51</v>
      </c>
      <c r="W576" t="s">
        <v>27</v>
      </c>
      <c r="X576" t="str">
        <f>IF(laptop[[#This Row],[PrimaryStorageType]]=laptop[[#This Row],[SecondaryStorageType]],laptop[[#This Row],[PrimaryStorageType]],"SSD &amp; HDD")</f>
        <v>SSD &amp; HDD</v>
      </c>
      <c r="Y576" t="s">
        <v>42</v>
      </c>
      <c r="Z576" s="4" t="str">
        <f>_xlfn.CONCAT(laptop[[#This Row],[CPU_company]]," ",laptop[[#This Row],[GPU_model]])</f>
        <v>Intel HD Graphics 620</v>
      </c>
    </row>
    <row r="577" spans="1:26" x14ac:dyDescent="0.25">
      <c r="A577" t="s">
        <v>411</v>
      </c>
      <c r="B577" t="s">
        <v>511</v>
      </c>
      <c r="C577" t="s">
        <v>38</v>
      </c>
      <c r="D577">
        <v>14</v>
      </c>
      <c r="E577">
        <v>4</v>
      </c>
      <c r="F577" t="s">
        <v>48</v>
      </c>
      <c r="G577">
        <v>1.4</v>
      </c>
      <c r="H577" s="16">
        <v>249</v>
      </c>
      <c r="I577" t="s">
        <v>40</v>
      </c>
      <c r="J577">
        <v>1920</v>
      </c>
      <c r="K577">
        <v>1080</v>
      </c>
      <c r="L577" t="s">
        <v>27</v>
      </c>
      <c r="M577" t="s">
        <v>27</v>
      </c>
      <c r="N577" t="s">
        <v>27</v>
      </c>
      <c r="O577" t="s">
        <v>29</v>
      </c>
      <c r="P577">
        <v>1.44</v>
      </c>
      <c r="Q577" t="s">
        <v>80</v>
      </c>
      <c r="R577" t="str">
        <f>_xlfn.CONCAT(laptop[[#This Row],[CPU_company]]," ",laptop[[#This Row],[CPU_model]])</f>
        <v>Intel Atom x5-Z8350</v>
      </c>
      <c r="S577">
        <v>32</v>
      </c>
      <c r="T577">
        <v>0</v>
      </c>
      <c r="U577">
        <f>laptop[[#This Row],[PrimaryStorage]]+laptop[[#This Row],[SecondaryStorage]]</f>
        <v>32</v>
      </c>
      <c r="V577" t="s">
        <v>31</v>
      </c>
      <c r="W577" t="s">
        <v>27</v>
      </c>
      <c r="X577" t="str">
        <f>IF(laptop[[#This Row],[PrimaryStorageType]]=laptop[[#This Row],[SecondaryStorageType]],laptop[[#This Row],[PrimaryStorageType]],"SSD &amp; HDD")</f>
        <v>SSD &amp; HDD</v>
      </c>
      <c r="Y577" t="s">
        <v>102</v>
      </c>
      <c r="Z577" s="4" t="str">
        <f>_xlfn.CONCAT(laptop[[#This Row],[CPU_company]]," ",laptop[[#This Row],[GPU_model]])</f>
        <v>Intel HD Graphics</v>
      </c>
    </row>
    <row r="578" spans="1:26" x14ac:dyDescent="0.25">
      <c r="A578" t="s">
        <v>210</v>
      </c>
      <c r="B578" t="s">
        <v>512</v>
      </c>
      <c r="C578" t="s">
        <v>24</v>
      </c>
      <c r="D578">
        <v>14</v>
      </c>
      <c r="E578">
        <v>16</v>
      </c>
      <c r="F578" t="s">
        <v>48</v>
      </c>
      <c r="G578">
        <v>1.24</v>
      </c>
      <c r="H578" s="16">
        <v>1865</v>
      </c>
      <c r="I578" t="s">
        <v>40</v>
      </c>
      <c r="J578">
        <v>1920</v>
      </c>
      <c r="K578">
        <v>1080</v>
      </c>
      <c r="L578" t="s">
        <v>28</v>
      </c>
      <c r="M578" t="s">
        <v>27</v>
      </c>
      <c r="N578" t="s">
        <v>27</v>
      </c>
      <c r="O578" t="s">
        <v>29</v>
      </c>
      <c r="P578">
        <v>2.7</v>
      </c>
      <c r="Q578" t="s">
        <v>71</v>
      </c>
      <c r="R578" t="str">
        <f>_xlfn.CONCAT(laptop[[#This Row],[CPU_company]]," ",laptop[[#This Row],[CPU_model]])</f>
        <v>Intel Core i7 7500U</v>
      </c>
      <c r="S578">
        <v>512</v>
      </c>
      <c r="T578">
        <v>0</v>
      </c>
      <c r="U578">
        <f>laptop[[#This Row],[PrimaryStorage]]+laptop[[#This Row],[SecondaryStorage]]</f>
        <v>512</v>
      </c>
      <c r="V578" t="s">
        <v>31</v>
      </c>
      <c r="W578" t="s">
        <v>27</v>
      </c>
      <c r="X578" t="str">
        <f>IF(laptop[[#This Row],[PrimaryStorageType]]=laptop[[#This Row],[SecondaryStorageType]],laptop[[#This Row],[PrimaryStorageType]],"SSD &amp; HDD")</f>
        <v>SSD &amp; HDD</v>
      </c>
      <c r="Y578" t="s">
        <v>42</v>
      </c>
      <c r="Z578" s="4" t="str">
        <f>_xlfn.CONCAT(laptop[[#This Row],[CPU_company]]," ",laptop[[#This Row],[GPU_model]])</f>
        <v>Intel HD Graphics 620</v>
      </c>
    </row>
    <row r="579" spans="1:26" x14ac:dyDescent="0.25">
      <c r="A579" t="s">
        <v>73</v>
      </c>
      <c r="B579" t="s">
        <v>513</v>
      </c>
      <c r="C579" t="s">
        <v>83</v>
      </c>
      <c r="D579">
        <v>17.3</v>
      </c>
      <c r="E579">
        <v>32</v>
      </c>
      <c r="F579" t="s">
        <v>48</v>
      </c>
      <c r="G579">
        <v>4.5999999999999996</v>
      </c>
      <c r="H579" s="16">
        <v>2663</v>
      </c>
      <c r="I579" t="s">
        <v>40</v>
      </c>
      <c r="J579">
        <v>1920</v>
      </c>
      <c r="K579">
        <v>1080</v>
      </c>
      <c r="L579" t="s">
        <v>27</v>
      </c>
      <c r="M579" t="s">
        <v>28</v>
      </c>
      <c r="N579" t="s">
        <v>27</v>
      </c>
      <c r="O579" t="s">
        <v>29</v>
      </c>
      <c r="P579">
        <v>2.7</v>
      </c>
      <c r="Q579" t="s">
        <v>514</v>
      </c>
      <c r="R579" t="str">
        <f>_xlfn.CONCAT(laptop[[#This Row],[CPU_company]]," ",laptop[[#This Row],[CPU_model]])</f>
        <v>Intel Core i7 6820HK</v>
      </c>
      <c r="S579">
        <v>256</v>
      </c>
      <c r="T579">
        <v>1024</v>
      </c>
      <c r="U579">
        <f>laptop[[#This Row],[PrimaryStorage]]+laptop[[#This Row],[SecondaryStorage]]</f>
        <v>1280</v>
      </c>
      <c r="V579" t="s">
        <v>31</v>
      </c>
      <c r="W579" t="s">
        <v>51</v>
      </c>
      <c r="X579" t="str">
        <f>IF(laptop[[#This Row],[PrimaryStorageType]]=laptop[[#This Row],[SecondaryStorageType]],laptop[[#This Row],[PrimaryStorageType]],"SSD &amp; HDD")</f>
        <v>SSD &amp; HDD</v>
      </c>
      <c r="Y579" t="s">
        <v>143</v>
      </c>
      <c r="Z579" s="4" t="str">
        <f>_xlfn.CONCAT(laptop[[#This Row],[CPU_company]]," ",laptop[[#This Row],[GPU_model]])</f>
        <v>Intel GeForce GTX 1070</v>
      </c>
    </row>
    <row r="580" spans="1:26" x14ac:dyDescent="0.25">
      <c r="A580" t="s">
        <v>141</v>
      </c>
      <c r="B580" t="s">
        <v>515</v>
      </c>
      <c r="C580" t="s">
        <v>83</v>
      </c>
      <c r="D580">
        <v>17.3</v>
      </c>
      <c r="E580">
        <v>16</v>
      </c>
      <c r="F580" t="s">
        <v>48</v>
      </c>
      <c r="G580">
        <v>4.1399999999999997</v>
      </c>
      <c r="H580" s="16">
        <v>2729</v>
      </c>
      <c r="I580" t="s">
        <v>40</v>
      </c>
      <c r="J580">
        <v>1920</v>
      </c>
      <c r="K580">
        <v>1080</v>
      </c>
      <c r="L580" t="s">
        <v>27</v>
      </c>
      <c r="M580" t="s">
        <v>27</v>
      </c>
      <c r="N580" t="s">
        <v>27</v>
      </c>
      <c r="O580" t="s">
        <v>29</v>
      </c>
      <c r="P580">
        <v>2.9</v>
      </c>
      <c r="Q580" t="s">
        <v>258</v>
      </c>
      <c r="R580" t="str">
        <f>_xlfn.CONCAT(laptop[[#This Row],[CPU_company]]," ",laptop[[#This Row],[CPU_model]])</f>
        <v>Intel Core i7 7820HK</v>
      </c>
      <c r="S580">
        <v>512</v>
      </c>
      <c r="T580">
        <v>1024</v>
      </c>
      <c r="U580">
        <f>laptop[[#This Row],[PrimaryStorage]]+laptop[[#This Row],[SecondaryStorage]]</f>
        <v>1536</v>
      </c>
      <c r="V580" t="s">
        <v>31</v>
      </c>
      <c r="W580" t="s">
        <v>51</v>
      </c>
      <c r="X580" t="str">
        <f>IF(laptop[[#This Row],[PrimaryStorageType]]=laptop[[#This Row],[SecondaryStorageType]],laptop[[#This Row],[PrimaryStorageType]],"SSD &amp; HDD")</f>
        <v>SSD &amp; HDD</v>
      </c>
      <c r="Y580" t="s">
        <v>143</v>
      </c>
      <c r="Z580" s="4" t="str">
        <f>_xlfn.CONCAT(laptop[[#This Row],[CPU_company]]," ",laptop[[#This Row],[GPU_model]])</f>
        <v>Intel GeForce GTX 1070</v>
      </c>
    </row>
    <row r="581" spans="1:26" x14ac:dyDescent="0.25">
      <c r="A581" t="s">
        <v>65</v>
      </c>
      <c r="B581" t="s">
        <v>66</v>
      </c>
      <c r="C581" t="s">
        <v>38</v>
      </c>
      <c r="D581">
        <v>15.6</v>
      </c>
      <c r="E581">
        <v>8</v>
      </c>
      <c r="F581" t="s">
        <v>111</v>
      </c>
      <c r="G581">
        <v>2.2000000000000002</v>
      </c>
      <c r="H581" s="16">
        <v>749.01</v>
      </c>
      <c r="I581" t="s">
        <v>40</v>
      </c>
      <c r="J581">
        <v>1920</v>
      </c>
      <c r="K581">
        <v>1080</v>
      </c>
      <c r="L581" t="s">
        <v>27</v>
      </c>
      <c r="M581" t="s">
        <v>27</v>
      </c>
      <c r="N581" t="s">
        <v>27</v>
      </c>
      <c r="O581" t="s">
        <v>29</v>
      </c>
      <c r="P581">
        <v>2.7</v>
      </c>
      <c r="Q581" t="s">
        <v>71</v>
      </c>
      <c r="R581" t="str">
        <f>_xlfn.CONCAT(laptop[[#This Row],[CPU_company]]," ",laptop[[#This Row],[CPU_model]])</f>
        <v>Intel Core i7 7500U</v>
      </c>
      <c r="S581">
        <v>256</v>
      </c>
      <c r="T581">
        <v>0</v>
      </c>
      <c r="U581">
        <f>laptop[[#This Row],[PrimaryStorage]]+laptop[[#This Row],[SecondaryStorage]]</f>
        <v>256</v>
      </c>
      <c r="V581" t="s">
        <v>31</v>
      </c>
      <c r="W581" t="s">
        <v>27</v>
      </c>
      <c r="X581" t="str">
        <f>IF(laptop[[#This Row],[PrimaryStorageType]]=laptop[[#This Row],[SecondaryStorageType]],laptop[[#This Row],[PrimaryStorageType]],"SSD &amp; HDD")</f>
        <v>SSD &amp; HDD</v>
      </c>
      <c r="Y581" t="s">
        <v>67</v>
      </c>
      <c r="Z581" s="4" t="str">
        <f>_xlfn.CONCAT(laptop[[#This Row],[CPU_company]]," ",laptop[[#This Row],[GPU_model]])</f>
        <v>Intel Radeon R5 M430</v>
      </c>
    </row>
    <row r="582" spans="1:26" x14ac:dyDescent="0.25">
      <c r="A582" t="s">
        <v>411</v>
      </c>
      <c r="B582" t="s">
        <v>484</v>
      </c>
      <c r="C582" t="s">
        <v>38</v>
      </c>
      <c r="D582">
        <v>14</v>
      </c>
      <c r="E582">
        <v>4</v>
      </c>
      <c r="F582" t="s">
        <v>48</v>
      </c>
      <c r="G582">
        <v>1.45</v>
      </c>
      <c r="H582" s="16">
        <v>389</v>
      </c>
      <c r="I582" t="s">
        <v>40</v>
      </c>
      <c r="J582">
        <v>1920</v>
      </c>
      <c r="K582">
        <v>1080</v>
      </c>
      <c r="L582" t="s">
        <v>27</v>
      </c>
      <c r="M582" t="s">
        <v>28</v>
      </c>
      <c r="N582" t="s">
        <v>27</v>
      </c>
      <c r="O582" t="s">
        <v>29</v>
      </c>
      <c r="P582">
        <v>1.1000000000000001</v>
      </c>
      <c r="Q582" t="s">
        <v>375</v>
      </c>
      <c r="R582" t="str">
        <f>_xlfn.CONCAT(laptop[[#This Row],[CPU_company]]," ",laptop[[#This Row],[CPU_model]])</f>
        <v>Intel Celeron Quad Core N3450</v>
      </c>
      <c r="S582">
        <v>32</v>
      </c>
      <c r="T582">
        <v>0</v>
      </c>
      <c r="U582">
        <f>laptop[[#This Row],[PrimaryStorage]]+laptop[[#This Row],[SecondaryStorage]]</f>
        <v>32</v>
      </c>
      <c r="V582" t="s">
        <v>31</v>
      </c>
      <c r="W582" t="s">
        <v>27</v>
      </c>
      <c r="X582" t="str">
        <f>IF(laptop[[#This Row],[PrimaryStorageType]]=laptop[[#This Row],[SecondaryStorageType]],laptop[[#This Row],[PrimaryStorageType]],"SSD &amp; HDD")</f>
        <v>SSD &amp; HDD</v>
      </c>
      <c r="Y582" t="s">
        <v>110</v>
      </c>
      <c r="Z582" s="4" t="str">
        <f>_xlfn.CONCAT(laptop[[#This Row],[CPU_company]]," ",laptop[[#This Row],[GPU_model]])</f>
        <v>Intel HD Graphics 500</v>
      </c>
    </row>
    <row r="583" spans="1:26" x14ac:dyDescent="0.25">
      <c r="A583" t="s">
        <v>65</v>
      </c>
      <c r="B583" t="s">
        <v>481</v>
      </c>
      <c r="C583" t="s">
        <v>38</v>
      </c>
      <c r="D583">
        <v>15.6</v>
      </c>
      <c r="E583">
        <v>8</v>
      </c>
      <c r="F583" t="s">
        <v>48</v>
      </c>
      <c r="G583">
        <v>1.9</v>
      </c>
      <c r="H583" s="16">
        <v>1008.52</v>
      </c>
      <c r="I583" t="s">
        <v>26</v>
      </c>
      <c r="J583">
        <v>1366</v>
      </c>
      <c r="K583">
        <v>768</v>
      </c>
      <c r="L583" t="s">
        <v>27</v>
      </c>
      <c r="M583" t="s">
        <v>27</v>
      </c>
      <c r="N583" t="s">
        <v>27</v>
      </c>
      <c r="O583" t="s">
        <v>29</v>
      </c>
      <c r="P583">
        <v>2.6</v>
      </c>
      <c r="Q583" t="s">
        <v>358</v>
      </c>
      <c r="R583" t="str">
        <f>_xlfn.CONCAT(laptop[[#This Row],[CPU_company]]," ",laptop[[#This Row],[CPU_model]])</f>
        <v>Intel Core i5 7300U</v>
      </c>
      <c r="S583">
        <v>500</v>
      </c>
      <c r="T583">
        <v>0</v>
      </c>
      <c r="U583">
        <f>laptop[[#This Row],[PrimaryStorage]]+laptop[[#This Row],[SecondaryStorage]]</f>
        <v>500</v>
      </c>
      <c r="V583" t="s">
        <v>51</v>
      </c>
      <c r="W583" t="s">
        <v>27</v>
      </c>
      <c r="X583" t="str">
        <f>IF(laptop[[#This Row],[PrimaryStorageType]]=laptop[[#This Row],[SecondaryStorageType]],laptop[[#This Row],[PrimaryStorageType]],"SSD &amp; HDD")</f>
        <v>SSD &amp; HDD</v>
      </c>
      <c r="Y583" t="s">
        <v>42</v>
      </c>
      <c r="Z583" s="4" t="str">
        <f>_xlfn.CONCAT(laptop[[#This Row],[CPU_company]]," ",laptop[[#This Row],[GPU_model]])</f>
        <v>Intel HD Graphics 620</v>
      </c>
    </row>
    <row r="584" spans="1:26" x14ac:dyDescent="0.25">
      <c r="A584" t="s">
        <v>36</v>
      </c>
      <c r="B584" t="s">
        <v>136</v>
      </c>
      <c r="C584" t="s">
        <v>38</v>
      </c>
      <c r="D584">
        <v>13.3</v>
      </c>
      <c r="E584">
        <v>4</v>
      </c>
      <c r="F584" t="s">
        <v>48</v>
      </c>
      <c r="G584">
        <v>1.49</v>
      </c>
      <c r="H584" s="16">
        <v>719</v>
      </c>
      <c r="I584" t="s">
        <v>40</v>
      </c>
      <c r="J584">
        <v>1920</v>
      </c>
      <c r="K584">
        <v>1080</v>
      </c>
      <c r="L584" t="s">
        <v>27</v>
      </c>
      <c r="M584" t="s">
        <v>27</v>
      </c>
      <c r="N584" t="s">
        <v>27</v>
      </c>
      <c r="O584" t="s">
        <v>29</v>
      </c>
      <c r="P584">
        <v>2.4</v>
      </c>
      <c r="Q584" t="s">
        <v>75</v>
      </c>
      <c r="R584" t="str">
        <f>_xlfn.CONCAT(laptop[[#This Row],[CPU_company]]," ",laptop[[#This Row],[CPU_model]])</f>
        <v>Intel Core i3 7100U</v>
      </c>
      <c r="S584">
        <v>128</v>
      </c>
      <c r="T584">
        <v>0</v>
      </c>
      <c r="U584">
        <f>laptop[[#This Row],[PrimaryStorage]]+laptop[[#This Row],[SecondaryStorage]]</f>
        <v>128</v>
      </c>
      <c r="V584" t="s">
        <v>31</v>
      </c>
      <c r="W584" t="s">
        <v>27</v>
      </c>
      <c r="X584" t="str">
        <f>IF(laptop[[#This Row],[PrimaryStorageType]]=laptop[[#This Row],[SecondaryStorageType]],laptop[[#This Row],[PrimaryStorageType]],"SSD &amp; HDD")</f>
        <v>SSD &amp; HDD</v>
      </c>
      <c r="Y584" t="s">
        <v>42</v>
      </c>
      <c r="Z584" s="4" t="str">
        <f>_xlfn.CONCAT(laptop[[#This Row],[CPU_company]]," ",laptop[[#This Row],[GPU_model]])</f>
        <v>Intel HD Graphics 620</v>
      </c>
    </row>
    <row r="585" spans="1:26" x14ac:dyDescent="0.25">
      <c r="A585" t="s">
        <v>65</v>
      </c>
      <c r="B585" t="s">
        <v>481</v>
      </c>
      <c r="C585" t="s">
        <v>38</v>
      </c>
      <c r="D585">
        <v>15.6</v>
      </c>
      <c r="E585">
        <v>16</v>
      </c>
      <c r="F585" t="s">
        <v>48</v>
      </c>
      <c r="G585">
        <v>1.93</v>
      </c>
      <c r="H585" s="16">
        <v>1537.39</v>
      </c>
      <c r="I585" t="s">
        <v>40</v>
      </c>
      <c r="J585">
        <v>1920</v>
      </c>
      <c r="K585">
        <v>1080</v>
      </c>
      <c r="L585" t="s">
        <v>27</v>
      </c>
      <c r="M585" t="s">
        <v>27</v>
      </c>
      <c r="N585" t="s">
        <v>27</v>
      </c>
      <c r="O585" t="s">
        <v>29</v>
      </c>
      <c r="P585">
        <v>2.8</v>
      </c>
      <c r="Q585" t="s">
        <v>335</v>
      </c>
      <c r="R585" t="str">
        <f>_xlfn.CONCAT(laptop[[#This Row],[CPU_company]]," ",laptop[[#This Row],[CPU_model]])</f>
        <v>Intel Core i7 7600U</v>
      </c>
      <c r="S585">
        <v>256</v>
      </c>
      <c r="T585">
        <v>0</v>
      </c>
      <c r="U585">
        <f>laptop[[#This Row],[PrimaryStorage]]+laptop[[#This Row],[SecondaryStorage]]</f>
        <v>256</v>
      </c>
      <c r="V585" t="s">
        <v>31</v>
      </c>
      <c r="W585" t="s">
        <v>27</v>
      </c>
      <c r="X585" t="str">
        <f>IF(laptop[[#This Row],[PrimaryStorageType]]=laptop[[#This Row],[SecondaryStorageType]],laptop[[#This Row],[PrimaryStorageType]],"SSD &amp; HDD")</f>
        <v>SSD &amp; HDD</v>
      </c>
      <c r="Y585" t="s">
        <v>98</v>
      </c>
      <c r="Z585" s="4" t="str">
        <f>_xlfn.CONCAT(laptop[[#This Row],[CPU_company]]," ",laptop[[#This Row],[GPU_model]])</f>
        <v>Intel GeForce 930MX</v>
      </c>
    </row>
    <row r="586" spans="1:26" x14ac:dyDescent="0.25">
      <c r="A586" t="s">
        <v>65</v>
      </c>
      <c r="B586" t="s">
        <v>516</v>
      </c>
      <c r="C586" t="s">
        <v>79</v>
      </c>
      <c r="D586">
        <v>11.6</v>
      </c>
      <c r="E586">
        <v>4</v>
      </c>
      <c r="F586" t="s">
        <v>317</v>
      </c>
      <c r="G586">
        <v>1.26</v>
      </c>
      <c r="H586" s="16">
        <v>295</v>
      </c>
      <c r="I586" t="s">
        <v>26</v>
      </c>
      <c r="J586">
        <v>1366</v>
      </c>
      <c r="K586">
        <v>768</v>
      </c>
      <c r="L586" t="s">
        <v>27</v>
      </c>
      <c r="M586" t="s">
        <v>27</v>
      </c>
      <c r="N586" t="s">
        <v>27</v>
      </c>
      <c r="O586" t="s">
        <v>29</v>
      </c>
      <c r="P586">
        <v>1.6</v>
      </c>
      <c r="Q586" t="s">
        <v>151</v>
      </c>
      <c r="R586" t="str">
        <f>_xlfn.CONCAT(laptop[[#This Row],[CPU_company]]," ",laptop[[#This Row],[CPU_model]])</f>
        <v>Intel Celeron Dual Core N3060</v>
      </c>
      <c r="S586">
        <v>16</v>
      </c>
      <c r="T586">
        <v>0</v>
      </c>
      <c r="U586">
        <f>laptop[[#This Row],[PrimaryStorage]]+laptop[[#This Row],[SecondaryStorage]]</f>
        <v>16</v>
      </c>
      <c r="V586" t="s">
        <v>34</v>
      </c>
      <c r="W586" t="s">
        <v>27</v>
      </c>
      <c r="X586" t="str">
        <f>IF(laptop[[#This Row],[PrimaryStorageType]]=laptop[[#This Row],[SecondaryStorageType]],laptop[[#This Row],[PrimaryStorageType]],"SSD &amp; HDD")</f>
        <v>SSD &amp; HDD</v>
      </c>
      <c r="Y586" t="s">
        <v>81</v>
      </c>
      <c r="Z586" s="4" t="str">
        <f>_xlfn.CONCAT(laptop[[#This Row],[CPU_company]]," ",laptop[[#This Row],[GPU_model]])</f>
        <v>Intel HD Graphics 400</v>
      </c>
    </row>
    <row r="587" spans="1:26" x14ac:dyDescent="0.25">
      <c r="A587" t="s">
        <v>141</v>
      </c>
      <c r="B587" t="s">
        <v>517</v>
      </c>
      <c r="C587" t="s">
        <v>83</v>
      </c>
      <c r="D587">
        <v>17.3</v>
      </c>
      <c r="E587">
        <v>16</v>
      </c>
      <c r="F587" t="s">
        <v>48</v>
      </c>
      <c r="G587">
        <v>4.5</v>
      </c>
      <c r="H587" s="16">
        <v>2349</v>
      </c>
      <c r="I587" t="s">
        <v>40</v>
      </c>
      <c r="J587">
        <v>1920</v>
      </c>
      <c r="K587">
        <v>1080</v>
      </c>
      <c r="L587" t="s">
        <v>27</v>
      </c>
      <c r="M587" t="s">
        <v>27</v>
      </c>
      <c r="N587" t="s">
        <v>27</v>
      </c>
      <c r="O587" t="s">
        <v>29</v>
      </c>
      <c r="P587">
        <v>2.7</v>
      </c>
      <c r="Q587" t="s">
        <v>514</v>
      </c>
      <c r="R587" t="str">
        <f>_xlfn.CONCAT(laptop[[#This Row],[CPU_company]]," ",laptop[[#This Row],[CPU_model]])</f>
        <v>Intel Core i7 6820HK</v>
      </c>
      <c r="S587">
        <v>128</v>
      </c>
      <c r="T587">
        <v>1024</v>
      </c>
      <c r="U587">
        <f>laptop[[#This Row],[PrimaryStorage]]+laptop[[#This Row],[SecondaryStorage]]</f>
        <v>1152</v>
      </c>
      <c r="V587" t="s">
        <v>31</v>
      </c>
      <c r="W587" t="s">
        <v>51</v>
      </c>
      <c r="X587" t="str">
        <f>IF(laptop[[#This Row],[PrimaryStorageType]]=laptop[[#This Row],[SecondaryStorageType]],laptop[[#This Row],[PrimaryStorageType]],"SSD &amp; HDD")</f>
        <v>SSD &amp; HDD</v>
      </c>
      <c r="Y587" t="s">
        <v>297</v>
      </c>
      <c r="Z587" s="4" t="str">
        <f>_xlfn.CONCAT(laptop[[#This Row],[CPU_company]]," ",laptop[[#This Row],[GPU_model]])</f>
        <v>Intel GeForce GTX 980M</v>
      </c>
    </row>
    <row r="588" spans="1:26" x14ac:dyDescent="0.25">
      <c r="A588" t="s">
        <v>36</v>
      </c>
      <c r="B588" t="s">
        <v>518</v>
      </c>
      <c r="C588" t="s">
        <v>83</v>
      </c>
      <c r="D588">
        <v>17.3</v>
      </c>
      <c r="E588">
        <v>16</v>
      </c>
      <c r="F588" t="s">
        <v>48</v>
      </c>
      <c r="G588">
        <v>3.78</v>
      </c>
      <c r="H588" s="16">
        <v>1498</v>
      </c>
      <c r="I588" t="s">
        <v>40</v>
      </c>
      <c r="J588">
        <v>1920</v>
      </c>
      <c r="K588">
        <v>1080</v>
      </c>
      <c r="L588" t="s">
        <v>27</v>
      </c>
      <c r="M588" t="s">
        <v>28</v>
      </c>
      <c r="N588" t="s">
        <v>27</v>
      </c>
      <c r="O588" t="s">
        <v>29</v>
      </c>
      <c r="P588">
        <v>2.8</v>
      </c>
      <c r="Q588" t="s">
        <v>118</v>
      </c>
      <c r="R588" t="str">
        <f>_xlfn.CONCAT(laptop[[#This Row],[CPU_company]]," ",laptop[[#This Row],[CPU_model]])</f>
        <v>Intel Core i7 7700HQ</v>
      </c>
      <c r="S588">
        <v>256</v>
      </c>
      <c r="T588">
        <v>1024</v>
      </c>
      <c r="U588">
        <f>laptop[[#This Row],[PrimaryStorage]]+laptop[[#This Row],[SecondaryStorage]]</f>
        <v>1280</v>
      </c>
      <c r="V588" t="s">
        <v>31</v>
      </c>
      <c r="W588" t="s">
        <v>51</v>
      </c>
      <c r="X588" t="str">
        <f>IF(laptop[[#This Row],[PrimaryStorageType]]=laptop[[#This Row],[SecondaryStorageType]],laptop[[#This Row],[PrimaryStorageType]],"SSD &amp; HDD")</f>
        <v>SSD &amp; HDD</v>
      </c>
      <c r="Y588" t="s">
        <v>85</v>
      </c>
      <c r="Z588" s="4" t="str">
        <f>_xlfn.CONCAT(laptop[[#This Row],[CPU_company]]," ",laptop[[#This Row],[GPU_model]])</f>
        <v>Intel GeForce GTX 1050</v>
      </c>
    </row>
    <row r="589" spans="1:26" x14ac:dyDescent="0.25">
      <c r="A589" t="s">
        <v>73</v>
      </c>
      <c r="B589" t="s">
        <v>444</v>
      </c>
      <c r="C589" t="s">
        <v>24</v>
      </c>
      <c r="D589">
        <v>14</v>
      </c>
      <c r="E589">
        <v>12</v>
      </c>
      <c r="F589" t="s">
        <v>48</v>
      </c>
      <c r="G589">
        <v>1.4</v>
      </c>
      <c r="H589" s="16">
        <v>1673</v>
      </c>
      <c r="I589" t="s">
        <v>40</v>
      </c>
      <c r="J589">
        <v>1920</v>
      </c>
      <c r="K589">
        <v>1080</v>
      </c>
      <c r="L589" t="s">
        <v>27</v>
      </c>
      <c r="M589" t="s">
        <v>28</v>
      </c>
      <c r="N589" t="s">
        <v>27</v>
      </c>
      <c r="O589" t="s">
        <v>29</v>
      </c>
      <c r="P589">
        <v>2.6</v>
      </c>
      <c r="Q589" t="s">
        <v>309</v>
      </c>
      <c r="R589" t="str">
        <f>_xlfn.CONCAT(laptop[[#This Row],[CPU_company]]," ",laptop[[#This Row],[CPU_model]])</f>
        <v>Intel Core i7 6600U</v>
      </c>
      <c r="S589">
        <v>256</v>
      </c>
      <c r="T589">
        <v>0</v>
      </c>
      <c r="U589">
        <f>laptop[[#This Row],[PrimaryStorage]]+laptop[[#This Row],[SecondaryStorage]]</f>
        <v>256</v>
      </c>
      <c r="V589" t="s">
        <v>31</v>
      </c>
      <c r="W589" t="s">
        <v>27</v>
      </c>
      <c r="X589" t="str">
        <f>IF(laptop[[#This Row],[PrimaryStorageType]]=laptop[[#This Row],[SecondaryStorageType]],laptop[[#This Row],[PrimaryStorageType]],"SSD &amp; HDD")</f>
        <v>SSD &amp; HDD</v>
      </c>
      <c r="Y589" t="s">
        <v>63</v>
      </c>
      <c r="Z589" s="4" t="str">
        <f>_xlfn.CONCAT(laptop[[#This Row],[CPU_company]]," ",laptop[[#This Row],[GPU_model]])</f>
        <v>Intel HD Graphics 520</v>
      </c>
    </row>
    <row r="590" spans="1:26" x14ac:dyDescent="0.25">
      <c r="A590" t="s">
        <v>73</v>
      </c>
      <c r="B590" t="s">
        <v>519</v>
      </c>
      <c r="C590" t="s">
        <v>38</v>
      </c>
      <c r="D590">
        <v>15.6</v>
      </c>
      <c r="E590">
        <v>12</v>
      </c>
      <c r="F590" t="s">
        <v>48</v>
      </c>
      <c r="G590">
        <v>2.2000000000000002</v>
      </c>
      <c r="H590" s="16">
        <v>609</v>
      </c>
      <c r="I590" t="s">
        <v>26</v>
      </c>
      <c r="J590">
        <v>1366</v>
      </c>
      <c r="K590">
        <v>768</v>
      </c>
      <c r="L590" t="s">
        <v>28</v>
      </c>
      <c r="M590" t="s">
        <v>27</v>
      </c>
      <c r="N590" t="s">
        <v>27</v>
      </c>
      <c r="O590" t="s">
        <v>29</v>
      </c>
      <c r="P590">
        <v>1.8</v>
      </c>
      <c r="Q590" t="s">
        <v>57</v>
      </c>
      <c r="R590" t="str">
        <f>_xlfn.CONCAT(laptop[[#This Row],[CPU_company]]," ",laptop[[#This Row],[CPU_model]])</f>
        <v>Intel Core i7 8550U</v>
      </c>
      <c r="S590">
        <v>1024</v>
      </c>
      <c r="T590">
        <v>0</v>
      </c>
      <c r="U590">
        <f>laptop[[#This Row],[PrimaryStorage]]+laptop[[#This Row],[SecondaryStorage]]</f>
        <v>1024</v>
      </c>
      <c r="V590" t="s">
        <v>51</v>
      </c>
      <c r="W590" t="s">
        <v>27</v>
      </c>
      <c r="X590" t="str">
        <f>IF(laptop[[#This Row],[PrimaryStorageType]]=laptop[[#This Row],[SecondaryStorageType]],laptop[[#This Row],[PrimaryStorageType]],"SSD &amp; HDD")</f>
        <v>SSD &amp; HDD</v>
      </c>
      <c r="Y590" t="s">
        <v>42</v>
      </c>
      <c r="Z590" s="4" t="str">
        <f>_xlfn.CONCAT(laptop[[#This Row],[CPU_company]]," ",laptop[[#This Row],[GPU_model]])</f>
        <v>Intel HD Graphics 620</v>
      </c>
    </row>
    <row r="591" spans="1:26" x14ac:dyDescent="0.25">
      <c r="A591" t="s">
        <v>55</v>
      </c>
      <c r="B591" t="s">
        <v>379</v>
      </c>
      <c r="C591" t="s">
        <v>83</v>
      </c>
      <c r="D591">
        <v>17.3</v>
      </c>
      <c r="E591">
        <v>8</v>
      </c>
      <c r="F591" t="s">
        <v>48</v>
      </c>
      <c r="G591">
        <v>2.73</v>
      </c>
      <c r="H591" s="16">
        <v>1770</v>
      </c>
      <c r="I591" t="s">
        <v>40</v>
      </c>
      <c r="J591">
        <v>1920</v>
      </c>
      <c r="K591">
        <v>1080</v>
      </c>
      <c r="L591" t="s">
        <v>27</v>
      </c>
      <c r="M591" t="s">
        <v>28</v>
      </c>
      <c r="N591" t="s">
        <v>27</v>
      </c>
      <c r="O591" t="s">
        <v>29</v>
      </c>
      <c r="P591">
        <v>2.5</v>
      </c>
      <c r="Q591" t="s">
        <v>84</v>
      </c>
      <c r="R591" t="str">
        <f>_xlfn.CONCAT(laptop[[#This Row],[CPU_company]]," ",laptop[[#This Row],[CPU_model]])</f>
        <v>Intel Core i5 7300HQ</v>
      </c>
      <c r="S591">
        <v>128</v>
      </c>
      <c r="T591">
        <v>1024</v>
      </c>
      <c r="U591">
        <f>laptop[[#This Row],[PrimaryStorage]]+laptop[[#This Row],[SecondaryStorage]]</f>
        <v>1152</v>
      </c>
      <c r="V591" t="s">
        <v>31</v>
      </c>
      <c r="W591" t="s">
        <v>51</v>
      </c>
      <c r="X591" t="str">
        <f>IF(laptop[[#This Row],[PrimaryStorageType]]=laptop[[#This Row],[SecondaryStorageType]],laptop[[#This Row],[PrimaryStorageType]],"SSD &amp; HDD")</f>
        <v>SSD &amp; HDD</v>
      </c>
      <c r="Y591" t="s">
        <v>119</v>
      </c>
      <c r="Z591" s="4" t="str">
        <f>_xlfn.CONCAT(laptop[[#This Row],[CPU_company]]," ",laptop[[#This Row],[GPU_model]])</f>
        <v>Intel GeForce GTX 1060</v>
      </c>
    </row>
    <row r="592" spans="1:26" x14ac:dyDescent="0.25">
      <c r="A592" t="s">
        <v>55</v>
      </c>
      <c r="B592" t="s">
        <v>520</v>
      </c>
      <c r="C592" t="s">
        <v>90</v>
      </c>
      <c r="D592">
        <v>15.6</v>
      </c>
      <c r="E592">
        <v>8</v>
      </c>
      <c r="F592" t="s">
        <v>48</v>
      </c>
      <c r="G592">
        <v>2.2000000000000002</v>
      </c>
      <c r="H592" s="16">
        <v>739</v>
      </c>
      <c r="I592" t="s">
        <v>26</v>
      </c>
      <c r="J592">
        <v>1366</v>
      </c>
      <c r="K592">
        <v>768</v>
      </c>
      <c r="L592" t="s">
        <v>28</v>
      </c>
      <c r="M592" t="s">
        <v>27</v>
      </c>
      <c r="N592" t="s">
        <v>27</v>
      </c>
      <c r="O592" t="s">
        <v>29</v>
      </c>
      <c r="P592">
        <v>2.5</v>
      </c>
      <c r="Q592" t="s">
        <v>41</v>
      </c>
      <c r="R592" t="str">
        <f>_xlfn.CONCAT(laptop[[#This Row],[CPU_company]]," ",laptop[[#This Row],[CPU_model]])</f>
        <v>Intel Core i5 7200U</v>
      </c>
      <c r="S592">
        <v>1024</v>
      </c>
      <c r="T592">
        <v>0</v>
      </c>
      <c r="U592">
        <f>laptop[[#This Row],[PrimaryStorage]]+laptop[[#This Row],[SecondaryStorage]]</f>
        <v>1024</v>
      </c>
      <c r="V592" t="s">
        <v>51</v>
      </c>
      <c r="W592" t="s">
        <v>27</v>
      </c>
      <c r="X592" t="str">
        <f>IF(laptop[[#This Row],[PrimaryStorageType]]=laptop[[#This Row],[SecondaryStorageType]],laptop[[#This Row],[PrimaryStorageType]],"SSD &amp; HDD")</f>
        <v>SSD &amp; HDD</v>
      </c>
      <c r="Y592" t="s">
        <v>63</v>
      </c>
      <c r="Z592" s="4" t="str">
        <f>_xlfn.CONCAT(laptop[[#This Row],[CPU_company]]," ",laptop[[#This Row],[GPU_model]])</f>
        <v>Intel HD Graphics 520</v>
      </c>
    </row>
    <row r="593" spans="1:26" x14ac:dyDescent="0.25">
      <c r="A593" t="s">
        <v>73</v>
      </c>
      <c r="B593" t="s">
        <v>362</v>
      </c>
      <c r="C593" t="s">
        <v>38</v>
      </c>
      <c r="D593">
        <v>15.6</v>
      </c>
      <c r="E593">
        <v>12</v>
      </c>
      <c r="F593" t="s">
        <v>48</v>
      </c>
      <c r="G593">
        <v>2.2000000000000002</v>
      </c>
      <c r="H593" s="16">
        <v>949</v>
      </c>
      <c r="I593" t="s">
        <v>40</v>
      </c>
      <c r="J593">
        <v>1920</v>
      </c>
      <c r="K593">
        <v>1080</v>
      </c>
      <c r="L593" t="s">
        <v>27</v>
      </c>
      <c r="M593" t="s">
        <v>27</v>
      </c>
      <c r="N593" t="s">
        <v>27</v>
      </c>
      <c r="O593" t="s">
        <v>49</v>
      </c>
      <c r="P593">
        <v>3.6</v>
      </c>
      <c r="Q593" t="s">
        <v>350</v>
      </c>
      <c r="R593" t="str">
        <f>_xlfn.CONCAT(laptop[[#This Row],[CPU_company]]," ",laptop[[#This Row],[CPU_model]])</f>
        <v>AMD A12-Series 9720P</v>
      </c>
      <c r="S593">
        <v>512</v>
      </c>
      <c r="T593">
        <v>0</v>
      </c>
      <c r="U593">
        <f>laptop[[#This Row],[PrimaryStorage]]+laptop[[#This Row],[SecondaryStorage]]</f>
        <v>512</v>
      </c>
      <c r="V593" t="s">
        <v>31</v>
      </c>
      <c r="W593" t="s">
        <v>27</v>
      </c>
      <c r="X593" t="str">
        <f>IF(laptop[[#This Row],[PrimaryStorageType]]=laptop[[#This Row],[SecondaryStorageType]],laptop[[#This Row],[PrimaryStorageType]],"SSD &amp; HDD")</f>
        <v>SSD &amp; HDD</v>
      </c>
      <c r="Y593" t="s">
        <v>94</v>
      </c>
      <c r="Z593" s="4" t="str">
        <f>_xlfn.CONCAT(laptop[[#This Row],[CPU_company]]," ",laptop[[#This Row],[GPU_model]])</f>
        <v>AMD Radeon 530</v>
      </c>
    </row>
    <row r="594" spans="1:26" x14ac:dyDescent="0.25">
      <c r="A594" t="s">
        <v>65</v>
      </c>
      <c r="B594" t="s">
        <v>521</v>
      </c>
      <c r="C594" t="s">
        <v>90</v>
      </c>
      <c r="D594">
        <v>11.6</v>
      </c>
      <c r="E594">
        <v>4</v>
      </c>
      <c r="F594" t="s">
        <v>48</v>
      </c>
      <c r="G594">
        <v>1.39</v>
      </c>
      <c r="H594" s="16">
        <v>603</v>
      </c>
      <c r="I594" t="s">
        <v>26</v>
      </c>
      <c r="J594">
        <v>1366</v>
      </c>
      <c r="K594">
        <v>768</v>
      </c>
      <c r="L594" t="s">
        <v>28</v>
      </c>
      <c r="M594" t="s">
        <v>27</v>
      </c>
      <c r="N594" t="s">
        <v>27</v>
      </c>
      <c r="O594" t="s">
        <v>29</v>
      </c>
      <c r="P594">
        <v>1</v>
      </c>
      <c r="Q594" t="s">
        <v>522</v>
      </c>
      <c r="R594" t="str">
        <f>_xlfn.CONCAT(laptop[[#This Row],[CPU_company]]," ",laptop[[#This Row],[CPU_model]])</f>
        <v>Intel Core M 7Y30</v>
      </c>
      <c r="S594">
        <v>128</v>
      </c>
      <c r="T594">
        <v>0</v>
      </c>
      <c r="U594">
        <f>laptop[[#This Row],[PrimaryStorage]]+laptop[[#This Row],[SecondaryStorage]]</f>
        <v>128</v>
      </c>
      <c r="V594" t="s">
        <v>31</v>
      </c>
      <c r="W594" t="s">
        <v>27</v>
      </c>
      <c r="X594" t="str">
        <f>IF(laptop[[#This Row],[PrimaryStorageType]]=laptop[[#This Row],[SecondaryStorageType]],laptop[[#This Row],[PrimaryStorageType]],"SSD &amp; HDD")</f>
        <v>SSD &amp; HDD</v>
      </c>
      <c r="Y594" t="s">
        <v>70</v>
      </c>
      <c r="Z594" s="4" t="str">
        <f>_xlfn.CONCAT(laptop[[#This Row],[CPU_company]]," ",laptop[[#This Row],[GPU_model]])</f>
        <v>Intel HD Graphics 615</v>
      </c>
    </row>
    <row r="595" spans="1:26" x14ac:dyDescent="0.25">
      <c r="A595" t="s">
        <v>413</v>
      </c>
      <c r="B595" t="s">
        <v>523</v>
      </c>
      <c r="C595" t="s">
        <v>38</v>
      </c>
      <c r="D595">
        <v>15.6</v>
      </c>
      <c r="E595">
        <v>16</v>
      </c>
      <c r="F595" t="s">
        <v>48</v>
      </c>
      <c r="G595">
        <v>2.5</v>
      </c>
      <c r="H595" s="16">
        <v>1699</v>
      </c>
      <c r="I595" t="s">
        <v>40</v>
      </c>
      <c r="J595">
        <v>1920</v>
      </c>
      <c r="K595">
        <v>1080</v>
      </c>
      <c r="L595" t="s">
        <v>27</v>
      </c>
      <c r="M595" t="s">
        <v>27</v>
      </c>
      <c r="N595" t="s">
        <v>27</v>
      </c>
      <c r="O595" t="s">
        <v>29</v>
      </c>
      <c r="P595">
        <v>2.8</v>
      </c>
      <c r="Q595" t="s">
        <v>118</v>
      </c>
      <c r="R595" t="str">
        <f>_xlfn.CONCAT(laptop[[#This Row],[CPU_company]]," ",laptop[[#This Row],[CPU_model]])</f>
        <v>Intel Core i7 7700HQ</v>
      </c>
      <c r="S595">
        <v>128</v>
      </c>
      <c r="T595">
        <v>1024</v>
      </c>
      <c r="U595">
        <f>laptop[[#This Row],[PrimaryStorage]]+laptop[[#This Row],[SecondaryStorage]]</f>
        <v>1152</v>
      </c>
      <c r="V595" t="s">
        <v>31</v>
      </c>
      <c r="W595" t="s">
        <v>51</v>
      </c>
      <c r="X595" t="str">
        <f>IF(laptop[[#This Row],[PrimaryStorageType]]=laptop[[#This Row],[SecondaryStorageType]],laptop[[#This Row],[PrimaryStorageType]],"SSD &amp; HDD")</f>
        <v>SSD &amp; HDD</v>
      </c>
      <c r="Y595" t="s">
        <v>85</v>
      </c>
      <c r="Z595" s="4" t="str">
        <f>_xlfn.CONCAT(laptop[[#This Row],[CPU_company]]," ",laptop[[#This Row],[GPU_model]])</f>
        <v>Intel GeForce GTX 1050</v>
      </c>
    </row>
    <row r="596" spans="1:26" x14ac:dyDescent="0.25">
      <c r="A596" t="s">
        <v>73</v>
      </c>
      <c r="B596" t="s">
        <v>524</v>
      </c>
      <c r="C596" t="s">
        <v>38</v>
      </c>
      <c r="D596">
        <v>17.3</v>
      </c>
      <c r="E596">
        <v>4</v>
      </c>
      <c r="F596" t="s">
        <v>39</v>
      </c>
      <c r="G596">
        <v>2.8</v>
      </c>
      <c r="H596" s="16">
        <v>529</v>
      </c>
      <c r="I596" t="s">
        <v>40</v>
      </c>
      <c r="J596">
        <v>1920</v>
      </c>
      <c r="K596">
        <v>1080</v>
      </c>
      <c r="L596" t="s">
        <v>27</v>
      </c>
      <c r="M596" t="s">
        <v>27</v>
      </c>
      <c r="N596" t="s">
        <v>27</v>
      </c>
      <c r="O596" t="s">
        <v>29</v>
      </c>
      <c r="P596">
        <v>2</v>
      </c>
      <c r="Q596" t="s">
        <v>62</v>
      </c>
      <c r="R596" t="str">
        <f>_xlfn.CONCAT(laptop[[#This Row],[CPU_company]]," ",laptop[[#This Row],[CPU_model]])</f>
        <v>Intel Core i3 6006U</v>
      </c>
      <c r="S596">
        <v>500</v>
      </c>
      <c r="T596">
        <v>0</v>
      </c>
      <c r="U596">
        <f>laptop[[#This Row],[PrimaryStorage]]+laptop[[#This Row],[SecondaryStorage]]</f>
        <v>500</v>
      </c>
      <c r="V596" t="s">
        <v>51</v>
      </c>
      <c r="W596" t="s">
        <v>27</v>
      </c>
      <c r="X596" t="str">
        <f>IF(laptop[[#This Row],[PrimaryStorageType]]=laptop[[#This Row],[SecondaryStorageType]],laptop[[#This Row],[PrimaryStorageType]],"SSD &amp; HDD")</f>
        <v>SSD &amp; HDD</v>
      </c>
      <c r="Y596" t="s">
        <v>63</v>
      </c>
      <c r="Z596" s="4" t="str">
        <f>_xlfn.CONCAT(laptop[[#This Row],[CPU_company]]," ",laptop[[#This Row],[GPU_model]])</f>
        <v>Intel HD Graphics 520</v>
      </c>
    </row>
    <row r="597" spans="1:26" x14ac:dyDescent="0.25">
      <c r="A597" t="s">
        <v>73</v>
      </c>
      <c r="B597" t="s">
        <v>525</v>
      </c>
      <c r="C597" t="s">
        <v>38</v>
      </c>
      <c r="D597">
        <v>15.6</v>
      </c>
      <c r="E597">
        <v>8</v>
      </c>
      <c r="F597" t="s">
        <v>48</v>
      </c>
      <c r="G597">
        <v>2.29</v>
      </c>
      <c r="H597" s="16">
        <v>459</v>
      </c>
      <c r="I597" t="s">
        <v>26</v>
      </c>
      <c r="J597">
        <v>1366</v>
      </c>
      <c r="K597">
        <v>768</v>
      </c>
      <c r="L597" t="s">
        <v>27</v>
      </c>
      <c r="M597" t="s">
        <v>27</v>
      </c>
      <c r="N597" t="s">
        <v>27</v>
      </c>
      <c r="O597" t="s">
        <v>29</v>
      </c>
      <c r="P597">
        <v>2.2999999999999998</v>
      </c>
      <c r="Q597" t="s">
        <v>450</v>
      </c>
      <c r="R597" t="str">
        <f>_xlfn.CONCAT(laptop[[#This Row],[CPU_company]]," ",laptop[[#This Row],[CPU_model]])</f>
        <v>Intel Core i3 6100U</v>
      </c>
      <c r="S597">
        <v>1024</v>
      </c>
      <c r="T597">
        <v>0</v>
      </c>
      <c r="U597">
        <f>laptop[[#This Row],[PrimaryStorage]]+laptop[[#This Row],[SecondaryStorage]]</f>
        <v>1024</v>
      </c>
      <c r="V597" t="s">
        <v>51</v>
      </c>
      <c r="W597" t="s">
        <v>27</v>
      </c>
      <c r="X597" t="str">
        <f>IF(laptop[[#This Row],[PrimaryStorageType]]=laptop[[#This Row],[SecondaryStorageType]],laptop[[#This Row],[PrimaryStorageType]],"SSD &amp; HDD")</f>
        <v>SSD &amp; HDD</v>
      </c>
      <c r="Y597" t="s">
        <v>63</v>
      </c>
      <c r="Z597" s="4" t="str">
        <f>_xlfn.CONCAT(laptop[[#This Row],[CPU_company]]," ",laptop[[#This Row],[GPU_model]])</f>
        <v>Intel HD Graphics 520</v>
      </c>
    </row>
    <row r="598" spans="1:26" x14ac:dyDescent="0.25">
      <c r="A598" t="s">
        <v>73</v>
      </c>
      <c r="B598" t="s">
        <v>190</v>
      </c>
      <c r="C598" t="s">
        <v>90</v>
      </c>
      <c r="D598">
        <v>13.3</v>
      </c>
      <c r="E598">
        <v>8</v>
      </c>
      <c r="F598" t="s">
        <v>48</v>
      </c>
      <c r="G598">
        <v>1.37</v>
      </c>
      <c r="H598" s="16">
        <v>2025</v>
      </c>
      <c r="I598" t="s">
        <v>40</v>
      </c>
      <c r="J598">
        <v>1920</v>
      </c>
      <c r="K598">
        <v>1080</v>
      </c>
      <c r="L598" t="s">
        <v>28</v>
      </c>
      <c r="M598" t="s">
        <v>28</v>
      </c>
      <c r="N598" t="s">
        <v>27</v>
      </c>
      <c r="O598" t="s">
        <v>29</v>
      </c>
      <c r="P598">
        <v>2.7</v>
      </c>
      <c r="Q598" t="s">
        <v>71</v>
      </c>
      <c r="R598" t="str">
        <f>_xlfn.CONCAT(laptop[[#This Row],[CPU_company]]," ",laptop[[#This Row],[CPU_model]])</f>
        <v>Intel Core i7 7500U</v>
      </c>
      <c r="S598">
        <v>512</v>
      </c>
      <c r="T598">
        <v>0</v>
      </c>
      <c r="U598">
        <f>laptop[[#This Row],[PrimaryStorage]]+laptop[[#This Row],[SecondaryStorage]]</f>
        <v>512</v>
      </c>
      <c r="V598" t="s">
        <v>31</v>
      </c>
      <c r="W598" t="s">
        <v>27</v>
      </c>
      <c r="X598" t="str">
        <f>IF(laptop[[#This Row],[PrimaryStorageType]]=laptop[[#This Row],[SecondaryStorageType]],laptop[[#This Row],[PrimaryStorageType]],"SSD &amp; HDD")</f>
        <v>SSD &amp; HDD</v>
      </c>
      <c r="Y598" t="s">
        <v>42</v>
      </c>
      <c r="Z598" s="4" t="str">
        <f>_xlfn.CONCAT(laptop[[#This Row],[CPU_company]]," ",laptop[[#This Row],[GPU_model]])</f>
        <v>Intel HD Graphics 620</v>
      </c>
    </row>
    <row r="599" spans="1:26" x14ac:dyDescent="0.25">
      <c r="A599" t="s">
        <v>73</v>
      </c>
      <c r="B599" t="s">
        <v>402</v>
      </c>
      <c r="C599" t="s">
        <v>38</v>
      </c>
      <c r="D599">
        <v>14</v>
      </c>
      <c r="E599">
        <v>8</v>
      </c>
      <c r="F599" t="s">
        <v>48</v>
      </c>
      <c r="G599">
        <v>1.7</v>
      </c>
      <c r="H599" s="16">
        <v>1474</v>
      </c>
      <c r="I599" t="s">
        <v>40</v>
      </c>
      <c r="J599">
        <v>1920</v>
      </c>
      <c r="K599">
        <v>1080</v>
      </c>
      <c r="L599" t="s">
        <v>27</v>
      </c>
      <c r="M599" t="s">
        <v>28</v>
      </c>
      <c r="N599" t="s">
        <v>27</v>
      </c>
      <c r="O599" t="s">
        <v>29</v>
      </c>
      <c r="P599">
        <v>2.5</v>
      </c>
      <c r="Q599" t="s">
        <v>84</v>
      </c>
      <c r="R599" t="str">
        <f>_xlfn.CONCAT(laptop[[#This Row],[CPU_company]]," ",laptop[[#This Row],[CPU_model]])</f>
        <v>Intel Core i5 7300HQ</v>
      </c>
      <c r="S599">
        <v>256</v>
      </c>
      <c r="T599">
        <v>0</v>
      </c>
      <c r="U599">
        <f>laptop[[#This Row],[PrimaryStorage]]+laptop[[#This Row],[SecondaryStorage]]</f>
        <v>256</v>
      </c>
      <c r="V599" t="s">
        <v>31</v>
      </c>
      <c r="W599" t="s">
        <v>27</v>
      </c>
      <c r="X599" t="str">
        <f>IF(laptop[[#This Row],[PrimaryStorageType]]=laptop[[#This Row],[SecondaryStorageType]],laptop[[#This Row],[PrimaryStorageType]],"SSD &amp; HDD")</f>
        <v>SSD &amp; HDD</v>
      </c>
      <c r="Y599" t="s">
        <v>315</v>
      </c>
      <c r="Z599" s="4" t="str">
        <f>_xlfn.CONCAT(laptop[[#This Row],[CPU_company]]," ",laptop[[#This Row],[GPU_model]])</f>
        <v>Intel HD Graphics 630</v>
      </c>
    </row>
    <row r="600" spans="1:26" x14ac:dyDescent="0.25">
      <c r="A600" t="s">
        <v>65</v>
      </c>
      <c r="B600" t="s">
        <v>526</v>
      </c>
      <c r="C600" t="s">
        <v>90</v>
      </c>
      <c r="D600">
        <v>12.5</v>
      </c>
      <c r="E600">
        <v>8</v>
      </c>
      <c r="F600" t="s">
        <v>48</v>
      </c>
      <c r="G600">
        <v>1.34</v>
      </c>
      <c r="H600" s="16">
        <v>1670</v>
      </c>
      <c r="I600" t="s">
        <v>40</v>
      </c>
      <c r="J600">
        <v>1920</v>
      </c>
      <c r="K600">
        <v>1080</v>
      </c>
      <c r="L600" t="s">
        <v>28</v>
      </c>
      <c r="M600" t="s">
        <v>27</v>
      </c>
      <c r="N600" t="s">
        <v>27</v>
      </c>
      <c r="O600" t="s">
        <v>29</v>
      </c>
      <c r="P600">
        <v>2.5</v>
      </c>
      <c r="Q600" t="s">
        <v>41</v>
      </c>
      <c r="R600" t="str">
        <f>_xlfn.CONCAT(laptop[[#This Row],[CPU_company]]," ",laptop[[#This Row],[CPU_model]])</f>
        <v>Intel Core i5 7200U</v>
      </c>
      <c r="S600">
        <v>256</v>
      </c>
      <c r="T600">
        <v>0</v>
      </c>
      <c r="U600">
        <f>laptop[[#This Row],[PrimaryStorage]]+laptop[[#This Row],[SecondaryStorage]]</f>
        <v>256</v>
      </c>
      <c r="V600" t="s">
        <v>31</v>
      </c>
      <c r="W600" t="s">
        <v>27</v>
      </c>
      <c r="X600" t="str">
        <f>IF(laptop[[#This Row],[PrimaryStorageType]]=laptop[[#This Row],[SecondaryStorageType]],laptop[[#This Row],[PrimaryStorageType]],"SSD &amp; HDD")</f>
        <v>SSD &amp; HDD</v>
      </c>
      <c r="Y600" t="s">
        <v>42</v>
      </c>
      <c r="Z600" s="4" t="str">
        <f>_xlfn.CONCAT(laptop[[#This Row],[CPU_company]]," ",laptop[[#This Row],[GPU_model]])</f>
        <v>Intel HD Graphics 620</v>
      </c>
    </row>
    <row r="601" spans="1:26" x14ac:dyDescent="0.25">
      <c r="A601" t="s">
        <v>65</v>
      </c>
      <c r="B601" t="s">
        <v>430</v>
      </c>
      <c r="C601" t="s">
        <v>265</v>
      </c>
      <c r="D601">
        <v>15.6</v>
      </c>
      <c r="E601">
        <v>8</v>
      </c>
      <c r="F601" t="s">
        <v>48</v>
      </c>
      <c r="G601">
        <v>2.06</v>
      </c>
      <c r="H601" s="16">
        <v>1763</v>
      </c>
      <c r="I601" t="s">
        <v>40</v>
      </c>
      <c r="J601">
        <v>1920</v>
      </c>
      <c r="K601">
        <v>1080</v>
      </c>
      <c r="L601" t="s">
        <v>28</v>
      </c>
      <c r="M601" t="s">
        <v>27</v>
      </c>
      <c r="N601" t="s">
        <v>27</v>
      </c>
      <c r="O601" t="s">
        <v>29</v>
      </c>
      <c r="P601">
        <v>2.8</v>
      </c>
      <c r="Q601" t="s">
        <v>118</v>
      </c>
      <c r="R601" t="str">
        <f>_xlfn.CONCAT(laptop[[#This Row],[CPU_company]]," ",laptop[[#This Row],[CPU_model]])</f>
        <v>Intel Core i7 7700HQ</v>
      </c>
      <c r="S601">
        <v>256</v>
      </c>
      <c r="T601">
        <v>0</v>
      </c>
      <c r="U601">
        <f>laptop[[#This Row],[PrimaryStorage]]+laptop[[#This Row],[SecondaryStorage]]</f>
        <v>256</v>
      </c>
      <c r="V601" t="s">
        <v>31</v>
      </c>
      <c r="W601" t="s">
        <v>27</v>
      </c>
      <c r="X601" t="str">
        <f>IF(laptop[[#This Row],[PrimaryStorageType]]=laptop[[#This Row],[SecondaryStorageType]],laptop[[#This Row],[PrimaryStorageType]],"SSD &amp; HDD")</f>
        <v>SSD &amp; HDD</v>
      </c>
      <c r="Y601" t="s">
        <v>431</v>
      </c>
      <c r="Z601" s="4" t="str">
        <f>_xlfn.CONCAT(laptop[[#This Row],[CPU_company]]," ",laptop[[#This Row],[GPU_model]])</f>
        <v>Intel Quadro M620</v>
      </c>
    </row>
    <row r="602" spans="1:26" x14ac:dyDescent="0.25">
      <c r="A602" t="s">
        <v>36</v>
      </c>
      <c r="B602" t="s">
        <v>527</v>
      </c>
      <c r="C602" t="s">
        <v>38</v>
      </c>
      <c r="D602">
        <v>15.6</v>
      </c>
      <c r="E602">
        <v>8</v>
      </c>
      <c r="F602" t="s">
        <v>48</v>
      </c>
      <c r="G602">
        <v>1.84</v>
      </c>
      <c r="H602" s="16">
        <v>1219</v>
      </c>
      <c r="I602" t="s">
        <v>40</v>
      </c>
      <c r="J602">
        <v>1920</v>
      </c>
      <c r="K602">
        <v>1080</v>
      </c>
      <c r="L602" t="s">
        <v>27</v>
      </c>
      <c r="M602" t="s">
        <v>27</v>
      </c>
      <c r="N602" t="s">
        <v>27</v>
      </c>
      <c r="O602" t="s">
        <v>29</v>
      </c>
      <c r="P602">
        <v>2.7</v>
      </c>
      <c r="Q602" t="s">
        <v>71</v>
      </c>
      <c r="R602" t="str">
        <f>_xlfn.CONCAT(laptop[[#This Row],[CPU_company]]," ",laptop[[#This Row],[CPU_model]])</f>
        <v>Intel Core i7 7500U</v>
      </c>
      <c r="S602">
        <v>256</v>
      </c>
      <c r="T602">
        <v>0</v>
      </c>
      <c r="U602">
        <f>laptop[[#This Row],[PrimaryStorage]]+laptop[[#This Row],[SecondaryStorage]]</f>
        <v>256</v>
      </c>
      <c r="V602" t="s">
        <v>31</v>
      </c>
      <c r="W602" t="s">
        <v>27</v>
      </c>
      <c r="X602" t="str">
        <f>IF(laptop[[#This Row],[PrimaryStorageType]]=laptop[[#This Row],[SecondaryStorageType]],laptop[[#This Row],[PrimaryStorageType]],"SSD &amp; HDD")</f>
        <v>SSD &amp; HDD</v>
      </c>
      <c r="Y602" t="s">
        <v>42</v>
      </c>
      <c r="Z602" s="4" t="str">
        <f>_xlfn.CONCAT(laptop[[#This Row],[CPU_company]]," ",laptop[[#This Row],[GPU_model]])</f>
        <v>Intel HD Graphics 620</v>
      </c>
    </row>
    <row r="603" spans="1:26" x14ac:dyDescent="0.25">
      <c r="A603" t="s">
        <v>36</v>
      </c>
      <c r="B603" t="s">
        <v>114</v>
      </c>
      <c r="C603" t="s">
        <v>38</v>
      </c>
      <c r="D603">
        <v>15.6</v>
      </c>
      <c r="E603">
        <v>4</v>
      </c>
      <c r="F603" t="s">
        <v>48</v>
      </c>
      <c r="G603">
        <v>2.1</v>
      </c>
      <c r="H603" s="16">
        <v>668.48</v>
      </c>
      <c r="I603" t="s">
        <v>26</v>
      </c>
      <c r="J603">
        <v>1366</v>
      </c>
      <c r="K603">
        <v>768</v>
      </c>
      <c r="L603" t="s">
        <v>27</v>
      </c>
      <c r="M603" t="s">
        <v>27</v>
      </c>
      <c r="N603" t="s">
        <v>27</v>
      </c>
      <c r="O603" t="s">
        <v>29</v>
      </c>
      <c r="P603">
        <v>2.4</v>
      </c>
      <c r="Q603" t="s">
        <v>75</v>
      </c>
      <c r="R603" t="str">
        <f>_xlfn.CONCAT(laptop[[#This Row],[CPU_company]]," ",laptop[[#This Row],[CPU_model]])</f>
        <v>Intel Core i3 7100U</v>
      </c>
      <c r="S603">
        <v>500</v>
      </c>
      <c r="T603">
        <v>0</v>
      </c>
      <c r="U603">
        <f>laptop[[#This Row],[PrimaryStorage]]+laptop[[#This Row],[SecondaryStorage]]</f>
        <v>500</v>
      </c>
      <c r="V603" t="s">
        <v>51</v>
      </c>
      <c r="W603" t="s">
        <v>27</v>
      </c>
      <c r="X603" t="str">
        <f>IF(laptop[[#This Row],[PrimaryStorageType]]=laptop[[#This Row],[SecondaryStorageType]],laptop[[#This Row],[PrimaryStorageType]],"SSD &amp; HDD")</f>
        <v>SSD &amp; HDD</v>
      </c>
      <c r="Y603" t="s">
        <v>42</v>
      </c>
      <c r="Z603" s="4" t="str">
        <f>_xlfn.CONCAT(laptop[[#This Row],[CPU_company]]," ",laptop[[#This Row],[GPU_model]])</f>
        <v>Intel HD Graphics 620</v>
      </c>
    </row>
    <row r="604" spans="1:26" x14ac:dyDescent="0.25">
      <c r="A604" t="s">
        <v>46</v>
      </c>
      <c r="B604" t="s">
        <v>528</v>
      </c>
      <c r="C604" t="s">
        <v>38</v>
      </c>
      <c r="D604">
        <v>14</v>
      </c>
      <c r="E604">
        <v>4</v>
      </c>
      <c r="F604" t="s">
        <v>48</v>
      </c>
      <c r="G604">
        <v>1.6</v>
      </c>
      <c r="H604" s="16">
        <v>329</v>
      </c>
      <c r="I604" t="s">
        <v>40</v>
      </c>
      <c r="J604">
        <v>1920</v>
      </c>
      <c r="K604">
        <v>1080</v>
      </c>
      <c r="L604" t="s">
        <v>27</v>
      </c>
      <c r="M604" t="s">
        <v>27</v>
      </c>
      <c r="N604" t="s">
        <v>27</v>
      </c>
      <c r="O604" t="s">
        <v>29</v>
      </c>
      <c r="P604">
        <v>1.1000000000000001</v>
      </c>
      <c r="Q604" t="s">
        <v>375</v>
      </c>
      <c r="R604" t="str">
        <f>_xlfn.CONCAT(laptop[[#This Row],[CPU_company]]," ",laptop[[#This Row],[CPU_model]])</f>
        <v>Intel Celeron Quad Core N3450</v>
      </c>
      <c r="S604">
        <v>32</v>
      </c>
      <c r="T604">
        <v>0</v>
      </c>
      <c r="U604">
        <f>laptop[[#This Row],[PrimaryStorage]]+laptop[[#This Row],[SecondaryStorage]]</f>
        <v>32</v>
      </c>
      <c r="V604" t="s">
        <v>34</v>
      </c>
      <c r="W604" t="s">
        <v>27</v>
      </c>
      <c r="X604" t="str">
        <f>IF(laptop[[#This Row],[PrimaryStorageType]]=laptop[[#This Row],[SecondaryStorageType]],laptop[[#This Row],[PrimaryStorageType]],"SSD &amp; HDD")</f>
        <v>SSD &amp; HDD</v>
      </c>
      <c r="Y604" t="s">
        <v>110</v>
      </c>
      <c r="Z604" s="4" t="str">
        <f>_xlfn.CONCAT(laptop[[#This Row],[CPU_company]]," ",laptop[[#This Row],[GPU_model]])</f>
        <v>Intel HD Graphics 500</v>
      </c>
    </row>
    <row r="605" spans="1:26" x14ac:dyDescent="0.25">
      <c r="A605" t="s">
        <v>141</v>
      </c>
      <c r="B605" t="s">
        <v>529</v>
      </c>
      <c r="C605" t="s">
        <v>83</v>
      </c>
      <c r="D605">
        <v>17.3</v>
      </c>
      <c r="E605">
        <v>16</v>
      </c>
      <c r="F605" t="s">
        <v>48</v>
      </c>
      <c r="G605">
        <v>4.1399999999999997</v>
      </c>
      <c r="H605" s="16">
        <v>2199</v>
      </c>
      <c r="I605" t="s">
        <v>40</v>
      </c>
      <c r="J605">
        <v>1920</v>
      </c>
      <c r="K605">
        <v>1080</v>
      </c>
      <c r="L605" t="s">
        <v>27</v>
      </c>
      <c r="M605" t="s">
        <v>27</v>
      </c>
      <c r="N605" t="s">
        <v>27</v>
      </c>
      <c r="O605" t="s">
        <v>29</v>
      </c>
      <c r="P605">
        <v>2.7</v>
      </c>
      <c r="Q605" t="s">
        <v>514</v>
      </c>
      <c r="R605" t="str">
        <f>_xlfn.CONCAT(laptop[[#This Row],[CPU_company]]," ",laptop[[#This Row],[CPU_model]])</f>
        <v>Intel Core i7 6820HK</v>
      </c>
      <c r="S605">
        <v>128</v>
      </c>
      <c r="T605">
        <v>1024</v>
      </c>
      <c r="U605">
        <f>laptop[[#This Row],[PrimaryStorage]]+laptop[[#This Row],[SecondaryStorage]]</f>
        <v>1152</v>
      </c>
      <c r="V605" t="s">
        <v>31</v>
      </c>
      <c r="W605" t="s">
        <v>51</v>
      </c>
      <c r="X605" t="str">
        <f>IF(laptop[[#This Row],[PrimaryStorageType]]=laptop[[#This Row],[SecondaryStorageType]],laptop[[#This Row],[PrimaryStorageType]],"SSD &amp; HDD")</f>
        <v>SSD &amp; HDD</v>
      </c>
      <c r="Y605" t="s">
        <v>530</v>
      </c>
      <c r="Z605" s="4" t="str">
        <f>_xlfn.CONCAT(laptop[[#This Row],[CPU_company]]," ",laptop[[#This Row],[GPU_model]])</f>
        <v>Intel GeForce GTX 970M</v>
      </c>
    </row>
    <row r="606" spans="1:26" x14ac:dyDescent="0.25">
      <c r="A606" t="s">
        <v>65</v>
      </c>
      <c r="B606" t="s">
        <v>305</v>
      </c>
      <c r="C606" t="s">
        <v>38</v>
      </c>
      <c r="D606">
        <v>15.6</v>
      </c>
      <c r="E606">
        <v>4</v>
      </c>
      <c r="F606" t="s">
        <v>111</v>
      </c>
      <c r="G606">
        <v>2.1800000000000002</v>
      </c>
      <c r="H606" s="16">
        <v>465</v>
      </c>
      <c r="I606" t="s">
        <v>26</v>
      </c>
      <c r="J606">
        <v>1366</v>
      </c>
      <c r="K606">
        <v>768</v>
      </c>
      <c r="L606" t="s">
        <v>27</v>
      </c>
      <c r="M606" t="s">
        <v>27</v>
      </c>
      <c r="N606" t="s">
        <v>27</v>
      </c>
      <c r="O606" t="s">
        <v>29</v>
      </c>
      <c r="P606">
        <v>2</v>
      </c>
      <c r="Q606" t="s">
        <v>62</v>
      </c>
      <c r="R606" t="str">
        <f>_xlfn.CONCAT(laptop[[#This Row],[CPU_company]]," ",laptop[[#This Row],[CPU_model]])</f>
        <v>Intel Core i3 6006U</v>
      </c>
      <c r="S606">
        <v>1024</v>
      </c>
      <c r="T606">
        <v>0</v>
      </c>
      <c r="U606">
        <f>laptop[[#This Row],[PrimaryStorage]]+laptop[[#This Row],[SecondaryStorage]]</f>
        <v>1024</v>
      </c>
      <c r="V606" t="s">
        <v>51</v>
      </c>
      <c r="W606" t="s">
        <v>27</v>
      </c>
      <c r="X606" t="str">
        <f>IF(laptop[[#This Row],[PrimaryStorageType]]=laptop[[#This Row],[SecondaryStorageType]],laptop[[#This Row],[PrimaryStorageType]],"SSD &amp; HDD")</f>
        <v>SSD &amp; HDD</v>
      </c>
      <c r="Y606" t="s">
        <v>233</v>
      </c>
      <c r="Z606" s="4" t="str">
        <f>_xlfn.CONCAT(laptop[[#This Row],[CPU_company]]," ",laptop[[#This Row],[GPU_model]])</f>
        <v>Intel Radeon R5 M420</v>
      </c>
    </row>
    <row r="607" spans="1:26" x14ac:dyDescent="0.25">
      <c r="A607" t="s">
        <v>141</v>
      </c>
      <c r="B607" t="s">
        <v>531</v>
      </c>
      <c r="C607" t="s">
        <v>83</v>
      </c>
      <c r="D607">
        <v>15.6</v>
      </c>
      <c r="E607">
        <v>16</v>
      </c>
      <c r="F607" t="s">
        <v>48</v>
      </c>
      <c r="G607">
        <v>1.8</v>
      </c>
      <c r="H607" s="16">
        <v>2299</v>
      </c>
      <c r="I607" t="s">
        <v>215</v>
      </c>
      <c r="J607">
        <v>3840</v>
      </c>
      <c r="K607">
        <v>2160</v>
      </c>
      <c r="L607" t="s">
        <v>27</v>
      </c>
      <c r="M607" t="s">
        <v>27</v>
      </c>
      <c r="N607" t="s">
        <v>27</v>
      </c>
      <c r="O607" t="s">
        <v>29</v>
      </c>
      <c r="P607">
        <v>2.8</v>
      </c>
      <c r="Q607" t="s">
        <v>118</v>
      </c>
      <c r="R607" t="str">
        <f>_xlfn.CONCAT(laptop[[#This Row],[CPU_company]]," ",laptop[[#This Row],[CPU_model]])</f>
        <v>Intel Core i7 7700HQ</v>
      </c>
      <c r="S607">
        <v>256</v>
      </c>
      <c r="T607">
        <v>2048</v>
      </c>
      <c r="U607">
        <f>laptop[[#This Row],[PrimaryStorage]]+laptop[[#This Row],[SecondaryStorage]]</f>
        <v>2304</v>
      </c>
      <c r="V607" t="s">
        <v>31</v>
      </c>
      <c r="W607" t="s">
        <v>51</v>
      </c>
      <c r="X607" t="str">
        <f>IF(laptop[[#This Row],[PrimaryStorageType]]=laptop[[#This Row],[SecondaryStorageType]],laptop[[#This Row],[PrimaryStorageType]],"SSD &amp; HDD")</f>
        <v>SSD &amp; HDD</v>
      </c>
      <c r="Y607" t="s">
        <v>119</v>
      </c>
      <c r="Z607" s="4" t="str">
        <f>_xlfn.CONCAT(laptop[[#This Row],[CPU_company]]," ",laptop[[#This Row],[GPU_model]])</f>
        <v>Intel GeForce GTX 1060</v>
      </c>
    </row>
    <row r="608" spans="1:26" x14ac:dyDescent="0.25">
      <c r="A608" t="s">
        <v>210</v>
      </c>
      <c r="B608" t="s">
        <v>532</v>
      </c>
      <c r="C608" t="s">
        <v>38</v>
      </c>
      <c r="D608">
        <v>15.6</v>
      </c>
      <c r="E608">
        <v>8</v>
      </c>
      <c r="F608" t="s">
        <v>48</v>
      </c>
      <c r="G608">
        <v>2.2000000000000002</v>
      </c>
      <c r="H608" s="16">
        <v>1399</v>
      </c>
      <c r="I608" t="s">
        <v>40</v>
      </c>
      <c r="J608">
        <v>1920</v>
      </c>
      <c r="K608">
        <v>1080</v>
      </c>
      <c r="L608" t="s">
        <v>27</v>
      </c>
      <c r="M608" t="s">
        <v>28</v>
      </c>
      <c r="N608" t="s">
        <v>27</v>
      </c>
      <c r="O608" t="s">
        <v>29</v>
      </c>
      <c r="P608">
        <v>2.5</v>
      </c>
      <c r="Q608" t="s">
        <v>274</v>
      </c>
      <c r="R608" t="str">
        <f>_xlfn.CONCAT(laptop[[#This Row],[CPU_company]]," ",laptop[[#This Row],[CPU_model]])</f>
        <v>Intel Core i7 6500U</v>
      </c>
      <c r="S608">
        <v>256</v>
      </c>
      <c r="T608">
        <v>0</v>
      </c>
      <c r="U608">
        <f>laptop[[#This Row],[PrimaryStorage]]+laptop[[#This Row],[SecondaryStorage]]</f>
        <v>256</v>
      </c>
      <c r="V608" t="s">
        <v>31</v>
      </c>
      <c r="W608" t="s">
        <v>27</v>
      </c>
      <c r="X608" t="str">
        <f>IF(laptop[[#This Row],[PrimaryStorageType]]=laptop[[#This Row],[SecondaryStorageType]],laptop[[#This Row],[PrimaryStorageType]],"SSD &amp; HDD")</f>
        <v>SSD &amp; HDD</v>
      </c>
      <c r="Y608" t="s">
        <v>63</v>
      </c>
      <c r="Z608" s="4" t="str">
        <f>_xlfn.CONCAT(laptop[[#This Row],[CPU_company]]," ",laptop[[#This Row],[GPU_model]])</f>
        <v>Intel HD Graphics 520</v>
      </c>
    </row>
    <row r="609" spans="1:26" x14ac:dyDescent="0.25">
      <c r="A609" t="s">
        <v>73</v>
      </c>
      <c r="B609" t="s">
        <v>533</v>
      </c>
      <c r="C609" t="s">
        <v>38</v>
      </c>
      <c r="D609">
        <v>15.6</v>
      </c>
      <c r="E609">
        <v>6</v>
      </c>
      <c r="F609" t="s">
        <v>48</v>
      </c>
      <c r="G609">
        <v>2.4</v>
      </c>
      <c r="H609" s="16">
        <v>564</v>
      </c>
      <c r="I609" t="s">
        <v>40</v>
      </c>
      <c r="J609">
        <v>1920</v>
      </c>
      <c r="K609">
        <v>1080</v>
      </c>
      <c r="L609" t="s">
        <v>27</v>
      </c>
      <c r="M609" t="s">
        <v>27</v>
      </c>
      <c r="N609" t="s">
        <v>27</v>
      </c>
      <c r="O609" t="s">
        <v>29</v>
      </c>
      <c r="P609">
        <v>2.5</v>
      </c>
      <c r="Q609" t="s">
        <v>41</v>
      </c>
      <c r="R609" t="str">
        <f>_xlfn.CONCAT(laptop[[#This Row],[CPU_company]]," ",laptop[[#This Row],[CPU_model]])</f>
        <v>Intel Core i5 7200U</v>
      </c>
      <c r="S609">
        <v>1024</v>
      </c>
      <c r="T609">
        <v>0</v>
      </c>
      <c r="U609">
        <f>laptop[[#This Row],[PrimaryStorage]]+laptop[[#This Row],[SecondaryStorage]]</f>
        <v>1024</v>
      </c>
      <c r="V609" t="s">
        <v>51</v>
      </c>
      <c r="W609" t="s">
        <v>27</v>
      </c>
      <c r="X609" t="str">
        <f>IF(laptop[[#This Row],[PrimaryStorageType]]=laptop[[#This Row],[SecondaryStorageType]],laptop[[#This Row],[PrimaryStorageType]],"SSD &amp; HDD")</f>
        <v>SSD &amp; HDD</v>
      </c>
      <c r="Y609" t="s">
        <v>42</v>
      </c>
      <c r="Z609" s="4" t="str">
        <f>_xlfn.CONCAT(laptop[[#This Row],[CPU_company]]," ",laptop[[#This Row],[GPU_model]])</f>
        <v>Intel HD Graphics 620</v>
      </c>
    </row>
    <row r="610" spans="1:26" x14ac:dyDescent="0.25">
      <c r="A610" t="s">
        <v>73</v>
      </c>
      <c r="B610" t="s">
        <v>304</v>
      </c>
      <c r="C610" t="s">
        <v>90</v>
      </c>
      <c r="D610">
        <v>15.6</v>
      </c>
      <c r="E610">
        <v>8</v>
      </c>
      <c r="F610" t="s">
        <v>48</v>
      </c>
      <c r="G610">
        <v>2</v>
      </c>
      <c r="H610" s="16">
        <v>1299</v>
      </c>
      <c r="I610" t="s">
        <v>40</v>
      </c>
      <c r="J610">
        <v>1920</v>
      </c>
      <c r="K610">
        <v>1080</v>
      </c>
      <c r="L610" t="s">
        <v>28</v>
      </c>
      <c r="M610" t="s">
        <v>28</v>
      </c>
      <c r="N610" t="s">
        <v>27</v>
      </c>
      <c r="O610" t="s">
        <v>29</v>
      </c>
      <c r="P610">
        <v>2.8</v>
      </c>
      <c r="Q610" t="s">
        <v>118</v>
      </c>
      <c r="R610" t="str">
        <f>_xlfn.CONCAT(laptop[[#This Row],[CPU_company]]," ",laptop[[#This Row],[CPU_model]])</f>
        <v>Intel Core i7 7700HQ</v>
      </c>
      <c r="S610">
        <v>256</v>
      </c>
      <c r="T610">
        <v>0</v>
      </c>
      <c r="U610">
        <f>laptop[[#This Row],[PrimaryStorage]]+laptop[[#This Row],[SecondaryStorage]]</f>
        <v>256</v>
      </c>
      <c r="V610" t="s">
        <v>31</v>
      </c>
      <c r="W610" t="s">
        <v>27</v>
      </c>
      <c r="X610" t="str">
        <f>IF(laptop[[#This Row],[PrimaryStorageType]]=laptop[[#This Row],[SecondaryStorageType]],laptop[[#This Row],[PrimaryStorageType]],"SSD &amp; HDD")</f>
        <v>SSD &amp; HDD</v>
      </c>
      <c r="Y610" t="s">
        <v>315</v>
      </c>
      <c r="Z610" s="4" t="str">
        <f>_xlfn.CONCAT(laptop[[#This Row],[CPU_company]]," ",laptop[[#This Row],[GPU_model]])</f>
        <v>Intel HD Graphics 630</v>
      </c>
    </row>
    <row r="611" spans="1:26" x14ac:dyDescent="0.25">
      <c r="A611" t="s">
        <v>46</v>
      </c>
      <c r="B611" t="s">
        <v>534</v>
      </c>
      <c r="C611" t="s">
        <v>38</v>
      </c>
      <c r="D611">
        <v>14</v>
      </c>
      <c r="E611">
        <v>4</v>
      </c>
      <c r="F611" t="s">
        <v>48</v>
      </c>
      <c r="G611">
        <v>1.6</v>
      </c>
      <c r="H611" s="16">
        <v>349</v>
      </c>
      <c r="I611" t="s">
        <v>26</v>
      </c>
      <c r="J611">
        <v>1366</v>
      </c>
      <c r="K611">
        <v>768</v>
      </c>
      <c r="L611" t="s">
        <v>27</v>
      </c>
      <c r="M611" t="s">
        <v>27</v>
      </c>
      <c r="N611" t="s">
        <v>27</v>
      </c>
      <c r="O611" t="s">
        <v>29</v>
      </c>
      <c r="P611">
        <v>1.6</v>
      </c>
      <c r="Q611" t="s">
        <v>346</v>
      </c>
      <c r="R611" t="str">
        <f>_xlfn.CONCAT(laptop[[#This Row],[CPU_company]]," ",laptop[[#This Row],[CPU_model]])</f>
        <v>Intel Pentium Quad Core N3710</v>
      </c>
      <c r="S611">
        <v>128</v>
      </c>
      <c r="T611">
        <v>0</v>
      </c>
      <c r="U611">
        <f>laptop[[#This Row],[PrimaryStorage]]+laptop[[#This Row],[SecondaryStorage]]</f>
        <v>128</v>
      </c>
      <c r="V611" t="s">
        <v>34</v>
      </c>
      <c r="W611" t="s">
        <v>27</v>
      </c>
      <c r="X611" t="str">
        <f>IF(laptop[[#This Row],[PrimaryStorageType]]=laptop[[#This Row],[SecondaryStorageType]],laptop[[#This Row],[PrimaryStorageType]],"SSD &amp; HDD")</f>
        <v>SSD &amp; HDD</v>
      </c>
      <c r="Y611" t="s">
        <v>347</v>
      </c>
      <c r="Z611" s="4" t="str">
        <f>_xlfn.CONCAT(laptop[[#This Row],[CPU_company]]," ",laptop[[#This Row],[GPU_model]])</f>
        <v>Intel HD Graphics 405</v>
      </c>
    </row>
    <row r="612" spans="1:26" x14ac:dyDescent="0.25">
      <c r="A612" t="s">
        <v>73</v>
      </c>
      <c r="B612" t="s">
        <v>417</v>
      </c>
      <c r="C612" t="s">
        <v>38</v>
      </c>
      <c r="D612">
        <v>15.6</v>
      </c>
      <c r="E612">
        <v>32</v>
      </c>
      <c r="F612" t="s">
        <v>48</v>
      </c>
      <c r="G612">
        <v>2.5</v>
      </c>
      <c r="H612" s="16">
        <v>4899</v>
      </c>
      <c r="I612" t="s">
        <v>215</v>
      </c>
      <c r="J612">
        <v>3840</v>
      </c>
      <c r="K612">
        <v>2160</v>
      </c>
      <c r="L612" t="s">
        <v>27</v>
      </c>
      <c r="M612" t="s">
        <v>28</v>
      </c>
      <c r="N612" t="s">
        <v>27</v>
      </c>
      <c r="O612" t="s">
        <v>29</v>
      </c>
      <c r="P612">
        <v>3.1</v>
      </c>
      <c r="Q612" t="s">
        <v>535</v>
      </c>
      <c r="R612" t="str">
        <f>_xlfn.CONCAT(laptop[[#This Row],[CPU_company]]," ",laptop[[#This Row],[CPU_model]])</f>
        <v>Intel Xeon E3-1535M v6</v>
      </c>
      <c r="S612">
        <v>1024</v>
      </c>
      <c r="T612">
        <v>0</v>
      </c>
      <c r="U612">
        <f>laptop[[#This Row],[PrimaryStorage]]+laptop[[#This Row],[SecondaryStorage]]</f>
        <v>1024</v>
      </c>
      <c r="V612" t="s">
        <v>31</v>
      </c>
      <c r="W612" t="s">
        <v>27</v>
      </c>
      <c r="X612" t="str">
        <f>IF(laptop[[#This Row],[PrimaryStorageType]]=laptop[[#This Row],[SecondaryStorageType]],laptop[[#This Row],[PrimaryStorageType]],"SSD &amp; HDD")</f>
        <v>SSD &amp; HDD</v>
      </c>
      <c r="Y612" t="s">
        <v>418</v>
      </c>
      <c r="Z612" s="4" t="str">
        <f>_xlfn.CONCAT(laptop[[#This Row],[CPU_company]]," ",laptop[[#This Row],[GPU_model]])</f>
        <v>Intel Quadro M2200M</v>
      </c>
    </row>
    <row r="613" spans="1:26" x14ac:dyDescent="0.25">
      <c r="A613" t="s">
        <v>65</v>
      </c>
      <c r="B613" t="s">
        <v>536</v>
      </c>
      <c r="C613" t="s">
        <v>83</v>
      </c>
      <c r="D613">
        <v>15.6</v>
      </c>
      <c r="E613">
        <v>16</v>
      </c>
      <c r="F613" t="s">
        <v>48</v>
      </c>
      <c r="G613">
        <v>2.59</v>
      </c>
      <c r="H613" s="16">
        <v>879.01</v>
      </c>
      <c r="I613" t="s">
        <v>40</v>
      </c>
      <c r="J613">
        <v>1920</v>
      </c>
      <c r="K613">
        <v>1080</v>
      </c>
      <c r="L613" t="s">
        <v>27</v>
      </c>
      <c r="M613" t="s">
        <v>27</v>
      </c>
      <c r="N613" t="s">
        <v>27</v>
      </c>
      <c r="O613" t="s">
        <v>29</v>
      </c>
      <c r="P613">
        <v>2.6</v>
      </c>
      <c r="Q613" t="s">
        <v>447</v>
      </c>
      <c r="R613" t="str">
        <f>_xlfn.CONCAT(laptop[[#This Row],[CPU_company]]," ",laptop[[#This Row],[CPU_model]])</f>
        <v>Intel Core i7 6700HQ</v>
      </c>
      <c r="S613">
        <v>1024</v>
      </c>
      <c r="T613">
        <v>0</v>
      </c>
      <c r="U613">
        <f>laptop[[#This Row],[PrimaryStorage]]+laptop[[#This Row],[SecondaryStorage]]</f>
        <v>1024</v>
      </c>
      <c r="V613" t="s">
        <v>51</v>
      </c>
      <c r="W613" t="s">
        <v>27</v>
      </c>
      <c r="X613" t="str">
        <f>IF(laptop[[#This Row],[PrimaryStorageType]]=laptop[[#This Row],[SecondaryStorageType]],laptop[[#This Row],[PrimaryStorageType]],"SSD &amp; HDD")</f>
        <v>SSD &amp; HDD</v>
      </c>
      <c r="Y613" t="s">
        <v>537</v>
      </c>
      <c r="Z613" s="4" t="str">
        <f>_xlfn.CONCAT(laptop[[#This Row],[CPU_company]]," ",laptop[[#This Row],[GPU_model]])</f>
        <v>Intel GeForce GTX 960&lt;U+039C&gt;</v>
      </c>
    </row>
    <row r="614" spans="1:26" x14ac:dyDescent="0.25">
      <c r="A614" t="s">
        <v>65</v>
      </c>
      <c r="B614" t="s">
        <v>305</v>
      </c>
      <c r="C614" t="s">
        <v>38</v>
      </c>
      <c r="D614">
        <v>15.6</v>
      </c>
      <c r="E614">
        <v>4</v>
      </c>
      <c r="F614" t="s">
        <v>111</v>
      </c>
      <c r="G614">
        <v>2.1800000000000002</v>
      </c>
      <c r="H614" s="16">
        <v>443.9</v>
      </c>
      <c r="I614" t="s">
        <v>26</v>
      </c>
      <c r="J614">
        <v>1366</v>
      </c>
      <c r="K614">
        <v>768</v>
      </c>
      <c r="L614" t="s">
        <v>27</v>
      </c>
      <c r="M614" t="s">
        <v>27</v>
      </c>
      <c r="N614" t="s">
        <v>27</v>
      </c>
      <c r="O614" t="s">
        <v>29</v>
      </c>
      <c r="P614">
        <v>2</v>
      </c>
      <c r="Q614" t="s">
        <v>62</v>
      </c>
      <c r="R614" t="str">
        <f>_xlfn.CONCAT(laptop[[#This Row],[CPU_company]]," ",laptop[[#This Row],[CPU_model]])</f>
        <v>Intel Core i3 6006U</v>
      </c>
      <c r="S614">
        <v>1024</v>
      </c>
      <c r="T614">
        <v>0</v>
      </c>
      <c r="U614">
        <f>laptop[[#This Row],[PrimaryStorage]]+laptop[[#This Row],[SecondaryStorage]]</f>
        <v>1024</v>
      </c>
      <c r="V614" t="s">
        <v>51</v>
      </c>
      <c r="W614" t="s">
        <v>27</v>
      </c>
      <c r="X614" t="str">
        <f>IF(laptop[[#This Row],[PrimaryStorageType]]=laptop[[#This Row],[SecondaryStorageType]],laptop[[#This Row],[PrimaryStorageType]],"SSD &amp; HDD")</f>
        <v>SSD &amp; HDD</v>
      </c>
      <c r="Y614" t="s">
        <v>63</v>
      </c>
      <c r="Z614" s="4" t="str">
        <f>_xlfn.CONCAT(laptop[[#This Row],[CPU_company]]," ",laptop[[#This Row],[GPU_model]])</f>
        <v>Intel HD Graphics 520</v>
      </c>
    </row>
    <row r="615" spans="1:26" x14ac:dyDescent="0.25">
      <c r="A615" t="s">
        <v>65</v>
      </c>
      <c r="B615" t="s">
        <v>66</v>
      </c>
      <c r="C615" t="s">
        <v>38</v>
      </c>
      <c r="D615">
        <v>15.6</v>
      </c>
      <c r="E615">
        <v>4</v>
      </c>
      <c r="F615" t="s">
        <v>111</v>
      </c>
      <c r="G615">
        <v>2.25</v>
      </c>
      <c r="H615" s="16">
        <v>359</v>
      </c>
      <c r="I615" t="s">
        <v>26</v>
      </c>
      <c r="J615">
        <v>1366</v>
      </c>
      <c r="K615">
        <v>768</v>
      </c>
      <c r="L615" t="s">
        <v>27</v>
      </c>
      <c r="M615" t="s">
        <v>27</v>
      </c>
      <c r="N615" t="s">
        <v>27</v>
      </c>
      <c r="O615" t="s">
        <v>29</v>
      </c>
      <c r="P615">
        <v>2</v>
      </c>
      <c r="Q615" t="s">
        <v>62</v>
      </c>
      <c r="R615" t="str">
        <f>_xlfn.CONCAT(laptop[[#This Row],[CPU_company]]," ",laptop[[#This Row],[CPU_model]])</f>
        <v>Intel Core i3 6006U</v>
      </c>
      <c r="S615">
        <v>1024</v>
      </c>
      <c r="T615">
        <v>0</v>
      </c>
      <c r="U615">
        <f>laptop[[#This Row],[PrimaryStorage]]+laptop[[#This Row],[SecondaryStorage]]</f>
        <v>1024</v>
      </c>
      <c r="V615" t="s">
        <v>51</v>
      </c>
      <c r="W615" t="s">
        <v>27</v>
      </c>
      <c r="X615" t="str">
        <f>IF(laptop[[#This Row],[PrimaryStorageType]]=laptop[[#This Row],[SecondaryStorageType]],laptop[[#This Row],[PrimaryStorageType]],"SSD &amp; HDD")</f>
        <v>SSD &amp; HDD</v>
      </c>
      <c r="Y615" t="s">
        <v>63</v>
      </c>
      <c r="Z615" s="4" t="str">
        <f>_xlfn.CONCAT(laptop[[#This Row],[CPU_company]]," ",laptop[[#This Row],[GPU_model]])</f>
        <v>Intel HD Graphics 520</v>
      </c>
    </row>
    <row r="616" spans="1:26" x14ac:dyDescent="0.25">
      <c r="A616" t="s">
        <v>65</v>
      </c>
      <c r="B616" t="s">
        <v>481</v>
      </c>
      <c r="C616" t="s">
        <v>38</v>
      </c>
      <c r="D616">
        <v>15.6</v>
      </c>
      <c r="E616">
        <v>4</v>
      </c>
      <c r="F616" t="s">
        <v>111</v>
      </c>
      <c r="G616">
        <v>1.93</v>
      </c>
      <c r="H616" s="16">
        <v>869</v>
      </c>
      <c r="I616" t="s">
        <v>26</v>
      </c>
      <c r="J616">
        <v>1366</v>
      </c>
      <c r="K616">
        <v>768</v>
      </c>
      <c r="L616" t="s">
        <v>27</v>
      </c>
      <c r="M616" t="s">
        <v>27</v>
      </c>
      <c r="N616" t="s">
        <v>27</v>
      </c>
      <c r="O616" t="s">
        <v>29</v>
      </c>
      <c r="P616">
        <v>2.6</v>
      </c>
      <c r="Q616" t="s">
        <v>358</v>
      </c>
      <c r="R616" t="str">
        <f>_xlfn.CONCAT(laptop[[#This Row],[CPU_company]]," ",laptop[[#This Row],[CPU_model]])</f>
        <v>Intel Core i5 7300U</v>
      </c>
      <c r="S616">
        <v>500</v>
      </c>
      <c r="T616">
        <v>0</v>
      </c>
      <c r="U616">
        <f>laptop[[#This Row],[PrimaryStorage]]+laptop[[#This Row],[SecondaryStorage]]</f>
        <v>500</v>
      </c>
      <c r="V616" t="s">
        <v>51</v>
      </c>
      <c r="W616" t="s">
        <v>27</v>
      </c>
      <c r="X616" t="str">
        <f>IF(laptop[[#This Row],[PrimaryStorageType]]=laptop[[#This Row],[SecondaryStorageType]],laptop[[#This Row],[PrimaryStorageType]],"SSD &amp; HDD")</f>
        <v>SSD &amp; HDD</v>
      </c>
      <c r="Y616" t="s">
        <v>42</v>
      </c>
      <c r="Z616" s="4" t="str">
        <f>_xlfn.CONCAT(laptop[[#This Row],[CPU_company]]," ",laptop[[#This Row],[GPU_model]])</f>
        <v>Intel HD Graphics 620</v>
      </c>
    </row>
    <row r="617" spans="1:26" x14ac:dyDescent="0.25">
      <c r="A617" t="s">
        <v>55</v>
      </c>
      <c r="B617" t="s">
        <v>538</v>
      </c>
      <c r="C617" t="s">
        <v>83</v>
      </c>
      <c r="D617">
        <v>17.3</v>
      </c>
      <c r="E617">
        <v>8</v>
      </c>
      <c r="F617" t="s">
        <v>48</v>
      </c>
      <c r="G617">
        <v>3</v>
      </c>
      <c r="H617" s="16">
        <v>1168</v>
      </c>
      <c r="I617" t="s">
        <v>40</v>
      </c>
      <c r="J617">
        <v>1920</v>
      </c>
      <c r="K617">
        <v>1080</v>
      </c>
      <c r="L617" t="s">
        <v>27</v>
      </c>
      <c r="M617" t="s">
        <v>27</v>
      </c>
      <c r="N617" t="s">
        <v>27</v>
      </c>
      <c r="O617" t="s">
        <v>29</v>
      </c>
      <c r="P617">
        <v>2.8</v>
      </c>
      <c r="Q617" t="s">
        <v>118</v>
      </c>
      <c r="R617" t="str">
        <f>_xlfn.CONCAT(laptop[[#This Row],[CPU_company]]," ",laptop[[#This Row],[CPU_model]])</f>
        <v>Intel Core i7 7700HQ</v>
      </c>
      <c r="S617">
        <v>128</v>
      </c>
      <c r="T617">
        <v>1024</v>
      </c>
      <c r="U617">
        <f>laptop[[#This Row],[PrimaryStorage]]+laptop[[#This Row],[SecondaryStorage]]</f>
        <v>1152</v>
      </c>
      <c r="V617" t="s">
        <v>31</v>
      </c>
      <c r="W617" t="s">
        <v>51</v>
      </c>
      <c r="X617" t="str">
        <f>IF(laptop[[#This Row],[PrimaryStorageType]]=laptop[[#This Row],[SecondaryStorageType]],laptop[[#This Row],[PrimaryStorageType]],"SSD &amp; HDD")</f>
        <v>SSD &amp; HDD</v>
      </c>
      <c r="Y617" t="s">
        <v>85</v>
      </c>
      <c r="Z617" s="4" t="str">
        <f>_xlfn.CONCAT(laptop[[#This Row],[CPU_company]]," ",laptop[[#This Row],[GPU_model]])</f>
        <v>Intel GeForce GTX 1050</v>
      </c>
    </row>
    <row r="618" spans="1:26" x14ac:dyDescent="0.25">
      <c r="A618" t="s">
        <v>65</v>
      </c>
      <c r="B618" t="s">
        <v>305</v>
      </c>
      <c r="C618" t="s">
        <v>38</v>
      </c>
      <c r="D618">
        <v>15.6</v>
      </c>
      <c r="E618">
        <v>4</v>
      </c>
      <c r="F618" t="s">
        <v>111</v>
      </c>
      <c r="G618">
        <v>2.1800000000000002</v>
      </c>
      <c r="H618" s="16">
        <v>569</v>
      </c>
      <c r="I618" t="s">
        <v>40</v>
      </c>
      <c r="J618">
        <v>1920</v>
      </c>
      <c r="K618">
        <v>1080</v>
      </c>
      <c r="L618" t="s">
        <v>27</v>
      </c>
      <c r="M618" t="s">
        <v>27</v>
      </c>
      <c r="N618" t="s">
        <v>27</v>
      </c>
      <c r="O618" t="s">
        <v>29</v>
      </c>
      <c r="P618">
        <v>2.5</v>
      </c>
      <c r="Q618" t="s">
        <v>41</v>
      </c>
      <c r="R618" t="str">
        <f>_xlfn.CONCAT(laptop[[#This Row],[CPU_company]]," ",laptop[[#This Row],[CPU_model]])</f>
        <v>Intel Core i5 7200U</v>
      </c>
      <c r="S618">
        <v>128</v>
      </c>
      <c r="T618">
        <v>0</v>
      </c>
      <c r="U618">
        <f>laptop[[#This Row],[PrimaryStorage]]+laptop[[#This Row],[SecondaryStorage]]</f>
        <v>128</v>
      </c>
      <c r="V618" t="s">
        <v>31</v>
      </c>
      <c r="W618" t="s">
        <v>27</v>
      </c>
      <c r="X618" t="str">
        <f>IF(laptop[[#This Row],[PrimaryStorageType]]=laptop[[#This Row],[SecondaryStorageType]],laptop[[#This Row],[PrimaryStorageType]],"SSD &amp; HDD")</f>
        <v>SSD &amp; HDD</v>
      </c>
      <c r="Y618" t="s">
        <v>233</v>
      </c>
      <c r="Z618" s="4" t="str">
        <f>_xlfn.CONCAT(laptop[[#This Row],[CPU_company]]," ",laptop[[#This Row],[GPU_model]])</f>
        <v>Intel Radeon R5 M420</v>
      </c>
    </row>
    <row r="619" spans="1:26" x14ac:dyDescent="0.25">
      <c r="A619" t="s">
        <v>36</v>
      </c>
      <c r="B619" t="s">
        <v>527</v>
      </c>
      <c r="C619" t="s">
        <v>24</v>
      </c>
      <c r="D619">
        <v>15.6</v>
      </c>
      <c r="E619">
        <v>8</v>
      </c>
      <c r="F619" t="s">
        <v>48</v>
      </c>
      <c r="G619">
        <v>1.84</v>
      </c>
      <c r="H619" s="16">
        <v>1389</v>
      </c>
      <c r="I619" t="s">
        <v>40</v>
      </c>
      <c r="J619">
        <v>1920</v>
      </c>
      <c r="K619">
        <v>1080</v>
      </c>
      <c r="L619" t="s">
        <v>27</v>
      </c>
      <c r="M619" t="s">
        <v>27</v>
      </c>
      <c r="N619" t="s">
        <v>27</v>
      </c>
      <c r="O619" t="s">
        <v>29</v>
      </c>
      <c r="P619">
        <v>2.7</v>
      </c>
      <c r="Q619" t="s">
        <v>71</v>
      </c>
      <c r="R619" t="str">
        <f>_xlfn.CONCAT(laptop[[#This Row],[CPU_company]]," ",laptop[[#This Row],[CPU_model]])</f>
        <v>Intel Core i7 7500U</v>
      </c>
      <c r="S619">
        <v>512</v>
      </c>
      <c r="T619">
        <v>0</v>
      </c>
      <c r="U619">
        <f>laptop[[#This Row],[PrimaryStorage]]+laptop[[#This Row],[SecondaryStorage]]</f>
        <v>512</v>
      </c>
      <c r="V619" t="s">
        <v>31</v>
      </c>
      <c r="W619" t="s">
        <v>27</v>
      </c>
      <c r="X619" t="str">
        <f>IF(laptop[[#This Row],[PrimaryStorageType]]=laptop[[#This Row],[SecondaryStorageType]],laptop[[#This Row],[PrimaryStorageType]],"SSD &amp; HDD")</f>
        <v>SSD &amp; HDD</v>
      </c>
      <c r="Y619" t="s">
        <v>42</v>
      </c>
      <c r="Z619" s="4" t="str">
        <f>_xlfn.CONCAT(laptop[[#This Row],[CPU_company]]," ",laptop[[#This Row],[GPU_model]])</f>
        <v>Intel HD Graphics 620</v>
      </c>
    </row>
    <row r="620" spans="1:26" x14ac:dyDescent="0.25">
      <c r="A620" t="s">
        <v>141</v>
      </c>
      <c r="B620" t="s">
        <v>539</v>
      </c>
      <c r="C620" t="s">
        <v>83</v>
      </c>
      <c r="D620">
        <v>15.6</v>
      </c>
      <c r="E620">
        <v>16</v>
      </c>
      <c r="F620" t="s">
        <v>48</v>
      </c>
      <c r="G620">
        <v>2.94</v>
      </c>
      <c r="H620" s="16">
        <v>2267.86</v>
      </c>
      <c r="I620" t="s">
        <v>40</v>
      </c>
      <c r="J620">
        <v>1920</v>
      </c>
      <c r="K620">
        <v>1080</v>
      </c>
      <c r="L620" t="s">
        <v>27</v>
      </c>
      <c r="M620" t="s">
        <v>27</v>
      </c>
      <c r="N620" t="s">
        <v>27</v>
      </c>
      <c r="O620" t="s">
        <v>29</v>
      </c>
      <c r="P620">
        <v>2.8</v>
      </c>
      <c r="Q620" t="s">
        <v>118</v>
      </c>
      <c r="R620" t="str">
        <f>_xlfn.CONCAT(laptop[[#This Row],[CPU_company]]," ",laptop[[#This Row],[CPU_model]])</f>
        <v>Intel Core i7 7700HQ</v>
      </c>
      <c r="S620">
        <v>256</v>
      </c>
      <c r="T620">
        <v>1024</v>
      </c>
      <c r="U620">
        <f>laptop[[#This Row],[PrimaryStorage]]+laptop[[#This Row],[SecondaryStorage]]</f>
        <v>1280</v>
      </c>
      <c r="V620" t="s">
        <v>31</v>
      </c>
      <c r="W620" t="s">
        <v>51</v>
      </c>
      <c r="X620" t="str">
        <f>IF(laptop[[#This Row],[PrimaryStorageType]]=laptop[[#This Row],[SecondaryStorageType]],laptop[[#This Row],[PrimaryStorageType]],"SSD &amp; HDD")</f>
        <v>SSD &amp; HDD</v>
      </c>
      <c r="Y620" t="s">
        <v>143</v>
      </c>
      <c r="Z620" s="4" t="str">
        <f>_xlfn.CONCAT(laptop[[#This Row],[CPU_company]]," ",laptop[[#This Row],[GPU_model]])</f>
        <v>Intel GeForce GTX 1070</v>
      </c>
    </row>
    <row r="621" spans="1:26" x14ac:dyDescent="0.25">
      <c r="A621" t="s">
        <v>46</v>
      </c>
      <c r="B621" t="s">
        <v>540</v>
      </c>
      <c r="C621" t="s">
        <v>90</v>
      </c>
      <c r="D621">
        <v>11.6</v>
      </c>
      <c r="E621">
        <v>4</v>
      </c>
      <c r="F621" t="s">
        <v>317</v>
      </c>
      <c r="G621">
        <v>1.25</v>
      </c>
      <c r="H621" s="16">
        <v>379</v>
      </c>
      <c r="I621" t="s">
        <v>26</v>
      </c>
      <c r="J621">
        <v>1366</v>
      </c>
      <c r="K621">
        <v>768</v>
      </c>
      <c r="L621" t="s">
        <v>28</v>
      </c>
      <c r="M621" t="s">
        <v>28</v>
      </c>
      <c r="N621" t="s">
        <v>27</v>
      </c>
      <c r="O621" t="s">
        <v>29</v>
      </c>
      <c r="P621">
        <v>1.6</v>
      </c>
      <c r="Q621" t="s">
        <v>541</v>
      </c>
      <c r="R621" t="str">
        <f>_xlfn.CONCAT(laptop[[#This Row],[CPU_company]]," ",laptop[[#This Row],[CPU_model]])</f>
        <v>Intel Celeron Quad Core N3160</v>
      </c>
      <c r="S621">
        <v>32</v>
      </c>
      <c r="T621">
        <v>0</v>
      </c>
      <c r="U621">
        <f>laptop[[#This Row],[PrimaryStorage]]+laptop[[#This Row],[SecondaryStorage]]</f>
        <v>32</v>
      </c>
      <c r="V621" t="s">
        <v>34</v>
      </c>
      <c r="W621" t="s">
        <v>27</v>
      </c>
      <c r="X621" t="str">
        <f>IF(laptop[[#This Row],[PrimaryStorageType]]=laptop[[#This Row],[SecondaryStorageType]],laptop[[#This Row],[PrimaryStorageType]],"SSD &amp; HDD")</f>
        <v>SSD &amp; HDD</v>
      </c>
      <c r="Y621" t="s">
        <v>81</v>
      </c>
      <c r="Z621" s="4" t="str">
        <f>_xlfn.CONCAT(laptop[[#This Row],[CPU_company]]," ",laptop[[#This Row],[GPU_model]])</f>
        <v>Intel HD Graphics 400</v>
      </c>
    </row>
    <row r="622" spans="1:26" x14ac:dyDescent="0.25">
      <c r="A622" t="s">
        <v>36</v>
      </c>
      <c r="B622" t="s">
        <v>407</v>
      </c>
      <c r="C622" t="s">
        <v>38</v>
      </c>
      <c r="D622">
        <v>14</v>
      </c>
      <c r="E622">
        <v>8</v>
      </c>
      <c r="F622" t="s">
        <v>48</v>
      </c>
      <c r="G622">
        <v>2.31</v>
      </c>
      <c r="H622" s="16">
        <v>1124</v>
      </c>
      <c r="I622" t="s">
        <v>26</v>
      </c>
      <c r="J622">
        <v>1366</v>
      </c>
      <c r="K622">
        <v>768</v>
      </c>
      <c r="L622" t="s">
        <v>27</v>
      </c>
      <c r="M622" t="s">
        <v>27</v>
      </c>
      <c r="N622" t="s">
        <v>27</v>
      </c>
      <c r="O622" t="s">
        <v>29</v>
      </c>
      <c r="P622">
        <v>2.6</v>
      </c>
      <c r="Q622" t="s">
        <v>358</v>
      </c>
      <c r="R622" t="str">
        <f>_xlfn.CONCAT(laptop[[#This Row],[CPU_company]]," ",laptop[[#This Row],[CPU_model]])</f>
        <v>Intel Core i5 7300U</v>
      </c>
      <c r="S622">
        <v>256</v>
      </c>
      <c r="T622">
        <v>0</v>
      </c>
      <c r="U622">
        <f>laptop[[#This Row],[PrimaryStorage]]+laptop[[#This Row],[SecondaryStorage]]</f>
        <v>256</v>
      </c>
      <c r="V622" t="s">
        <v>31</v>
      </c>
      <c r="W622" t="s">
        <v>27</v>
      </c>
      <c r="X622" t="str">
        <f>IF(laptop[[#This Row],[PrimaryStorageType]]=laptop[[#This Row],[SecondaryStorageType]],laptop[[#This Row],[PrimaryStorageType]],"SSD &amp; HDD")</f>
        <v>SSD &amp; HDD</v>
      </c>
      <c r="Y622" t="s">
        <v>42</v>
      </c>
      <c r="Z622" s="4" t="str">
        <f>_xlfn.CONCAT(laptop[[#This Row],[CPU_company]]," ",laptop[[#This Row],[GPU_model]])</f>
        <v>Intel HD Graphics 620</v>
      </c>
    </row>
    <row r="623" spans="1:26" x14ac:dyDescent="0.25">
      <c r="A623" t="s">
        <v>73</v>
      </c>
      <c r="B623" t="s">
        <v>435</v>
      </c>
      <c r="C623" t="s">
        <v>38</v>
      </c>
      <c r="D623">
        <v>14</v>
      </c>
      <c r="E623">
        <v>8</v>
      </c>
      <c r="F623" t="s">
        <v>480</v>
      </c>
      <c r="G623">
        <v>1.65</v>
      </c>
      <c r="H623" s="16">
        <v>1465</v>
      </c>
      <c r="I623" t="s">
        <v>40</v>
      </c>
      <c r="J623">
        <v>1920</v>
      </c>
      <c r="K623">
        <v>1080</v>
      </c>
      <c r="L623" t="s">
        <v>27</v>
      </c>
      <c r="M623" t="s">
        <v>27</v>
      </c>
      <c r="N623" t="s">
        <v>27</v>
      </c>
      <c r="O623" t="s">
        <v>29</v>
      </c>
      <c r="P623">
        <v>2.2999999999999998</v>
      </c>
      <c r="Q623" t="s">
        <v>212</v>
      </c>
      <c r="R623" t="str">
        <f>_xlfn.CONCAT(laptop[[#This Row],[CPU_company]]," ",laptop[[#This Row],[CPU_model]])</f>
        <v>Intel Core i5 6200U</v>
      </c>
      <c r="S623">
        <v>256</v>
      </c>
      <c r="T623">
        <v>0</v>
      </c>
      <c r="U623">
        <f>laptop[[#This Row],[PrimaryStorage]]+laptop[[#This Row],[SecondaryStorage]]</f>
        <v>256</v>
      </c>
      <c r="V623" t="s">
        <v>31</v>
      </c>
      <c r="W623" t="s">
        <v>27</v>
      </c>
      <c r="X623" t="str">
        <f>IF(laptop[[#This Row],[PrimaryStorageType]]=laptop[[#This Row],[SecondaryStorageType]],laptop[[#This Row],[PrimaryStorageType]],"SSD &amp; HDD")</f>
        <v>SSD &amp; HDD</v>
      </c>
      <c r="Y623" t="s">
        <v>63</v>
      </c>
      <c r="Z623" s="4" t="str">
        <f>_xlfn.CONCAT(laptop[[#This Row],[CPU_company]]," ",laptop[[#This Row],[GPU_model]])</f>
        <v>Intel HD Graphics 520</v>
      </c>
    </row>
    <row r="624" spans="1:26" x14ac:dyDescent="0.25">
      <c r="A624" t="s">
        <v>65</v>
      </c>
      <c r="B624" t="s">
        <v>93</v>
      </c>
      <c r="C624" t="s">
        <v>38</v>
      </c>
      <c r="D624">
        <v>15.6</v>
      </c>
      <c r="E624">
        <v>4</v>
      </c>
      <c r="F624" t="s">
        <v>48</v>
      </c>
      <c r="G624">
        <v>2.2000000000000002</v>
      </c>
      <c r="H624" s="16">
        <v>776</v>
      </c>
      <c r="I624" t="s">
        <v>40</v>
      </c>
      <c r="J624">
        <v>1920</v>
      </c>
      <c r="K624">
        <v>1080</v>
      </c>
      <c r="L624" t="s">
        <v>27</v>
      </c>
      <c r="M624" t="s">
        <v>27</v>
      </c>
      <c r="N624" t="s">
        <v>27</v>
      </c>
      <c r="O624" t="s">
        <v>29</v>
      </c>
      <c r="P624">
        <v>1.6</v>
      </c>
      <c r="Q624" t="s">
        <v>60</v>
      </c>
      <c r="R624" t="str">
        <f>_xlfn.CONCAT(laptop[[#This Row],[CPU_company]]," ",laptop[[#This Row],[CPU_model]])</f>
        <v>Intel Core i5 8250U</v>
      </c>
      <c r="S624">
        <v>1024</v>
      </c>
      <c r="T624">
        <v>0</v>
      </c>
      <c r="U624">
        <f>laptop[[#This Row],[PrimaryStorage]]+laptop[[#This Row],[SecondaryStorage]]</f>
        <v>1024</v>
      </c>
      <c r="V624" t="s">
        <v>51</v>
      </c>
      <c r="W624" t="s">
        <v>27</v>
      </c>
      <c r="X624" t="str">
        <f>IF(laptop[[#This Row],[PrimaryStorageType]]=laptop[[#This Row],[SecondaryStorageType]],laptop[[#This Row],[PrimaryStorageType]],"SSD &amp; HDD")</f>
        <v>SSD &amp; HDD</v>
      </c>
      <c r="Y624" t="s">
        <v>94</v>
      </c>
      <c r="Z624" s="4" t="str">
        <f>_xlfn.CONCAT(laptop[[#This Row],[CPU_company]]," ",laptop[[#This Row],[GPU_model]])</f>
        <v>Intel Radeon 530</v>
      </c>
    </row>
    <row r="625" spans="1:26" x14ac:dyDescent="0.25">
      <c r="A625" t="s">
        <v>504</v>
      </c>
      <c r="B625" t="s">
        <v>542</v>
      </c>
      <c r="C625" t="s">
        <v>38</v>
      </c>
      <c r="D625">
        <v>15.6</v>
      </c>
      <c r="E625">
        <v>8</v>
      </c>
      <c r="F625" t="s">
        <v>48</v>
      </c>
      <c r="G625">
        <v>2.2000000000000002</v>
      </c>
      <c r="H625" s="16">
        <v>799</v>
      </c>
      <c r="I625" t="s">
        <v>26</v>
      </c>
      <c r="J625">
        <v>1366</v>
      </c>
      <c r="K625">
        <v>768</v>
      </c>
      <c r="L625" t="s">
        <v>27</v>
      </c>
      <c r="M625" t="s">
        <v>27</v>
      </c>
      <c r="N625" t="s">
        <v>27</v>
      </c>
      <c r="O625" t="s">
        <v>29</v>
      </c>
      <c r="P625">
        <v>2.5</v>
      </c>
      <c r="Q625" t="s">
        <v>41</v>
      </c>
      <c r="R625" t="str">
        <f>_xlfn.CONCAT(laptop[[#This Row],[CPU_company]]," ",laptop[[#This Row],[CPU_model]])</f>
        <v>Intel Core i5 7200U</v>
      </c>
      <c r="S625">
        <v>256</v>
      </c>
      <c r="T625">
        <v>0</v>
      </c>
      <c r="U625">
        <f>laptop[[#This Row],[PrimaryStorage]]+laptop[[#This Row],[SecondaryStorage]]</f>
        <v>256</v>
      </c>
      <c r="V625" t="s">
        <v>31</v>
      </c>
      <c r="W625" t="s">
        <v>27</v>
      </c>
      <c r="X625" t="str">
        <f>IF(laptop[[#This Row],[PrimaryStorageType]]=laptop[[#This Row],[SecondaryStorageType]],laptop[[#This Row],[PrimaryStorageType]],"SSD &amp; HDD")</f>
        <v>SSD &amp; HDD</v>
      </c>
      <c r="Y625" t="s">
        <v>42</v>
      </c>
      <c r="Z625" s="4" t="str">
        <f>_xlfn.CONCAT(laptop[[#This Row],[CPU_company]]," ",laptop[[#This Row],[GPU_model]])</f>
        <v>Intel HD Graphics 620</v>
      </c>
    </row>
    <row r="626" spans="1:26" x14ac:dyDescent="0.25">
      <c r="A626" t="s">
        <v>36</v>
      </c>
      <c r="B626" t="s">
        <v>527</v>
      </c>
      <c r="C626" t="s">
        <v>38</v>
      </c>
      <c r="D626">
        <v>15.6</v>
      </c>
      <c r="E626">
        <v>4</v>
      </c>
      <c r="F626" t="s">
        <v>480</v>
      </c>
      <c r="G626">
        <v>1.88</v>
      </c>
      <c r="H626" s="16">
        <v>932</v>
      </c>
      <c r="I626" t="s">
        <v>26</v>
      </c>
      <c r="J626">
        <v>1366</v>
      </c>
      <c r="K626">
        <v>768</v>
      </c>
      <c r="L626" t="s">
        <v>27</v>
      </c>
      <c r="M626" t="s">
        <v>27</v>
      </c>
      <c r="N626" t="s">
        <v>27</v>
      </c>
      <c r="O626" t="s">
        <v>29</v>
      </c>
      <c r="P626">
        <v>2.2999999999999998</v>
      </c>
      <c r="Q626" t="s">
        <v>212</v>
      </c>
      <c r="R626" t="str">
        <f>_xlfn.CONCAT(laptop[[#This Row],[CPU_company]]," ",laptop[[#This Row],[CPU_model]])</f>
        <v>Intel Core i5 6200U</v>
      </c>
      <c r="S626">
        <v>500</v>
      </c>
      <c r="T626">
        <v>0</v>
      </c>
      <c r="U626">
        <f>laptop[[#This Row],[PrimaryStorage]]+laptop[[#This Row],[SecondaryStorage]]</f>
        <v>500</v>
      </c>
      <c r="V626" t="s">
        <v>51</v>
      </c>
      <c r="W626" t="s">
        <v>27</v>
      </c>
      <c r="X626" t="str">
        <f>IF(laptop[[#This Row],[PrimaryStorageType]]=laptop[[#This Row],[SecondaryStorageType]],laptop[[#This Row],[PrimaryStorageType]],"SSD &amp; HDD")</f>
        <v>SSD &amp; HDD</v>
      </c>
      <c r="Y626" t="s">
        <v>63</v>
      </c>
      <c r="Z626" s="4" t="str">
        <f>_xlfn.CONCAT(laptop[[#This Row],[CPU_company]]," ",laptop[[#This Row],[GPU_model]])</f>
        <v>Intel HD Graphics 520</v>
      </c>
    </row>
    <row r="627" spans="1:26" x14ac:dyDescent="0.25">
      <c r="A627" t="s">
        <v>73</v>
      </c>
      <c r="B627" t="s">
        <v>74</v>
      </c>
      <c r="C627" t="s">
        <v>38</v>
      </c>
      <c r="D627">
        <v>15.6</v>
      </c>
      <c r="E627">
        <v>8</v>
      </c>
      <c r="F627" t="s">
        <v>48</v>
      </c>
      <c r="G627">
        <v>2.2000000000000002</v>
      </c>
      <c r="H627" s="16">
        <v>899</v>
      </c>
      <c r="I627" t="s">
        <v>40</v>
      </c>
      <c r="J627">
        <v>1920</v>
      </c>
      <c r="K627">
        <v>1080</v>
      </c>
      <c r="L627" t="s">
        <v>27</v>
      </c>
      <c r="M627" t="s">
        <v>27</v>
      </c>
      <c r="N627" t="s">
        <v>27</v>
      </c>
      <c r="O627" t="s">
        <v>29</v>
      </c>
      <c r="P627">
        <v>2.7</v>
      </c>
      <c r="Q627" t="s">
        <v>71</v>
      </c>
      <c r="R627" t="str">
        <f>_xlfn.CONCAT(laptop[[#This Row],[CPU_company]]," ",laptop[[#This Row],[CPU_model]])</f>
        <v>Intel Core i7 7500U</v>
      </c>
      <c r="S627">
        <v>1024</v>
      </c>
      <c r="T627">
        <v>0</v>
      </c>
      <c r="U627">
        <f>laptop[[#This Row],[PrimaryStorage]]+laptop[[#This Row],[SecondaryStorage]]</f>
        <v>1024</v>
      </c>
      <c r="V627" t="s">
        <v>51</v>
      </c>
      <c r="W627" t="s">
        <v>27</v>
      </c>
      <c r="X627" t="str">
        <f>IF(laptop[[#This Row],[PrimaryStorageType]]=laptop[[#This Row],[SecondaryStorageType]],laptop[[#This Row],[PrimaryStorageType]],"SSD &amp; HDD")</f>
        <v>SSD &amp; HDD</v>
      </c>
      <c r="Y627" t="s">
        <v>131</v>
      </c>
      <c r="Z627" s="4" t="str">
        <f>_xlfn.CONCAT(laptop[[#This Row],[CPU_company]]," ",laptop[[#This Row],[GPU_model]])</f>
        <v>Intel GeForce 920MX</v>
      </c>
    </row>
    <row r="628" spans="1:26" x14ac:dyDescent="0.25">
      <c r="A628" t="s">
        <v>411</v>
      </c>
      <c r="B628" t="s">
        <v>543</v>
      </c>
      <c r="C628" t="s">
        <v>38</v>
      </c>
      <c r="D628">
        <v>14</v>
      </c>
      <c r="E628">
        <v>2</v>
      </c>
      <c r="F628" t="s">
        <v>48</v>
      </c>
      <c r="G628">
        <v>1.4</v>
      </c>
      <c r="H628" s="16">
        <v>239</v>
      </c>
      <c r="I628" t="s">
        <v>40</v>
      </c>
      <c r="J628">
        <v>1920</v>
      </c>
      <c r="K628">
        <v>1080</v>
      </c>
      <c r="L628" t="s">
        <v>27</v>
      </c>
      <c r="M628" t="s">
        <v>27</v>
      </c>
      <c r="N628" t="s">
        <v>27</v>
      </c>
      <c r="O628" t="s">
        <v>29</v>
      </c>
      <c r="P628">
        <v>1.44</v>
      </c>
      <c r="Q628" t="s">
        <v>80</v>
      </c>
      <c r="R628" t="str">
        <f>_xlfn.CONCAT(laptop[[#This Row],[CPU_company]]," ",laptop[[#This Row],[CPU_model]])</f>
        <v>Intel Atom x5-Z8350</v>
      </c>
      <c r="S628">
        <v>32</v>
      </c>
      <c r="T628">
        <v>0</v>
      </c>
      <c r="U628">
        <f>laptop[[#This Row],[PrimaryStorage]]+laptop[[#This Row],[SecondaryStorage]]</f>
        <v>32</v>
      </c>
      <c r="V628" t="s">
        <v>34</v>
      </c>
      <c r="W628" t="s">
        <v>27</v>
      </c>
      <c r="X628" t="str">
        <f>IF(laptop[[#This Row],[PrimaryStorageType]]=laptop[[#This Row],[SecondaryStorageType]],laptop[[#This Row],[PrimaryStorageType]],"SSD &amp; HDD")</f>
        <v>SSD &amp; HDD</v>
      </c>
      <c r="Y628" t="s">
        <v>102</v>
      </c>
      <c r="Z628" s="4" t="str">
        <f>_xlfn.CONCAT(laptop[[#This Row],[CPU_company]]," ",laptop[[#This Row],[GPU_model]])</f>
        <v>Intel HD Graphics</v>
      </c>
    </row>
    <row r="629" spans="1:26" x14ac:dyDescent="0.25">
      <c r="A629" t="s">
        <v>73</v>
      </c>
      <c r="B629" t="s">
        <v>161</v>
      </c>
      <c r="C629" t="s">
        <v>38</v>
      </c>
      <c r="D629">
        <v>15.6</v>
      </c>
      <c r="E629">
        <v>4</v>
      </c>
      <c r="F629" t="s">
        <v>39</v>
      </c>
      <c r="G629">
        <v>2.2000000000000002</v>
      </c>
      <c r="H629" s="16">
        <v>468</v>
      </c>
      <c r="I629" t="s">
        <v>40</v>
      </c>
      <c r="J629">
        <v>1920</v>
      </c>
      <c r="K629">
        <v>1080</v>
      </c>
      <c r="L629" t="s">
        <v>27</v>
      </c>
      <c r="M629" t="s">
        <v>27</v>
      </c>
      <c r="N629" t="s">
        <v>27</v>
      </c>
      <c r="O629" t="s">
        <v>29</v>
      </c>
      <c r="P629">
        <v>2.5</v>
      </c>
      <c r="Q629" t="s">
        <v>41</v>
      </c>
      <c r="R629" t="str">
        <f>_xlfn.CONCAT(laptop[[#This Row],[CPU_company]]," ",laptop[[#This Row],[CPU_model]])</f>
        <v>Intel Core i5 7200U</v>
      </c>
      <c r="S629">
        <v>128</v>
      </c>
      <c r="T629">
        <v>0</v>
      </c>
      <c r="U629">
        <f>laptop[[#This Row],[PrimaryStorage]]+laptop[[#This Row],[SecondaryStorage]]</f>
        <v>128</v>
      </c>
      <c r="V629" t="s">
        <v>31</v>
      </c>
      <c r="W629" t="s">
        <v>27</v>
      </c>
      <c r="X629" t="str">
        <f>IF(laptop[[#This Row],[PrimaryStorageType]]=laptop[[#This Row],[SecondaryStorageType]],laptop[[#This Row],[PrimaryStorageType]],"SSD &amp; HDD")</f>
        <v>SSD &amp; HDD</v>
      </c>
      <c r="Y629" t="s">
        <v>42</v>
      </c>
      <c r="Z629" s="4" t="str">
        <f>_xlfn.CONCAT(laptop[[#This Row],[CPU_company]]," ",laptop[[#This Row],[GPU_model]])</f>
        <v>Intel HD Graphics 620</v>
      </c>
    </row>
    <row r="630" spans="1:26" x14ac:dyDescent="0.25">
      <c r="A630" t="s">
        <v>55</v>
      </c>
      <c r="B630" t="s">
        <v>544</v>
      </c>
      <c r="C630" t="s">
        <v>90</v>
      </c>
      <c r="D630">
        <v>13.3</v>
      </c>
      <c r="E630">
        <v>6</v>
      </c>
      <c r="F630" t="s">
        <v>48</v>
      </c>
      <c r="G630">
        <v>1.5</v>
      </c>
      <c r="H630" s="16">
        <v>639.01</v>
      </c>
      <c r="I630" t="s">
        <v>40</v>
      </c>
      <c r="J630">
        <v>1920</v>
      </c>
      <c r="K630">
        <v>1080</v>
      </c>
      <c r="L630" t="s">
        <v>28</v>
      </c>
      <c r="M630" t="s">
        <v>27</v>
      </c>
      <c r="N630" t="s">
        <v>27</v>
      </c>
      <c r="O630" t="s">
        <v>29</v>
      </c>
      <c r="P630">
        <v>2.5</v>
      </c>
      <c r="Q630" t="s">
        <v>41</v>
      </c>
      <c r="R630" t="str">
        <f>_xlfn.CONCAT(laptop[[#This Row],[CPU_company]]," ",laptop[[#This Row],[CPU_model]])</f>
        <v>Intel Core i5 7200U</v>
      </c>
      <c r="S630">
        <v>1024</v>
      </c>
      <c r="T630">
        <v>0</v>
      </c>
      <c r="U630">
        <f>laptop[[#This Row],[PrimaryStorage]]+laptop[[#This Row],[SecondaryStorage]]</f>
        <v>1024</v>
      </c>
      <c r="V630" t="s">
        <v>51</v>
      </c>
      <c r="W630" t="s">
        <v>27</v>
      </c>
      <c r="X630" t="str">
        <f>IF(laptop[[#This Row],[PrimaryStorageType]]=laptop[[#This Row],[SecondaryStorageType]],laptop[[#This Row],[PrimaryStorageType]],"SSD &amp; HDD")</f>
        <v>SSD &amp; HDD</v>
      </c>
      <c r="Y630" t="s">
        <v>42</v>
      </c>
      <c r="Z630" s="4" t="str">
        <f>_xlfn.CONCAT(laptop[[#This Row],[CPU_company]]," ",laptop[[#This Row],[GPU_model]])</f>
        <v>Intel HD Graphics 620</v>
      </c>
    </row>
    <row r="631" spans="1:26" x14ac:dyDescent="0.25">
      <c r="A631" t="s">
        <v>65</v>
      </c>
      <c r="B631" t="s">
        <v>249</v>
      </c>
      <c r="C631" t="s">
        <v>38</v>
      </c>
      <c r="D631">
        <v>15.6</v>
      </c>
      <c r="E631">
        <v>8</v>
      </c>
      <c r="F631" t="s">
        <v>48</v>
      </c>
      <c r="G631">
        <v>2</v>
      </c>
      <c r="H631" s="16">
        <v>1820</v>
      </c>
      <c r="I631" t="s">
        <v>40</v>
      </c>
      <c r="J631">
        <v>1920</v>
      </c>
      <c r="K631">
        <v>1080</v>
      </c>
      <c r="L631" t="s">
        <v>27</v>
      </c>
      <c r="M631" t="s">
        <v>27</v>
      </c>
      <c r="N631" t="s">
        <v>27</v>
      </c>
      <c r="O631" t="s">
        <v>29</v>
      </c>
      <c r="P631">
        <v>2.8</v>
      </c>
      <c r="Q631" t="s">
        <v>118</v>
      </c>
      <c r="R631" t="str">
        <f>_xlfn.CONCAT(laptop[[#This Row],[CPU_company]]," ",laptop[[#This Row],[CPU_model]])</f>
        <v>Intel Core i7 7700HQ</v>
      </c>
      <c r="S631">
        <v>256</v>
      </c>
      <c r="T631">
        <v>0</v>
      </c>
      <c r="U631">
        <f>laptop[[#This Row],[PrimaryStorage]]+laptop[[#This Row],[SecondaryStorage]]</f>
        <v>256</v>
      </c>
      <c r="V631" t="s">
        <v>31</v>
      </c>
      <c r="W631" t="s">
        <v>27</v>
      </c>
      <c r="X631" t="str">
        <f>IF(laptop[[#This Row],[PrimaryStorageType]]=laptop[[#This Row],[SecondaryStorageType]],laptop[[#This Row],[PrimaryStorageType]],"SSD &amp; HDD")</f>
        <v>SSD &amp; HDD</v>
      </c>
      <c r="Y631" t="s">
        <v>85</v>
      </c>
      <c r="Z631" s="4" t="str">
        <f>_xlfn.CONCAT(laptop[[#This Row],[CPU_company]]," ",laptop[[#This Row],[GPU_model]])</f>
        <v>Intel GeForce GTX 1050</v>
      </c>
    </row>
    <row r="632" spans="1:26" x14ac:dyDescent="0.25">
      <c r="A632" t="s">
        <v>55</v>
      </c>
      <c r="B632" t="s">
        <v>545</v>
      </c>
      <c r="C632" t="s">
        <v>24</v>
      </c>
      <c r="D632">
        <v>14</v>
      </c>
      <c r="E632">
        <v>16</v>
      </c>
      <c r="F632" t="s">
        <v>48</v>
      </c>
      <c r="G632">
        <v>1.1000000000000001</v>
      </c>
      <c r="H632" s="16">
        <v>1900</v>
      </c>
      <c r="I632" t="s">
        <v>40</v>
      </c>
      <c r="J632">
        <v>1920</v>
      </c>
      <c r="K632">
        <v>1080</v>
      </c>
      <c r="L632" t="s">
        <v>27</v>
      </c>
      <c r="M632" t="s">
        <v>27</v>
      </c>
      <c r="N632" t="s">
        <v>27</v>
      </c>
      <c r="O632" t="s">
        <v>29</v>
      </c>
      <c r="P632">
        <v>2.7</v>
      </c>
      <c r="Q632" t="s">
        <v>71</v>
      </c>
      <c r="R632" t="str">
        <f>_xlfn.CONCAT(laptop[[#This Row],[CPU_company]]," ",laptop[[#This Row],[CPU_model]])</f>
        <v>Intel Core i7 7500U</v>
      </c>
      <c r="S632">
        <v>512</v>
      </c>
      <c r="T632">
        <v>0</v>
      </c>
      <c r="U632">
        <f>laptop[[#This Row],[PrimaryStorage]]+laptop[[#This Row],[SecondaryStorage]]</f>
        <v>512</v>
      </c>
      <c r="V632" t="s">
        <v>31</v>
      </c>
      <c r="W632" t="s">
        <v>27</v>
      </c>
      <c r="X632" t="str">
        <f>IF(laptop[[#This Row],[PrimaryStorageType]]=laptop[[#This Row],[SecondaryStorageType]],laptop[[#This Row],[PrimaryStorageType]],"SSD &amp; HDD")</f>
        <v>SSD &amp; HDD</v>
      </c>
      <c r="Y632" t="s">
        <v>42</v>
      </c>
      <c r="Z632" s="4" t="str">
        <f>_xlfn.CONCAT(laptop[[#This Row],[CPU_company]]," ",laptop[[#This Row],[GPU_model]])</f>
        <v>Intel HD Graphics 620</v>
      </c>
    </row>
    <row r="633" spans="1:26" x14ac:dyDescent="0.25">
      <c r="A633" t="s">
        <v>65</v>
      </c>
      <c r="B633" t="s">
        <v>222</v>
      </c>
      <c r="C633" t="s">
        <v>83</v>
      </c>
      <c r="D633">
        <v>15.6</v>
      </c>
      <c r="E633">
        <v>16</v>
      </c>
      <c r="F633" t="s">
        <v>48</v>
      </c>
      <c r="G633">
        <v>2.62</v>
      </c>
      <c r="H633" s="16">
        <v>1479</v>
      </c>
      <c r="I633" t="s">
        <v>40</v>
      </c>
      <c r="J633">
        <v>1920</v>
      </c>
      <c r="K633">
        <v>1080</v>
      </c>
      <c r="L633" t="s">
        <v>27</v>
      </c>
      <c r="M633" t="s">
        <v>27</v>
      </c>
      <c r="N633" t="s">
        <v>27</v>
      </c>
      <c r="O633" t="s">
        <v>29</v>
      </c>
      <c r="P633">
        <v>2.8</v>
      </c>
      <c r="Q633" t="s">
        <v>118</v>
      </c>
      <c r="R633" t="str">
        <f>_xlfn.CONCAT(laptop[[#This Row],[CPU_company]]," ",laptop[[#This Row],[CPU_model]])</f>
        <v>Intel Core i7 7700HQ</v>
      </c>
      <c r="S633">
        <v>256</v>
      </c>
      <c r="T633">
        <v>1024</v>
      </c>
      <c r="U633">
        <f>laptop[[#This Row],[PrimaryStorage]]+laptop[[#This Row],[SecondaryStorage]]</f>
        <v>1280</v>
      </c>
      <c r="V633" t="s">
        <v>31</v>
      </c>
      <c r="W633" t="s">
        <v>51</v>
      </c>
      <c r="X633" t="str">
        <f>IF(laptop[[#This Row],[PrimaryStorageType]]=laptop[[#This Row],[SecondaryStorageType]],laptop[[#This Row],[PrimaryStorageType]],"SSD &amp; HDD")</f>
        <v>SSD &amp; HDD</v>
      </c>
      <c r="Y633" t="s">
        <v>149</v>
      </c>
      <c r="Z633" s="4" t="str">
        <f>_xlfn.CONCAT(laptop[[#This Row],[CPU_company]]," ",laptop[[#This Row],[GPU_model]])</f>
        <v>Intel GeForce GTX 1050 Ti</v>
      </c>
    </row>
    <row r="634" spans="1:26" x14ac:dyDescent="0.25">
      <c r="A634" t="s">
        <v>73</v>
      </c>
      <c r="B634" t="s">
        <v>546</v>
      </c>
      <c r="C634" t="s">
        <v>38</v>
      </c>
      <c r="D634">
        <v>15.6</v>
      </c>
      <c r="E634">
        <v>4</v>
      </c>
      <c r="F634" t="s">
        <v>48</v>
      </c>
      <c r="G634">
        <v>1.8</v>
      </c>
      <c r="H634" s="16">
        <v>829</v>
      </c>
      <c r="I634" t="s">
        <v>40</v>
      </c>
      <c r="J634">
        <v>1920</v>
      </c>
      <c r="K634">
        <v>1080</v>
      </c>
      <c r="L634" t="s">
        <v>27</v>
      </c>
      <c r="M634" t="s">
        <v>27</v>
      </c>
      <c r="N634" t="s">
        <v>27</v>
      </c>
      <c r="O634" t="s">
        <v>29</v>
      </c>
      <c r="P634">
        <v>1.6</v>
      </c>
      <c r="Q634" t="s">
        <v>60</v>
      </c>
      <c r="R634" t="str">
        <f>_xlfn.CONCAT(laptop[[#This Row],[CPU_company]]," ",laptop[[#This Row],[CPU_model]])</f>
        <v>Intel Core i5 8250U</v>
      </c>
      <c r="S634">
        <v>256</v>
      </c>
      <c r="T634">
        <v>0</v>
      </c>
      <c r="U634">
        <f>laptop[[#This Row],[PrimaryStorage]]+laptop[[#This Row],[SecondaryStorage]]</f>
        <v>256</v>
      </c>
      <c r="V634" t="s">
        <v>31</v>
      </c>
      <c r="W634" t="s">
        <v>27</v>
      </c>
      <c r="X634" t="str">
        <f>IF(laptop[[#This Row],[PrimaryStorageType]]=laptop[[#This Row],[SecondaryStorageType]],laptop[[#This Row],[PrimaryStorageType]],"SSD &amp; HDD")</f>
        <v>SSD &amp; HDD</v>
      </c>
      <c r="Y634" t="s">
        <v>61</v>
      </c>
      <c r="Z634" s="4" t="str">
        <f>_xlfn.CONCAT(laptop[[#This Row],[CPU_company]]," ",laptop[[#This Row],[GPU_model]])</f>
        <v>Intel UHD Graphics 620</v>
      </c>
    </row>
    <row r="635" spans="1:26" x14ac:dyDescent="0.25">
      <c r="A635" t="s">
        <v>73</v>
      </c>
      <c r="B635" t="s">
        <v>547</v>
      </c>
      <c r="C635" t="s">
        <v>38</v>
      </c>
      <c r="D635">
        <v>15.6</v>
      </c>
      <c r="E635">
        <v>4</v>
      </c>
      <c r="F635" t="s">
        <v>48</v>
      </c>
      <c r="G635">
        <v>2.2000000000000002</v>
      </c>
      <c r="H635" s="16">
        <v>579</v>
      </c>
      <c r="I635" t="s">
        <v>40</v>
      </c>
      <c r="J635">
        <v>1920</v>
      </c>
      <c r="K635">
        <v>1080</v>
      </c>
      <c r="L635" t="s">
        <v>27</v>
      </c>
      <c r="M635" t="s">
        <v>27</v>
      </c>
      <c r="N635" t="s">
        <v>27</v>
      </c>
      <c r="O635" t="s">
        <v>29</v>
      </c>
      <c r="P635">
        <v>2</v>
      </c>
      <c r="Q635" t="s">
        <v>62</v>
      </c>
      <c r="R635" t="str">
        <f>_xlfn.CONCAT(laptop[[#This Row],[CPU_company]]," ",laptop[[#This Row],[CPU_model]])</f>
        <v>Intel Core i3 6006U</v>
      </c>
      <c r="S635">
        <v>1024</v>
      </c>
      <c r="T635">
        <v>0</v>
      </c>
      <c r="U635">
        <f>laptop[[#This Row],[PrimaryStorage]]+laptop[[#This Row],[SecondaryStorage]]</f>
        <v>1024</v>
      </c>
      <c r="V635" t="s">
        <v>51</v>
      </c>
      <c r="W635" t="s">
        <v>27</v>
      </c>
      <c r="X635" t="str">
        <f>IF(laptop[[#This Row],[PrimaryStorageType]]=laptop[[#This Row],[SecondaryStorageType]],laptop[[#This Row],[PrimaryStorageType]],"SSD &amp; HDD")</f>
        <v>SSD &amp; HDD</v>
      </c>
      <c r="Y635" t="s">
        <v>277</v>
      </c>
      <c r="Z635" s="4" t="str">
        <f>_xlfn.CONCAT(laptop[[#This Row],[CPU_company]]," ",laptop[[#This Row],[GPU_model]])</f>
        <v xml:space="preserve">Intel GeForce 920MX </v>
      </c>
    </row>
    <row r="636" spans="1:26" x14ac:dyDescent="0.25">
      <c r="A636" t="s">
        <v>55</v>
      </c>
      <c r="B636" t="s">
        <v>548</v>
      </c>
      <c r="C636" t="s">
        <v>38</v>
      </c>
      <c r="D636">
        <v>15.6</v>
      </c>
      <c r="E636">
        <v>8</v>
      </c>
      <c r="F636" t="s">
        <v>48</v>
      </c>
      <c r="G636">
        <v>2</v>
      </c>
      <c r="H636" s="16">
        <v>399</v>
      </c>
      <c r="I636" t="s">
        <v>26</v>
      </c>
      <c r="J636">
        <v>1366</v>
      </c>
      <c r="K636">
        <v>768</v>
      </c>
      <c r="L636" t="s">
        <v>27</v>
      </c>
      <c r="M636" t="s">
        <v>27</v>
      </c>
      <c r="N636" t="s">
        <v>27</v>
      </c>
      <c r="O636" t="s">
        <v>29</v>
      </c>
      <c r="P636">
        <v>1.1000000000000001</v>
      </c>
      <c r="Q636" t="s">
        <v>109</v>
      </c>
      <c r="R636" t="str">
        <f>_xlfn.CONCAT(laptop[[#This Row],[CPU_company]]," ",laptop[[#This Row],[CPU_model]])</f>
        <v>Intel Celeron Dual Core N3350</v>
      </c>
      <c r="S636">
        <v>1024</v>
      </c>
      <c r="T636">
        <v>0</v>
      </c>
      <c r="U636">
        <f>laptop[[#This Row],[PrimaryStorage]]+laptop[[#This Row],[SecondaryStorage]]</f>
        <v>1024</v>
      </c>
      <c r="V636" t="s">
        <v>51</v>
      </c>
      <c r="W636" t="s">
        <v>27</v>
      </c>
      <c r="X636" t="str">
        <f>IF(laptop[[#This Row],[PrimaryStorageType]]=laptop[[#This Row],[SecondaryStorageType]],laptop[[#This Row],[PrimaryStorageType]],"SSD &amp; HDD")</f>
        <v>SSD &amp; HDD</v>
      </c>
      <c r="Y636" t="s">
        <v>110</v>
      </c>
      <c r="Z636" s="4" t="str">
        <f>_xlfn.CONCAT(laptop[[#This Row],[CPU_company]]," ",laptop[[#This Row],[GPU_model]])</f>
        <v>Intel HD Graphics 500</v>
      </c>
    </row>
    <row r="637" spans="1:26" x14ac:dyDescent="0.25">
      <c r="A637" t="s">
        <v>55</v>
      </c>
      <c r="B637" t="s">
        <v>291</v>
      </c>
      <c r="C637" t="s">
        <v>38</v>
      </c>
      <c r="D637">
        <v>15.6</v>
      </c>
      <c r="E637">
        <v>8</v>
      </c>
      <c r="F637" t="s">
        <v>48</v>
      </c>
      <c r="G637">
        <v>1.99</v>
      </c>
      <c r="H637" s="16">
        <v>906.62</v>
      </c>
      <c r="I637" t="s">
        <v>40</v>
      </c>
      <c r="J637">
        <v>1920</v>
      </c>
      <c r="K637">
        <v>1080</v>
      </c>
      <c r="L637" t="s">
        <v>27</v>
      </c>
      <c r="M637" t="s">
        <v>27</v>
      </c>
      <c r="N637" t="s">
        <v>27</v>
      </c>
      <c r="O637" t="s">
        <v>29</v>
      </c>
      <c r="P637">
        <v>2.5</v>
      </c>
      <c r="Q637" t="s">
        <v>84</v>
      </c>
      <c r="R637" t="str">
        <f>_xlfn.CONCAT(laptop[[#This Row],[CPU_company]]," ",laptop[[#This Row],[CPU_model]])</f>
        <v>Intel Core i5 7300HQ</v>
      </c>
      <c r="S637">
        <v>1024</v>
      </c>
      <c r="T637">
        <v>0</v>
      </c>
      <c r="U637">
        <f>laptop[[#This Row],[PrimaryStorage]]+laptop[[#This Row],[SecondaryStorage]]</f>
        <v>1024</v>
      </c>
      <c r="V637" t="s">
        <v>51</v>
      </c>
      <c r="W637" t="s">
        <v>27</v>
      </c>
      <c r="X637" t="str">
        <f>IF(laptop[[#This Row],[PrimaryStorageType]]=laptop[[#This Row],[SecondaryStorageType]],laptop[[#This Row],[PrimaryStorageType]],"SSD &amp; HDD")</f>
        <v>SSD &amp; HDD</v>
      </c>
      <c r="Y637" t="s">
        <v>85</v>
      </c>
      <c r="Z637" s="4" t="str">
        <f>_xlfn.CONCAT(laptop[[#This Row],[CPU_company]]," ",laptop[[#This Row],[GPU_model]])</f>
        <v>Intel GeForce GTX 1050</v>
      </c>
    </row>
    <row r="638" spans="1:26" x14ac:dyDescent="0.25">
      <c r="A638" t="s">
        <v>65</v>
      </c>
      <c r="B638" t="s">
        <v>77</v>
      </c>
      <c r="C638" t="s">
        <v>24</v>
      </c>
      <c r="D638">
        <v>13.3</v>
      </c>
      <c r="E638">
        <v>8</v>
      </c>
      <c r="F638" t="s">
        <v>48</v>
      </c>
      <c r="G638">
        <v>1.23</v>
      </c>
      <c r="H638" s="16">
        <v>1869</v>
      </c>
      <c r="I638" t="s">
        <v>107</v>
      </c>
      <c r="J638">
        <v>3200</v>
      </c>
      <c r="K638">
        <v>1800</v>
      </c>
      <c r="L638" t="s">
        <v>28</v>
      </c>
      <c r="M638" t="s">
        <v>27</v>
      </c>
      <c r="N638" t="s">
        <v>27</v>
      </c>
      <c r="O638" t="s">
        <v>29</v>
      </c>
      <c r="P638">
        <v>1.6</v>
      </c>
      <c r="Q638" t="s">
        <v>60</v>
      </c>
      <c r="R638" t="str">
        <f>_xlfn.CONCAT(laptop[[#This Row],[CPU_company]]," ",laptop[[#This Row],[CPU_model]])</f>
        <v>Intel Core i5 8250U</v>
      </c>
      <c r="S638">
        <v>256</v>
      </c>
      <c r="T638">
        <v>0</v>
      </c>
      <c r="U638">
        <f>laptop[[#This Row],[PrimaryStorage]]+laptop[[#This Row],[SecondaryStorage]]</f>
        <v>256</v>
      </c>
      <c r="V638" t="s">
        <v>31</v>
      </c>
      <c r="W638" t="s">
        <v>27</v>
      </c>
      <c r="X638" t="str">
        <f>IF(laptop[[#This Row],[PrimaryStorageType]]=laptop[[#This Row],[SecondaryStorageType]],laptop[[#This Row],[PrimaryStorageType]],"SSD &amp; HDD")</f>
        <v>SSD &amp; HDD</v>
      </c>
      <c r="Y638" t="s">
        <v>61</v>
      </c>
      <c r="Z638" s="4" t="str">
        <f>_xlfn.CONCAT(laptop[[#This Row],[CPU_company]]," ",laptop[[#This Row],[GPU_model]])</f>
        <v>Intel UHD Graphics 620</v>
      </c>
    </row>
    <row r="639" spans="1:26" x14ac:dyDescent="0.25">
      <c r="A639" t="s">
        <v>73</v>
      </c>
      <c r="B639" t="s">
        <v>549</v>
      </c>
      <c r="C639" t="s">
        <v>38</v>
      </c>
      <c r="D639">
        <v>14</v>
      </c>
      <c r="E639">
        <v>2</v>
      </c>
      <c r="F639" t="s">
        <v>48</v>
      </c>
      <c r="G639">
        <v>1.42</v>
      </c>
      <c r="H639" s="16">
        <v>249</v>
      </c>
      <c r="I639" t="s">
        <v>26</v>
      </c>
      <c r="J639">
        <v>1366</v>
      </c>
      <c r="K639">
        <v>768</v>
      </c>
      <c r="L639" t="s">
        <v>27</v>
      </c>
      <c r="M639" t="s">
        <v>27</v>
      </c>
      <c r="N639" t="s">
        <v>27</v>
      </c>
      <c r="O639" t="s">
        <v>29</v>
      </c>
      <c r="P639">
        <v>1.6</v>
      </c>
      <c r="Q639" t="s">
        <v>151</v>
      </c>
      <c r="R639" t="str">
        <f>_xlfn.CONCAT(laptop[[#This Row],[CPU_company]]," ",laptop[[#This Row],[CPU_model]])</f>
        <v>Intel Celeron Dual Core N3060</v>
      </c>
      <c r="S639">
        <v>32</v>
      </c>
      <c r="T639">
        <v>0</v>
      </c>
      <c r="U639">
        <f>laptop[[#This Row],[PrimaryStorage]]+laptop[[#This Row],[SecondaryStorage]]</f>
        <v>32</v>
      </c>
      <c r="V639" t="s">
        <v>34</v>
      </c>
      <c r="W639" t="s">
        <v>27</v>
      </c>
      <c r="X639" t="str">
        <f>IF(laptop[[#This Row],[PrimaryStorageType]]=laptop[[#This Row],[SecondaryStorageType]],laptop[[#This Row],[PrimaryStorageType]],"SSD &amp; HDD")</f>
        <v>SSD &amp; HDD</v>
      </c>
      <c r="Y639" t="s">
        <v>81</v>
      </c>
      <c r="Z639" s="4" t="str">
        <f>_xlfn.CONCAT(laptop[[#This Row],[CPU_company]]," ",laptop[[#This Row],[GPU_model]])</f>
        <v>Intel HD Graphics 400</v>
      </c>
    </row>
    <row r="640" spans="1:26" x14ac:dyDescent="0.25">
      <c r="A640" t="s">
        <v>73</v>
      </c>
      <c r="B640" t="s">
        <v>252</v>
      </c>
      <c r="C640" t="s">
        <v>90</v>
      </c>
      <c r="D640">
        <v>13.3</v>
      </c>
      <c r="E640">
        <v>8</v>
      </c>
      <c r="F640" t="s">
        <v>48</v>
      </c>
      <c r="G640">
        <v>1.37</v>
      </c>
      <c r="H640" s="16">
        <v>1757.42</v>
      </c>
      <c r="I640" t="s">
        <v>40</v>
      </c>
      <c r="J640">
        <v>1920</v>
      </c>
      <c r="K640">
        <v>1080</v>
      </c>
      <c r="L640" t="s">
        <v>28</v>
      </c>
      <c r="M640" t="s">
        <v>28</v>
      </c>
      <c r="N640" t="s">
        <v>27</v>
      </c>
      <c r="O640" t="s">
        <v>29</v>
      </c>
      <c r="P640">
        <v>2.7</v>
      </c>
      <c r="Q640" t="s">
        <v>71</v>
      </c>
      <c r="R640" t="str">
        <f>_xlfn.CONCAT(laptop[[#This Row],[CPU_company]]," ",laptop[[#This Row],[CPU_model]])</f>
        <v>Intel Core i7 7500U</v>
      </c>
      <c r="S640">
        <v>256</v>
      </c>
      <c r="T640">
        <v>0</v>
      </c>
      <c r="U640">
        <f>laptop[[#This Row],[PrimaryStorage]]+laptop[[#This Row],[SecondaryStorage]]</f>
        <v>256</v>
      </c>
      <c r="V640" t="s">
        <v>31</v>
      </c>
      <c r="W640" t="s">
        <v>27</v>
      </c>
      <c r="X640" t="str">
        <f>IF(laptop[[#This Row],[PrimaryStorageType]]=laptop[[#This Row],[SecondaryStorageType]],laptop[[#This Row],[PrimaryStorageType]],"SSD &amp; HDD")</f>
        <v>SSD &amp; HDD</v>
      </c>
      <c r="Y640" t="s">
        <v>42</v>
      </c>
      <c r="Z640" s="4" t="str">
        <f>_xlfn.CONCAT(laptop[[#This Row],[CPU_company]]," ",laptop[[#This Row],[GPU_model]])</f>
        <v>Intel HD Graphics 620</v>
      </c>
    </row>
    <row r="641" spans="1:26" x14ac:dyDescent="0.25">
      <c r="A641" t="s">
        <v>65</v>
      </c>
      <c r="B641" t="s">
        <v>249</v>
      </c>
      <c r="C641" t="s">
        <v>38</v>
      </c>
      <c r="D641">
        <v>15.6</v>
      </c>
      <c r="E641">
        <v>16</v>
      </c>
      <c r="F641" t="s">
        <v>48</v>
      </c>
      <c r="G641">
        <v>2.06</v>
      </c>
      <c r="H641" s="16">
        <v>2399</v>
      </c>
      <c r="I641" t="s">
        <v>215</v>
      </c>
      <c r="J641">
        <v>3840</v>
      </c>
      <c r="K641">
        <v>2160</v>
      </c>
      <c r="L641" t="s">
        <v>28</v>
      </c>
      <c r="M641" t="s">
        <v>27</v>
      </c>
      <c r="N641" t="s">
        <v>27</v>
      </c>
      <c r="O641" t="s">
        <v>29</v>
      </c>
      <c r="P641">
        <v>2.8</v>
      </c>
      <c r="Q641" t="s">
        <v>118</v>
      </c>
      <c r="R641" t="str">
        <f>_xlfn.CONCAT(laptop[[#This Row],[CPU_company]]," ",laptop[[#This Row],[CPU_model]])</f>
        <v>Intel Core i7 7700HQ</v>
      </c>
      <c r="S641">
        <v>1024</v>
      </c>
      <c r="T641">
        <v>0</v>
      </c>
      <c r="U641">
        <f>laptop[[#This Row],[PrimaryStorage]]+laptop[[#This Row],[SecondaryStorage]]</f>
        <v>1024</v>
      </c>
      <c r="V641" t="s">
        <v>31</v>
      </c>
      <c r="W641" t="s">
        <v>27</v>
      </c>
      <c r="X641" t="str">
        <f>IF(laptop[[#This Row],[PrimaryStorageType]]=laptop[[#This Row],[SecondaryStorageType]],laptop[[#This Row],[PrimaryStorageType]],"SSD &amp; HDD")</f>
        <v>SSD &amp; HDD</v>
      </c>
      <c r="Y641" t="s">
        <v>85</v>
      </c>
      <c r="Z641" s="4" t="str">
        <f>_xlfn.CONCAT(laptop[[#This Row],[CPU_company]]," ",laptop[[#This Row],[GPU_model]])</f>
        <v>Intel GeForce GTX 1050</v>
      </c>
    </row>
    <row r="642" spans="1:26" x14ac:dyDescent="0.25">
      <c r="A642" t="s">
        <v>73</v>
      </c>
      <c r="B642" t="s">
        <v>82</v>
      </c>
      <c r="C642" t="s">
        <v>83</v>
      </c>
      <c r="D642">
        <v>15.6</v>
      </c>
      <c r="E642">
        <v>8</v>
      </c>
      <c r="F642" t="s">
        <v>48</v>
      </c>
      <c r="G642">
        <v>2.5</v>
      </c>
      <c r="H642" s="16">
        <v>1109</v>
      </c>
      <c r="I642" t="s">
        <v>40</v>
      </c>
      <c r="J642">
        <v>1920</v>
      </c>
      <c r="K642">
        <v>1080</v>
      </c>
      <c r="L642" t="s">
        <v>27</v>
      </c>
      <c r="M642" t="s">
        <v>28</v>
      </c>
      <c r="N642" t="s">
        <v>27</v>
      </c>
      <c r="O642" t="s">
        <v>29</v>
      </c>
      <c r="P642">
        <v>2.8</v>
      </c>
      <c r="Q642" t="s">
        <v>118</v>
      </c>
      <c r="R642" t="str">
        <f>_xlfn.CONCAT(laptop[[#This Row],[CPU_company]]," ",laptop[[#This Row],[CPU_model]])</f>
        <v>Intel Core i7 7700HQ</v>
      </c>
      <c r="S642">
        <v>128</v>
      </c>
      <c r="T642">
        <v>1024</v>
      </c>
      <c r="U642">
        <f>laptop[[#This Row],[PrimaryStorage]]+laptop[[#This Row],[SecondaryStorage]]</f>
        <v>1152</v>
      </c>
      <c r="V642" t="s">
        <v>31</v>
      </c>
      <c r="W642" t="s">
        <v>51</v>
      </c>
      <c r="X642" t="str">
        <f>IF(laptop[[#This Row],[PrimaryStorageType]]=laptop[[#This Row],[SecondaryStorageType]],laptop[[#This Row],[PrimaryStorageType]],"SSD &amp; HDD")</f>
        <v>SSD &amp; HDD</v>
      </c>
      <c r="Y642" t="s">
        <v>209</v>
      </c>
      <c r="Z642" s="4" t="str">
        <f>_xlfn.CONCAT(laptop[[#This Row],[CPU_company]]," ",laptop[[#This Row],[GPU_model]])</f>
        <v>Intel GeForce GTX 1050M</v>
      </c>
    </row>
    <row r="643" spans="1:26" x14ac:dyDescent="0.25">
      <c r="A643" t="s">
        <v>36</v>
      </c>
      <c r="B643" t="s">
        <v>550</v>
      </c>
      <c r="C643" t="s">
        <v>38</v>
      </c>
      <c r="D643">
        <v>17</v>
      </c>
      <c r="E643">
        <v>8</v>
      </c>
      <c r="F643" t="s">
        <v>48</v>
      </c>
      <c r="G643">
        <v>2.6</v>
      </c>
      <c r="H643" s="16">
        <v>520.9</v>
      </c>
      <c r="I643" t="s">
        <v>26</v>
      </c>
      <c r="J643">
        <v>1600</v>
      </c>
      <c r="K643">
        <v>900</v>
      </c>
      <c r="L643" t="s">
        <v>27</v>
      </c>
      <c r="M643" t="s">
        <v>27</v>
      </c>
      <c r="N643" t="s">
        <v>27</v>
      </c>
      <c r="O643" t="s">
        <v>49</v>
      </c>
      <c r="P643">
        <v>3</v>
      </c>
      <c r="Q643" t="s">
        <v>50</v>
      </c>
      <c r="R643" t="str">
        <f>_xlfn.CONCAT(laptop[[#This Row],[CPU_company]]," ",laptop[[#This Row],[CPU_model]])</f>
        <v>AMD A9-Series 9420</v>
      </c>
      <c r="S643">
        <v>1024</v>
      </c>
      <c r="T643">
        <v>0</v>
      </c>
      <c r="U643">
        <f>laptop[[#This Row],[PrimaryStorage]]+laptop[[#This Row],[SecondaryStorage]]</f>
        <v>1024</v>
      </c>
      <c r="V643" t="s">
        <v>51</v>
      </c>
      <c r="W643" t="s">
        <v>27</v>
      </c>
      <c r="X643" t="str">
        <f>IF(laptop[[#This Row],[PrimaryStorageType]]=laptop[[#This Row],[SecondaryStorageType]],laptop[[#This Row],[PrimaryStorageType]],"SSD &amp; HDD")</f>
        <v>SSD &amp; HDD</v>
      </c>
      <c r="Y643" t="s">
        <v>52</v>
      </c>
      <c r="Z643" s="4" t="str">
        <f>_xlfn.CONCAT(laptop[[#This Row],[CPU_company]]," ",laptop[[#This Row],[GPU_model]])</f>
        <v>AMD Radeon R5</v>
      </c>
    </row>
    <row r="644" spans="1:26" x14ac:dyDescent="0.25">
      <c r="A644" t="s">
        <v>73</v>
      </c>
      <c r="B644" t="s">
        <v>308</v>
      </c>
      <c r="C644" t="s">
        <v>24</v>
      </c>
      <c r="D644">
        <v>14</v>
      </c>
      <c r="E644">
        <v>16</v>
      </c>
      <c r="F644" t="s">
        <v>48</v>
      </c>
      <c r="G644">
        <v>1.1399999999999999</v>
      </c>
      <c r="H644" s="16">
        <v>2450</v>
      </c>
      <c r="I644" t="s">
        <v>40</v>
      </c>
      <c r="J644">
        <v>1920</v>
      </c>
      <c r="K644">
        <v>1080</v>
      </c>
      <c r="L644" t="s">
        <v>27</v>
      </c>
      <c r="M644" t="s">
        <v>28</v>
      </c>
      <c r="N644" t="s">
        <v>27</v>
      </c>
      <c r="O644" t="s">
        <v>29</v>
      </c>
      <c r="P644">
        <v>2.7</v>
      </c>
      <c r="Q644" t="s">
        <v>71</v>
      </c>
      <c r="R644" t="str">
        <f>_xlfn.CONCAT(laptop[[#This Row],[CPU_company]]," ",laptop[[#This Row],[CPU_model]])</f>
        <v>Intel Core i7 7500U</v>
      </c>
      <c r="S644">
        <v>512</v>
      </c>
      <c r="T644">
        <v>0</v>
      </c>
      <c r="U644">
        <f>laptop[[#This Row],[PrimaryStorage]]+laptop[[#This Row],[SecondaryStorage]]</f>
        <v>512</v>
      </c>
      <c r="V644" t="s">
        <v>31</v>
      </c>
      <c r="W644" t="s">
        <v>27</v>
      </c>
      <c r="X644" t="str">
        <f>IF(laptop[[#This Row],[PrimaryStorageType]]=laptop[[#This Row],[SecondaryStorageType]],laptop[[#This Row],[PrimaryStorageType]],"SSD &amp; HDD")</f>
        <v>SSD &amp; HDD</v>
      </c>
      <c r="Y644" t="s">
        <v>42</v>
      </c>
      <c r="Z644" s="4" t="str">
        <f>_xlfn.CONCAT(laptop[[#This Row],[CPU_company]]," ",laptop[[#This Row],[GPU_model]])</f>
        <v>Intel HD Graphics 620</v>
      </c>
    </row>
    <row r="645" spans="1:26" x14ac:dyDescent="0.25">
      <c r="A645" t="s">
        <v>55</v>
      </c>
      <c r="B645" t="s">
        <v>551</v>
      </c>
      <c r="C645" t="s">
        <v>83</v>
      </c>
      <c r="D645">
        <v>15.6</v>
      </c>
      <c r="E645">
        <v>8</v>
      </c>
      <c r="F645" t="s">
        <v>39</v>
      </c>
      <c r="G645">
        <v>2.5</v>
      </c>
      <c r="H645" s="16">
        <v>1169</v>
      </c>
      <c r="I645" t="s">
        <v>40</v>
      </c>
      <c r="J645">
        <v>1920</v>
      </c>
      <c r="K645">
        <v>1080</v>
      </c>
      <c r="L645" t="s">
        <v>27</v>
      </c>
      <c r="M645" t="s">
        <v>28</v>
      </c>
      <c r="N645" t="s">
        <v>27</v>
      </c>
      <c r="O645" t="s">
        <v>29</v>
      </c>
      <c r="P645">
        <v>2.8</v>
      </c>
      <c r="Q645" t="s">
        <v>118</v>
      </c>
      <c r="R645" t="str">
        <f>_xlfn.CONCAT(laptop[[#This Row],[CPU_company]]," ",laptop[[#This Row],[CPU_model]])</f>
        <v>Intel Core i7 7700HQ</v>
      </c>
      <c r="S645">
        <v>1024</v>
      </c>
      <c r="T645">
        <v>0</v>
      </c>
      <c r="U645">
        <f>laptop[[#This Row],[PrimaryStorage]]+laptop[[#This Row],[SecondaryStorage]]</f>
        <v>1024</v>
      </c>
      <c r="V645" t="s">
        <v>51</v>
      </c>
      <c r="W645" t="s">
        <v>27</v>
      </c>
      <c r="X645" t="str">
        <f>IF(laptop[[#This Row],[PrimaryStorageType]]=laptop[[#This Row],[SecondaryStorageType]],laptop[[#This Row],[PrimaryStorageType]],"SSD &amp; HDD")</f>
        <v>SSD &amp; HDD</v>
      </c>
      <c r="Y645" t="s">
        <v>149</v>
      </c>
      <c r="Z645" s="4" t="str">
        <f>_xlfn.CONCAT(laptop[[#This Row],[CPU_company]]," ",laptop[[#This Row],[GPU_model]])</f>
        <v>Intel GeForce GTX 1050 Ti</v>
      </c>
    </row>
    <row r="646" spans="1:26" x14ac:dyDescent="0.25">
      <c r="A646" t="s">
        <v>46</v>
      </c>
      <c r="B646" t="s">
        <v>552</v>
      </c>
      <c r="C646" t="s">
        <v>38</v>
      </c>
      <c r="D646">
        <v>15.6</v>
      </c>
      <c r="E646">
        <v>4</v>
      </c>
      <c r="F646" t="s">
        <v>48</v>
      </c>
      <c r="G646">
        <v>2.4</v>
      </c>
      <c r="H646" s="16">
        <v>450</v>
      </c>
      <c r="I646" t="s">
        <v>26</v>
      </c>
      <c r="J646">
        <v>1366</v>
      </c>
      <c r="K646">
        <v>768</v>
      </c>
      <c r="L646" t="s">
        <v>27</v>
      </c>
      <c r="M646" t="s">
        <v>27</v>
      </c>
      <c r="N646" t="s">
        <v>27</v>
      </c>
      <c r="O646" t="s">
        <v>29</v>
      </c>
      <c r="P646">
        <v>2</v>
      </c>
      <c r="Q646" t="s">
        <v>62</v>
      </c>
      <c r="R646" t="str">
        <f>_xlfn.CONCAT(laptop[[#This Row],[CPU_company]]," ",laptop[[#This Row],[CPU_model]])</f>
        <v>Intel Core i3 6006U</v>
      </c>
      <c r="S646">
        <v>500</v>
      </c>
      <c r="T646">
        <v>0</v>
      </c>
      <c r="U646">
        <f>laptop[[#This Row],[PrimaryStorage]]+laptop[[#This Row],[SecondaryStorage]]</f>
        <v>500</v>
      </c>
      <c r="V646" t="s">
        <v>51</v>
      </c>
      <c r="W646" t="s">
        <v>27</v>
      </c>
      <c r="X646" t="str">
        <f>IF(laptop[[#This Row],[PrimaryStorageType]]=laptop[[#This Row],[SecondaryStorageType]],laptop[[#This Row],[PrimaryStorageType]],"SSD &amp; HDD")</f>
        <v>SSD &amp; HDD</v>
      </c>
      <c r="Y646" t="s">
        <v>63</v>
      </c>
      <c r="Z646" s="4" t="str">
        <f>_xlfn.CONCAT(laptop[[#This Row],[CPU_company]]," ",laptop[[#This Row],[GPU_model]])</f>
        <v>Intel HD Graphics 520</v>
      </c>
    </row>
    <row r="647" spans="1:26" x14ac:dyDescent="0.25">
      <c r="A647" t="s">
        <v>73</v>
      </c>
      <c r="B647" t="s">
        <v>549</v>
      </c>
      <c r="C647" t="s">
        <v>38</v>
      </c>
      <c r="D647">
        <v>14</v>
      </c>
      <c r="E647">
        <v>4</v>
      </c>
      <c r="F647" t="s">
        <v>48</v>
      </c>
      <c r="G647">
        <v>1.43</v>
      </c>
      <c r="H647" s="16">
        <v>274</v>
      </c>
      <c r="I647" t="s">
        <v>26</v>
      </c>
      <c r="J647">
        <v>1366</v>
      </c>
      <c r="K647">
        <v>768</v>
      </c>
      <c r="L647" t="s">
        <v>27</v>
      </c>
      <c r="M647" t="s">
        <v>27</v>
      </c>
      <c r="N647" t="s">
        <v>27</v>
      </c>
      <c r="O647" t="s">
        <v>29</v>
      </c>
      <c r="P647">
        <v>1.6</v>
      </c>
      <c r="Q647" t="s">
        <v>151</v>
      </c>
      <c r="R647" t="str">
        <f>_xlfn.CONCAT(laptop[[#This Row],[CPU_company]]," ",laptop[[#This Row],[CPU_model]])</f>
        <v>Intel Celeron Dual Core N3060</v>
      </c>
      <c r="S647">
        <v>32</v>
      </c>
      <c r="T647">
        <v>0</v>
      </c>
      <c r="U647">
        <f>laptop[[#This Row],[PrimaryStorage]]+laptop[[#This Row],[SecondaryStorage]]</f>
        <v>32</v>
      </c>
      <c r="V647" t="s">
        <v>34</v>
      </c>
      <c r="W647" t="s">
        <v>27</v>
      </c>
      <c r="X647" t="str">
        <f>IF(laptop[[#This Row],[PrimaryStorageType]]=laptop[[#This Row],[SecondaryStorageType]],laptop[[#This Row],[PrimaryStorageType]],"SSD &amp; HDD")</f>
        <v>SSD &amp; HDD</v>
      </c>
      <c r="Y647" t="s">
        <v>102</v>
      </c>
      <c r="Z647" s="4" t="str">
        <f>_xlfn.CONCAT(laptop[[#This Row],[CPU_company]]," ",laptop[[#This Row],[GPU_model]])</f>
        <v>Intel HD Graphics</v>
      </c>
    </row>
    <row r="648" spans="1:26" x14ac:dyDescent="0.25">
      <c r="A648" t="s">
        <v>46</v>
      </c>
      <c r="B648" t="s">
        <v>59</v>
      </c>
      <c r="C648" t="s">
        <v>24</v>
      </c>
      <c r="D648">
        <v>14</v>
      </c>
      <c r="E648">
        <v>8</v>
      </c>
      <c r="F648" t="s">
        <v>48</v>
      </c>
      <c r="G648">
        <v>1.8</v>
      </c>
      <c r="H648" s="16">
        <v>919</v>
      </c>
      <c r="I648" t="s">
        <v>40</v>
      </c>
      <c r="J648">
        <v>1920</v>
      </c>
      <c r="K648">
        <v>1080</v>
      </c>
      <c r="L648" t="s">
        <v>27</v>
      </c>
      <c r="M648" t="s">
        <v>28</v>
      </c>
      <c r="N648" t="s">
        <v>27</v>
      </c>
      <c r="O648" t="s">
        <v>29</v>
      </c>
      <c r="P648">
        <v>2.5</v>
      </c>
      <c r="Q648" t="s">
        <v>41</v>
      </c>
      <c r="R648" t="str">
        <f>_xlfn.CONCAT(laptop[[#This Row],[CPU_company]]," ",laptop[[#This Row],[CPU_model]])</f>
        <v>Intel Core i5 7200U</v>
      </c>
      <c r="S648">
        <v>256</v>
      </c>
      <c r="T648">
        <v>0</v>
      </c>
      <c r="U648">
        <f>laptop[[#This Row],[PrimaryStorage]]+laptop[[#This Row],[SecondaryStorage]]</f>
        <v>256</v>
      </c>
      <c r="V648" t="s">
        <v>31</v>
      </c>
      <c r="W648" t="s">
        <v>27</v>
      </c>
      <c r="X648" t="str">
        <f>IF(laptop[[#This Row],[PrimaryStorageType]]=laptop[[#This Row],[SecondaryStorageType]],laptop[[#This Row],[PrimaryStorageType]],"SSD &amp; HDD")</f>
        <v>SSD &amp; HDD</v>
      </c>
      <c r="Y648" t="s">
        <v>553</v>
      </c>
      <c r="Z648" s="4" t="str">
        <f>_xlfn.CONCAT(laptop[[#This Row],[CPU_company]]," ",laptop[[#This Row],[GPU_model]])</f>
        <v>Intel Graphics 620</v>
      </c>
    </row>
    <row r="649" spans="1:26" x14ac:dyDescent="0.25">
      <c r="A649" t="s">
        <v>256</v>
      </c>
      <c r="B649" t="s">
        <v>257</v>
      </c>
      <c r="C649" t="s">
        <v>83</v>
      </c>
      <c r="D649">
        <v>14</v>
      </c>
      <c r="E649">
        <v>16</v>
      </c>
      <c r="F649" t="s">
        <v>48</v>
      </c>
      <c r="G649">
        <v>1.95</v>
      </c>
      <c r="H649" s="16">
        <v>2599</v>
      </c>
      <c r="I649" t="s">
        <v>40</v>
      </c>
      <c r="J649">
        <v>1920</v>
      </c>
      <c r="K649">
        <v>1080</v>
      </c>
      <c r="L649" t="s">
        <v>27</v>
      </c>
      <c r="M649" t="s">
        <v>27</v>
      </c>
      <c r="N649" t="s">
        <v>27</v>
      </c>
      <c r="O649" t="s">
        <v>29</v>
      </c>
      <c r="P649">
        <v>2.8</v>
      </c>
      <c r="Q649" t="s">
        <v>118</v>
      </c>
      <c r="R649" t="str">
        <f>_xlfn.CONCAT(laptop[[#This Row],[CPU_company]]," ",laptop[[#This Row],[CPU_model]])</f>
        <v>Intel Core i7 7700HQ</v>
      </c>
      <c r="S649">
        <v>256</v>
      </c>
      <c r="T649">
        <v>0</v>
      </c>
      <c r="U649">
        <f>laptop[[#This Row],[PrimaryStorage]]+laptop[[#This Row],[SecondaryStorage]]</f>
        <v>256</v>
      </c>
      <c r="V649" t="s">
        <v>31</v>
      </c>
      <c r="W649" t="s">
        <v>27</v>
      </c>
      <c r="X649" t="str">
        <f>IF(laptop[[#This Row],[PrimaryStorageType]]=laptop[[#This Row],[SecondaryStorageType]],laptop[[#This Row],[PrimaryStorageType]],"SSD &amp; HDD")</f>
        <v>SSD &amp; HDD</v>
      </c>
      <c r="Y649" t="s">
        <v>119</v>
      </c>
      <c r="Z649" s="4" t="str">
        <f>_xlfn.CONCAT(laptop[[#This Row],[CPU_company]]," ",laptop[[#This Row],[GPU_model]])</f>
        <v>Intel GeForce GTX 1060</v>
      </c>
    </row>
    <row r="650" spans="1:26" x14ac:dyDescent="0.25">
      <c r="A650" t="s">
        <v>210</v>
      </c>
      <c r="B650" t="s">
        <v>554</v>
      </c>
      <c r="C650" t="s">
        <v>38</v>
      </c>
      <c r="D650">
        <v>13.3</v>
      </c>
      <c r="E650">
        <v>8</v>
      </c>
      <c r="F650" t="s">
        <v>48</v>
      </c>
      <c r="G650">
        <v>1.2</v>
      </c>
      <c r="H650" s="16">
        <v>1213</v>
      </c>
      <c r="I650" t="s">
        <v>40</v>
      </c>
      <c r="J650">
        <v>1920</v>
      </c>
      <c r="K650">
        <v>1080</v>
      </c>
      <c r="L650" t="s">
        <v>27</v>
      </c>
      <c r="M650" t="s">
        <v>27</v>
      </c>
      <c r="N650" t="s">
        <v>27</v>
      </c>
      <c r="O650" t="s">
        <v>29</v>
      </c>
      <c r="P650">
        <v>2.2999999999999998</v>
      </c>
      <c r="Q650" t="s">
        <v>212</v>
      </c>
      <c r="R650" t="str">
        <f>_xlfn.CONCAT(laptop[[#This Row],[CPU_company]]," ",laptop[[#This Row],[CPU_model]])</f>
        <v>Intel Core i5 6200U</v>
      </c>
      <c r="S650">
        <v>256</v>
      </c>
      <c r="T650">
        <v>0</v>
      </c>
      <c r="U650">
        <f>laptop[[#This Row],[PrimaryStorage]]+laptop[[#This Row],[SecondaryStorage]]</f>
        <v>256</v>
      </c>
      <c r="V650" t="s">
        <v>31</v>
      </c>
      <c r="W650" t="s">
        <v>27</v>
      </c>
      <c r="X650" t="str">
        <f>IF(laptop[[#This Row],[PrimaryStorageType]]=laptop[[#This Row],[SecondaryStorageType]],laptop[[#This Row],[PrimaryStorageType]],"SSD &amp; HDD")</f>
        <v>SSD &amp; HDD</v>
      </c>
      <c r="Y650" t="s">
        <v>63</v>
      </c>
      <c r="Z650" s="4" t="str">
        <f>_xlfn.CONCAT(laptop[[#This Row],[CPU_company]]," ",laptop[[#This Row],[GPU_model]])</f>
        <v>Intel HD Graphics 520</v>
      </c>
    </row>
    <row r="651" spans="1:26" x14ac:dyDescent="0.25">
      <c r="A651" t="s">
        <v>73</v>
      </c>
      <c r="B651" t="s">
        <v>454</v>
      </c>
      <c r="C651" t="s">
        <v>24</v>
      </c>
      <c r="D651">
        <v>12.5</v>
      </c>
      <c r="E651">
        <v>8</v>
      </c>
      <c r="F651" t="s">
        <v>48</v>
      </c>
      <c r="G651">
        <v>1.36</v>
      </c>
      <c r="H651" s="16">
        <v>1584</v>
      </c>
      <c r="I651" t="s">
        <v>40</v>
      </c>
      <c r="J651">
        <v>1920</v>
      </c>
      <c r="K651">
        <v>1080</v>
      </c>
      <c r="L651" t="s">
        <v>27</v>
      </c>
      <c r="M651" t="s">
        <v>28</v>
      </c>
      <c r="N651" t="s">
        <v>27</v>
      </c>
      <c r="O651" t="s">
        <v>29</v>
      </c>
      <c r="P651">
        <v>2.7</v>
      </c>
      <c r="Q651" t="s">
        <v>71</v>
      </c>
      <c r="R651" t="str">
        <f>_xlfn.CONCAT(laptop[[#This Row],[CPU_company]]," ",laptop[[#This Row],[CPU_model]])</f>
        <v>Intel Core i7 7500U</v>
      </c>
      <c r="S651">
        <v>256</v>
      </c>
      <c r="T651">
        <v>0</v>
      </c>
      <c r="U651">
        <f>laptop[[#This Row],[PrimaryStorage]]+laptop[[#This Row],[SecondaryStorage]]</f>
        <v>256</v>
      </c>
      <c r="V651" t="s">
        <v>31</v>
      </c>
      <c r="W651" t="s">
        <v>27</v>
      </c>
      <c r="X651" t="str">
        <f>IF(laptop[[#This Row],[PrimaryStorageType]]=laptop[[#This Row],[SecondaryStorageType]],laptop[[#This Row],[PrimaryStorageType]],"SSD &amp; HDD")</f>
        <v>SSD &amp; HDD</v>
      </c>
      <c r="Y651" t="s">
        <v>42</v>
      </c>
      <c r="Z651" s="4" t="str">
        <f>_xlfn.CONCAT(laptop[[#This Row],[CPU_company]]," ",laptop[[#This Row],[GPU_model]])</f>
        <v>Intel HD Graphics 620</v>
      </c>
    </row>
    <row r="652" spans="1:26" x14ac:dyDescent="0.25">
      <c r="A652" t="s">
        <v>55</v>
      </c>
      <c r="B652" t="s">
        <v>555</v>
      </c>
      <c r="C652" t="s">
        <v>83</v>
      </c>
      <c r="D652">
        <v>17.3</v>
      </c>
      <c r="E652">
        <v>32</v>
      </c>
      <c r="F652" t="s">
        <v>48</v>
      </c>
      <c r="G652">
        <v>3.8</v>
      </c>
      <c r="H652" s="16">
        <v>2799</v>
      </c>
      <c r="I652" t="s">
        <v>40</v>
      </c>
      <c r="J652">
        <v>1920</v>
      </c>
      <c r="K652">
        <v>1080</v>
      </c>
      <c r="L652" t="s">
        <v>27</v>
      </c>
      <c r="M652" t="s">
        <v>28</v>
      </c>
      <c r="N652" t="s">
        <v>27</v>
      </c>
      <c r="O652" t="s">
        <v>29</v>
      </c>
      <c r="P652">
        <v>2.7</v>
      </c>
      <c r="Q652" t="s">
        <v>514</v>
      </c>
      <c r="R652" t="str">
        <f>_xlfn.CONCAT(laptop[[#This Row],[CPU_company]]," ",laptop[[#This Row],[CPU_model]])</f>
        <v>Intel Core i7 6820HK</v>
      </c>
      <c r="S652">
        <v>512</v>
      </c>
      <c r="T652">
        <v>0</v>
      </c>
      <c r="U652">
        <f>laptop[[#This Row],[PrimaryStorage]]+laptop[[#This Row],[SecondaryStorage]]</f>
        <v>512</v>
      </c>
      <c r="V652" t="s">
        <v>31</v>
      </c>
      <c r="W652" t="s">
        <v>27</v>
      </c>
      <c r="X652" t="str">
        <f>IF(laptop[[#This Row],[PrimaryStorageType]]=laptop[[#This Row],[SecondaryStorageType]],laptop[[#This Row],[PrimaryStorageType]],"SSD &amp; HDD")</f>
        <v>SSD &amp; HDD</v>
      </c>
      <c r="Y652" t="s">
        <v>259</v>
      </c>
      <c r="Z652" s="4" t="str">
        <f>_xlfn.CONCAT(laptop[[#This Row],[CPU_company]]," ",laptop[[#This Row],[GPU_model]])</f>
        <v>Intel GeForce GTX 1080</v>
      </c>
    </row>
    <row r="653" spans="1:26" x14ac:dyDescent="0.25">
      <c r="A653" t="s">
        <v>46</v>
      </c>
      <c r="B653" t="s">
        <v>556</v>
      </c>
      <c r="C653" t="s">
        <v>83</v>
      </c>
      <c r="D653">
        <v>15.6</v>
      </c>
      <c r="E653">
        <v>8</v>
      </c>
      <c r="F653" t="s">
        <v>111</v>
      </c>
      <c r="G653">
        <v>2.4</v>
      </c>
      <c r="H653" s="16">
        <v>709</v>
      </c>
      <c r="I653" t="s">
        <v>40</v>
      </c>
      <c r="J653">
        <v>1920</v>
      </c>
      <c r="K653">
        <v>1080</v>
      </c>
      <c r="L653" t="s">
        <v>27</v>
      </c>
      <c r="M653" t="s">
        <v>27</v>
      </c>
      <c r="N653" t="s">
        <v>27</v>
      </c>
      <c r="O653" t="s">
        <v>29</v>
      </c>
      <c r="P653">
        <v>2.5</v>
      </c>
      <c r="Q653" t="s">
        <v>84</v>
      </c>
      <c r="R653" t="str">
        <f>_xlfn.CONCAT(laptop[[#This Row],[CPU_company]]," ",laptop[[#This Row],[CPU_model]])</f>
        <v>Intel Core i5 7300HQ</v>
      </c>
      <c r="S653">
        <v>1024</v>
      </c>
      <c r="T653">
        <v>0</v>
      </c>
      <c r="U653">
        <f>laptop[[#This Row],[PrimaryStorage]]+laptop[[#This Row],[SecondaryStorage]]</f>
        <v>1024</v>
      </c>
      <c r="V653" t="s">
        <v>51</v>
      </c>
      <c r="W653" t="s">
        <v>27</v>
      </c>
      <c r="X653" t="str">
        <f>IF(laptop[[#This Row],[PrimaryStorageType]]=laptop[[#This Row],[SecondaryStorageType]],laptop[[#This Row],[PrimaryStorageType]],"SSD &amp; HDD")</f>
        <v>SSD &amp; HDD</v>
      </c>
      <c r="Y653" t="s">
        <v>85</v>
      </c>
      <c r="Z653" s="4" t="str">
        <f>_xlfn.CONCAT(laptop[[#This Row],[CPU_company]]," ",laptop[[#This Row],[GPU_model]])</f>
        <v>Intel GeForce GTX 1050</v>
      </c>
    </row>
    <row r="654" spans="1:26" x14ac:dyDescent="0.25">
      <c r="A654" t="s">
        <v>65</v>
      </c>
      <c r="B654" t="s">
        <v>77</v>
      </c>
      <c r="C654" t="s">
        <v>24</v>
      </c>
      <c r="D654">
        <v>13.3</v>
      </c>
      <c r="E654">
        <v>8</v>
      </c>
      <c r="F654" t="s">
        <v>48</v>
      </c>
      <c r="G654">
        <v>1.2</v>
      </c>
      <c r="H654" s="16">
        <v>1449.9</v>
      </c>
      <c r="I654" t="s">
        <v>40</v>
      </c>
      <c r="J654">
        <v>1920</v>
      </c>
      <c r="K654">
        <v>1080</v>
      </c>
      <c r="L654" t="s">
        <v>27</v>
      </c>
      <c r="M654" t="s">
        <v>27</v>
      </c>
      <c r="N654" t="s">
        <v>27</v>
      </c>
      <c r="O654" t="s">
        <v>29</v>
      </c>
      <c r="P654">
        <v>1.6</v>
      </c>
      <c r="Q654" t="s">
        <v>60</v>
      </c>
      <c r="R654" t="str">
        <f>_xlfn.CONCAT(laptop[[#This Row],[CPU_company]]," ",laptop[[#This Row],[CPU_model]])</f>
        <v>Intel Core i5 8250U</v>
      </c>
      <c r="S654">
        <v>256</v>
      </c>
      <c r="T654">
        <v>0</v>
      </c>
      <c r="U654">
        <f>laptop[[#This Row],[PrimaryStorage]]+laptop[[#This Row],[SecondaryStorage]]</f>
        <v>256</v>
      </c>
      <c r="V654" t="s">
        <v>31</v>
      </c>
      <c r="W654" t="s">
        <v>27</v>
      </c>
      <c r="X654" t="str">
        <f>IF(laptop[[#This Row],[PrimaryStorageType]]=laptop[[#This Row],[SecondaryStorageType]],laptop[[#This Row],[PrimaryStorageType]],"SSD &amp; HDD")</f>
        <v>SSD &amp; HDD</v>
      </c>
      <c r="Y654" t="s">
        <v>61</v>
      </c>
      <c r="Z654" s="4" t="str">
        <f>_xlfn.CONCAT(laptop[[#This Row],[CPU_company]]," ",laptop[[#This Row],[GPU_model]])</f>
        <v>Intel UHD Graphics 620</v>
      </c>
    </row>
    <row r="655" spans="1:26" x14ac:dyDescent="0.25">
      <c r="A655" t="s">
        <v>141</v>
      </c>
      <c r="B655" t="s">
        <v>557</v>
      </c>
      <c r="C655" t="s">
        <v>83</v>
      </c>
      <c r="D655">
        <v>15.6</v>
      </c>
      <c r="E655">
        <v>8</v>
      </c>
      <c r="F655" t="s">
        <v>48</v>
      </c>
      <c r="G655">
        <v>2.2000000000000002</v>
      </c>
      <c r="H655" s="16">
        <v>1191.8</v>
      </c>
      <c r="I655" t="s">
        <v>40</v>
      </c>
      <c r="J655">
        <v>1920</v>
      </c>
      <c r="K655">
        <v>1080</v>
      </c>
      <c r="L655" t="s">
        <v>27</v>
      </c>
      <c r="M655" t="s">
        <v>27</v>
      </c>
      <c r="N655" t="s">
        <v>27</v>
      </c>
      <c r="O655" t="s">
        <v>29</v>
      </c>
      <c r="P655">
        <v>2.8</v>
      </c>
      <c r="Q655" t="s">
        <v>118</v>
      </c>
      <c r="R655" t="str">
        <f>_xlfn.CONCAT(laptop[[#This Row],[CPU_company]]," ",laptop[[#This Row],[CPU_model]])</f>
        <v>Intel Core i7 7700HQ</v>
      </c>
      <c r="S655">
        <v>128</v>
      </c>
      <c r="T655">
        <v>1024</v>
      </c>
      <c r="U655">
        <f>laptop[[#This Row],[PrimaryStorage]]+laptop[[#This Row],[SecondaryStorage]]</f>
        <v>1152</v>
      </c>
      <c r="V655" t="s">
        <v>31</v>
      </c>
      <c r="W655" t="s">
        <v>51</v>
      </c>
      <c r="X655" t="str">
        <f>IF(laptop[[#This Row],[PrimaryStorageType]]=laptop[[#This Row],[SecondaryStorageType]],laptop[[#This Row],[PrimaryStorageType]],"SSD &amp; HDD")</f>
        <v>SSD &amp; HDD</v>
      </c>
      <c r="Y655" t="s">
        <v>149</v>
      </c>
      <c r="Z655" s="4" t="str">
        <f>_xlfn.CONCAT(laptop[[#This Row],[CPU_company]]," ",laptop[[#This Row],[GPU_model]])</f>
        <v>Intel GeForce GTX 1050 Ti</v>
      </c>
    </row>
    <row r="656" spans="1:26" x14ac:dyDescent="0.25">
      <c r="A656" t="s">
        <v>36</v>
      </c>
      <c r="B656" t="s">
        <v>37</v>
      </c>
      <c r="C656" t="s">
        <v>38</v>
      </c>
      <c r="D656">
        <v>15.6</v>
      </c>
      <c r="E656">
        <v>4</v>
      </c>
      <c r="F656" t="s">
        <v>39</v>
      </c>
      <c r="G656">
        <v>1.86</v>
      </c>
      <c r="H656" s="16">
        <v>364.9</v>
      </c>
      <c r="I656" t="s">
        <v>26</v>
      </c>
      <c r="J656">
        <v>1366</v>
      </c>
      <c r="K656">
        <v>768</v>
      </c>
      <c r="L656" t="s">
        <v>27</v>
      </c>
      <c r="M656" t="s">
        <v>27</v>
      </c>
      <c r="N656" t="s">
        <v>27</v>
      </c>
      <c r="O656" t="s">
        <v>29</v>
      </c>
      <c r="P656">
        <v>2</v>
      </c>
      <c r="Q656" t="s">
        <v>62</v>
      </c>
      <c r="R656" t="str">
        <f>_xlfn.CONCAT(laptop[[#This Row],[CPU_company]]," ",laptop[[#This Row],[CPU_model]])</f>
        <v>Intel Core i3 6006U</v>
      </c>
      <c r="S656">
        <v>500</v>
      </c>
      <c r="T656">
        <v>0</v>
      </c>
      <c r="U656">
        <f>laptop[[#This Row],[PrimaryStorage]]+laptop[[#This Row],[SecondaryStorage]]</f>
        <v>500</v>
      </c>
      <c r="V656" t="s">
        <v>51</v>
      </c>
      <c r="W656" t="s">
        <v>27</v>
      </c>
      <c r="X656" t="str">
        <f>IF(laptop[[#This Row],[PrimaryStorageType]]=laptop[[#This Row],[SecondaryStorageType]],laptop[[#This Row],[PrimaryStorageType]],"SSD &amp; HDD")</f>
        <v>SSD &amp; HDD</v>
      </c>
      <c r="Y656" t="s">
        <v>63</v>
      </c>
      <c r="Z656" s="4" t="str">
        <f>_xlfn.CONCAT(laptop[[#This Row],[CPU_company]]," ",laptop[[#This Row],[GPU_model]])</f>
        <v>Intel HD Graphics 520</v>
      </c>
    </row>
    <row r="657" spans="1:26" x14ac:dyDescent="0.25">
      <c r="A657" t="s">
        <v>210</v>
      </c>
      <c r="B657" t="s">
        <v>558</v>
      </c>
      <c r="C657" t="s">
        <v>38</v>
      </c>
      <c r="D657">
        <v>15.6</v>
      </c>
      <c r="E657">
        <v>8</v>
      </c>
      <c r="F657" t="s">
        <v>48</v>
      </c>
      <c r="G657">
        <v>2</v>
      </c>
      <c r="H657" s="16">
        <v>1064</v>
      </c>
      <c r="I657" t="s">
        <v>40</v>
      </c>
      <c r="J657">
        <v>1920</v>
      </c>
      <c r="K657">
        <v>1080</v>
      </c>
      <c r="L657" t="s">
        <v>27</v>
      </c>
      <c r="M657" t="s">
        <v>28</v>
      </c>
      <c r="N657" t="s">
        <v>27</v>
      </c>
      <c r="O657" t="s">
        <v>29</v>
      </c>
      <c r="P657">
        <v>2.5</v>
      </c>
      <c r="Q657" t="s">
        <v>41</v>
      </c>
      <c r="R657" t="str">
        <f>_xlfn.CONCAT(laptop[[#This Row],[CPU_company]]," ",laptop[[#This Row],[CPU_model]])</f>
        <v>Intel Core i5 7200U</v>
      </c>
      <c r="S657">
        <v>500</v>
      </c>
      <c r="T657">
        <v>0</v>
      </c>
      <c r="U657">
        <f>laptop[[#This Row],[PrimaryStorage]]+laptop[[#This Row],[SecondaryStorage]]</f>
        <v>500</v>
      </c>
      <c r="V657" t="s">
        <v>51</v>
      </c>
      <c r="W657" t="s">
        <v>27</v>
      </c>
      <c r="X657" t="str">
        <f>IF(laptop[[#This Row],[PrimaryStorageType]]=laptop[[#This Row],[SecondaryStorageType]],laptop[[#This Row],[PrimaryStorageType]],"SSD &amp; HDD")</f>
        <v>SSD &amp; HDD</v>
      </c>
      <c r="Y657" t="s">
        <v>42</v>
      </c>
      <c r="Z657" s="4" t="str">
        <f>_xlfn.CONCAT(laptop[[#This Row],[CPU_company]]," ",laptop[[#This Row],[GPU_model]])</f>
        <v>Intel HD Graphics 620</v>
      </c>
    </row>
    <row r="658" spans="1:26" x14ac:dyDescent="0.25">
      <c r="A658" t="s">
        <v>65</v>
      </c>
      <c r="B658" t="s">
        <v>93</v>
      </c>
      <c r="C658" t="s">
        <v>38</v>
      </c>
      <c r="D658">
        <v>15.6</v>
      </c>
      <c r="E658">
        <v>8</v>
      </c>
      <c r="F658" t="s">
        <v>48</v>
      </c>
      <c r="G658">
        <v>2.2000000000000002</v>
      </c>
      <c r="H658" s="16">
        <v>919</v>
      </c>
      <c r="I658" t="s">
        <v>40</v>
      </c>
      <c r="J658">
        <v>1920</v>
      </c>
      <c r="K658">
        <v>1080</v>
      </c>
      <c r="L658" t="s">
        <v>27</v>
      </c>
      <c r="M658" t="s">
        <v>27</v>
      </c>
      <c r="N658" t="s">
        <v>27</v>
      </c>
      <c r="O658" t="s">
        <v>29</v>
      </c>
      <c r="P658">
        <v>1.8</v>
      </c>
      <c r="Q658" t="s">
        <v>57</v>
      </c>
      <c r="R658" t="str">
        <f>_xlfn.CONCAT(laptop[[#This Row],[CPU_company]]," ",laptop[[#This Row],[CPU_model]])</f>
        <v>Intel Core i7 8550U</v>
      </c>
      <c r="S658">
        <v>256</v>
      </c>
      <c r="T658">
        <v>0</v>
      </c>
      <c r="U658">
        <f>laptop[[#This Row],[PrimaryStorage]]+laptop[[#This Row],[SecondaryStorage]]</f>
        <v>256</v>
      </c>
      <c r="V658" t="s">
        <v>31</v>
      </c>
      <c r="W658" t="s">
        <v>27</v>
      </c>
      <c r="X658" t="str">
        <f>IF(laptop[[#This Row],[PrimaryStorageType]]=laptop[[#This Row],[SecondaryStorageType]],laptop[[#This Row],[PrimaryStorageType]],"SSD &amp; HDD")</f>
        <v>SSD &amp; HDD</v>
      </c>
      <c r="Y658" t="s">
        <v>94</v>
      </c>
      <c r="Z658" s="4" t="str">
        <f>_xlfn.CONCAT(laptop[[#This Row],[CPU_company]]," ",laptop[[#This Row],[GPU_model]])</f>
        <v>Intel Radeon 530</v>
      </c>
    </row>
    <row r="659" spans="1:26" x14ac:dyDescent="0.25">
      <c r="A659" t="s">
        <v>65</v>
      </c>
      <c r="B659" t="s">
        <v>93</v>
      </c>
      <c r="C659" t="s">
        <v>38</v>
      </c>
      <c r="D659">
        <v>15.6</v>
      </c>
      <c r="E659">
        <v>16</v>
      </c>
      <c r="F659" t="s">
        <v>48</v>
      </c>
      <c r="G659">
        <v>2.2000000000000002</v>
      </c>
      <c r="H659" s="16">
        <v>1135</v>
      </c>
      <c r="I659" t="s">
        <v>40</v>
      </c>
      <c r="J659">
        <v>1920</v>
      </c>
      <c r="K659">
        <v>1080</v>
      </c>
      <c r="L659" t="s">
        <v>27</v>
      </c>
      <c r="M659" t="s">
        <v>27</v>
      </c>
      <c r="N659" t="s">
        <v>27</v>
      </c>
      <c r="O659" t="s">
        <v>29</v>
      </c>
      <c r="P659">
        <v>1.8</v>
      </c>
      <c r="Q659" t="s">
        <v>57</v>
      </c>
      <c r="R659" t="str">
        <f>_xlfn.CONCAT(laptop[[#This Row],[CPU_company]]," ",laptop[[#This Row],[CPU_model]])</f>
        <v>Intel Core i7 8550U</v>
      </c>
      <c r="S659">
        <v>256</v>
      </c>
      <c r="T659">
        <v>2048</v>
      </c>
      <c r="U659">
        <f>laptop[[#This Row],[PrimaryStorage]]+laptop[[#This Row],[SecondaryStorage]]</f>
        <v>2304</v>
      </c>
      <c r="V659" t="s">
        <v>31</v>
      </c>
      <c r="W659" t="s">
        <v>51</v>
      </c>
      <c r="X659" t="str">
        <f>IF(laptop[[#This Row],[PrimaryStorageType]]=laptop[[#This Row],[SecondaryStorageType]],laptop[[#This Row],[PrimaryStorageType]],"SSD &amp; HDD")</f>
        <v>SSD &amp; HDD</v>
      </c>
      <c r="Y659" t="s">
        <v>94</v>
      </c>
      <c r="Z659" s="4" t="str">
        <f>_xlfn.CONCAT(laptop[[#This Row],[CPU_company]]," ",laptop[[#This Row],[GPU_model]])</f>
        <v>Intel Radeon 530</v>
      </c>
    </row>
    <row r="660" spans="1:26" x14ac:dyDescent="0.25">
      <c r="A660" t="s">
        <v>73</v>
      </c>
      <c r="B660" t="s">
        <v>559</v>
      </c>
      <c r="C660" t="s">
        <v>83</v>
      </c>
      <c r="D660">
        <v>15.6</v>
      </c>
      <c r="E660">
        <v>8</v>
      </c>
      <c r="F660" t="s">
        <v>48</v>
      </c>
      <c r="G660">
        <v>3.31</v>
      </c>
      <c r="H660" s="16">
        <v>1196</v>
      </c>
      <c r="I660" t="s">
        <v>40</v>
      </c>
      <c r="J660">
        <v>1920</v>
      </c>
      <c r="K660">
        <v>1080</v>
      </c>
      <c r="L660" t="s">
        <v>27</v>
      </c>
      <c r="M660" t="s">
        <v>28</v>
      </c>
      <c r="N660" t="s">
        <v>27</v>
      </c>
      <c r="O660" t="s">
        <v>29</v>
      </c>
      <c r="P660">
        <v>2.6</v>
      </c>
      <c r="Q660" t="s">
        <v>447</v>
      </c>
      <c r="R660" t="str">
        <f>_xlfn.CONCAT(laptop[[#This Row],[CPU_company]]," ",laptop[[#This Row],[CPU_model]])</f>
        <v>Intel Core i7 6700HQ</v>
      </c>
      <c r="S660">
        <v>128</v>
      </c>
      <c r="T660">
        <v>1024</v>
      </c>
      <c r="U660">
        <f>laptop[[#This Row],[PrimaryStorage]]+laptop[[#This Row],[SecondaryStorage]]</f>
        <v>1152</v>
      </c>
      <c r="V660" t="s">
        <v>31</v>
      </c>
      <c r="W660" t="s">
        <v>51</v>
      </c>
      <c r="X660" t="str">
        <f>IF(laptop[[#This Row],[PrimaryStorageType]]=laptop[[#This Row],[SecondaryStorageType]],laptop[[#This Row],[PrimaryStorageType]],"SSD &amp; HDD")</f>
        <v>SSD &amp; HDD</v>
      </c>
      <c r="Y660" t="s">
        <v>560</v>
      </c>
      <c r="Z660" s="4" t="str">
        <f>_xlfn.CONCAT(laptop[[#This Row],[CPU_company]]," ",laptop[[#This Row],[GPU_model]])</f>
        <v>Intel GeForce GTX 960</v>
      </c>
    </row>
    <row r="661" spans="1:26" x14ac:dyDescent="0.25">
      <c r="A661" t="s">
        <v>65</v>
      </c>
      <c r="B661" t="s">
        <v>275</v>
      </c>
      <c r="C661" t="s">
        <v>83</v>
      </c>
      <c r="D661">
        <v>17.3</v>
      </c>
      <c r="E661">
        <v>32</v>
      </c>
      <c r="F661" t="s">
        <v>48</v>
      </c>
      <c r="G661">
        <v>4.42</v>
      </c>
      <c r="H661" s="16">
        <v>3147.37</v>
      </c>
      <c r="I661" t="s">
        <v>215</v>
      </c>
      <c r="J661">
        <v>3840</v>
      </c>
      <c r="K661">
        <v>2160</v>
      </c>
      <c r="L661" t="s">
        <v>27</v>
      </c>
      <c r="M661" t="s">
        <v>28</v>
      </c>
      <c r="N661" t="s">
        <v>27</v>
      </c>
      <c r="O661" t="s">
        <v>29</v>
      </c>
      <c r="P661">
        <v>2.8</v>
      </c>
      <c r="Q661" t="s">
        <v>118</v>
      </c>
      <c r="R661" t="str">
        <f>_xlfn.CONCAT(laptop[[#This Row],[CPU_company]]," ",laptop[[#This Row],[CPU_model]])</f>
        <v>Intel Core i7 7700HQ</v>
      </c>
      <c r="S661">
        <v>512</v>
      </c>
      <c r="T661">
        <v>1024</v>
      </c>
      <c r="U661">
        <f>laptop[[#This Row],[PrimaryStorage]]+laptop[[#This Row],[SecondaryStorage]]</f>
        <v>1536</v>
      </c>
      <c r="V661" t="s">
        <v>31</v>
      </c>
      <c r="W661" t="s">
        <v>51</v>
      </c>
      <c r="X661" t="str">
        <f>IF(laptop[[#This Row],[PrimaryStorageType]]=laptop[[#This Row],[SecondaryStorageType]],laptop[[#This Row],[PrimaryStorageType]],"SSD &amp; HDD")</f>
        <v>SSD &amp; HDD</v>
      </c>
      <c r="Y661" t="s">
        <v>143</v>
      </c>
      <c r="Z661" s="4" t="str">
        <f>_xlfn.CONCAT(laptop[[#This Row],[CPU_company]]," ",laptop[[#This Row],[GPU_model]])</f>
        <v>Intel GeForce GTX 1070</v>
      </c>
    </row>
    <row r="662" spans="1:26" x14ac:dyDescent="0.25">
      <c r="A662" t="s">
        <v>65</v>
      </c>
      <c r="B662" t="s">
        <v>561</v>
      </c>
      <c r="C662" t="s">
        <v>38</v>
      </c>
      <c r="D662">
        <v>14</v>
      </c>
      <c r="E662">
        <v>8</v>
      </c>
      <c r="F662" t="s">
        <v>48</v>
      </c>
      <c r="G662">
        <v>1.56</v>
      </c>
      <c r="H662" s="16">
        <v>1229</v>
      </c>
      <c r="I662" t="s">
        <v>40</v>
      </c>
      <c r="J662">
        <v>1920</v>
      </c>
      <c r="K662">
        <v>1080</v>
      </c>
      <c r="L662" t="s">
        <v>27</v>
      </c>
      <c r="M662" t="s">
        <v>27</v>
      </c>
      <c r="N662" t="s">
        <v>27</v>
      </c>
      <c r="O662" t="s">
        <v>29</v>
      </c>
      <c r="P662">
        <v>2.4</v>
      </c>
      <c r="Q662" t="s">
        <v>562</v>
      </c>
      <c r="R662" t="str">
        <f>_xlfn.CONCAT(laptop[[#This Row],[CPU_company]]," ",laptop[[#This Row],[CPU_model]])</f>
        <v>Intel Core i5 6300U</v>
      </c>
      <c r="S662">
        <v>256</v>
      </c>
      <c r="T662">
        <v>0</v>
      </c>
      <c r="U662">
        <f>laptop[[#This Row],[PrimaryStorage]]+laptop[[#This Row],[SecondaryStorage]]</f>
        <v>256</v>
      </c>
      <c r="V662" t="s">
        <v>31</v>
      </c>
      <c r="W662" t="s">
        <v>27</v>
      </c>
      <c r="X662" t="str">
        <f>IF(laptop[[#This Row],[PrimaryStorageType]]=laptop[[#This Row],[SecondaryStorageType]],laptop[[#This Row],[PrimaryStorageType]],"SSD &amp; HDD")</f>
        <v>SSD &amp; HDD</v>
      </c>
      <c r="Y662" t="s">
        <v>63</v>
      </c>
      <c r="Z662" s="4" t="str">
        <f>_xlfn.CONCAT(laptop[[#This Row],[CPU_company]]," ",laptop[[#This Row],[GPU_model]])</f>
        <v>Intel HD Graphics 520</v>
      </c>
    </row>
    <row r="663" spans="1:26" x14ac:dyDescent="0.25">
      <c r="A663" t="s">
        <v>73</v>
      </c>
      <c r="B663" t="s">
        <v>563</v>
      </c>
      <c r="C663" t="s">
        <v>38</v>
      </c>
      <c r="D663">
        <v>15.6</v>
      </c>
      <c r="E663">
        <v>4</v>
      </c>
      <c r="F663" t="s">
        <v>48</v>
      </c>
      <c r="G663">
        <v>2.2000000000000002</v>
      </c>
      <c r="H663" s="16">
        <v>419</v>
      </c>
      <c r="I663" t="s">
        <v>26</v>
      </c>
      <c r="J663">
        <v>1366</v>
      </c>
      <c r="K663">
        <v>768</v>
      </c>
      <c r="L663" t="s">
        <v>27</v>
      </c>
      <c r="M663" t="s">
        <v>27</v>
      </c>
      <c r="N663" t="s">
        <v>27</v>
      </c>
      <c r="O663" t="s">
        <v>29</v>
      </c>
      <c r="P663">
        <v>1.1000000000000001</v>
      </c>
      <c r="Q663" t="s">
        <v>109</v>
      </c>
      <c r="R663" t="str">
        <f>_xlfn.CONCAT(laptop[[#This Row],[CPU_company]]," ",laptop[[#This Row],[CPU_model]])</f>
        <v>Intel Celeron Dual Core N3350</v>
      </c>
      <c r="S663">
        <v>500</v>
      </c>
      <c r="T663">
        <v>0</v>
      </c>
      <c r="U663">
        <f>laptop[[#This Row],[PrimaryStorage]]+laptop[[#This Row],[SecondaryStorage]]</f>
        <v>500</v>
      </c>
      <c r="V663" t="s">
        <v>51</v>
      </c>
      <c r="W663" t="s">
        <v>27</v>
      </c>
      <c r="X663" t="str">
        <f>IF(laptop[[#This Row],[PrimaryStorageType]]=laptop[[#This Row],[SecondaryStorageType]],laptop[[#This Row],[PrimaryStorageType]],"SSD &amp; HDD")</f>
        <v>SSD &amp; HDD</v>
      </c>
      <c r="Y663" t="s">
        <v>110</v>
      </c>
      <c r="Z663" s="4" t="str">
        <f>_xlfn.CONCAT(laptop[[#This Row],[CPU_company]]," ",laptop[[#This Row],[GPU_model]])</f>
        <v>Intel HD Graphics 500</v>
      </c>
    </row>
    <row r="664" spans="1:26" x14ac:dyDescent="0.25">
      <c r="A664" t="s">
        <v>73</v>
      </c>
      <c r="B664" t="s">
        <v>125</v>
      </c>
      <c r="C664" t="s">
        <v>38</v>
      </c>
      <c r="D664">
        <v>15.6</v>
      </c>
      <c r="E664">
        <v>4</v>
      </c>
      <c r="F664" t="s">
        <v>48</v>
      </c>
      <c r="G664">
        <v>2.2000000000000002</v>
      </c>
      <c r="H664" s="16">
        <v>535</v>
      </c>
      <c r="I664" t="s">
        <v>40</v>
      </c>
      <c r="J664">
        <v>1920</v>
      </c>
      <c r="K664">
        <v>1080</v>
      </c>
      <c r="L664" t="s">
        <v>27</v>
      </c>
      <c r="M664" t="s">
        <v>27</v>
      </c>
      <c r="N664" t="s">
        <v>27</v>
      </c>
      <c r="O664" t="s">
        <v>29</v>
      </c>
      <c r="P664">
        <v>2.2999999999999998</v>
      </c>
      <c r="Q664" t="s">
        <v>212</v>
      </c>
      <c r="R664" t="str">
        <f>_xlfn.CONCAT(laptop[[#This Row],[CPU_company]]," ",laptop[[#This Row],[CPU_model]])</f>
        <v>Intel Core i5 6200U</v>
      </c>
      <c r="S664">
        <v>500</v>
      </c>
      <c r="T664">
        <v>0</v>
      </c>
      <c r="U664">
        <f>laptop[[#This Row],[PrimaryStorage]]+laptop[[#This Row],[SecondaryStorage]]</f>
        <v>500</v>
      </c>
      <c r="V664" t="s">
        <v>51</v>
      </c>
      <c r="W664" t="s">
        <v>27</v>
      </c>
      <c r="X664" t="str">
        <f>IF(laptop[[#This Row],[PrimaryStorageType]]=laptop[[#This Row],[SecondaryStorageType]],laptop[[#This Row],[PrimaryStorageType]],"SSD &amp; HDD")</f>
        <v>SSD &amp; HDD</v>
      </c>
      <c r="Y664" t="s">
        <v>63</v>
      </c>
      <c r="Z664" s="4" t="str">
        <f>_xlfn.CONCAT(laptop[[#This Row],[CPU_company]]," ",laptop[[#This Row],[GPU_model]])</f>
        <v>Intel HD Graphics 520</v>
      </c>
    </row>
    <row r="665" spans="1:26" x14ac:dyDescent="0.25">
      <c r="A665" t="s">
        <v>36</v>
      </c>
      <c r="B665" t="s">
        <v>564</v>
      </c>
      <c r="C665" t="s">
        <v>38</v>
      </c>
      <c r="D665">
        <v>15.6</v>
      </c>
      <c r="E665">
        <v>6</v>
      </c>
      <c r="F665" t="s">
        <v>48</v>
      </c>
      <c r="G665">
        <v>2.04</v>
      </c>
      <c r="H665" s="16">
        <v>539</v>
      </c>
      <c r="I665" t="s">
        <v>26</v>
      </c>
      <c r="J665">
        <v>1920</v>
      </c>
      <c r="K665">
        <v>1080</v>
      </c>
      <c r="L665" t="s">
        <v>27</v>
      </c>
      <c r="M665" t="s">
        <v>27</v>
      </c>
      <c r="N665" t="s">
        <v>27</v>
      </c>
      <c r="O665" t="s">
        <v>29</v>
      </c>
      <c r="P665">
        <v>2</v>
      </c>
      <c r="Q665" t="s">
        <v>62</v>
      </c>
      <c r="R665" t="str">
        <f>_xlfn.CONCAT(laptop[[#This Row],[CPU_company]]," ",laptop[[#This Row],[CPU_model]])</f>
        <v>Intel Core i3 6006U</v>
      </c>
      <c r="S665">
        <v>1024</v>
      </c>
      <c r="T665">
        <v>0</v>
      </c>
      <c r="U665">
        <f>laptop[[#This Row],[PrimaryStorage]]+laptop[[#This Row],[SecondaryStorage]]</f>
        <v>1024</v>
      </c>
      <c r="V665" t="s">
        <v>51</v>
      </c>
      <c r="W665" t="s">
        <v>27</v>
      </c>
      <c r="X665" t="str">
        <f>IF(laptop[[#This Row],[PrimaryStorageType]]=laptop[[#This Row],[SecondaryStorageType]],laptop[[#This Row],[PrimaryStorageType]],"SSD &amp; HDD")</f>
        <v>SSD &amp; HDD</v>
      </c>
      <c r="Y665" t="s">
        <v>67</v>
      </c>
      <c r="Z665" s="4" t="str">
        <f>_xlfn.CONCAT(laptop[[#This Row],[CPU_company]]," ",laptop[[#This Row],[GPU_model]])</f>
        <v>Intel Radeon R5 M430</v>
      </c>
    </row>
    <row r="666" spans="1:26" x14ac:dyDescent="0.25">
      <c r="A666" t="s">
        <v>141</v>
      </c>
      <c r="B666" t="s">
        <v>565</v>
      </c>
      <c r="C666" t="s">
        <v>83</v>
      </c>
      <c r="D666">
        <v>17.3</v>
      </c>
      <c r="E666">
        <v>8</v>
      </c>
      <c r="F666" t="s">
        <v>48</v>
      </c>
      <c r="G666">
        <v>2.7</v>
      </c>
      <c r="H666" s="16">
        <v>1486.77</v>
      </c>
      <c r="I666" t="s">
        <v>40</v>
      </c>
      <c r="J666">
        <v>1920</v>
      </c>
      <c r="K666">
        <v>1080</v>
      </c>
      <c r="L666" t="s">
        <v>27</v>
      </c>
      <c r="M666" t="s">
        <v>27</v>
      </c>
      <c r="N666" t="s">
        <v>27</v>
      </c>
      <c r="O666" t="s">
        <v>29</v>
      </c>
      <c r="P666">
        <v>2.8</v>
      </c>
      <c r="Q666" t="s">
        <v>118</v>
      </c>
      <c r="R666" t="str">
        <f>_xlfn.CONCAT(laptop[[#This Row],[CPU_company]]," ",laptop[[#This Row],[CPU_model]])</f>
        <v>Intel Core i7 7700HQ</v>
      </c>
      <c r="S666">
        <v>128</v>
      </c>
      <c r="T666">
        <v>1024</v>
      </c>
      <c r="U666">
        <f>laptop[[#This Row],[PrimaryStorage]]+laptop[[#This Row],[SecondaryStorage]]</f>
        <v>1152</v>
      </c>
      <c r="V666" t="s">
        <v>31</v>
      </c>
      <c r="W666" t="s">
        <v>51</v>
      </c>
      <c r="X666" t="str">
        <f>IF(laptop[[#This Row],[PrimaryStorageType]]=laptop[[#This Row],[SecondaryStorageType]],laptop[[#This Row],[PrimaryStorageType]],"SSD &amp; HDD")</f>
        <v>SSD &amp; HDD</v>
      </c>
      <c r="Y666" t="s">
        <v>119</v>
      </c>
      <c r="Z666" s="4" t="str">
        <f>_xlfn.CONCAT(laptop[[#This Row],[CPU_company]]," ",laptop[[#This Row],[GPU_model]])</f>
        <v>Intel GeForce GTX 1060</v>
      </c>
    </row>
    <row r="667" spans="1:26" x14ac:dyDescent="0.25">
      <c r="A667" t="s">
        <v>210</v>
      </c>
      <c r="B667" t="s">
        <v>211</v>
      </c>
      <c r="C667" t="s">
        <v>38</v>
      </c>
      <c r="D667">
        <v>15.6</v>
      </c>
      <c r="E667">
        <v>4</v>
      </c>
      <c r="F667" t="s">
        <v>48</v>
      </c>
      <c r="G667">
        <v>2.1</v>
      </c>
      <c r="H667" s="16">
        <v>498</v>
      </c>
      <c r="I667" t="s">
        <v>26</v>
      </c>
      <c r="J667">
        <v>1366</v>
      </c>
      <c r="K667">
        <v>768</v>
      </c>
      <c r="L667" t="s">
        <v>27</v>
      </c>
      <c r="M667" t="s">
        <v>27</v>
      </c>
      <c r="N667" t="s">
        <v>27</v>
      </c>
      <c r="O667" t="s">
        <v>29</v>
      </c>
      <c r="P667">
        <v>2.1</v>
      </c>
      <c r="Q667" t="s">
        <v>450</v>
      </c>
      <c r="R667" t="str">
        <f>_xlfn.CONCAT(laptop[[#This Row],[CPU_company]]," ",laptop[[#This Row],[CPU_model]])</f>
        <v>Intel Core i3 6100U</v>
      </c>
      <c r="S667">
        <v>128</v>
      </c>
      <c r="T667">
        <v>0</v>
      </c>
      <c r="U667">
        <f>laptop[[#This Row],[PrimaryStorage]]+laptop[[#This Row],[SecondaryStorage]]</f>
        <v>128</v>
      </c>
      <c r="V667" t="s">
        <v>31</v>
      </c>
      <c r="W667" t="s">
        <v>27</v>
      </c>
      <c r="X667" t="str">
        <f>IF(laptop[[#This Row],[PrimaryStorageType]]=laptop[[#This Row],[SecondaryStorageType]],laptop[[#This Row],[PrimaryStorageType]],"SSD &amp; HDD")</f>
        <v>SSD &amp; HDD</v>
      </c>
      <c r="Y667" t="s">
        <v>63</v>
      </c>
      <c r="Z667" s="4" t="str">
        <f>_xlfn.CONCAT(laptop[[#This Row],[CPU_company]]," ",laptop[[#This Row],[GPU_model]])</f>
        <v>Intel HD Graphics 520</v>
      </c>
    </row>
    <row r="668" spans="1:26" x14ac:dyDescent="0.25">
      <c r="A668" t="s">
        <v>65</v>
      </c>
      <c r="B668" t="s">
        <v>566</v>
      </c>
      <c r="C668" t="s">
        <v>38</v>
      </c>
      <c r="D668">
        <v>15.6</v>
      </c>
      <c r="E668">
        <v>8</v>
      </c>
      <c r="F668" t="s">
        <v>48</v>
      </c>
      <c r="G668">
        <v>2.06</v>
      </c>
      <c r="H668" s="16">
        <v>955</v>
      </c>
      <c r="I668" t="s">
        <v>40</v>
      </c>
      <c r="J668">
        <v>1920</v>
      </c>
      <c r="K668">
        <v>1080</v>
      </c>
      <c r="L668" t="s">
        <v>27</v>
      </c>
      <c r="M668" t="s">
        <v>27</v>
      </c>
      <c r="N668" t="s">
        <v>27</v>
      </c>
      <c r="O668" t="s">
        <v>29</v>
      </c>
      <c r="P668">
        <v>2.5</v>
      </c>
      <c r="Q668" t="s">
        <v>41</v>
      </c>
      <c r="R668" t="str">
        <f>_xlfn.CONCAT(laptop[[#This Row],[CPU_company]]," ",laptop[[#This Row],[CPU_model]])</f>
        <v>Intel Core i5 7200U</v>
      </c>
      <c r="S668">
        <v>1024</v>
      </c>
      <c r="T668">
        <v>0</v>
      </c>
      <c r="U668">
        <f>laptop[[#This Row],[PrimaryStorage]]+laptop[[#This Row],[SecondaryStorage]]</f>
        <v>1024</v>
      </c>
      <c r="V668" t="s">
        <v>51</v>
      </c>
      <c r="W668" t="s">
        <v>27</v>
      </c>
      <c r="X668" t="str">
        <f>IF(laptop[[#This Row],[PrimaryStorageType]]=laptop[[#This Row],[SecondaryStorageType]],laptop[[#This Row],[PrimaryStorageType]],"SSD &amp; HDD")</f>
        <v>SSD &amp; HDD</v>
      </c>
      <c r="Y668" t="s">
        <v>42</v>
      </c>
      <c r="Z668" s="4" t="str">
        <f>_xlfn.CONCAT(laptop[[#This Row],[CPU_company]]," ",laptop[[#This Row],[GPU_model]])</f>
        <v>Intel HD Graphics 620</v>
      </c>
    </row>
    <row r="669" spans="1:26" x14ac:dyDescent="0.25">
      <c r="A669" t="s">
        <v>36</v>
      </c>
      <c r="B669" t="s">
        <v>567</v>
      </c>
      <c r="C669" t="s">
        <v>38</v>
      </c>
      <c r="D669">
        <v>15.6</v>
      </c>
      <c r="E669">
        <v>8</v>
      </c>
      <c r="F669" t="s">
        <v>48</v>
      </c>
      <c r="G669">
        <v>2.1</v>
      </c>
      <c r="H669" s="16">
        <v>745</v>
      </c>
      <c r="I669" t="s">
        <v>40</v>
      </c>
      <c r="J669">
        <v>1920</v>
      </c>
      <c r="K669">
        <v>1080</v>
      </c>
      <c r="L669" t="s">
        <v>27</v>
      </c>
      <c r="M669" t="s">
        <v>27</v>
      </c>
      <c r="N669" t="s">
        <v>27</v>
      </c>
      <c r="O669" t="s">
        <v>29</v>
      </c>
      <c r="P669">
        <v>2.7</v>
      </c>
      <c r="Q669" t="s">
        <v>71</v>
      </c>
      <c r="R669" t="str">
        <f>_xlfn.CONCAT(laptop[[#This Row],[CPU_company]]," ",laptop[[#This Row],[CPU_model]])</f>
        <v>Intel Core i7 7500U</v>
      </c>
      <c r="S669">
        <v>1024</v>
      </c>
      <c r="T669">
        <v>0</v>
      </c>
      <c r="U669">
        <f>laptop[[#This Row],[PrimaryStorage]]+laptop[[#This Row],[SecondaryStorage]]</f>
        <v>1024</v>
      </c>
      <c r="V669" t="s">
        <v>51</v>
      </c>
      <c r="W669" t="s">
        <v>27</v>
      </c>
      <c r="X669" t="str">
        <f>IF(laptop[[#This Row],[PrimaryStorageType]]=laptop[[#This Row],[SecondaryStorageType]],laptop[[#This Row],[PrimaryStorageType]],"SSD &amp; HDD")</f>
        <v>SSD &amp; HDD</v>
      </c>
      <c r="Y669" t="s">
        <v>94</v>
      </c>
      <c r="Z669" s="4" t="str">
        <f>_xlfn.CONCAT(laptop[[#This Row],[CPU_company]]," ",laptop[[#This Row],[GPU_model]])</f>
        <v>Intel Radeon 530</v>
      </c>
    </row>
    <row r="670" spans="1:26" x14ac:dyDescent="0.25">
      <c r="A670" t="s">
        <v>210</v>
      </c>
      <c r="B670" t="s">
        <v>568</v>
      </c>
      <c r="C670" t="s">
        <v>38</v>
      </c>
      <c r="D670">
        <v>15.6</v>
      </c>
      <c r="E670">
        <v>8</v>
      </c>
      <c r="F670" t="s">
        <v>48</v>
      </c>
      <c r="G670">
        <v>2</v>
      </c>
      <c r="H670" s="16">
        <v>1258</v>
      </c>
      <c r="I670" t="s">
        <v>40</v>
      </c>
      <c r="J670">
        <v>1920</v>
      </c>
      <c r="K670">
        <v>1080</v>
      </c>
      <c r="L670" t="s">
        <v>27</v>
      </c>
      <c r="M670" t="s">
        <v>28</v>
      </c>
      <c r="N670" t="s">
        <v>27</v>
      </c>
      <c r="O670" t="s">
        <v>29</v>
      </c>
      <c r="P670">
        <v>2.5</v>
      </c>
      <c r="Q670" t="s">
        <v>41</v>
      </c>
      <c r="R670" t="str">
        <f>_xlfn.CONCAT(laptop[[#This Row],[CPU_company]]," ",laptop[[#This Row],[CPU_model]])</f>
        <v>Intel Core i5 7200U</v>
      </c>
      <c r="S670">
        <v>256</v>
      </c>
      <c r="T670">
        <v>0</v>
      </c>
      <c r="U670">
        <f>laptop[[#This Row],[PrimaryStorage]]+laptop[[#This Row],[SecondaryStorage]]</f>
        <v>256</v>
      </c>
      <c r="V670" t="s">
        <v>31</v>
      </c>
      <c r="W670" t="s">
        <v>27</v>
      </c>
      <c r="X670" t="str">
        <f>IF(laptop[[#This Row],[PrimaryStorageType]]=laptop[[#This Row],[SecondaryStorageType]],laptop[[#This Row],[PrimaryStorageType]],"SSD &amp; HDD")</f>
        <v>SSD &amp; HDD</v>
      </c>
      <c r="Y670" t="s">
        <v>42</v>
      </c>
      <c r="Z670" s="4" t="str">
        <f>_xlfn.CONCAT(laptop[[#This Row],[CPU_company]]," ",laptop[[#This Row],[GPU_model]])</f>
        <v>Intel HD Graphics 620</v>
      </c>
    </row>
    <row r="671" spans="1:26" x14ac:dyDescent="0.25">
      <c r="A671" t="s">
        <v>46</v>
      </c>
      <c r="B671" t="s">
        <v>47</v>
      </c>
      <c r="C671" t="s">
        <v>38</v>
      </c>
      <c r="D671">
        <v>15.6</v>
      </c>
      <c r="E671">
        <v>4</v>
      </c>
      <c r="F671" t="s">
        <v>111</v>
      </c>
      <c r="G671">
        <v>2.1</v>
      </c>
      <c r="H671" s="16">
        <v>412</v>
      </c>
      <c r="I671" t="s">
        <v>26</v>
      </c>
      <c r="J671">
        <v>1366</v>
      </c>
      <c r="K671">
        <v>768</v>
      </c>
      <c r="L671" t="s">
        <v>27</v>
      </c>
      <c r="M671" t="s">
        <v>27</v>
      </c>
      <c r="N671" t="s">
        <v>27</v>
      </c>
      <c r="O671" t="s">
        <v>29</v>
      </c>
      <c r="P671">
        <v>2</v>
      </c>
      <c r="Q671" t="s">
        <v>62</v>
      </c>
      <c r="R671" t="str">
        <f>_xlfn.CONCAT(laptop[[#This Row],[CPU_company]]," ",laptop[[#This Row],[CPU_model]])</f>
        <v>Intel Core i3 6006U</v>
      </c>
      <c r="S671">
        <v>128</v>
      </c>
      <c r="T671">
        <v>0</v>
      </c>
      <c r="U671">
        <f>laptop[[#This Row],[PrimaryStorage]]+laptop[[#This Row],[SecondaryStorage]]</f>
        <v>128</v>
      </c>
      <c r="V671" t="s">
        <v>31</v>
      </c>
      <c r="W671" t="s">
        <v>27</v>
      </c>
      <c r="X671" t="str">
        <f>IF(laptop[[#This Row],[PrimaryStorageType]]=laptop[[#This Row],[SecondaryStorageType]],laptop[[#This Row],[PrimaryStorageType]],"SSD &amp; HDD")</f>
        <v>SSD &amp; HDD</v>
      </c>
      <c r="Y671" t="s">
        <v>63</v>
      </c>
      <c r="Z671" s="4" t="str">
        <f>_xlfn.CONCAT(laptop[[#This Row],[CPU_company]]," ",laptop[[#This Row],[GPU_model]])</f>
        <v>Intel HD Graphics 520</v>
      </c>
    </row>
    <row r="672" spans="1:26" x14ac:dyDescent="0.25">
      <c r="A672" t="s">
        <v>154</v>
      </c>
      <c r="B672" t="s">
        <v>155</v>
      </c>
      <c r="C672" t="s">
        <v>24</v>
      </c>
      <c r="D672">
        <v>13.5</v>
      </c>
      <c r="E672">
        <v>8</v>
      </c>
      <c r="F672" t="s">
        <v>156</v>
      </c>
      <c r="G672">
        <v>1.252</v>
      </c>
      <c r="H672" s="16">
        <v>1867.85</v>
      </c>
      <c r="I672" t="s">
        <v>26</v>
      </c>
      <c r="J672">
        <v>2256</v>
      </c>
      <c r="K672">
        <v>1504</v>
      </c>
      <c r="L672" t="s">
        <v>28</v>
      </c>
      <c r="M672" t="s">
        <v>27</v>
      </c>
      <c r="N672" t="s">
        <v>27</v>
      </c>
      <c r="O672" t="s">
        <v>29</v>
      </c>
      <c r="P672">
        <v>2.8</v>
      </c>
      <c r="Q672" t="s">
        <v>335</v>
      </c>
      <c r="R672" t="str">
        <f>_xlfn.CONCAT(laptop[[#This Row],[CPU_company]]," ",laptop[[#This Row],[CPU_model]])</f>
        <v>Intel Core i7 7600U</v>
      </c>
      <c r="S672">
        <v>256</v>
      </c>
      <c r="T672">
        <v>0</v>
      </c>
      <c r="U672">
        <f>laptop[[#This Row],[PrimaryStorage]]+laptop[[#This Row],[SecondaryStorage]]</f>
        <v>256</v>
      </c>
      <c r="V672" t="s">
        <v>31</v>
      </c>
      <c r="W672" t="s">
        <v>27</v>
      </c>
      <c r="X672" t="str">
        <f>IF(laptop[[#This Row],[PrimaryStorageType]]=laptop[[#This Row],[SecondaryStorageType]],laptop[[#This Row],[PrimaryStorageType]],"SSD &amp; HDD")</f>
        <v>SSD &amp; HDD</v>
      </c>
      <c r="Y672" t="s">
        <v>32</v>
      </c>
      <c r="Z672" s="4" t="str">
        <f>_xlfn.CONCAT(laptop[[#This Row],[CPU_company]]," ",laptop[[#This Row],[GPU_model]])</f>
        <v>Intel Iris Plus Graphics 640</v>
      </c>
    </row>
    <row r="673" spans="1:26" x14ac:dyDescent="0.25">
      <c r="A673" t="s">
        <v>73</v>
      </c>
      <c r="B673" t="s">
        <v>569</v>
      </c>
      <c r="C673" t="s">
        <v>38</v>
      </c>
      <c r="D673">
        <v>15.6</v>
      </c>
      <c r="E673">
        <v>8</v>
      </c>
      <c r="F673" t="s">
        <v>48</v>
      </c>
      <c r="G673">
        <v>1.9</v>
      </c>
      <c r="H673" s="16">
        <v>817.95</v>
      </c>
      <c r="I673" t="s">
        <v>40</v>
      </c>
      <c r="J673">
        <v>1920</v>
      </c>
      <c r="K673">
        <v>1080</v>
      </c>
      <c r="L673" t="s">
        <v>27</v>
      </c>
      <c r="M673" t="s">
        <v>27</v>
      </c>
      <c r="N673" t="s">
        <v>27</v>
      </c>
      <c r="O673" t="s">
        <v>29</v>
      </c>
      <c r="P673">
        <v>2.5</v>
      </c>
      <c r="Q673" t="s">
        <v>41</v>
      </c>
      <c r="R673" t="str">
        <f>_xlfn.CONCAT(laptop[[#This Row],[CPU_company]]," ",laptop[[#This Row],[CPU_model]])</f>
        <v>Intel Core i5 7200U</v>
      </c>
      <c r="S673">
        <v>128</v>
      </c>
      <c r="T673">
        <v>1024</v>
      </c>
      <c r="U673">
        <f>laptop[[#This Row],[PrimaryStorage]]+laptop[[#This Row],[SecondaryStorage]]</f>
        <v>1152</v>
      </c>
      <c r="V673" t="s">
        <v>31</v>
      </c>
      <c r="W673" t="s">
        <v>51</v>
      </c>
      <c r="X673" t="str">
        <f>IF(laptop[[#This Row],[PrimaryStorageType]]=laptop[[#This Row],[SecondaryStorageType]],laptop[[#This Row],[PrimaryStorageType]],"SSD &amp; HDD")</f>
        <v>SSD &amp; HDD</v>
      </c>
      <c r="Y673" t="s">
        <v>67</v>
      </c>
      <c r="Z673" s="4" t="str">
        <f>_xlfn.CONCAT(laptop[[#This Row],[CPU_company]]," ",laptop[[#This Row],[GPU_model]])</f>
        <v>Intel Radeon R5 M430</v>
      </c>
    </row>
    <row r="674" spans="1:26" x14ac:dyDescent="0.25">
      <c r="A674" t="s">
        <v>73</v>
      </c>
      <c r="B674" t="s">
        <v>570</v>
      </c>
      <c r="C674" t="s">
        <v>90</v>
      </c>
      <c r="D674">
        <v>13.3</v>
      </c>
      <c r="E674">
        <v>8</v>
      </c>
      <c r="F674" t="s">
        <v>48</v>
      </c>
      <c r="G674">
        <v>1.3</v>
      </c>
      <c r="H674" s="16">
        <v>1034</v>
      </c>
      <c r="I674" t="s">
        <v>40</v>
      </c>
      <c r="J674">
        <v>1920</v>
      </c>
      <c r="K674">
        <v>1080</v>
      </c>
      <c r="L674" t="s">
        <v>28</v>
      </c>
      <c r="M674" t="s">
        <v>28</v>
      </c>
      <c r="N674" t="s">
        <v>27</v>
      </c>
      <c r="O674" t="s">
        <v>29</v>
      </c>
      <c r="P674">
        <v>2.5</v>
      </c>
      <c r="Q674" t="s">
        <v>41</v>
      </c>
      <c r="R674" t="str">
        <f>_xlfn.CONCAT(laptop[[#This Row],[CPU_company]]," ",laptop[[#This Row],[CPU_model]])</f>
        <v>Intel Core i5 7200U</v>
      </c>
      <c r="S674">
        <v>256</v>
      </c>
      <c r="T674">
        <v>0</v>
      </c>
      <c r="U674">
        <f>laptop[[#This Row],[PrimaryStorage]]+laptop[[#This Row],[SecondaryStorage]]</f>
        <v>256</v>
      </c>
      <c r="V674" t="s">
        <v>31</v>
      </c>
      <c r="W674" t="s">
        <v>27</v>
      </c>
      <c r="X674" t="str">
        <f>IF(laptop[[#This Row],[PrimaryStorageType]]=laptop[[#This Row],[SecondaryStorageType]],laptop[[#This Row],[PrimaryStorageType]],"SSD &amp; HDD")</f>
        <v>SSD &amp; HDD</v>
      </c>
      <c r="Y674" t="s">
        <v>42</v>
      </c>
      <c r="Z674" s="4" t="str">
        <f>_xlfn.CONCAT(laptop[[#This Row],[CPU_company]]," ",laptop[[#This Row],[GPU_model]])</f>
        <v>Intel HD Graphics 620</v>
      </c>
    </row>
    <row r="675" spans="1:26" x14ac:dyDescent="0.25">
      <c r="A675" t="s">
        <v>73</v>
      </c>
      <c r="B675" t="s">
        <v>165</v>
      </c>
      <c r="C675" t="s">
        <v>38</v>
      </c>
      <c r="D675">
        <v>15.6</v>
      </c>
      <c r="E675">
        <v>4</v>
      </c>
      <c r="F675" t="s">
        <v>48</v>
      </c>
      <c r="G675">
        <v>2.2000000000000002</v>
      </c>
      <c r="H675" s="16">
        <v>349</v>
      </c>
      <c r="I675" t="s">
        <v>26</v>
      </c>
      <c r="J675">
        <v>1366</v>
      </c>
      <c r="K675">
        <v>768</v>
      </c>
      <c r="L675" t="s">
        <v>27</v>
      </c>
      <c r="M675" t="s">
        <v>27</v>
      </c>
      <c r="N675" t="s">
        <v>27</v>
      </c>
      <c r="O675" t="s">
        <v>49</v>
      </c>
      <c r="P675">
        <v>2.2000000000000002</v>
      </c>
      <c r="Q675" t="s">
        <v>571</v>
      </c>
      <c r="R675" t="str">
        <f>_xlfn.CONCAT(laptop[[#This Row],[CPU_company]]," ",laptop[[#This Row],[CPU_model]])</f>
        <v>AMD E-Series E2-9000</v>
      </c>
      <c r="S675">
        <v>128</v>
      </c>
      <c r="T675">
        <v>0</v>
      </c>
      <c r="U675">
        <f>laptop[[#This Row],[PrimaryStorage]]+laptop[[#This Row],[SecondaryStorage]]</f>
        <v>128</v>
      </c>
      <c r="V675" t="s">
        <v>31</v>
      </c>
      <c r="W675" t="s">
        <v>27</v>
      </c>
      <c r="X675" t="str">
        <f>IF(laptop[[#This Row],[PrimaryStorageType]]=laptop[[#This Row],[SecondaryStorageType]],laptop[[#This Row],[PrimaryStorageType]],"SSD &amp; HDD")</f>
        <v>SSD &amp; HDD</v>
      </c>
      <c r="Y675" t="s">
        <v>490</v>
      </c>
      <c r="Z675" s="4" t="str">
        <f>_xlfn.CONCAT(laptop[[#This Row],[CPU_company]]," ",laptop[[#This Row],[GPU_model]])</f>
        <v>AMD Radeon R2 Graphics</v>
      </c>
    </row>
    <row r="676" spans="1:26" x14ac:dyDescent="0.25">
      <c r="A676" t="s">
        <v>36</v>
      </c>
      <c r="B676" t="s">
        <v>572</v>
      </c>
      <c r="C676" t="s">
        <v>90</v>
      </c>
      <c r="D676">
        <v>14</v>
      </c>
      <c r="E676">
        <v>4</v>
      </c>
      <c r="F676" t="s">
        <v>48</v>
      </c>
      <c r="G676">
        <v>1.63</v>
      </c>
      <c r="H676" s="16">
        <v>699</v>
      </c>
      <c r="I676" t="s">
        <v>40</v>
      </c>
      <c r="J676">
        <v>1920</v>
      </c>
      <c r="K676">
        <v>1080</v>
      </c>
      <c r="L676" t="s">
        <v>28</v>
      </c>
      <c r="M676" t="s">
        <v>28</v>
      </c>
      <c r="N676" t="s">
        <v>27</v>
      </c>
      <c r="O676" t="s">
        <v>29</v>
      </c>
      <c r="P676">
        <v>2.4</v>
      </c>
      <c r="Q676" t="s">
        <v>75</v>
      </c>
      <c r="R676" t="str">
        <f>_xlfn.CONCAT(laptop[[#This Row],[CPU_company]]," ",laptop[[#This Row],[CPU_model]])</f>
        <v>Intel Core i3 7100U</v>
      </c>
      <c r="S676">
        <v>128</v>
      </c>
      <c r="T676">
        <v>0</v>
      </c>
      <c r="U676">
        <f>laptop[[#This Row],[PrimaryStorage]]+laptop[[#This Row],[SecondaryStorage]]</f>
        <v>128</v>
      </c>
      <c r="V676" t="s">
        <v>31</v>
      </c>
      <c r="W676" t="s">
        <v>27</v>
      </c>
      <c r="X676" t="str">
        <f>IF(laptop[[#This Row],[PrimaryStorageType]]=laptop[[#This Row],[SecondaryStorageType]],laptop[[#This Row],[PrimaryStorageType]],"SSD &amp; HDD")</f>
        <v>SSD &amp; HDD</v>
      </c>
      <c r="Y676" t="s">
        <v>76</v>
      </c>
      <c r="Z676" s="4" t="str">
        <f>_xlfn.CONCAT(laptop[[#This Row],[CPU_company]]," ",laptop[[#This Row],[GPU_model]])</f>
        <v>Intel GeForce 940MX</v>
      </c>
    </row>
    <row r="677" spans="1:26" x14ac:dyDescent="0.25">
      <c r="A677" t="s">
        <v>141</v>
      </c>
      <c r="B677" t="s">
        <v>573</v>
      </c>
      <c r="C677" t="s">
        <v>83</v>
      </c>
      <c r="D677">
        <v>15.6</v>
      </c>
      <c r="E677">
        <v>16</v>
      </c>
      <c r="F677" t="s">
        <v>48</v>
      </c>
      <c r="G677">
        <v>2.4</v>
      </c>
      <c r="H677" s="16">
        <v>1294</v>
      </c>
      <c r="I677" t="s">
        <v>40</v>
      </c>
      <c r="J677">
        <v>1920</v>
      </c>
      <c r="K677">
        <v>1080</v>
      </c>
      <c r="L677" t="s">
        <v>27</v>
      </c>
      <c r="M677" t="s">
        <v>27</v>
      </c>
      <c r="N677" t="s">
        <v>27</v>
      </c>
      <c r="O677" t="s">
        <v>29</v>
      </c>
      <c r="P677">
        <v>2.8</v>
      </c>
      <c r="Q677" t="s">
        <v>118</v>
      </c>
      <c r="R677" t="str">
        <f>_xlfn.CONCAT(laptop[[#This Row],[CPU_company]]," ",laptop[[#This Row],[CPU_model]])</f>
        <v>Intel Core i7 7700HQ</v>
      </c>
      <c r="S677">
        <v>256</v>
      </c>
      <c r="T677">
        <v>1024</v>
      </c>
      <c r="U677">
        <f>laptop[[#This Row],[PrimaryStorage]]+laptop[[#This Row],[SecondaryStorage]]</f>
        <v>1280</v>
      </c>
      <c r="V677" t="s">
        <v>31</v>
      </c>
      <c r="W677" t="s">
        <v>51</v>
      </c>
      <c r="X677" t="str">
        <f>IF(laptop[[#This Row],[PrimaryStorageType]]=laptop[[#This Row],[SecondaryStorageType]],laptop[[#This Row],[PrimaryStorageType]],"SSD &amp; HDD")</f>
        <v>SSD &amp; HDD</v>
      </c>
      <c r="Y677" t="s">
        <v>85</v>
      </c>
      <c r="Z677" s="4" t="str">
        <f>_xlfn.CONCAT(laptop[[#This Row],[CPU_company]]," ",laptop[[#This Row],[GPU_model]])</f>
        <v>Intel GeForce GTX 1050</v>
      </c>
    </row>
    <row r="678" spans="1:26" x14ac:dyDescent="0.25">
      <c r="A678" t="s">
        <v>55</v>
      </c>
      <c r="B678" t="s">
        <v>398</v>
      </c>
      <c r="C678" t="s">
        <v>24</v>
      </c>
      <c r="D678">
        <v>14</v>
      </c>
      <c r="E678">
        <v>8</v>
      </c>
      <c r="F678" t="s">
        <v>48</v>
      </c>
      <c r="G678">
        <v>1.1000000000000001</v>
      </c>
      <c r="H678" s="16">
        <v>1135</v>
      </c>
      <c r="I678" t="s">
        <v>40</v>
      </c>
      <c r="J678">
        <v>1920</v>
      </c>
      <c r="K678">
        <v>1080</v>
      </c>
      <c r="L678" t="s">
        <v>27</v>
      </c>
      <c r="M678" t="s">
        <v>27</v>
      </c>
      <c r="N678" t="s">
        <v>27</v>
      </c>
      <c r="O678" t="s">
        <v>29</v>
      </c>
      <c r="P678">
        <v>2.5</v>
      </c>
      <c r="Q678" t="s">
        <v>41</v>
      </c>
      <c r="R678" t="str">
        <f>_xlfn.CONCAT(laptop[[#This Row],[CPU_company]]," ",laptop[[#This Row],[CPU_model]])</f>
        <v>Intel Core i5 7200U</v>
      </c>
      <c r="S678">
        <v>256</v>
      </c>
      <c r="T678">
        <v>0</v>
      </c>
      <c r="U678">
        <f>laptop[[#This Row],[PrimaryStorage]]+laptop[[#This Row],[SecondaryStorage]]</f>
        <v>256</v>
      </c>
      <c r="V678" t="s">
        <v>31</v>
      </c>
      <c r="W678" t="s">
        <v>27</v>
      </c>
      <c r="X678" t="str">
        <f>IF(laptop[[#This Row],[PrimaryStorageType]]=laptop[[#This Row],[SecondaryStorageType]],laptop[[#This Row],[PrimaryStorageType]],"SSD &amp; HDD")</f>
        <v>SSD &amp; HDD</v>
      </c>
      <c r="Y678" t="s">
        <v>42</v>
      </c>
      <c r="Z678" s="4" t="str">
        <f>_xlfn.CONCAT(laptop[[#This Row],[CPU_company]]," ",laptop[[#This Row],[GPU_model]])</f>
        <v>Intel HD Graphics 620</v>
      </c>
    </row>
    <row r="679" spans="1:26" x14ac:dyDescent="0.25">
      <c r="A679" t="s">
        <v>36</v>
      </c>
      <c r="B679" t="s">
        <v>574</v>
      </c>
      <c r="C679" t="s">
        <v>90</v>
      </c>
      <c r="D679">
        <v>11.6</v>
      </c>
      <c r="E679">
        <v>8</v>
      </c>
      <c r="F679" t="s">
        <v>317</v>
      </c>
      <c r="G679">
        <v>1.4</v>
      </c>
      <c r="H679" s="16">
        <v>495</v>
      </c>
      <c r="I679" t="s">
        <v>26</v>
      </c>
      <c r="J679">
        <v>1366</v>
      </c>
      <c r="K679">
        <v>768</v>
      </c>
      <c r="L679" t="s">
        <v>28</v>
      </c>
      <c r="M679" t="s">
        <v>27</v>
      </c>
      <c r="N679" t="s">
        <v>27</v>
      </c>
      <c r="O679" t="s">
        <v>29</v>
      </c>
      <c r="P679">
        <v>1.1000000000000001</v>
      </c>
      <c r="Q679" t="s">
        <v>109</v>
      </c>
      <c r="R679" t="str">
        <f>_xlfn.CONCAT(laptop[[#This Row],[CPU_company]]," ",laptop[[#This Row],[CPU_model]])</f>
        <v>Intel Celeron Dual Core N3350</v>
      </c>
      <c r="S679">
        <v>64</v>
      </c>
      <c r="T679">
        <v>0</v>
      </c>
      <c r="U679">
        <f>laptop[[#This Row],[PrimaryStorage]]+laptop[[#This Row],[SecondaryStorage]]</f>
        <v>64</v>
      </c>
      <c r="V679" t="s">
        <v>34</v>
      </c>
      <c r="W679" t="s">
        <v>27</v>
      </c>
      <c r="X679" t="str">
        <f>IF(laptop[[#This Row],[PrimaryStorageType]]=laptop[[#This Row],[SecondaryStorageType]],laptop[[#This Row],[PrimaryStorageType]],"SSD &amp; HDD")</f>
        <v>SSD &amp; HDD</v>
      </c>
      <c r="Y679" t="s">
        <v>110</v>
      </c>
      <c r="Z679" s="4" t="str">
        <f>_xlfn.CONCAT(laptop[[#This Row],[CPU_company]]," ",laptop[[#This Row],[GPU_model]])</f>
        <v>Intel HD Graphics 500</v>
      </c>
    </row>
    <row r="680" spans="1:26" x14ac:dyDescent="0.25">
      <c r="A680" t="s">
        <v>575</v>
      </c>
      <c r="B680" t="s">
        <v>576</v>
      </c>
      <c r="C680" t="s">
        <v>24</v>
      </c>
      <c r="D680">
        <v>15.6</v>
      </c>
      <c r="E680">
        <v>8</v>
      </c>
      <c r="F680" t="s">
        <v>48</v>
      </c>
      <c r="G680">
        <v>1.0900000000000001</v>
      </c>
      <c r="H680" s="16">
        <v>2299</v>
      </c>
      <c r="I680" t="s">
        <v>40</v>
      </c>
      <c r="J680">
        <v>1920</v>
      </c>
      <c r="K680">
        <v>1080</v>
      </c>
      <c r="L680" t="s">
        <v>27</v>
      </c>
      <c r="M680" t="s">
        <v>28</v>
      </c>
      <c r="N680" t="s">
        <v>27</v>
      </c>
      <c r="O680" t="s">
        <v>29</v>
      </c>
      <c r="P680">
        <v>1.8</v>
      </c>
      <c r="Q680" t="s">
        <v>57</v>
      </c>
      <c r="R680" t="str">
        <f>_xlfn.CONCAT(laptop[[#This Row],[CPU_company]]," ",laptop[[#This Row],[CPU_model]])</f>
        <v>Intel Core i7 8550U</v>
      </c>
      <c r="S680">
        <v>512</v>
      </c>
      <c r="T680">
        <v>0</v>
      </c>
      <c r="U680">
        <f>laptop[[#This Row],[PrimaryStorage]]+laptop[[#This Row],[SecondaryStorage]]</f>
        <v>512</v>
      </c>
      <c r="V680" t="s">
        <v>31</v>
      </c>
      <c r="W680" t="s">
        <v>27</v>
      </c>
      <c r="X680" t="str">
        <f>IF(laptop[[#This Row],[PrimaryStorageType]]=laptop[[#This Row],[SecondaryStorageType]],laptop[[#This Row],[PrimaryStorageType]],"SSD &amp; HDD")</f>
        <v>SSD &amp; HDD</v>
      </c>
      <c r="Y680" t="s">
        <v>42</v>
      </c>
      <c r="Z680" s="4" t="str">
        <f>_xlfn.CONCAT(laptop[[#This Row],[CPU_company]]," ",laptop[[#This Row],[GPU_model]])</f>
        <v>Intel HD Graphics 620</v>
      </c>
    </row>
    <row r="681" spans="1:26" x14ac:dyDescent="0.25">
      <c r="A681" t="s">
        <v>46</v>
      </c>
      <c r="B681" t="s">
        <v>577</v>
      </c>
      <c r="C681" t="s">
        <v>83</v>
      </c>
      <c r="D681">
        <v>15.6</v>
      </c>
      <c r="E681">
        <v>16</v>
      </c>
      <c r="F681" t="s">
        <v>48</v>
      </c>
      <c r="G681">
        <v>2.5</v>
      </c>
      <c r="H681" s="16">
        <v>1299</v>
      </c>
      <c r="I681" t="s">
        <v>40</v>
      </c>
      <c r="J681">
        <v>1920</v>
      </c>
      <c r="K681">
        <v>1080</v>
      </c>
      <c r="L681" t="s">
        <v>27</v>
      </c>
      <c r="M681" t="s">
        <v>27</v>
      </c>
      <c r="N681" t="s">
        <v>27</v>
      </c>
      <c r="O681" t="s">
        <v>29</v>
      </c>
      <c r="P681">
        <v>2.5</v>
      </c>
      <c r="Q681" t="s">
        <v>84</v>
      </c>
      <c r="R681" t="str">
        <f>_xlfn.CONCAT(laptop[[#This Row],[CPU_company]]," ",laptop[[#This Row],[CPU_model]])</f>
        <v>Intel Core i5 7300HQ</v>
      </c>
      <c r="S681">
        <v>256</v>
      </c>
      <c r="T681">
        <v>0</v>
      </c>
      <c r="U681">
        <f>laptop[[#This Row],[PrimaryStorage]]+laptop[[#This Row],[SecondaryStorage]]</f>
        <v>256</v>
      </c>
      <c r="V681" t="s">
        <v>31</v>
      </c>
      <c r="W681" t="s">
        <v>27</v>
      </c>
      <c r="X681" t="str">
        <f>IF(laptop[[#This Row],[PrimaryStorageType]]=laptop[[#This Row],[SecondaryStorageType]],laptop[[#This Row],[PrimaryStorageType]],"SSD &amp; HDD")</f>
        <v>SSD &amp; HDD</v>
      </c>
      <c r="Y681" t="s">
        <v>149</v>
      </c>
      <c r="Z681" s="4" t="str">
        <f>_xlfn.CONCAT(laptop[[#This Row],[CPU_company]]," ",laptop[[#This Row],[GPU_model]])</f>
        <v>Intel GeForce GTX 1050 Ti</v>
      </c>
    </row>
    <row r="682" spans="1:26" x14ac:dyDescent="0.25">
      <c r="A682" t="s">
        <v>141</v>
      </c>
      <c r="B682" t="s">
        <v>578</v>
      </c>
      <c r="C682" t="s">
        <v>83</v>
      </c>
      <c r="D682">
        <v>15.6</v>
      </c>
      <c r="E682">
        <v>8</v>
      </c>
      <c r="F682" t="s">
        <v>48</v>
      </c>
      <c r="G682">
        <v>2.2000000000000002</v>
      </c>
      <c r="H682" s="16">
        <v>997.9</v>
      </c>
      <c r="I682" t="s">
        <v>40</v>
      </c>
      <c r="J682">
        <v>1920</v>
      </c>
      <c r="K682">
        <v>1080</v>
      </c>
      <c r="L682" t="s">
        <v>27</v>
      </c>
      <c r="M682" t="s">
        <v>27</v>
      </c>
      <c r="N682" t="s">
        <v>27</v>
      </c>
      <c r="O682" t="s">
        <v>29</v>
      </c>
      <c r="P682">
        <v>2.5</v>
      </c>
      <c r="Q682" t="s">
        <v>84</v>
      </c>
      <c r="R682" t="str">
        <f>_xlfn.CONCAT(laptop[[#This Row],[CPU_company]]," ",laptop[[#This Row],[CPU_model]])</f>
        <v>Intel Core i5 7300HQ</v>
      </c>
      <c r="S682">
        <v>256</v>
      </c>
      <c r="T682">
        <v>0</v>
      </c>
      <c r="U682">
        <f>laptop[[#This Row],[PrimaryStorage]]+laptop[[#This Row],[SecondaryStorage]]</f>
        <v>256</v>
      </c>
      <c r="V682" t="s">
        <v>31</v>
      </c>
      <c r="W682" t="s">
        <v>27</v>
      </c>
      <c r="X682" t="str">
        <f>IF(laptop[[#This Row],[PrimaryStorageType]]=laptop[[#This Row],[SecondaryStorageType]],laptop[[#This Row],[PrimaryStorageType]],"SSD &amp; HDD")</f>
        <v>SSD &amp; HDD</v>
      </c>
      <c r="Y682" t="s">
        <v>85</v>
      </c>
      <c r="Z682" s="4" t="str">
        <f>_xlfn.CONCAT(laptop[[#This Row],[CPU_company]]," ",laptop[[#This Row],[GPU_model]])</f>
        <v>Intel GeForce GTX 1050</v>
      </c>
    </row>
    <row r="683" spans="1:26" x14ac:dyDescent="0.25">
      <c r="A683" t="s">
        <v>55</v>
      </c>
      <c r="B683" t="s">
        <v>579</v>
      </c>
      <c r="C683" t="s">
        <v>38</v>
      </c>
      <c r="D683">
        <v>15.6</v>
      </c>
      <c r="E683">
        <v>4</v>
      </c>
      <c r="F683" t="s">
        <v>48</v>
      </c>
      <c r="G683">
        <v>1.86</v>
      </c>
      <c r="H683" s="16">
        <v>419</v>
      </c>
      <c r="I683" t="s">
        <v>26</v>
      </c>
      <c r="J683">
        <v>1366</v>
      </c>
      <c r="K683">
        <v>768</v>
      </c>
      <c r="L683" t="s">
        <v>27</v>
      </c>
      <c r="M683" t="s">
        <v>27</v>
      </c>
      <c r="N683" t="s">
        <v>27</v>
      </c>
      <c r="O683" t="s">
        <v>29</v>
      </c>
      <c r="P683">
        <v>1.1000000000000001</v>
      </c>
      <c r="Q683" t="s">
        <v>109</v>
      </c>
      <c r="R683" t="str">
        <f>_xlfn.CONCAT(laptop[[#This Row],[CPU_company]]," ",laptop[[#This Row],[CPU_model]])</f>
        <v>Intel Celeron Dual Core N3350</v>
      </c>
      <c r="S683">
        <v>128</v>
      </c>
      <c r="T683">
        <v>0</v>
      </c>
      <c r="U683">
        <f>laptop[[#This Row],[PrimaryStorage]]+laptop[[#This Row],[SecondaryStorage]]</f>
        <v>128</v>
      </c>
      <c r="V683" t="s">
        <v>31</v>
      </c>
      <c r="W683" t="s">
        <v>27</v>
      </c>
      <c r="X683" t="str">
        <f>IF(laptop[[#This Row],[PrimaryStorageType]]=laptop[[#This Row],[SecondaryStorageType]],laptop[[#This Row],[PrimaryStorageType]],"SSD &amp; HDD")</f>
        <v>SSD &amp; HDD</v>
      </c>
      <c r="Y683" t="s">
        <v>110</v>
      </c>
      <c r="Z683" s="4" t="str">
        <f>_xlfn.CONCAT(laptop[[#This Row],[CPU_company]]," ",laptop[[#This Row],[GPU_model]])</f>
        <v>Intel HD Graphics 500</v>
      </c>
    </row>
    <row r="684" spans="1:26" x14ac:dyDescent="0.25">
      <c r="A684" t="s">
        <v>65</v>
      </c>
      <c r="B684" t="s">
        <v>580</v>
      </c>
      <c r="C684" t="s">
        <v>83</v>
      </c>
      <c r="D684">
        <v>15.6</v>
      </c>
      <c r="E684">
        <v>16</v>
      </c>
      <c r="F684" t="s">
        <v>48</v>
      </c>
      <c r="G684">
        <v>3.21</v>
      </c>
      <c r="H684" s="16">
        <v>2051</v>
      </c>
      <c r="I684" t="s">
        <v>40</v>
      </c>
      <c r="J684">
        <v>1920</v>
      </c>
      <c r="K684">
        <v>1080</v>
      </c>
      <c r="L684" t="s">
        <v>27</v>
      </c>
      <c r="M684" t="s">
        <v>27</v>
      </c>
      <c r="N684" t="s">
        <v>27</v>
      </c>
      <c r="O684" t="s">
        <v>29</v>
      </c>
      <c r="P684">
        <v>2.5</v>
      </c>
      <c r="Q684" t="s">
        <v>84</v>
      </c>
      <c r="R684" t="str">
        <f>_xlfn.CONCAT(laptop[[#This Row],[CPU_company]]," ",laptop[[#This Row],[CPU_model]])</f>
        <v>Intel Core i5 7300HQ</v>
      </c>
      <c r="S684">
        <v>128</v>
      </c>
      <c r="T684">
        <v>1024</v>
      </c>
      <c r="U684">
        <f>laptop[[#This Row],[PrimaryStorage]]+laptop[[#This Row],[SecondaryStorage]]</f>
        <v>1152</v>
      </c>
      <c r="V684" t="s">
        <v>31</v>
      </c>
      <c r="W684" t="s">
        <v>51</v>
      </c>
      <c r="X684" t="str">
        <f>IF(laptop[[#This Row],[PrimaryStorageType]]=laptop[[#This Row],[SecondaryStorageType]],laptop[[#This Row],[PrimaryStorageType]],"SSD &amp; HDD")</f>
        <v>SSD &amp; HDD</v>
      </c>
      <c r="Y684" t="s">
        <v>119</v>
      </c>
      <c r="Z684" s="4" t="str">
        <f>_xlfn.CONCAT(laptop[[#This Row],[CPU_company]]," ",laptop[[#This Row],[GPU_model]])</f>
        <v>Intel GeForce GTX 1060</v>
      </c>
    </row>
    <row r="685" spans="1:26" x14ac:dyDescent="0.25">
      <c r="A685" t="s">
        <v>36</v>
      </c>
      <c r="B685" t="s">
        <v>581</v>
      </c>
      <c r="C685" t="s">
        <v>38</v>
      </c>
      <c r="D685">
        <v>17.3</v>
      </c>
      <c r="E685">
        <v>4</v>
      </c>
      <c r="F685" t="s">
        <v>48</v>
      </c>
      <c r="G685">
        <v>2.5</v>
      </c>
      <c r="H685" s="16">
        <v>699</v>
      </c>
      <c r="I685" t="s">
        <v>40</v>
      </c>
      <c r="J685">
        <v>1920</v>
      </c>
      <c r="K685">
        <v>1080</v>
      </c>
      <c r="L685" t="s">
        <v>27</v>
      </c>
      <c r="M685" t="s">
        <v>28</v>
      </c>
      <c r="N685" t="s">
        <v>27</v>
      </c>
      <c r="O685" t="s">
        <v>29</v>
      </c>
      <c r="P685">
        <v>2</v>
      </c>
      <c r="Q685" t="s">
        <v>62</v>
      </c>
      <c r="R685" t="str">
        <f>_xlfn.CONCAT(laptop[[#This Row],[CPU_company]]," ",laptop[[#This Row],[CPU_model]])</f>
        <v>Intel Core i3 6006U</v>
      </c>
      <c r="S685">
        <v>256</v>
      </c>
      <c r="T685">
        <v>0</v>
      </c>
      <c r="U685">
        <f>laptop[[#This Row],[PrimaryStorage]]+laptop[[#This Row],[SecondaryStorage]]</f>
        <v>256</v>
      </c>
      <c r="V685" t="s">
        <v>31</v>
      </c>
      <c r="W685" t="s">
        <v>27</v>
      </c>
      <c r="X685" t="str">
        <f>IF(laptop[[#This Row],[PrimaryStorageType]]=laptop[[#This Row],[SecondaryStorageType]],laptop[[#This Row],[PrimaryStorageType]],"SSD &amp; HDD")</f>
        <v>SSD &amp; HDD</v>
      </c>
      <c r="Y685" t="s">
        <v>582</v>
      </c>
      <c r="Z685" s="4" t="str">
        <f>_xlfn.CONCAT(laptop[[#This Row],[CPU_company]]," ",laptop[[#This Row],[GPU_model]])</f>
        <v>Intel Radeon R5 520</v>
      </c>
    </row>
    <row r="686" spans="1:26" x14ac:dyDescent="0.25">
      <c r="A686" t="s">
        <v>73</v>
      </c>
      <c r="B686" t="s">
        <v>583</v>
      </c>
      <c r="C686" t="s">
        <v>90</v>
      </c>
      <c r="D686">
        <v>13.3</v>
      </c>
      <c r="E686">
        <v>8</v>
      </c>
      <c r="F686" t="s">
        <v>48</v>
      </c>
      <c r="G686">
        <v>1.19</v>
      </c>
      <c r="H686" s="16">
        <v>1499</v>
      </c>
      <c r="I686" t="s">
        <v>40</v>
      </c>
      <c r="J686">
        <v>1920</v>
      </c>
      <c r="K686">
        <v>1080</v>
      </c>
      <c r="L686" t="s">
        <v>28</v>
      </c>
      <c r="M686" t="s">
        <v>28</v>
      </c>
      <c r="N686" t="s">
        <v>27</v>
      </c>
      <c r="O686" t="s">
        <v>29</v>
      </c>
      <c r="P686">
        <v>1.8</v>
      </c>
      <c r="Q686" t="s">
        <v>57</v>
      </c>
      <c r="R686" t="str">
        <f>_xlfn.CONCAT(laptop[[#This Row],[CPU_company]]," ",laptop[[#This Row],[CPU_model]])</f>
        <v>Intel Core i7 8550U</v>
      </c>
      <c r="S686">
        <v>512</v>
      </c>
      <c r="T686">
        <v>0</v>
      </c>
      <c r="U686">
        <f>laptop[[#This Row],[PrimaryStorage]]+laptop[[#This Row],[SecondaryStorage]]</f>
        <v>512</v>
      </c>
      <c r="V686" t="s">
        <v>31</v>
      </c>
      <c r="W686" t="s">
        <v>27</v>
      </c>
      <c r="X686" t="str">
        <f>IF(laptop[[#This Row],[PrimaryStorageType]]=laptop[[#This Row],[SecondaryStorageType]],laptop[[#This Row],[PrimaryStorageType]],"SSD &amp; HDD")</f>
        <v>SSD &amp; HDD</v>
      </c>
      <c r="Y686" t="s">
        <v>61</v>
      </c>
      <c r="Z686" s="4" t="str">
        <f>_xlfn.CONCAT(laptop[[#This Row],[CPU_company]]," ",laptop[[#This Row],[GPU_model]])</f>
        <v>Intel UHD Graphics 620</v>
      </c>
    </row>
    <row r="687" spans="1:26" x14ac:dyDescent="0.25">
      <c r="A687" t="s">
        <v>65</v>
      </c>
      <c r="B687" t="s">
        <v>580</v>
      </c>
      <c r="C687" t="s">
        <v>83</v>
      </c>
      <c r="D687">
        <v>15.6</v>
      </c>
      <c r="E687">
        <v>16</v>
      </c>
      <c r="F687" t="s">
        <v>48</v>
      </c>
      <c r="G687">
        <v>3.49</v>
      </c>
      <c r="H687" s="16">
        <v>2813.75</v>
      </c>
      <c r="I687" t="s">
        <v>40</v>
      </c>
      <c r="J687">
        <v>1920</v>
      </c>
      <c r="K687">
        <v>1080</v>
      </c>
      <c r="L687" t="s">
        <v>27</v>
      </c>
      <c r="M687" t="s">
        <v>27</v>
      </c>
      <c r="N687" t="s">
        <v>27</v>
      </c>
      <c r="O687" t="s">
        <v>29</v>
      </c>
      <c r="P687">
        <v>2.9</v>
      </c>
      <c r="Q687" t="s">
        <v>258</v>
      </c>
      <c r="R687" t="str">
        <f>_xlfn.CONCAT(laptop[[#This Row],[CPU_company]]," ",laptop[[#This Row],[CPU_model]])</f>
        <v>Intel Core i7 7820HK</v>
      </c>
      <c r="S687">
        <v>256</v>
      </c>
      <c r="T687">
        <v>1024</v>
      </c>
      <c r="U687">
        <f>laptop[[#This Row],[PrimaryStorage]]+laptop[[#This Row],[SecondaryStorage]]</f>
        <v>1280</v>
      </c>
      <c r="V687" t="s">
        <v>31</v>
      </c>
      <c r="W687" t="s">
        <v>51</v>
      </c>
      <c r="X687" t="str">
        <f>IF(laptop[[#This Row],[PrimaryStorageType]]=laptop[[#This Row],[SecondaryStorageType]],laptop[[#This Row],[PrimaryStorageType]],"SSD &amp; HDD")</f>
        <v>SSD &amp; HDD</v>
      </c>
      <c r="Y687" t="s">
        <v>143</v>
      </c>
      <c r="Z687" s="4" t="str">
        <f>_xlfn.CONCAT(laptop[[#This Row],[CPU_company]]," ",laptop[[#This Row],[GPU_model]])</f>
        <v>Intel GeForce GTX 1070</v>
      </c>
    </row>
    <row r="688" spans="1:26" x14ac:dyDescent="0.25">
      <c r="A688" t="s">
        <v>36</v>
      </c>
      <c r="B688" t="s">
        <v>37</v>
      </c>
      <c r="C688" t="s">
        <v>38</v>
      </c>
      <c r="D688">
        <v>15.6</v>
      </c>
      <c r="E688">
        <v>4</v>
      </c>
      <c r="F688" t="s">
        <v>48</v>
      </c>
      <c r="G688">
        <v>1.86</v>
      </c>
      <c r="H688" s="16">
        <v>612.61</v>
      </c>
      <c r="I688" t="s">
        <v>26</v>
      </c>
      <c r="J688">
        <v>1366</v>
      </c>
      <c r="K688">
        <v>768</v>
      </c>
      <c r="L688" t="s">
        <v>27</v>
      </c>
      <c r="M688" t="s">
        <v>27</v>
      </c>
      <c r="N688" t="s">
        <v>27</v>
      </c>
      <c r="O688" t="s">
        <v>29</v>
      </c>
      <c r="P688">
        <v>2.5</v>
      </c>
      <c r="Q688" t="s">
        <v>41</v>
      </c>
      <c r="R688" t="str">
        <f>_xlfn.CONCAT(laptop[[#This Row],[CPU_company]]," ",laptop[[#This Row],[CPU_model]])</f>
        <v>Intel Core i5 7200U</v>
      </c>
      <c r="S688">
        <v>500</v>
      </c>
      <c r="T688">
        <v>0</v>
      </c>
      <c r="U688">
        <f>laptop[[#This Row],[PrimaryStorage]]+laptop[[#This Row],[SecondaryStorage]]</f>
        <v>500</v>
      </c>
      <c r="V688" t="s">
        <v>51</v>
      </c>
      <c r="W688" t="s">
        <v>27</v>
      </c>
      <c r="X688" t="str">
        <f>IF(laptop[[#This Row],[PrimaryStorageType]]=laptop[[#This Row],[SecondaryStorageType]],laptop[[#This Row],[PrimaryStorageType]],"SSD &amp; HDD")</f>
        <v>SSD &amp; HDD</v>
      </c>
      <c r="Y688" t="s">
        <v>138</v>
      </c>
      <c r="Z688" s="4" t="str">
        <f>_xlfn.CONCAT(laptop[[#This Row],[CPU_company]]," ",laptop[[#This Row],[GPU_model]])</f>
        <v>Intel Radeon 520</v>
      </c>
    </row>
    <row r="689" spans="1:26" x14ac:dyDescent="0.25">
      <c r="A689" t="s">
        <v>65</v>
      </c>
      <c r="B689" t="s">
        <v>66</v>
      </c>
      <c r="C689" t="s">
        <v>38</v>
      </c>
      <c r="D689">
        <v>15.6</v>
      </c>
      <c r="E689">
        <v>4</v>
      </c>
      <c r="F689" t="s">
        <v>48</v>
      </c>
      <c r="G689">
        <v>2.2000000000000002</v>
      </c>
      <c r="H689" s="16">
        <v>545.66999999999996</v>
      </c>
      <c r="I689" t="s">
        <v>26</v>
      </c>
      <c r="J689">
        <v>1366</v>
      </c>
      <c r="K689">
        <v>768</v>
      </c>
      <c r="L689" t="s">
        <v>27</v>
      </c>
      <c r="M689" t="s">
        <v>27</v>
      </c>
      <c r="N689" t="s">
        <v>27</v>
      </c>
      <c r="O689" t="s">
        <v>29</v>
      </c>
      <c r="P689">
        <v>2</v>
      </c>
      <c r="Q689" t="s">
        <v>62</v>
      </c>
      <c r="R689" t="str">
        <f>_xlfn.CONCAT(laptop[[#This Row],[CPU_company]]," ",laptop[[#This Row],[CPU_model]])</f>
        <v>Intel Core i3 6006U</v>
      </c>
      <c r="S689">
        <v>1024</v>
      </c>
      <c r="T689">
        <v>0</v>
      </c>
      <c r="U689">
        <f>laptop[[#This Row],[PrimaryStorage]]+laptop[[#This Row],[SecondaryStorage]]</f>
        <v>1024</v>
      </c>
      <c r="V689" t="s">
        <v>51</v>
      </c>
      <c r="W689" t="s">
        <v>27</v>
      </c>
      <c r="X689" t="str">
        <f>IF(laptop[[#This Row],[PrimaryStorageType]]=laptop[[#This Row],[SecondaryStorageType]],laptop[[#This Row],[PrimaryStorageType]],"SSD &amp; HDD")</f>
        <v>SSD &amp; HDD</v>
      </c>
      <c r="Y689" t="s">
        <v>67</v>
      </c>
      <c r="Z689" s="4" t="str">
        <f>_xlfn.CONCAT(laptop[[#This Row],[CPU_company]]," ",laptop[[#This Row],[GPU_model]])</f>
        <v>Intel Radeon R5 M430</v>
      </c>
    </row>
    <row r="690" spans="1:26" x14ac:dyDescent="0.25">
      <c r="A690" t="s">
        <v>36</v>
      </c>
      <c r="B690" t="s">
        <v>584</v>
      </c>
      <c r="C690" t="s">
        <v>38</v>
      </c>
      <c r="D690">
        <v>17.3</v>
      </c>
      <c r="E690">
        <v>6</v>
      </c>
      <c r="F690" t="s">
        <v>48</v>
      </c>
      <c r="G690">
        <v>2.65</v>
      </c>
      <c r="H690" s="16">
        <v>569</v>
      </c>
      <c r="I690" t="s">
        <v>40</v>
      </c>
      <c r="J690">
        <v>1920</v>
      </c>
      <c r="K690">
        <v>1080</v>
      </c>
      <c r="L690" t="s">
        <v>27</v>
      </c>
      <c r="M690" t="s">
        <v>28</v>
      </c>
      <c r="N690" t="s">
        <v>27</v>
      </c>
      <c r="O690" t="s">
        <v>49</v>
      </c>
      <c r="P690">
        <v>2.4</v>
      </c>
      <c r="Q690" t="s">
        <v>326</v>
      </c>
      <c r="R690" t="str">
        <f>_xlfn.CONCAT(laptop[[#This Row],[CPU_company]]," ",laptop[[#This Row],[CPU_model]])</f>
        <v>AMD A10-Series 9600P</v>
      </c>
      <c r="S690">
        <v>2048</v>
      </c>
      <c r="T690">
        <v>0</v>
      </c>
      <c r="U690">
        <f>laptop[[#This Row],[PrimaryStorage]]+laptop[[#This Row],[SecondaryStorage]]</f>
        <v>2048</v>
      </c>
      <c r="V690" t="s">
        <v>51</v>
      </c>
      <c r="W690" t="s">
        <v>27</v>
      </c>
      <c r="X690" t="str">
        <f>IF(laptop[[#This Row],[PrimaryStorageType]]=laptop[[#This Row],[SecondaryStorageType]],laptop[[#This Row],[PrimaryStorageType]],"SSD &amp; HDD")</f>
        <v>SSD &amp; HDD</v>
      </c>
      <c r="Y690" t="s">
        <v>585</v>
      </c>
      <c r="Z690" s="4" t="str">
        <f>_xlfn.CONCAT(laptop[[#This Row],[CPU_company]]," ",laptop[[#This Row],[GPU_model]])</f>
        <v>AMD Radeon R7 M440</v>
      </c>
    </row>
    <row r="691" spans="1:26" x14ac:dyDescent="0.25">
      <c r="A691" t="s">
        <v>73</v>
      </c>
      <c r="B691" t="s">
        <v>586</v>
      </c>
      <c r="C691" t="s">
        <v>38</v>
      </c>
      <c r="D691">
        <v>15.6</v>
      </c>
      <c r="E691">
        <v>4</v>
      </c>
      <c r="F691" t="s">
        <v>48</v>
      </c>
      <c r="G691">
        <v>2.1</v>
      </c>
      <c r="H691" s="16">
        <v>318</v>
      </c>
      <c r="I691" t="s">
        <v>26</v>
      </c>
      <c r="J691">
        <v>1366</v>
      </c>
      <c r="K691">
        <v>768</v>
      </c>
      <c r="L691" t="s">
        <v>27</v>
      </c>
      <c r="M691" t="s">
        <v>27</v>
      </c>
      <c r="N691" t="s">
        <v>27</v>
      </c>
      <c r="O691" t="s">
        <v>29</v>
      </c>
      <c r="P691">
        <v>1.6</v>
      </c>
      <c r="Q691" t="s">
        <v>342</v>
      </c>
      <c r="R691" t="str">
        <f>_xlfn.CONCAT(laptop[[#This Row],[CPU_company]]," ",laptop[[#This Row],[CPU_model]])</f>
        <v>Intel Celeron Dual Core 3855U</v>
      </c>
      <c r="S691">
        <v>500</v>
      </c>
      <c r="T691">
        <v>0</v>
      </c>
      <c r="U691">
        <f>laptop[[#This Row],[PrimaryStorage]]+laptop[[#This Row],[SecondaryStorage]]</f>
        <v>500</v>
      </c>
      <c r="V691" t="s">
        <v>51</v>
      </c>
      <c r="W691" t="s">
        <v>27</v>
      </c>
      <c r="X691" t="str">
        <f>IF(laptop[[#This Row],[PrimaryStorageType]]=laptop[[#This Row],[SecondaryStorageType]],laptop[[#This Row],[PrimaryStorageType]],"SSD &amp; HDD")</f>
        <v>SSD &amp; HDD</v>
      </c>
      <c r="Y691" t="s">
        <v>343</v>
      </c>
      <c r="Z691" s="4" t="str">
        <f>_xlfn.CONCAT(laptop[[#This Row],[CPU_company]]," ",laptop[[#This Row],[GPU_model]])</f>
        <v>Intel HD Graphics 510</v>
      </c>
    </row>
    <row r="692" spans="1:26" x14ac:dyDescent="0.25">
      <c r="A692" t="s">
        <v>46</v>
      </c>
      <c r="B692" t="s">
        <v>587</v>
      </c>
      <c r="C692" t="s">
        <v>38</v>
      </c>
      <c r="D692">
        <v>14</v>
      </c>
      <c r="E692">
        <v>4</v>
      </c>
      <c r="F692" t="s">
        <v>317</v>
      </c>
      <c r="G692">
        <v>1.45</v>
      </c>
      <c r="H692" s="16">
        <v>375</v>
      </c>
      <c r="I692" t="s">
        <v>26</v>
      </c>
      <c r="J692">
        <v>1366</v>
      </c>
      <c r="K692">
        <v>768</v>
      </c>
      <c r="L692" t="s">
        <v>27</v>
      </c>
      <c r="M692" t="s">
        <v>27</v>
      </c>
      <c r="N692" t="s">
        <v>27</v>
      </c>
      <c r="O692" t="s">
        <v>29</v>
      </c>
      <c r="P692">
        <v>1.6</v>
      </c>
      <c r="Q692" t="s">
        <v>342</v>
      </c>
      <c r="R692" t="str">
        <f>_xlfn.CONCAT(laptop[[#This Row],[CPU_company]]," ",laptop[[#This Row],[CPU_model]])</f>
        <v>Intel Celeron Dual Core 3855U</v>
      </c>
      <c r="S692">
        <v>32</v>
      </c>
      <c r="T692">
        <v>0</v>
      </c>
      <c r="U692">
        <f>laptop[[#This Row],[PrimaryStorage]]+laptop[[#This Row],[SecondaryStorage]]</f>
        <v>32</v>
      </c>
      <c r="V692" t="s">
        <v>34</v>
      </c>
      <c r="W692" t="s">
        <v>27</v>
      </c>
      <c r="X692" t="str">
        <f>IF(laptop[[#This Row],[PrimaryStorageType]]=laptop[[#This Row],[SecondaryStorageType]],laptop[[#This Row],[PrimaryStorageType]],"SSD &amp; HDD")</f>
        <v>SSD &amp; HDD</v>
      </c>
      <c r="Y692" t="s">
        <v>343</v>
      </c>
      <c r="Z692" s="4" t="str">
        <f>_xlfn.CONCAT(laptop[[#This Row],[CPU_company]]," ",laptop[[#This Row],[GPU_model]])</f>
        <v>Intel HD Graphics 510</v>
      </c>
    </row>
    <row r="693" spans="1:26" x14ac:dyDescent="0.25">
      <c r="A693" t="s">
        <v>73</v>
      </c>
      <c r="B693" t="s">
        <v>588</v>
      </c>
      <c r="C693" t="s">
        <v>38</v>
      </c>
      <c r="D693">
        <v>14</v>
      </c>
      <c r="E693">
        <v>4</v>
      </c>
      <c r="F693" t="s">
        <v>48</v>
      </c>
      <c r="G693">
        <v>1.7</v>
      </c>
      <c r="H693" s="16">
        <v>699</v>
      </c>
      <c r="I693" t="s">
        <v>40</v>
      </c>
      <c r="J693">
        <v>1920</v>
      </c>
      <c r="K693">
        <v>1080</v>
      </c>
      <c r="L693" t="s">
        <v>27</v>
      </c>
      <c r="M693" t="s">
        <v>27</v>
      </c>
      <c r="N693" t="s">
        <v>27</v>
      </c>
      <c r="O693" t="s">
        <v>29</v>
      </c>
      <c r="P693">
        <v>2.5</v>
      </c>
      <c r="Q693" t="s">
        <v>41</v>
      </c>
      <c r="R693" t="str">
        <f>_xlfn.CONCAT(laptop[[#This Row],[CPU_company]]," ",laptop[[#This Row],[CPU_model]])</f>
        <v>Intel Core i5 7200U</v>
      </c>
      <c r="S693">
        <v>256</v>
      </c>
      <c r="T693">
        <v>0</v>
      </c>
      <c r="U693">
        <f>laptop[[#This Row],[PrimaryStorage]]+laptop[[#This Row],[SecondaryStorage]]</f>
        <v>256</v>
      </c>
      <c r="V693" t="s">
        <v>31</v>
      </c>
      <c r="W693" t="s">
        <v>27</v>
      </c>
      <c r="X693" t="str">
        <f>IF(laptop[[#This Row],[PrimaryStorageType]]=laptop[[#This Row],[SecondaryStorageType]],laptop[[#This Row],[PrimaryStorageType]],"SSD &amp; HDD")</f>
        <v>SSD &amp; HDD</v>
      </c>
      <c r="Y693" t="s">
        <v>42</v>
      </c>
      <c r="Z693" s="4" t="str">
        <f>_xlfn.CONCAT(laptop[[#This Row],[CPU_company]]," ",laptop[[#This Row],[GPU_model]])</f>
        <v>Intel HD Graphics 620</v>
      </c>
    </row>
    <row r="694" spans="1:26" x14ac:dyDescent="0.25">
      <c r="A694" t="s">
        <v>36</v>
      </c>
      <c r="B694" t="s">
        <v>506</v>
      </c>
      <c r="C694" t="s">
        <v>265</v>
      </c>
      <c r="D694">
        <v>17.3</v>
      </c>
      <c r="E694">
        <v>8</v>
      </c>
      <c r="F694" t="s">
        <v>48</v>
      </c>
      <c r="G694">
        <v>3.14</v>
      </c>
      <c r="H694" s="16">
        <v>1907.99</v>
      </c>
      <c r="I694" t="s">
        <v>40</v>
      </c>
      <c r="J694">
        <v>1920</v>
      </c>
      <c r="K694">
        <v>1080</v>
      </c>
      <c r="L694" t="s">
        <v>27</v>
      </c>
      <c r="M694" t="s">
        <v>27</v>
      </c>
      <c r="N694" t="s">
        <v>27</v>
      </c>
      <c r="O694" t="s">
        <v>29</v>
      </c>
      <c r="P694">
        <v>2.8</v>
      </c>
      <c r="Q694" t="s">
        <v>118</v>
      </c>
      <c r="R694" t="str">
        <f>_xlfn.CONCAT(laptop[[#This Row],[CPU_company]]," ",laptop[[#This Row],[CPU_model]])</f>
        <v>Intel Core i7 7700HQ</v>
      </c>
      <c r="S694">
        <v>500</v>
      </c>
      <c r="T694">
        <v>0</v>
      </c>
      <c r="U694">
        <f>laptop[[#This Row],[PrimaryStorage]]+laptop[[#This Row],[SecondaryStorage]]</f>
        <v>500</v>
      </c>
      <c r="V694" t="s">
        <v>51</v>
      </c>
      <c r="W694" t="s">
        <v>27</v>
      </c>
      <c r="X694" t="str">
        <f>IF(laptop[[#This Row],[PrimaryStorageType]]=laptop[[#This Row],[SecondaryStorageType]],laptop[[#This Row],[PrimaryStorageType]],"SSD &amp; HDD")</f>
        <v>SSD &amp; HDD</v>
      </c>
      <c r="Y694" t="s">
        <v>267</v>
      </c>
      <c r="Z694" s="4" t="str">
        <f>_xlfn.CONCAT(laptop[[#This Row],[CPU_company]]," ",laptop[[#This Row],[GPU_model]])</f>
        <v>Intel Quadro M1200</v>
      </c>
    </row>
    <row r="695" spans="1:26" x14ac:dyDescent="0.25">
      <c r="A695" t="s">
        <v>73</v>
      </c>
      <c r="B695" t="s">
        <v>308</v>
      </c>
      <c r="C695" t="s">
        <v>90</v>
      </c>
      <c r="D695">
        <v>14</v>
      </c>
      <c r="E695">
        <v>8</v>
      </c>
      <c r="F695" t="s">
        <v>48</v>
      </c>
      <c r="G695">
        <v>1.42</v>
      </c>
      <c r="H695" s="16">
        <v>2590</v>
      </c>
      <c r="I695" t="s">
        <v>26</v>
      </c>
      <c r="J695">
        <v>2560</v>
      </c>
      <c r="K695">
        <v>1440</v>
      </c>
      <c r="L695" t="s">
        <v>28</v>
      </c>
      <c r="M695" t="s">
        <v>27</v>
      </c>
      <c r="N695" t="s">
        <v>27</v>
      </c>
      <c r="O695" t="s">
        <v>29</v>
      </c>
      <c r="P695">
        <v>2.7</v>
      </c>
      <c r="Q695" t="s">
        <v>71</v>
      </c>
      <c r="R695" t="str">
        <f>_xlfn.CONCAT(laptop[[#This Row],[CPU_company]]," ",laptop[[#This Row],[CPU_model]])</f>
        <v>Intel Core i7 7500U</v>
      </c>
      <c r="S695">
        <v>256</v>
      </c>
      <c r="T695">
        <v>0</v>
      </c>
      <c r="U695">
        <f>laptop[[#This Row],[PrimaryStorage]]+laptop[[#This Row],[SecondaryStorage]]</f>
        <v>256</v>
      </c>
      <c r="V695" t="s">
        <v>31</v>
      </c>
      <c r="W695" t="s">
        <v>27</v>
      </c>
      <c r="X695" t="str">
        <f>IF(laptop[[#This Row],[PrimaryStorageType]]=laptop[[#This Row],[SecondaryStorageType]],laptop[[#This Row],[PrimaryStorageType]],"SSD &amp; HDD")</f>
        <v>SSD &amp; HDD</v>
      </c>
      <c r="Y695" t="s">
        <v>42</v>
      </c>
      <c r="Z695" s="4" t="str">
        <f>_xlfn.CONCAT(laptop[[#This Row],[CPU_company]]," ",laptop[[#This Row],[GPU_model]])</f>
        <v>Intel HD Graphics 620</v>
      </c>
    </row>
    <row r="696" spans="1:26" x14ac:dyDescent="0.25">
      <c r="A696" t="s">
        <v>210</v>
      </c>
      <c r="B696" t="s">
        <v>211</v>
      </c>
      <c r="C696" t="s">
        <v>38</v>
      </c>
      <c r="D696">
        <v>13.3</v>
      </c>
      <c r="E696">
        <v>8</v>
      </c>
      <c r="F696" t="s">
        <v>48</v>
      </c>
      <c r="G696">
        <v>1.5</v>
      </c>
      <c r="H696" s="16">
        <v>973</v>
      </c>
      <c r="I696" t="s">
        <v>40</v>
      </c>
      <c r="J696">
        <v>1920</v>
      </c>
      <c r="K696">
        <v>1080</v>
      </c>
      <c r="L696" t="s">
        <v>27</v>
      </c>
      <c r="M696" t="s">
        <v>28</v>
      </c>
      <c r="N696" t="s">
        <v>27</v>
      </c>
      <c r="O696" t="s">
        <v>29</v>
      </c>
      <c r="P696">
        <v>2.5</v>
      </c>
      <c r="Q696" t="s">
        <v>41</v>
      </c>
      <c r="R696" t="str">
        <f>_xlfn.CONCAT(laptop[[#This Row],[CPU_company]]," ",laptop[[#This Row],[CPU_model]])</f>
        <v>Intel Core i5 7200U</v>
      </c>
      <c r="S696">
        <v>256</v>
      </c>
      <c r="T696">
        <v>0</v>
      </c>
      <c r="U696">
        <f>laptop[[#This Row],[PrimaryStorage]]+laptop[[#This Row],[SecondaryStorage]]</f>
        <v>256</v>
      </c>
      <c r="V696" t="s">
        <v>31</v>
      </c>
      <c r="W696" t="s">
        <v>27</v>
      </c>
      <c r="X696" t="str">
        <f>IF(laptop[[#This Row],[PrimaryStorageType]]=laptop[[#This Row],[SecondaryStorageType]],laptop[[#This Row],[PrimaryStorageType]],"SSD &amp; HDD")</f>
        <v>SSD &amp; HDD</v>
      </c>
      <c r="Y696" t="s">
        <v>42</v>
      </c>
      <c r="Z696" s="4" t="str">
        <f>_xlfn.CONCAT(laptop[[#This Row],[CPU_company]]," ",laptop[[#This Row],[GPU_model]])</f>
        <v>Intel HD Graphics 620</v>
      </c>
    </row>
    <row r="697" spans="1:26" x14ac:dyDescent="0.25">
      <c r="A697" t="s">
        <v>46</v>
      </c>
      <c r="B697" t="s">
        <v>589</v>
      </c>
      <c r="C697" t="s">
        <v>79</v>
      </c>
      <c r="D697">
        <v>11.6</v>
      </c>
      <c r="E697">
        <v>4</v>
      </c>
      <c r="F697" t="s">
        <v>48</v>
      </c>
      <c r="G697">
        <v>1.4</v>
      </c>
      <c r="H697" s="16">
        <v>269</v>
      </c>
      <c r="I697" t="s">
        <v>26</v>
      </c>
      <c r="J697">
        <v>1366</v>
      </c>
      <c r="K697">
        <v>768</v>
      </c>
      <c r="L697" t="s">
        <v>27</v>
      </c>
      <c r="M697" t="s">
        <v>27</v>
      </c>
      <c r="N697" t="s">
        <v>27</v>
      </c>
      <c r="O697" t="s">
        <v>29</v>
      </c>
      <c r="P697">
        <v>1.6</v>
      </c>
      <c r="Q697" t="s">
        <v>590</v>
      </c>
      <c r="R697" t="str">
        <f>_xlfn.CONCAT(laptop[[#This Row],[CPU_company]]," ",laptop[[#This Row],[CPU_model]])</f>
        <v>Intel Celeron Dual Core N3050</v>
      </c>
      <c r="S697">
        <v>32</v>
      </c>
      <c r="T697">
        <v>0</v>
      </c>
      <c r="U697">
        <f>laptop[[#This Row],[PrimaryStorage]]+laptop[[#This Row],[SecondaryStorage]]</f>
        <v>32</v>
      </c>
      <c r="V697" t="s">
        <v>34</v>
      </c>
      <c r="W697" t="s">
        <v>27</v>
      </c>
      <c r="X697" t="str">
        <f>IF(laptop[[#This Row],[PrimaryStorageType]]=laptop[[#This Row],[SecondaryStorageType]],laptop[[#This Row],[PrimaryStorageType]],"SSD &amp; HDD")</f>
        <v>SSD &amp; HDD</v>
      </c>
      <c r="Y697" t="s">
        <v>102</v>
      </c>
      <c r="Z697" s="4" t="str">
        <f>_xlfn.CONCAT(laptop[[#This Row],[CPU_company]]," ",laptop[[#This Row],[GPU_model]])</f>
        <v>Intel HD Graphics</v>
      </c>
    </row>
    <row r="698" spans="1:26" x14ac:dyDescent="0.25">
      <c r="A698" t="s">
        <v>73</v>
      </c>
      <c r="B698" t="s">
        <v>293</v>
      </c>
      <c r="C698" t="s">
        <v>90</v>
      </c>
      <c r="D698">
        <v>14</v>
      </c>
      <c r="E698">
        <v>16</v>
      </c>
      <c r="F698" t="s">
        <v>48</v>
      </c>
      <c r="G698">
        <v>1.38</v>
      </c>
      <c r="H698" s="16">
        <v>1749</v>
      </c>
      <c r="I698" t="s">
        <v>40</v>
      </c>
      <c r="J698">
        <v>1920</v>
      </c>
      <c r="K698">
        <v>1080</v>
      </c>
      <c r="L698" t="s">
        <v>28</v>
      </c>
      <c r="M698" t="s">
        <v>27</v>
      </c>
      <c r="N698" t="s">
        <v>27</v>
      </c>
      <c r="O698" t="s">
        <v>29</v>
      </c>
      <c r="P698">
        <v>2.7</v>
      </c>
      <c r="Q698" t="s">
        <v>71</v>
      </c>
      <c r="R698" t="str">
        <f>_xlfn.CONCAT(laptop[[#This Row],[CPU_company]]," ",laptop[[#This Row],[CPU_model]])</f>
        <v>Intel Core i7 7500U</v>
      </c>
      <c r="S698">
        <v>512</v>
      </c>
      <c r="T698">
        <v>0</v>
      </c>
      <c r="U698">
        <f>laptop[[#This Row],[PrimaryStorage]]+laptop[[#This Row],[SecondaryStorage]]</f>
        <v>512</v>
      </c>
      <c r="V698" t="s">
        <v>31</v>
      </c>
      <c r="W698" t="s">
        <v>27</v>
      </c>
      <c r="X698" t="str">
        <f>IF(laptop[[#This Row],[PrimaryStorageType]]=laptop[[#This Row],[SecondaryStorageType]],laptop[[#This Row],[PrimaryStorageType]],"SSD &amp; HDD")</f>
        <v>SSD &amp; HDD</v>
      </c>
      <c r="Y698" t="s">
        <v>42</v>
      </c>
      <c r="Z698" s="4" t="str">
        <f>_xlfn.CONCAT(laptop[[#This Row],[CPU_company]]," ",laptop[[#This Row],[GPU_model]])</f>
        <v>Intel HD Graphics 620</v>
      </c>
    </row>
    <row r="699" spans="1:26" x14ac:dyDescent="0.25">
      <c r="A699" t="s">
        <v>55</v>
      </c>
      <c r="B699" t="s">
        <v>591</v>
      </c>
      <c r="C699" t="s">
        <v>90</v>
      </c>
      <c r="D699">
        <v>12.5</v>
      </c>
      <c r="E699">
        <v>4</v>
      </c>
      <c r="F699" t="s">
        <v>317</v>
      </c>
      <c r="G699">
        <v>1.2</v>
      </c>
      <c r="H699" s="16">
        <v>669</v>
      </c>
      <c r="I699" t="s">
        <v>40</v>
      </c>
      <c r="J699">
        <v>1920</v>
      </c>
      <c r="K699">
        <v>1080</v>
      </c>
      <c r="L699" t="s">
        <v>28</v>
      </c>
      <c r="M699" t="s">
        <v>27</v>
      </c>
      <c r="N699" t="s">
        <v>27</v>
      </c>
      <c r="O699" t="s">
        <v>29</v>
      </c>
      <c r="P699">
        <v>0.9</v>
      </c>
      <c r="Q699" t="s">
        <v>592</v>
      </c>
      <c r="R699" t="str">
        <f>_xlfn.CONCAT(laptop[[#This Row],[CPU_company]]," ",laptop[[#This Row],[CPU_model]])</f>
        <v>Intel Core M M3-6Y30</v>
      </c>
      <c r="S699">
        <v>64</v>
      </c>
      <c r="T699">
        <v>0</v>
      </c>
      <c r="U699">
        <f>laptop[[#This Row],[PrimaryStorage]]+laptop[[#This Row],[SecondaryStorage]]</f>
        <v>64</v>
      </c>
      <c r="V699" t="s">
        <v>34</v>
      </c>
      <c r="W699" t="s">
        <v>27</v>
      </c>
      <c r="X699" t="str">
        <f>IF(laptop[[#This Row],[PrimaryStorageType]]=laptop[[#This Row],[SecondaryStorageType]],laptop[[#This Row],[PrimaryStorageType]],"SSD &amp; HDD")</f>
        <v>SSD &amp; HDD</v>
      </c>
      <c r="Y699" t="s">
        <v>217</v>
      </c>
      <c r="Z699" s="4" t="str">
        <f>_xlfn.CONCAT(laptop[[#This Row],[CPU_company]]," ",laptop[[#This Row],[GPU_model]])</f>
        <v>Intel HD Graphics 515</v>
      </c>
    </row>
    <row r="700" spans="1:26" x14ac:dyDescent="0.25">
      <c r="A700" t="s">
        <v>210</v>
      </c>
      <c r="B700" t="s">
        <v>593</v>
      </c>
      <c r="C700" t="s">
        <v>24</v>
      </c>
      <c r="D700">
        <v>13.3</v>
      </c>
      <c r="E700">
        <v>16</v>
      </c>
      <c r="F700" t="s">
        <v>48</v>
      </c>
      <c r="G700">
        <v>1.36</v>
      </c>
      <c r="H700" s="16">
        <v>1877</v>
      </c>
      <c r="I700" t="s">
        <v>40</v>
      </c>
      <c r="J700">
        <v>1920</v>
      </c>
      <c r="K700">
        <v>1080</v>
      </c>
      <c r="L700" t="s">
        <v>28</v>
      </c>
      <c r="M700" t="s">
        <v>27</v>
      </c>
      <c r="N700" t="s">
        <v>27</v>
      </c>
      <c r="O700" t="s">
        <v>29</v>
      </c>
      <c r="P700">
        <v>2.5</v>
      </c>
      <c r="Q700" t="s">
        <v>274</v>
      </c>
      <c r="R700" t="str">
        <f>_xlfn.CONCAT(laptop[[#This Row],[CPU_company]]," ",laptop[[#This Row],[CPU_model]])</f>
        <v>Intel Core i7 6500U</v>
      </c>
      <c r="S700">
        <v>512</v>
      </c>
      <c r="T700">
        <v>0</v>
      </c>
      <c r="U700">
        <f>laptop[[#This Row],[PrimaryStorage]]+laptop[[#This Row],[SecondaryStorage]]</f>
        <v>512</v>
      </c>
      <c r="V700" t="s">
        <v>31</v>
      </c>
      <c r="W700" t="s">
        <v>27</v>
      </c>
      <c r="X700" t="str">
        <f>IF(laptop[[#This Row],[PrimaryStorageType]]=laptop[[#This Row],[SecondaryStorageType]],laptop[[#This Row],[PrimaryStorageType]],"SSD &amp; HDD")</f>
        <v>SSD &amp; HDD</v>
      </c>
      <c r="Y700" t="s">
        <v>63</v>
      </c>
      <c r="Z700" s="4" t="str">
        <f>_xlfn.CONCAT(laptop[[#This Row],[CPU_company]]," ",laptop[[#This Row],[GPU_model]])</f>
        <v>Intel HD Graphics 520</v>
      </c>
    </row>
    <row r="701" spans="1:26" x14ac:dyDescent="0.25">
      <c r="A701" t="s">
        <v>36</v>
      </c>
      <c r="B701" t="s">
        <v>594</v>
      </c>
      <c r="C701" t="s">
        <v>38</v>
      </c>
      <c r="D701">
        <v>15.6</v>
      </c>
      <c r="E701">
        <v>4</v>
      </c>
      <c r="F701" t="s">
        <v>48</v>
      </c>
      <c r="G701">
        <v>2.1</v>
      </c>
      <c r="H701" s="16">
        <v>689</v>
      </c>
      <c r="I701" t="s">
        <v>40</v>
      </c>
      <c r="J701">
        <v>1920</v>
      </c>
      <c r="K701">
        <v>1080</v>
      </c>
      <c r="L701" t="s">
        <v>27</v>
      </c>
      <c r="M701" t="s">
        <v>28</v>
      </c>
      <c r="N701" t="s">
        <v>27</v>
      </c>
      <c r="O701" t="s">
        <v>29</v>
      </c>
      <c r="P701">
        <v>2.7</v>
      </c>
      <c r="Q701" t="s">
        <v>71</v>
      </c>
      <c r="R701" t="str">
        <f>_xlfn.CONCAT(laptop[[#This Row],[CPU_company]]," ",laptop[[#This Row],[CPU_model]])</f>
        <v>Intel Core i7 7500U</v>
      </c>
      <c r="S701">
        <v>500</v>
      </c>
      <c r="T701">
        <v>0</v>
      </c>
      <c r="U701">
        <f>laptop[[#This Row],[PrimaryStorage]]+laptop[[#This Row],[SecondaryStorage]]</f>
        <v>500</v>
      </c>
      <c r="V701" t="s">
        <v>51</v>
      </c>
      <c r="W701" t="s">
        <v>27</v>
      </c>
      <c r="X701" t="str">
        <f>IF(laptop[[#This Row],[PrimaryStorageType]]=laptop[[#This Row],[SecondaryStorageType]],laptop[[#This Row],[PrimaryStorageType]],"SSD &amp; HDD")</f>
        <v>SSD &amp; HDD</v>
      </c>
      <c r="Y701" t="s">
        <v>94</v>
      </c>
      <c r="Z701" s="4" t="str">
        <f>_xlfn.CONCAT(laptop[[#This Row],[CPU_company]]," ",laptop[[#This Row],[GPU_model]])</f>
        <v>Intel Radeon 530</v>
      </c>
    </row>
    <row r="702" spans="1:26" x14ac:dyDescent="0.25">
      <c r="A702" t="s">
        <v>65</v>
      </c>
      <c r="B702" t="s">
        <v>221</v>
      </c>
      <c r="C702" t="s">
        <v>83</v>
      </c>
      <c r="D702">
        <v>15.6</v>
      </c>
      <c r="E702">
        <v>8</v>
      </c>
      <c r="F702" t="s">
        <v>48</v>
      </c>
      <c r="G702">
        <v>2.56</v>
      </c>
      <c r="H702" s="16">
        <v>819</v>
      </c>
      <c r="I702" t="s">
        <v>40</v>
      </c>
      <c r="J702">
        <v>1920</v>
      </c>
      <c r="K702">
        <v>1080</v>
      </c>
      <c r="L702" t="s">
        <v>27</v>
      </c>
      <c r="M702" t="s">
        <v>27</v>
      </c>
      <c r="N702" t="s">
        <v>27</v>
      </c>
      <c r="O702" t="s">
        <v>29</v>
      </c>
      <c r="P702">
        <v>2.5</v>
      </c>
      <c r="Q702" t="s">
        <v>84</v>
      </c>
      <c r="R702" t="str">
        <f>_xlfn.CONCAT(laptop[[#This Row],[CPU_company]]," ",laptop[[#This Row],[CPU_model]])</f>
        <v>Intel Core i5 7300HQ</v>
      </c>
      <c r="S702">
        <v>1024</v>
      </c>
      <c r="T702">
        <v>0</v>
      </c>
      <c r="U702">
        <f>laptop[[#This Row],[PrimaryStorage]]+laptop[[#This Row],[SecondaryStorage]]</f>
        <v>1024</v>
      </c>
      <c r="V702" t="s">
        <v>51</v>
      </c>
      <c r="W702" t="s">
        <v>27</v>
      </c>
      <c r="X702" t="str">
        <f>IF(laptop[[#This Row],[PrimaryStorageType]]=laptop[[#This Row],[SecondaryStorageType]],laptop[[#This Row],[PrimaryStorageType]],"SSD &amp; HDD")</f>
        <v>SSD &amp; HDD</v>
      </c>
      <c r="Y702" t="s">
        <v>85</v>
      </c>
      <c r="Z702" s="4" t="str">
        <f>_xlfn.CONCAT(laptop[[#This Row],[CPU_company]]," ",laptop[[#This Row],[GPU_model]])</f>
        <v>Intel GeForce GTX 1050</v>
      </c>
    </row>
    <row r="703" spans="1:26" x14ac:dyDescent="0.25">
      <c r="A703" t="s">
        <v>73</v>
      </c>
      <c r="B703" t="s">
        <v>165</v>
      </c>
      <c r="C703" t="s">
        <v>38</v>
      </c>
      <c r="D703">
        <v>15.6</v>
      </c>
      <c r="E703">
        <v>4</v>
      </c>
      <c r="F703" t="s">
        <v>48</v>
      </c>
      <c r="G703">
        <v>2.2000000000000002</v>
      </c>
      <c r="H703" s="16">
        <v>399</v>
      </c>
      <c r="I703" t="s">
        <v>40</v>
      </c>
      <c r="J703">
        <v>1920</v>
      </c>
      <c r="K703">
        <v>1080</v>
      </c>
      <c r="L703" t="s">
        <v>27</v>
      </c>
      <c r="M703" t="s">
        <v>27</v>
      </c>
      <c r="N703" t="s">
        <v>27</v>
      </c>
      <c r="O703" t="s">
        <v>49</v>
      </c>
      <c r="P703">
        <v>2.9</v>
      </c>
      <c r="Q703" t="s">
        <v>50</v>
      </c>
      <c r="R703" t="str">
        <f>_xlfn.CONCAT(laptop[[#This Row],[CPU_company]]," ",laptop[[#This Row],[CPU_model]])</f>
        <v>AMD A9-Series 9420</v>
      </c>
      <c r="S703">
        <v>256</v>
      </c>
      <c r="T703">
        <v>0</v>
      </c>
      <c r="U703">
        <f>laptop[[#This Row],[PrimaryStorage]]+laptop[[#This Row],[SecondaryStorage]]</f>
        <v>256</v>
      </c>
      <c r="V703" t="s">
        <v>31</v>
      </c>
      <c r="W703" t="s">
        <v>27</v>
      </c>
      <c r="X703" t="str">
        <f>IF(laptop[[#This Row],[PrimaryStorageType]]=laptop[[#This Row],[SecondaryStorageType]],laptop[[#This Row],[PrimaryStorageType]],"SSD &amp; HDD")</f>
        <v>SSD &amp; HDD</v>
      </c>
      <c r="Y703" t="s">
        <v>94</v>
      </c>
      <c r="Z703" s="4" t="str">
        <f>_xlfn.CONCAT(laptop[[#This Row],[CPU_company]]," ",laptop[[#This Row],[GPU_model]])</f>
        <v>AMD Radeon 530</v>
      </c>
    </row>
    <row r="704" spans="1:26" x14ac:dyDescent="0.25">
      <c r="A704" t="s">
        <v>73</v>
      </c>
      <c r="B704" t="s">
        <v>362</v>
      </c>
      <c r="C704" t="s">
        <v>38</v>
      </c>
      <c r="D704">
        <v>15.6</v>
      </c>
      <c r="E704">
        <v>8</v>
      </c>
      <c r="F704" t="s">
        <v>48</v>
      </c>
      <c r="G704">
        <v>2.2000000000000002</v>
      </c>
      <c r="H704" s="16">
        <v>429</v>
      </c>
      <c r="I704" t="s">
        <v>26</v>
      </c>
      <c r="J704">
        <v>1366</v>
      </c>
      <c r="K704">
        <v>768</v>
      </c>
      <c r="L704" t="s">
        <v>27</v>
      </c>
      <c r="M704" t="s">
        <v>27</v>
      </c>
      <c r="N704" t="s">
        <v>27</v>
      </c>
      <c r="O704" t="s">
        <v>49</v>
      </c>
      <c r="P704">
        <v>3.6</v>
      </c>
      <c r="Q704" t="s">
        <v>350</v>
      </c>
      <c r="R704" t="str">
        <f>_xlfn.CONCAT(laptop[[#This Row],[CPU_company]]," ",laptop[[#This Row],[CPU_model]])</f>
        <v>AMD A12-Series 9720P</v>
      </c>
      <c r="S704">
        <v>1024</v>
      </c>
      <c r="T704">
        <v>0</v>
      </c>
      <c r="U704">
        <f>laptop[[#This Row],[PrimaryStorage]]+laptop[[#This Row],[SecondaryStorage]]</f>
        <v>1024</v>
      </c>
      <c r="V704" t="s">
        <v>51</v>
      </c>
      <c r="W704" t="s">
        <v>27</v>
      </c>
      <c r="X704" t="str">
        <f>IF(laptop[[#This Row],[PrimaryStorageType]]=laptop[[#This Row],[SecondaryStorageType]],laptop[[#This Row],[PrimaryStorageType]],"SSD &amp; HDD")</f>
        <v>SSD &amp; HDD</v>
      </c>
      <c r="Y704" t="s">
        <v>595</v>
      </c>
      <c r="Z704" s="4" t="str">
        <f>_xlfn.CONCAT(laptop[[#This Row],[CPU_company]]," ",laptop[[#This Row],[GPU_model]])</f>
        <v>AMD Radeon R7</v>
      </c>
    </row>
    <row r="705" spans="1:26" x14ac:dyDescent="0.25">
      <c r="A705" t="s">
        <v>73</v>
      </c>
      <c r="B705" t="s">
        <v>596</v>
      </c>
      <c r="C705" t="s">
        <v>38</v>
      </c>
      <c r="D705">
        <v>15.6</v>
      </c>
      <c r="E705">
        <v>4</v>
      </c>
      <c r="F705" t="s">
        <v>48</v>
      </c>
      <c r="G705">
        <v>2.1</v>
      </c>
      <c r="H705" s="16">
        <v>621.45000000000005</v>
      </c>
      <c r="I705" t="s">
        <v>40</v>
      </c>
      <c r="J705">
        <v>1920</v>
      </c>
      <c r="K705">
        <v>1080</v>
      </c>
      <c r="L705" t="s">
        <v>27</v>
      </c>
      <c r="M705" t="s">
        <v>27</v>
      </c>
      <c r="N705" t="s">
        <v>27</v>
      </c>
      <c r="O705" t="s">
        <v>29</v>
      </c>
      <c r="P705">
        <v>2.5</v>
      </c>
      <c r="Q705" t="s">
        <v>41</v>
      </c>
      <c r="R705" t="str">
        <f>_xlfn.CONCAT(laptop[[#This Row],[CPU_company]]," ",laptop[[#This Row],[CPU_model]])</f>
        <v>Intel Core i5 7200U</v>
      </c>
      <c r="S705">
        <v>1024</v>
      </c>
      <c r="T705">
        <v>1024</v>
      </c>
      <c r="U705">
        <f>laptop[[#This Row],[PrimaryStorage]]+laptop[[#This Row],[SecondaryStorage]]</f>
        <v>2048</v>
      </c>
      <c r="V705" t="s">
        <v>51</v>
      </c>
      <c r="W705" t="s">
        <v>51</v>
      </c>
      <c r="X705" t="str">
        <f>IF(laptop[[#This Row],[PrimaryStorageType]]=laptop[[#This Row],[SecondaryStorageType]],laptop[[#This Row],[PrimaryStorageType]],"SSD &amp; HDD")</f>
        <v>HDD</v>
      </c>
      <c r="Y705" t="s">
        <v>42</v>
      </c>
      <c r="Z705" s="4" t="str">
        <f>_xlfn.CONCAT(laptop[[#This Row],[CPU_company]]," ",laptop[[#This Row],[GPU_model]])</f>
        <v>Intel HD Graphics 620</v>
      </c>
    </row>
    <row r="706" spans="1:26" x14ac:dyDescent="0.25">
      <c r="A706" t="s">
        <v>73</v>
      </c>
      <c r="B706" t="s">
        <v>597</v>
      </c>
      <c r="C706" t="s">
        <v>38</v>
      </c>
      <c r="D706">
        <v>15.6</v>
      </c>
      <c r="E706">
        <v>4</v>
      </c>
      <c r="F706" t="s">
        <v>39</v>
      </c>
      <c r="G706">
        <v>1.9</v>
      </c>
      <c r="H706" s="16">
        <v>450</v>
      </c>
      <c r="I706" t="s">
        <v>26</v>
      </c>
      <c r="J706">
        <v>1366</v>
      </c>
      <c r="K706">
        <v>768</v>
      </c>
      <c r="L706" t="s">
        <v>27</v>
      </c>
      <c r="M706" t="s">
        <v>27</v>
      </c>
      <c r="N706" t="s">
        <v>27</v>
      </c>
      <c r="O706" t="s">
        <v>29</v>
      </c>
      <c r="P706">
        <v>2</v>
      </c>
      <c r="Q706" t="s">
        <v>62</v>
      </c>
      <c r="R706" t="str">
        <f>_xlfn.CONCAT(laptop[[#This Row],[CPU_company]]," ",laptop[[#This Row],[CPU_model]])</f>
        <v>Intel Core i3 6006U</v>
      </c>
      <c r="S706">
        <v>500</v>
      </c>
      <c r="T706">
        <v>0</v>
      </c>
      <c r="U706">
        <f>laptop[[#This Row],[PrimaryStorage]]+laptop[[#This Row],[SecondaryStorage]]</f>
        <v>500</v>
      </c>
      <c r="V706" t="s">
        <v>51</v>
      </c>
      <c r="W706" t="s">
        <v>27</v>
      </c>
      <c r="X706" t="str">
        <f>IF(laptop[[#This Row],[PrimaryStorageType]]=laptop[[#This Row],[SecondaryStorageType]],laptop[[#This Row],[PrimaryStorageType]],"SSD &amp; HDD")</f>
        <v>SSD &amp; HDD</v>
      </c>
      <c r="Y706" t="s">
        <v>63</v>
      </c>
      <c r="Z706" s="4" t="str">
        <f>_xlfn.CONCAT(laptop[[#This Row],[CPU_company]]," ",laptop[[#This Row],[GPU_model]])</f>
        <v>Intel HD Graphics 520</v>
      </c>
    </row>
    <row r="707" spans="1:26" x14ac:dyDescent="0.25">
      <c r="A707" t="s">
        <v>65</v>
      </c>
      <c r="B707" t="s">
        <v>471</v>
      </c>
      <c r="C707" t="s">
        <v>38</v>
      </c>
      <c r="D707">
        <v>15.6</v>
      </c>
      <c r="E707">
        <v>8</v>
      </c>
      <c r="F707" t="s">
        <v>48</v>
      </c>
      <c r="G707">
        <v>2.1800000000000002</v>
      </c>
      <c r="H707" s="16">
        <v>795</v>
      </c>
      <c r="I707" t="s">
        <v>40</v>
      </c>
      <c r="J707">
        <v>1920</v>
      </c>
      <c r="K707">
        <v>1080</v>
      </c>
      <c r="L707" t="s">
        <v>27</v>
      </c>
      <c r="M707" t="s">
        <v>27</v>
      </c>
      <c r="N707" t="s">
        <v>27</v>
      </c>
      <c r="O707" t="s">
        <v>29</v>
      </c>
      <c r="P707">
        <v>2.5</v>
      </c>
      <c r="Q707" t="s">
        <v>41</v>
      </c>
      <c r="R707" t="str">
        <f>_xlfn.CONCAT(laptop[[#This Row],[CPU_company]]," ",laptop[[#This Row],[CPU_model]])</f>
        <v>Intel Core i5 7200U</v>
      </c>
      <c r="S707">
        <v>256</v>
      </c>
      <c r="T707">
        <v>0</v>
      </c>
      <c r="U707">
        <f>laptop[[#This Row],[PrimaryStorage]]+laptop[[#This Row],[SecondaryStorage]]</f>
        <v>256</v>
      </c>
      <c r="V707" t="s">
        <v>31</v>
      </c>
      <c r="W707" t="s">
        <v>27</v>
      </c>
      <c r="X707" t="str">
        <f>IF(laptop[[#This Row],[PrimaryStorageType]]=laptop[[#This Row],[SecondaryStorageType]],laptop[[#This Row],[PrimaryStorageType]],"SSD &amp; HDD")</f>
        <v>SSD &amp; HDD</v>
      </c>
      <c r="Y707" t="s">
        <v>42</v>
      </c>
      <c r="Z707" s="4" t="str">
        <f>_xlfn.CONCAT(laptop[[#This Row],[CPU_company]]," ",laptop[[#This Row],[GPU_model]])</f>
        <v>Intel HD Graphics 620</v>
      </c>
    </row>
    <row r="708" spans="1:26" x14ac:dyDescent="0.25">
      <c r="A708" t="s">
        <v>46</v>
      </c>
      <c r="B708" t="s">
        <v>176</v>
      </c>
      <c r="C708" t="s">
        <v>90</v>
      </c>
      <c r="D708">
        <v>13.3</v>
      </c>
      <c r="E708">
        <v>8</v>
      </c>
      <c r="F708" t="s">
        <v>48</v>
      </c>
      <c r="G708">
        <v>1.6</v>
      </c>
      <c r="H708" s="16">
        <v>999</v>
      </c>
      <c r="I708" t="s">
        <v>40</v>
      </c>
      <c r="J708">
        <v>1920</v>
      </c>
      <c r="K708">
        <v>1080</v>
      </c>
      <c r="L708" t="s">
        <v>28</v>
      </c>
      <c r="M708" t="s">
        <v>28</v>
      </c>
      <c r="N708" t="s">
        <v>27</v>
      </c>
      <c r="O708" t="s">
        <v>29</v>
      </c>
      <c r="P708">
        <v>1.6</v>
      </c>
      <c r="Q708" t="s">
        <v>60</v>
      </c>
      <c r="R708" t="str">
        <f>_xlfn.CONCAT(laptop[[#This Row],[CPU_company]]," ",laptop[[#This Row],[CPU_model]])</f>
        <v>Intel Core i5 8250U</v>
      </c>
      <c r="S708">
        <v>256</v>
      </c>
      <c r="T708">
        <v>0</v>
      </c>
      <c r="U708">
        <f>laptop[[#This Row],[PrimaryStorage]]+laptop[[#This Row],[SecondaryStorage]]</f>
        <v>256</v>
      </c>
      <c r="V708" t="s">
        <v>31</v>
      </c>
      <c r="W708" t="s">
        <v>27</v>
      </c>
      <c r="X708" t="str">
        <f>IF(laptop[[#This Row],[PrimaryStorageType]]=laptop[[#This Row],[SecondaryStorageType]],laptop[[#This Row],[PrimaryStorageType]],"SSD &amp; HDD")</f>
        <v>SSD &amp; HDD</v>
      </c>
      <c r="Y708" t="s">
        <v>61</v>
      </c>
      <c r="Z708" s="4" t="str">
        <f>_xlfn.CONCAT(laptop[[#This Row],[CPU_company]]," ",laptop[[#This Row],[GPU_model]])</f>
        <v>Intel UHD Graphics 620</v>
      </c>
    </row>
    <row r="709" spans="1:26" x14ac:dyDescent="0.25">
      <c r="A709" t="s">
        <v>73</v>
      </c>
      <c r="B709" t="s">
        <v>598</v>
      </c>
      <c r="C709" t="s">
        <v>265</v>
      </c>
      <c r="D709">
        <v>15.6</v>
      </c>
      <c r="E709">
        <v>16</v>
      </c>
      <c r="F709" t="s">
        <v>480</v>
      </c>
      <c r="G709">
        <v>2.1800000000000002</v>
      </c>
      <c r="H709" s="16">
        <v>1855</v>
      </c>
      <c r="I709" t="s">
        <v>40</v>
      </c>
      <c r="J709">
        <v>1920</v>
      </c>
      <c r="K709">
        <v>1080</v>
      </c>
      <c r="L709" t="s">
        <v>27</v>
      </c>
      <c r="M709" t="s">
        <v>27</v>
      </c>
      <c r="N709" t="s">
        <v>27</v>
      </c>
      <c r="O709" t="s">
        <v>29</v>
      </c>
      <c r="P709">
        <v>2.5</v>
      </c>
      <c r="Q709" t="s">
        <v>274</v>
      </c>
      <c r="R709" t="str">
        <f>_xlfn.CONCAT(laptop[[#This Row],[CPU_company]]," ",laptop[[#This Row],[CPU_model]])</f>
        <v>Intel Core i7 6500U</v>
      </c>
      <c r="S709">
        <v>512</v>
      </c>
      <c r="T709">
        <v>0</v>
      </c>
      <c r="U709">
        <f>laptop[[#This Row],[PrimaryStorage]]+laptop[[#This Row],[SecondaryStorage]]</f>
        <v>512</v>
      </c>
      <c r="V709" t="s">
        <v>31</v>
      </c>
      <c r="W709" t="s">
        <v>27</v>
      </c>
      <c r="X709" t="str">
        <f>IF(laptop[[#This Row],[PrimaryStorageType]]=laptop[[#This Row],[SecondaryStorageType]],laptop[[#This Row],[PrimaryStorageType]],"SSD &amp; HDD")</f>
        <v>SSD &amp; HDD</v>
      </c>
      <c r="Y709" t="s">
        <v>599</v>
      </c>
      <c r="Z709" s="4" t="str">
        <f>_xlfn.CONCAT(laptop[[#This Row],[CPU_company]]," ",laptop[[#This Row],[GPU_model]])</f>
        <v>Intel Quadro M520M</v>
      </c>
    </row>
    <row r="710" spans="1:26" x14ac:dyDescent="0.25">
      <c r="A710" t="s">
        <v>73</v>
      </c>
      <c r="B710" t="s">
        <v>600</v>
      </c>
      <c r="C710" t="s">
        <v>38</v>
      </c>
      <c r="D710">
        <v>14</v>
      </c>
      <c r="E710">
        <v>8</v>
      </c>
      <c r="F710" t="s">
        <v>48</v>
      </c>
      <c r="G710">
        <v>1.8</v>
      </c>
      <c r="H710" s="16">
        <v>1191</v>
      </c>
      <c r="I710" t="s">
        <v>40</v>
      </c>
      <c r="J710">
        <v>1920</v>
      </c>
      <c r="K710">
        <v>1080</v>
      </c>
      <c r="L710" t="s">
        <v>27</v>
      </c>
      <c r="M710" t="s">
        <v>27</v>
      </c>
      <c r="N710" t="s">
        <v>27</v>
      </c>
      <c r="O710" t="s">
        <v>29</v>
      </c>
      <c r="P710">
        <v>2.2999999999999998</v>
      </c>
      <c r="Q710" t="s">
        <v>601</v>
      </c>
      <c r="R710" t="str">
        <f>_xlfn.CONCAT(laptop[[#This Row],[CPU_company]]," ",laptop[[#This Row],[CPU_model]])</f>
        <v>Intel Core i5 6300HQ</v>
      </c>
      <c r="S710">
        <v>256</v>
      </c>
      <c r="T710">
        <v>0</v>
      </c>
      <c r="U710">
        <f>laptop[[#This Row],[PrimaryStorage]]+laptop[[#This Row],[SecondaryStorage]]</f>
        <v>256</v>
      </c>
      <c r="V710" t="s">
        <v>31</v>
      </c>
      <c r="W710" t="s">
        <v>27</v>
      </c>
      <c r="X710" t="str">
        <f>IF(laptop[[#This Row],[PrimaryStorageType]]=laptop[[#This Row],[SecondaryStorageType]],laptop[[#This Row],[PrimaryStorageType]],"SSD &amp; HDD")</f>
        <v>SSD &amp; HDD</v>
      </c>
      <c r="Y710" t="s">
        <v>63</v>
      </c>
      <c r="Z710" s="4" t="str">
        <f>_xlfn.CONCAT(laptop[[#This Row],[CPU_company]]," ",laptop[[#This Row],[GPU_model]])</f>
        <v>Intel HD Graphics 520</v>
      </c>
    </row>
    <row r="711" spans="1:26" x14ac:dyDescent="0.25">
      <c r="A711" t="s">
        <v>36</v>
      </c>
      <c r="B711" t="s">
        <v>602</v>
      </c>
      <c r="C711" t="s">
        <v>38</v>
      </c>
      <c r="D711">
        <v>17.3</v>
      </c>
      <c r="E711">
        <v>6</v>
      </c>
      <c r="F711" t="s">
        <v>48</v>
      </c>
      <c r="G711">
        <v>2.71</v>
      </c>
      <c r="H711" s="16">
        <v>655.01</v>
      </c>
      <c r="I711" t="s">
        <v>40</v>
      </c>
      <c r="J711">
        <v>1920</v>
      </c>
      <c r="K711">
        <v>1080</v>
      </c>
      <c r="L711" t="s">
        <v>27</v>
      </c>
      <c r="M711" t="s">
        <v>28</v>
      </c>
      <c r="N711" t="s">
        <v>27</v>
      </c>
      <c r="O711" t="s">
        <v>49</v>
      </c>
      <c r="P711">
        <v>2.5</v>
      </c>
      <c r="Q711" t="s">
        <v>458</v>
      </c>
      <c r="R711" t="str">
        <f>_xlfn.CONCAT(laptop[[#This Row],[CPU_company]]," ",laptop[[#This Row],[CPU_model]])</f>
        <v>AMD A10-Series 9620P</v>
      </c>
      <c r="S711">
        <v>2048</v>
      </c>
      <c r="T711">
        <v>0</v>
      </c>
      <c r="U711">
        <f>laptop[[#This Row],[PrimaryStorage]]+laptop[[#This Row],[SecondaryStorage]]</f>
        <v>2048</v>
      </c>
      <c r="V711" t="s">
        <v>51</v>
      </c>
      <c r="W711" t="s">
        <v>27</v>
      </c>
      <c r="X711" t="str">
        <f>IF(laptop[[#This Row],[PrimaryStorageType]]=laptop[[#This Row],[SecondaryStorageType]],laptop[[#This Row],[PrimaryStorageType]],"SSD &amp; HDD")</f>
        <v>SSD &amp; HDD</v>
      </c>
      <c r="Y711" t="s">
        <v>94</v>
      </c>
      <c r="Z711" s="4" t="str">
        <f>_xlfn.CONCAT(laptop[[#This Row],[CPU_company]]," ",laptop[[#This Row],[GPU_model]])</f>
        <v>AMD Radeon 530</v>
      </c>
    </row>
    <row r="712" spans="1:26" x14ac:dyDescent="0.25">
      <c r="A712" t="s">
        <v>73</v>
      </c>
      <c r="B712" t="s">
        <v>82</v>
      </c>
      <c r="C712" t="s">
        <v>83</v>
      </c>
      <c r="D712">
        <v>15.6</v>
      </c>
      <c r="E712">
        <v>8</v>
      </c>
      <c r="F712" t="s">
        <v>48</v>
      </c>
      <c r="G712">
        <v>2.5</v>
      </c>
      <c r="H712" s="16">
        <v>1249</v>
      </c>
      <c r="I712" t="s">
        <v>40</v>
      </c>
      <c r="J712">
        <v>1920</v>
      </c>
      <c r="K712">
        <v>1080</v>
      </c>
      <c r="L712" t="s">
        <v>27</v>
      </c>
      <c r="M712" t="s">
        <v>28</v>
      </c>
      <c r="N712" t="s">
        <v>27</v>
      </c>
      <c r="O712" t="s">
        <v>29</v>
      </c>
      <c r="P712">
        <v>2.8</v>
      </c>
      <c r="Q712" t="s">
        <v>118</v>
      </c>
      <c r="R712" t="str">
        <f>_xlfn.CONCAT(laptop[[#This Row],[CPU_company]]," ",laptop[[#This Row],[CPU_model]])</f>
        <v>Intel Core i7 7700HQ</v>
      </c>
      <c r="S712">
        <v>128</v>
      </c>
      <c r="T712">
        <v>1024</v>
      </c>
      <c r="U712">
        <f>laptop[[#This Row],[PrimaryStorage]]+laptop[[#This Row],[SecondaryStorage]]</f>
        <v>1152</v>
      </c>
      <c r="V712" t="s">
        <v>31</v>
      </c>
      <c r="W712" t="s">
        <v>51</v>
      </c>
      <c r="X712" t="str">
        <f>IF(laptop[[#This Row],[PrimaryStorageType]]=laptop[[#This Row],[SecondaryStorageType]],laptop[[#This Row],[PrimaryStorageType]],"SSD &amp; HDD")</f>
        <v>SSD &amp; HDD</v>
      </c>
      <c r="Y712" t="s">
        <v>149</v>
      </c>
      <c r="Z712" s="4" t="str">
        <f>_xlfn.CONCAT(laptop[[#This Row],[CPU_company]]," ",laptop[[#This Row],[GPU_model]])</f>
        <v>Intel GeForce GTX 1050 Ti</v>
      </c>
    </row>
    <row r="713" spans="1:26" x14ac:dyDescent="0.25">
      <c r="A713" t="s">
        <v>65</v>
      </c>
      <c r="B713" t="s">
        <v>409</v>
      </c>
      <c r="C713" t="s">
        <v>38</v>
      </c>
      <c r="D713">
        <v>14</v>
      </c>
      <c r="E713">
        <v>8</v>
      </c>
      <c r="F713" t="s">
        <v>111</v>
      </c>
      <c r="G713">
        <v>1.64</v>
      </c>
      <c r="H713" s="16">
        <v>1089</v>
      </c>
      <c r="I713" t="s">
        <v>40</v>
      </c>
      <c r="J713">
        <v>1920</v>
      </c>
      <c r="K713">
        <v>1080</v>
      </c>
      <c r="L713" t="s">
        <v>27</v>
      </c>
      <c r="M713" t="s">
        <v>27</v>
      </c>
      <c r="N713" t="s">
        <v>27</v>
      </c>
      <c r="O713" t="s">
        <v>29</v>
      </c>
      <c r="P713">
        <v>2.8</v>
      </c>
      <c r="Q713" t="s">
        <v>428</v>
      </c>
      <c r="R713" t="str">
        <f>_xlfn.CONCAT(laptop[[#This Row],[CPU_company]]," ",laptop[[#This Row],[CPU_model]])</f>
        <v>Intel Core i5 7440HQ</v>
      </c>
      <c r="S713">
        <v>256</v>
      </c>
      <c r="T713">
        <v>0</v>
      </c>
      <c r="U713">
        <f>laptop[[#This Row],[PrimaryStorage]]+laptop[[#This Row],[SecondaryStorage]]</f>
        <v>256</v>
      </c>
      <c r="V713" t="s">
        <v>31</v>
      </c>
      <c r="W713" t="s">
        <v>27</v>
      </c>
      <c r="X713" t="str">
        <f>IF(laptop[[#This Row],[PrimaryStorageType]]=laptop[[#This Row],[SecondaryStorageType]],laptop[[#This Row],[PrimaryStorageType]],"SSD &amp; HDD")</f>
        <v>SSD &amp; HDD</v>
      </c>
      <c r="Y713" t="s">
        <v>98</v>
      </c>
      <c r="Z713" s="4" t="str">
        <f>_xlfn.CONCAT(laptop[[#This Row],[CPU_company]]," ",laptop[[#This Row],[GPU_model]])</f>
        <v>Intel GeForce 930MX</v>
      </c>
    </row>
    <row r="714" spans="1:26" x14ac:dyDescent="0.25">
      <c r="A714" t="s">
        <v>65</v>
      </c>
      <c r="B714" t="s">
        <v>471</v>
      </c>
      <c r="C714" t="s">
        <v>38</v>
      </c>
      <c r="D714">
        <v>15.6</v>
      </c>
      <c r="E714">
        <v>8</v>
      </c>
      <c r="F714" t="s">
        <v>111</v>
      </c>
      <c r="G714">
        <v>1.98</v>
      </c>
      <c r="H714" s="16">
        <v>726</v>
      </c>
      <c r="I714" t="s">
        <v>40</v>
      </c>
      <c r="J714">
        <v>1920</v>
      </c>
      <c r="K714">
        <v>1080</v>
      </c>
      <c r="L714" t="s">
        <v>27</v>
      </c>
      <c r="M714" t="s">
        <v>27</v>
      </c>
      <c r="N714" t="s">
        <v>27</v>
      </c>
      <c r="O714" t="s">
        <v>29</v>
      </c>
      <c r="P714">
        <v>2.5</v>
      </c>
      <c r="Q714" t="s">
        <v>41</v>
      </c>
      <c r="R714" t="str">
        <f>_xlfn.CONCAT(laptop[[#This Row],[CPU_company]]," ",laptop[[#This Row],[CPU_model]])</f>
        <v>Intel Core i5 7200U</v>
      </c>
      <c r="S714">
        <v>1024</v>
      </c>
      <c r="T714">
        <v>0</v>
      </c>
      <c r="U714">
        <f>laptop[[#This Row],[PrimaryStorage]]+laptop[[#This Row],[SecondaryStorage]]</f>
        <v>1024</v>
      </c>
      <c r="V714" t="s">
        <v>51</v>
      </c>
      <c r="W714" t="s">
        <v>27</v>
      </c>
      <c r="X714" t="str">
        <f>IF(laptop[[#This Row],[PrimaryStorageType]]=laptop[[#This Row],[SecondaryStorageType]],laptop[[#This Row],[PrimaryStorageType]],"SSD &amp; HDD")</f>
        <v>SSD &amp; HDD</v>
      </c>
      <c r="Y714" t="s">
        <v>42</v>
      </c>
      <c r="Z714" s="4" t="str">
        <f>_xlfn.CONCAT(laptop[[#This Row],[CPU_company]]," ",laptop[[#This Row],[GPU_model]])</f>
        <v>Intel HD Graphics 620</v>
      </c>
    </row>
    <row r="715" spans="1:26" x14ac:dyDescent="0.25">
      <c r="A715" t="s">
        <v>55</v>
      </c>
      <c r="B715" t="s">
        <v>376</v>
      </c>
      <c r="C715" t="s">
        <v>38</v>
      </c>
      <c r="D715">
        <v>14</v>
      </c>
      <c r="E715">
        <v>4</v>
      </c>
      <c r="F715" t="s">
        <v>48</v>
      </c>
      <c r="G715">
        <v>1.5</v>
      </c>
      <c r="H715" s="16">
        <v>298</v>
      </c>
      <c r="I715" t="s">
        <v>40</v>
      </c>
      <c r="J715">
        <v>1920</v>
      </c>
      <c r="K715">
        <v>1080</v>
      </c>
      <c r="L715" t="s">
        <v>27</v>
      </c>
      <c r="M715" t="s">
        <v>27</v>
      </c>
      <c r="N715" t="s">
        <v>27</v>
      </c>
      <c r="O715" t="s">
        <v>29</v>
      </c>
      <c r="P715">
        <v>1.1000000000000001</v>
      </c>
      <c r="Q715" t="s">
        <v>109</v>
      </c>
      <c r="R715" t="str">
        <f>_xlfn.CONCAT(laptop[[#This Row],[CPU_company]]," ",laptop[[#This Row],[CPU_model]])</f>
        <v>Intel Celeron Dual Core N3350</v>
      </c>
      <c r="S715">
        <v>32</v>
      </c>
      <c r="T715">
        <v>0</v>
      </c>
      <c r="U715">
        <f>laptop[[#This Row],[PrimaryStorage]]+laptop[[#This Row],[SecondaryStorage]]</f>
        <v>32</v>
      </c>
      <c r="V715" t="s">
        <v>34</v>
      </c>
      <c r="W715" t="s">
        <v>27</v>
      </c>
      <c r="X715" t="str">
        <f>IF(laptop[[#This Row],[PrimaryStorageType]]=laptop[[#This Row],[SecondaryStorageType]],laptop[[#This Row],[PrimaryStorageType]],"SSD &amp; HDD")</f>
        <v>SSD &amp; HDD</v>
      </c>
      <c r="Y715" t="s">
        <v>110</v>
      </c>
      <c r="Z715" s="4" t="str">
        <f>_xlfn.CONCAT(laptop[[#This Row],[CPU_company]]," ",laptop[[#This Row],[GPU_model]])</f>
        <v>Intel HD Graphics 500</v>
      </c>
    </row>
    <row r="716" spans="1:26" x14ac:dyDescent="0.25">
      <c r="A716" t="s">
        <v>65</v>
      </c>
      <c r="B716" t="s">
        <v>481</v>
      </c>
      <c r="C716" t="s">
        <v>38</v>
      </c>
      <c r="D716">
        <v>15.6</v>
      </c>
      <c r="E716">
        <v>16</v>
      </c>
      <c r="F716" t="s">
        <v>48</v>
      </c>
      <c r="G716">
        <v>1.93</v>
      </c>
      <c r="H716" s="16">
        <v>1426.66</v>
      </c>
      <c r="I716" t="s">
        <v>40</v>
      </c>
      <c r="J716">
        <v>1920</v>
      </c>
      <c r="K716">
        <v>1080</v>
      </c>
      <c r="L716" t="s">
        <v>27</v>
      </c>
      <c r="M716" t="s">
        <v>27</v>
      </c>
      <c r="N716" t="s">
        <v>27</v>
      </c>
      <c r="O716" t="s">
        <v>29</v>
      </c>
      <c r="P716">
        <v>2.6</v>
      </c>
      <c r="Q716" t="s">
        <v>358</v>
      </c>
      <c r="R716" t="str">
        <f>_xlfn.CONCAT(laptop[[#This Row],[CPU_company]]," ",laptop[[#This Row],[CPU_model]])</f>
        <v>Intel Core i5 7300U</v>
      </c>
      <c r="S716">
        <v>512</v>
      </c>
      <c r="T716">
        <v>0</v>
      </c>
      <c r="U716">
        <f>laptop[[#This Row],[PrimaryStorage]]+laptop[[#This Row],[SecondaryStorage]]</f>
        <v>512</v>
      </c>
      <c r="V716" t="s">
        <v>31</v>
      </c>
      <c r="W716" t="s">
        <v>27</v>
      </c>
      <c r="X716" t="str">
        <f>IF(laptop[[#This Row],[PrimaryStorageType]]=laptop[[#This Row],[SecondaryStorageType]],laptop[[#This Row],[PrimaryStorageType]],"SSD &amp; HDD")</f>
        <v>SSD &amp; HDD</v>
      </c>
      <c r="Y716" t="s">
        <v>42</v>
      </c>
      <c r="Z716" s="4" t="str">
        <f>_xlfn.CONCAT(laptop[[#This Row],[CPU_company]]," ",laptop[[#This Row],[GPU_model]])</f>
        <v>Intel HD Graphics 620</v>
      </c>
    </row>
    <row r="717" spans="1:26" x14ac:dyDescent="0.25">
      <c r="A717" t="s">
        <v>73</v>
      </c>
      <c r="B717" t="s">
        <v>486</v>
      </c>
      <c r="C717" t="s">
        <v>38</v>
      </c>
      <c r="D717">
        <v>14</v>
      </c>
      <c r="E717">
        <v>8</v>
      </c>
      <c r="F717" t="s">
        <v>48</v>
      </c>
      <c r="G717">
        <v>1.87</v>
      </c>
      <c r="H717" s="16">
        <v>857.07</v>
      </c>
      <c r="I717" t="s">
        <v>40</v>
      </c>
      <c r="J717">
        <v>1920</v>
      </c>
      <c r="K717">
        <v>1080</v>
      </c>
      <c r="L717" t="s">
        <v>27</v>
      </c>
      <c r="M717" t="s">
        <v>28</v>
      </c>
      <c r="N717" t="s">
        <v>27</v>
      </c>
      <c r="O717" t="s">
        <v>29</v>
      </c>
      <c r="P717">
        <v>2.5</v>
      </c>
      <c r="Q717" t="s">
        <v>41</v>
      </c>
      <c r="R717" t="str">
        <f>_xlfn.CONCAT(laptop[[#This Row],[CPU_company]]," ",laptop[[#This Row],[CPU_model]])</f>
        <v>Intel Core i5 7200U</v>
      </c>
      <c r="S717">
        <v>256</v>
      </c>
      <c r="T717">
        <v>0</v>
      </c>
      <c r="U717">
        <f>laptop[[#This Row],[PrimaryStorage]]+laptop[[#This Row],[SecondaryStorage]]</f>
        <v>256</v>
      </c>
      <c r="V717" t="s">
        <v>31</v>
      </c>
      <c r="W717" t="s">
        <v>27</v>
      </c>
      <c r="X717" t="str">
        <f>IF(laptop[[#This Row],[PrimaryStorageType]]=laptop[[#This Row],[SecondaryStorageType]],laptop[[#This Row],[PrimaryStorageType]],"SSD &amp; HDD")</f>
        <v>SSD &amp; HDD</v>
      </c>
      <c r="Y717" t="s">
        <v>131</v>
      </c>
      <c r="Z717" s="4" t="str">
        <f>_xlfn.CONCAT(laptop[[#This Row],[CPU_company]]," ",laptop[[#This Row],[GPU_model]])</f>
        <v>Intel GeForce 920MX</v>
      </c>
    </row>
    <row r="718" spans="1:26" x14ac:dyDescent="0.25">
      <c r="A718" t="s">
        <v>65</v>
      </c>
      <c r="B718" t="s">
        <v>481</v>
      </c>
      <c r="C718" t="s">
        <v>38</v>
      </c>
      <c r="D718">
        <v>15.6</v>
      </c>
      <c r="E718">
        <v>8</v>
      </c>
      <c r="F718" t="s">
        <v>48</v>
      </c>
      <c r="G718">
        <v>1.9</v>
      </c>
      <c r="H718" s="16">
        <v>1179</v>
      </c>
      <c r="I718" t="s">
        <v>40</v>
      </c>
      <c r="J718">
        <v>1920</v>
      </c>
      <c r="K718">
        <v>1080</v>
      </c>
      <c r="L718" t="s">
        <v>27</v>
      </c>
      <c r="M718" t="s">
        <v>27</v>
      </c>
      <c r="N718" t="s">
        <v>27</v>
      </c>
      <c r="O718" t="s">
        <v>29</v>
      </c>
      <c r="P718">
        <v>2.6</v>
      </c>
      <c r="Q718" t="s">
        <v>358</v>
      </c>
      <c r="R718" t="str">
        <f>_xlfn.CONCAT(laptop[[#This Row],[CPU_company]]," ",laptop[[#This Row],[CPU_model]])</f>
        <v>Intel Core i5 7300U</v>
      </c>
      <c r="S718">
        <v>256</v>
      </c>
      <c r="T718">
        <v>0</v>
      </c>
      <c r="U718">
        <f>laptop[[#This Row],[PrimaryStorage]]+laptop[[#This Row],[SecondaryStorage]]</f>
        <v>256</v>
      </c>
      <c r="V718" t="s">
        <v>31</v>
      </c>
      <c r="W718" t="s">
        <v>27</v>
      </c>
      <c r="X718" t="str">
        <f>IF(laptop[[#This Row],[PrimaryStorageType]]=laptop[[#This Row],[SecondaryStorageType]],laptop[[#This Row],[PrimaryStorageType]],"SSD &amp; HDD")</f>
        <v>SSD &amp; HDD</v>
      </c>
      <c r="Y718" t="s">
        <v>42</v>
      </c>
      <c r="Z718" s="4" t="str">
        <f>_xlfn.CONCAT(laptop[[#This Row],[CPU_company]]," ",laptop[[#This Row],[GPU_model]])</f>
        <v>Intel HD Graphics 620</v>
      </c>
    </row>
    <row r="719" spans="1:26" x14ac:dyDescent="0.25">
      <c r="A719" t="s">
        <v>73</v>
      </c>
      <c r="B719" t="s">
        <v>603</v>
      </c>
      <c r="C719" t="s">
        <v>38</v>
      </c>
      <c r="D719">
        <v>15.6</v>
      </c>
      <c r="E719">
        <v>4</v>
      </c>
      <c r="F719" t="s">
        <v>48</v>
      </c>
      <c r="G719">
        <v>2.19</v>
      </c>
      <c r="H719" s="16">
        <v>298</v>
      </c>
      <c r="I719" t="s">
        <v>26</v>
      </c>
      <c r="J719">
        <v>1366</v>
      </c>
      <c r="K719">
        <v>768</v>
      </c>
      <c r="L719" t="s">
        <v>27</v>
      </c>
      <c r="M719" t="s">
        <v>27</v>
      </c>
      <c r="N719" t="s">
        <v>27</v>
      </c>
      <c r="O719" t="s">
        <v>49</v>
      </c>
      <c r="P719">
        <v>2</v>
      </c>
      <c r="Q719" t="s">
        <v>604</v>
      </c>
      <c r="R719" t="str">
        <f>_xlfn.CONCAT(laptop[[#This Row],[CPU_company]]," ",laptop[[#This Row],[CPU_model]])</f>
        <v>AMD A6-Series 7310</v>
      </c>
      <c r="S719">
        <v>500</v>
      </c>
      <c r="T719">
        <v>0</v>
      </c>
      <c r="U719">
        <f>laptop[[#This Row],[PrimaryStorage]]+laptop[[#This Row],[SecondaryStorage]]</f>
        <v>500</v>
      </c>
      <c r="V719" t="s">
        <v>51</v>
      </c>
      <c r="W719" t="s">
        <v>27</v>
      </c>
      <c r="X719" t="str">
        <f>IF(laptop[[#This Row],[PrimaryStorageType]]=laptop[[#This Row],[SecondaryStorageType]],laptop[[#This Row],[PrimaryStorageType]],"SSD &amp; HDD")</f>
        <v>SSD &amp; HDD</v>
      </c>
      <c r="Y719" t="s">
        <v>425</v>
      </c>
      <c r="Z719" s="4" t="str">
        <f>_xlfn.CONCAT(laptop[[#This Row],[CPU_company]]," ",laptop[[#This Row],[GPU_model]])</f>
        <v>AMD Radeon R4</v>
      </c>
    </row>
    <row r="720" spans="1:26" x14ac:dyDescent="0.25">
      <c r="A720" t="s">
        <v>411</v>
      </c>
      <c r="B720" t="s">
        <v>605</v>
      </c>
      <c r="C720" t="s">
        <v>38</v>
      </c>
      <c r="D720">
        <v>14</v>
      </c>
      <c r="E720">
        <v>4</v>
      </c>
      <c r="F720" t="s">
        <v>48</v>
      </c>
      <c r="G720">
        <v>1.4</v>
      </c>
      <c r="H720" s="16">
        <v>265</v>
      </c>
      <c r="I720" t="s">
        <v>40</v>
      </c>
      <c r="J720">
        <v>1920</v>
      </c>
      <c r="K720">
        <v>1200</v>
      </c>
      <c r="L720" t="s">
        <v>27</v>
      </c>
      <c r="M720" t="s">
        <v>28</v>
      </c>
      <c r="N720" t="s">
        <v>27</v>
      </c>
      <c r="O720" t="s">
        <v>29</v>
      </c>
      <c r="P720">
        <v>1.92</v>
      </c>
      <c r="Q720" t="s">
        <v>606</v>
      </c>
      <c r="R720" t="str">
        <f>_xlfn.CONCAT(laptop[[#This Row],[CPU_company]]," ",laptop[[#This Row],[CPU_model]])</f>
        <v>Intel Atom Z8350</v>
      </c>
      <c r="S720">
        <v>32</v>
      </c>
      <c r="T720">
        <v>0</v>
      </c>
      <c r="U720">
        <f>laptop[[#This Row],[PrimaryStorage]]+laptop[[#This Row],[SecondaryStorage]]</f>
        <v>32</v>
      </c>
      <c r="V720" t="s">
        <v>51</v>
      </c>
      <c r="W720" t="s">
        <v>27</v>
      </c>
      <c r="X720" t="str">
        <f>IF(laptop[[#This Row],[PrimaryStorageType]]=laptop[[#This Row],[SecondaryStorageType]],laptop[[#This Row],[PrimaryStorageType]],"SSD &amp; HDD")</f>
        <v>SSD &amp; HDD</v>
      </c>
      <c r="Y720" t="s">
        <v>81</v>
      </c>
      <c r="Z720" s="4" t="str">
        <f>_xlfn.CONCAT(laptop[[#This Row],[CPU_company]]," ",laptop[[#This Row],[GPU_model]])</f>
        <v>Intel HD Graphics 400</v>
      </c>
    </row>
    <row r="721" spans="1:26" x14ac:dyDescent="0.25">
      <c r="A721" t="s">
        <v>36</v>
      </c>
      <c r="B721" t="s">
        <v>97</v>
      </c>
      <c r="C721" t="s">
        <v>38</v>
      </c>
      <c r="D721">
        <v>17.3</v>
      </c>
      <c r="E721">
        <v>8</v>
      </c>
      <c r="F721" t="s">
        <v>48</v>
      </c>
      <c r="G721">
        <v>2.63</v>
      </c>
      <c r="H721" s="16">
        <v>1200</v>
      </c>
      <c r="I721" t="s">
        <v>40</v>
      </c>
      <c r="J721">
        <v>1920</v>
      </c>
      <c r="K721">
        <v>1080</v>
      </c>
      <c r="L721" t="s">
        <v>27</v>
      </c>
      <c r="M721" t="s">
        <v>27</v>
      </c>
      <c r="N721" t="s">
        <v>27</v>
      </c>
      <c r="O721" t="s">
        <v>29</v>
      </c>
      <c r="P721">
        <v>2.7</v>
      </c>
      <c r="Q721" t="s">
        <v>71</v>
      </c>
      <c r="R721" t="str">
        <f>_xlfn.CONCAT(laptop[[#This Row],[CPU_company]]," ",laptop[[#This Row],[CPU_model]])</f>
        <v>Intel Core i7 7500U</v>
      </c>
      <c r="S721">
        <v>256</v>
      </c>
      <c r="T721">
        <v>0</v>
      </c>
      <c r="U721">
        <f>laptop[[#This Row],[PrimaryStorage]]+laptop[[#This Row],[SecondaryStorage]]</f>
        <v>256</v>
      </c>
      <c r="V721" t="s">
        <v>31</v>
      </c>
      <c r="W721" t="s">
        <v>27</v>
      </c>
      <c r="X721" t="str">
        <f>IF(laptop[[#This Row],[PrimaryStorageType]]=laptop[[#This Row],[SecondaryStorageType]],laptop[[#This Row],[PrimaryStorageType]],"SSD &amp; HDD")</f>
        <v>SSD &amp; HDD</v>
      </c>
      <c r="Y721" t="s">
        <v>98</v>
      </c>
      <c r="Z721" s="4" t="str">
        <f>_xlfn.CONCAT(laptop[[#This Row],[CPU_company]]," ",laptop[[#This Row],[GPU_model]])</f>
        <v>Intel GeForce 930MX</v>
      </c>
    </row>
    <row r="722" spans="1:26" x14ac:dyDescent="0.25">
      <c r="A722" t="s">
        <v>73</v>
      </c>
      <c r="B722" t="s">
        <v>308</v>
      </c>
      <c r="C722" t="s">
        <v>24</v>
      </c>
      <c r="D722">
        <v>14</v>
      </c>
      <c r="E722">
        <v>8</v>
      </c>
      <c r="F722" t="s">
        <v>48</v>
      </c>
      <c r="G722">
        <v>1.17</v>
      </c>
      <c r="H722" s="16">
        <v>1686.64</v>
      </c>
      <c r="I722" t="s">
        <v>107</v>
      </c>
      <c r="J722">
        <v>2560</v>
      </c>
      <c r="K722">
        <v>1440</v>
      </c>
      <c r="L722" t="s">
        <v>27</v>
      </c>
      <c r="M722" t="s">
        <v>28</v>
      </c>
      <c r="N722" t="s">
        <v>27</v>
      </c>
      <c r="O722" t="s">
        <v>29</v>
      </c>
      <c r="P722">
        <v>2.5</v>
      </c>
      <c r="Q722" t="s">
        <v>274</v>
      </c>
      <c r="R722" t="str">
        <f>_xlfn.CONCAT(laptop[[#This Row],[CPU_company]]," ",laptop[[#This Row],[CPU_model]])</f>
        <v>Intel Core i7 6500U</v>
      </c>
      <c r="S722">
        <v>512</v>
      </c>
      <c r="T722">
        <v>0</v>
      </c>
      <c r="U722">
        <f>laptop[[#This Row],[PrimaryStorage]]+laptop[[#This Row],[SecondaryStorage]]</f>
        <v>512</v>
      </c>
      <c r="V722" t="s">
        <v>31</v>
      </c>
      <c r="W722" t="s">
        <v>27</v>
      </c>
      <c r="X722" t="str">
        <f>IF(laptop[[#This Row],[PrimaryStorageType]]=laptop[[#This Row],[SecondaryStorageType]],laptop[[#This Row],[PrimaryStorageType]],"SSD &amp; HDD")</f>
        <v>SSD &amp; HDD</v>
      </c>
      <c r="Y722" t="s">
        <v>63</v>
      </c>
      <c r="Z722" s="4" t="str">
        <f>_xlfn.CONCAT(laptop[[#This Row],[CPU_company]]," ",laptop[[#This Row],[GPU_model]])</f>
        <v>Intel HD Graphics 520</v>
      </c>
    </row>
    <row r="723" spans="1:26" x14ac:dyDescent="0.25">
      <c r="A723" t="s">
        <v>36</v>
      </c>
      <c r="B723" t="s">
        <v>572</v>
      </c>
      <c r="C723" t="s">
        <v>90</v>
      </c>
      <c r="D723">
        <v>13.3</v>
      </c>
      <c r="E723">
        <v>8</v>
      </c>
      <c r="F723" t="s">
        <v>48</v>
      </c>
      <c r="G723">
        <v>1.58</v>
      </c>
      <c r="H723" s="16">
        <v>836.6</v>
      </c>
      <c r="I723" t="s">
        <v>26</v>
      </c>
      <c r="J723">
        <v>1366</v>
      </c>
      <c r="K723">
        <v>768</v>
      </c>
      <c r="L723" t="s">
        <v>28</v>
      </c>
      <c r="M723" t="s">
        <v>28</v>
      </c>
      <c r="N723" t="s">
        <v>27</v>
      </c>
      <c r="O723" t="s">
        <v>29</v>
      </c>
      <c r="P723">
        <v>2.5</v>
      </c>
      <c r="Q723" t="s">
        <v>41</v>
      </c>
      <c r="R723" t="str">
        <f>_xlfn.CONCAT(laptop[[#This Row],[CPU_company]]," ",laptop[[#This Row],[CPU_model]])</f>
        <v>Intel Core i5 7200U</v>
      </c>
      <c r="S723">
        <v>256</v>
      </c>
      <c r="T723">
        <v>0</v>
      </c>
      <c r="U723">
        <f>laptop[[#This Row],[PrimaryStorage]]+laptop[[#This Row],[SecondaryStorage]]</f>
        <v>256</v>
      </c>
      <c r="V723" t="s">
        <v>31</v>
      </c>
      <c r="W723" t="s">
        <v>27</v>
      </c>
      <c r="X723" t="str">
        <f>IF(laptop[[#This Row],[PrimaryStorageType]]=laptop[[#This Row],[SecondaryStorageType]],laptop[[#This Row],[PrimaryStorageType]],"SSD &amp; HDD")</f>
        <v>SSD &amp; HDD</v>
      </c>
      <c r="Y723" t="s">
        <v>42</v>
      </c>
      <c r="Z723" s="4" t="str">
        <f>_xlfn.CONCAT(laptop[[#This Row],[CPU_company]]," ",laptop[[#This Row],[GPU_model]])</f>
        <v>Intel HD Graphics 620</v>
      </c>
    </row>
    <row r="724" spans="1:26" x14ac:dyDescent="0.25">
      <c r="A724" t="s">
        <v>73</v>
      </c>
      <c r="B724" t="s">
        <v>424</v>
      </c>
      <c r="C724" t="s">
        <v>24</v>
      </c>
      <c r="D724">
        <v>14</v>
      </c>
      <c r="E724">
        <v>8</v>
      </c>
      <c r="F724" t="s">
        <v>48</v>
      </c>
      <c r="G724">
        <v>1.32</v>
      </c>
      <c r="H724" s="16">
        <v>1499</v>
      </c>
      <c r="I724" t="s">
        <v>40</v>
      </c>
      <c r="J724">
        <v>1920</v>
      </c>
      <c r="K724">
        <v>1080</v>
      </c>
      <c r="L724" t="s">
        <v>27</v>
      </c>
      <c r="M724" t="s">
        <v>28</v>
      </c>
      <c r="N724" t="s">
        <v>27</v>
      </c>
      <c r="O724" t="s">
        <v>29</v>
      </c>
      <c r="P724">
        <v>2.5</v>
      </c>
      <c r="Q724" t="s">
        <v>41</v>
      </c>
      <c r="R724" t="str">
        <f>_xlfn.CONCAT(laptop[[#This Row],[CPU_company]]," ",laptop[[#This Row],[CPU_model]])</f>
        <v>Intel Core i5 7200U</v>
      </c>
      <c r="S724">
        <v>256</v>
      </c>
      <c r="T724">
        <v>0</v>
      </c>
      <c r="U724">
        <f>laptop[[#This Row],[PrimaryStorage]]+laptop[[#This Row],[SecondaryStorage]]</f>
        <v>256</v>
      </c>
      <c r="V724" t="s">
        <v>31</v>
      </c>
      <c r="W724" t="s">
        <v>27</v>
      </c>
      <c r="X724" t="str">
        <f>IF(laptop[[#This Row],[PrimaryStorageType]]=laptop[[#This Row],[SecondaryStorageType]],laptop[[#This Row],[PrimaryStorageType]],"SSD &amp; HDD")</f>
        <v>SSD &amp; HDD</v>
      </c>
      <c r="Y724" t="s">
        <v>42</v>
      </c>
      <c r="Z724" s="4" t="str">
        <f>_xlfn.CONCAT(laptop[[#This Row],[CPU_company]]," ",laptop[[#This Row],[GPU_model]])</f>
        <v>Intel HD Graphics 620</v>
      </c>
    </row>
    <row r="725" spans="1:26" x14ac:dyDescent="0.25">
      <c r="A725" t="s">
        <v>65</v>
      </c>
      <c r="B725" t="s">
        <v>275</v>
      </c>
      <c r="C725" t="s">
        <v>83</v>
      </c>
      <c r="D725">
        <v>17.3</v>
      </c>
      <c r="E725">
        <v>32</v>
      </c>
      <c r="F725" t="s">
        <v>48</v>
      </c>
      <c r="G725">
        <v>4.3600000000000003</v>
      </c>
      <c r="H725" s="16">
        <v>3659.4</v>
      </c>
      <c r="I725" t="s">
        <v>215</v>
      </c>
      <c r="J725">
        <v>3840</v>
      </c>
      <c r="K725">
        <v>2160</v>
      </c>
      <c r="L725" t="s">
        <v>27</v>
      </c>
      <c r="M725" t="s">
        <v>27</v>
      </c>
      <c r="N725" t="s">
        <v>27</v>
      </c>
      <c r="O725" t="s">
        <v>29</v>
      </c>
      <c r="P725">
        <v>2.8</v>
      </c>
      <c r="Q725" t="s">
        <v>118</v>
      </c>
      <c r="R725" t="str">
        <f>_xlfn.CONCAT(laptop[[#This Row],[CPU_company]]," ",laptop[[#This Row],[CPU_model]])</f>
        <v>Intel Core i7 7700HQ</v>
      </c>
      <c r="S725">
        <v>1024</v>
      </c>
      <c r="T725">
        <v>1024</v>
      </c>
      <c r="U725">
        <f>laptop[[#This Row],[PrimaryStorage]]+laptop[[#This Row],[SecondaryStorage]]</f>
        <v>2048</v>
      </c>
      <c r="V725" t="s">
        <v>31</v>
      </c>
      <c r="W725" t="s">
        <v>51</v>
      </c>
      <c r="X725" t="str">
        <f>IF(laptop[[#This Row],[PrimaryStorageType]]=laptop[[#This Row],[SecondaryStorageType]],laptop[[#This Row],[PrimaryStorageType]],"SSD &amp; HDD")</f>
        <v>SSD &amp; HDD</v>
      </c>
      <c r="Y725" t="s">
        <v>143</v>
      </c>
      <c r="Z725" s="4" t="str">
        <f>_xlfn.CONCAT(laptop[[#This Row],[CPU_company]]," ",laptop[[#This Row],[GPU_model]])</f>
        <v>Intel GeForce GTX 1070</v>
      </c>
    </row>
    <row r="726" spans="1:26" x14ac:dyDescent="0.25">
      <c r="A726" t="s">
        <v>141</v>
      </c>
      <c r="B726" t="s">
        <v>354</v>
      </c>
      <c r="C726" t="s">
        <v>83</v>
      </c>
      <c r="D726">
        <v>17.3</v>
      </c>
      <c r="E726">
        <v>8</v>
      </c>
      <c r="F726" t="s">
        <v>48</v>
      </c>
      <c r="G726">
        <v>2.7</v>
      </c>
      <c r="H726" s="16">
        <v>1348.48</v>
      </c>
      <c r="I726" t="s">
        <v>40</v>
      </c>
      <c r="J726">
        <v>1920</v>
      </c>
      <c r="K726">
        <v>1080</v>
      </c>
      <c r="L726" t="s">
        <v>27</v>
      </c>
      <c r="M726" t="s">
        <v>27</v>
      </c>
      <c r="N726" t="s">
        <v>27</v>
      </c>
      <c r="O726" t="s">
        <v>29</v>
      </c>
      <c r="P726">
        <v>2.8</v>
      </c>
      <c r="Q726" t="s">
        <v>118</v>
      </c>
      <c r="R726" t="str">
        <f>_xlfn.CONCAT(laptop[[#This Row],[CPU_company]]," ",laptop[[#This Row],[CPU_model]])</f>
        <v>Intel Core i7 7700HQ</v>
      </c>
      <c r="S726">
        <v>128</v>
      </c>
      <c r="T726">
        <v>1024</v>
      </c>
      <c r="U726">
        <f>laptop[[#This Row],[PrimaryStorage]]+laptop[[#This Row],[SecondaryStorage]]</f>
        <v>1152</v>
      </c>
      <c r="V726" t="s">
        <v>31</v>
      </c>
      <c r="W726" t="s">
        <v>51</v>
      </c>
      <c r="X726" t="str">
        <f>IF(laptop[[#This Row],[PrimaryStorageType]]=laptop[[#This Row],[SecondaryStorageType]],laptop[[#This Row],[PrimaryStorageType]],"SSD &amp; HDD")</f>
        <v>SSD &amp; HDD</v>
      </c>
      <c r="Y726" t="s">
        <v>149</v>
      </c>
      <c r="Z726" s="4" t="str">
        <f>_xlfn.CONCAT(laptop[[#This Row],[CPU_company]]," ",laptop[[#This Row],[GPU_model]])</f>
        <v>Intel GeForce GTX 1050 Ti</v>
      </c>
    </row>
    <row r="727" spans="1:26" x14ac:dyDescent="0.25">
      <c r="A727" t="s">
        <v>73</v>
      </c>
      <c r="B727" t="s">
        <v>607</v>
      </c>
      <c r="C727" t="s">
        <v>38</v>
      </c>
      <c r="D727">
        <v>15.6</v>
      </c>
      <c r="E727">
        <v>4</v>
      </c>
      <c r="F727" t="s">
        <v>39</v>
      </c>
      <c r="G727">
        <v>1.9</v>
      </c>
      <c r="H727" s="16">
        <v>489.9</v>
      </c>
      <c r="I727" t="s">
        <v>26</v>
      </c>
      <c r="J727">
        <v>1366</v>
      </c>
      <c r="K727">
        <v>768</v>
      </c>
      <c r="L727" t="s">
        <v>27</v>
      </c>
      <c r="M727" t="s">
        <v>27</v>
      </c>
      <c r="N727" t="s">
        <v>27</v>
      </c>
      <c r="O727" t="s">
        <v>29</v>
      </c>
      <c r="P727">
        <v>2.5</v>
      </c>
      <c r="Q727" t="s">
        <v>41</v>
      </c>
      <c r="R727" t="str">
        <f>_xlfn.CONCAT(laptop[[#This Row],[CPU_company]]," ",laptop[[#This Row],[CPU_model]])</f>
        <v>Intel Core i5 7200U</v>
      </c>
      <c r="S727">
        <v>1024</v>
      </c>
      <c r="T727">
        <v>0</v>
      </c>
      <c r="U727">
        <f>laptop[[#This Row],[PrimaryStorage]]+laptop[[#This Row],[SecondaryStorage]]</f>
        <v>1024</v>
      </c>
      <c r="V727" t="s">
        <v>51</v>
      </c>
      <c r="W727" t="s">
        <v>27</v>
      </c>
      <c r="X727" t="str">
        <f>IF(laptop[[#This Row],[PrimaryStorageType]]=laptop[[#This Row],[SecondaryStorageType]],laptop[[#This Row],[PrimaryStorageType]],"SSD &amp; HDD")</f>
        <v>SSD &amp; HDD</v>
      </c>
      <c r="Y727" t="s">
        <v>42</v>
      </c>
      <c r="Z727" s="4" t="str">
        <f>_xlfn.CONCAT(laptop[[#This Row],[CPU_company]]," ",laptop[[#This Row],[GPU_model]])</f>
        <v>Intel HD Graphics 620</v>
      </c>
    </row>
    <row r="728" spans="1:26" x14ac:dyDescent="0.25">
      <c r="A728" t="s">
        <v>65</v>
      </c>
      <c r="B728" t="s">
        <v>93</v>
      </c>
      <c r="C728" t="s">
        <v>38</v>
      </c>
      <c r="D728">
        <v>15.6</v>
      </c>
      <c r="E728">
        <v>8</v>
      </c>
      <c r="F728" t="s">
        <v>48</v>
      </c>
      <c r="G728">
        <v>2.2000000000000002</v>
      </c>
      <c r="H728" s="16">
        <v>719</v>
      </c>
      <c r="I728" t="s">
        <v>40</v>
      </c>
      <c r="J728">
        <v>1920</v>
      </c>
      <c r="K728">
        <v>1080</v>
      </c>
      <c r="L728" t="s">
        <v>27</v>
      </c>
      <c r="M728" t="s">
        <v>27</v>
      </c>
      <c r="N728" t="s">
        <v>27</v>
      </c>
      <c r="O728" t="s">
        <v>29</v>
      </c>
      <c r="P728">
        <v>1.6</v>
      </c>
      <c r="Q728" t="s">
        <v>60</v>
      </c>
      <c r="R728" t="str">
        <f>_xlfn.CONCAT(laptop[[#This Row],[CPU_company]]," ",laptop[[#This Row],[CPU_model]])</f>
        <v>Intel Core i5 8250U</v>
      </c>
      <c r="S728">
        <v>128</v>
      </c>
      <c r="T728">
        <v>1024</v>
      </c>
      <c r="U728">
        <f>laptop[[#This Row],[PrimaryStorage]]+laptop[[#This Row],[SecondaryStorage]]</f>
        <v>1152</v>
      </c>
      <c r="V728" t="s">
        <v>31</v>
      </c>
      <c r="W728" t="s">
        <v>51</v>
      </c>
      <c r="X728" t="str">
        <f>IF(laptop[[#This Row],[PrimaryStorageType]]=laptop[[#This Row],[SecondaryStorageType]],laptop[[#This Row],[PrimaryStorageType]],"SSD &amp; HDD")</f>
        <v>SSD &amp; HDD</v>
      </c>
      <c r="Y728" t="s">
        <v>94</v>
      </c>
      <c r="Z728" s="4" t="str">
        <f>_xlfn.CONCAT(laptop[[#This Row],[CPU_company]]," ",laptop[[#This Row],[GPU_model]])</f>
        <v>Intel Radeon 530</v>
      </c>
    </row>
    <row r="729" spans="1:26" x14ac:dyDescent="0.25">
      <c r="A729" t="s">
        <v>65</v>
      </c>
      <c r="B729" t="s">
        <v>608</v>
      </c>
      <c r="C729" t="s">
        <v>90</v>
      </c>
      <c r="D729">
        <v>13.3</v>
      </c>
      <c r="E729">
        <v>4</v>
      </c>
      <c r="F729" t="s">
        <v>48</v>
      </c>
      <c r="G729">
        <v>1.71</v>
      </c>
      <c r="H729" s="16">
        <v>649</v>
      </c>
      <c r="I729" t="s">
        <v>40</v>
      </c>
      <c r="J729">
        <v>1920</v>
      </c>
      <c r="K729">
        <v>1080</v>
      </c>
      <c r="L729" t="s">
        <v>28</v>
      </c>
      <c r="M729" t="s">
        <v>27</v>
      </c>
      <c r="N729" t="s">
        <v>27</v>
      </c>
      <c r="O729" t="s">
        <v>29</v>
      </c>
      <c r="P729">
        <v>2.4</v>
      </c>
      <c r="Q729" t="s">
        <v>75</v>
      </c>
      <c r="R729" t="str">
        <f>_xlfn.CONCAT(laptop[[#This Row],[CPU_company]]," ",laptop[[#This Row],[CPU_model]])</f>
        <v>Intel Core i3 7100U</v>
      </c>
      <c r="S729">
        <v>1024</v>
      </c>
      <c r="T729">
        <v>0</v>
      </c>
      <c r="U729">
        <f>laptop[[#This Row],[PrimaryStorage]]+laptop[[#This Row],[SecondaryStorage]]</f>
        <v>1024</v>
      </c>
      <c r="V729" t="s">
        <v>51</v>
      </c>
      <c r="W729" t="s">
        <v>27</v>
      </c>
      <c r="X729" t="str">
        <f>IF(laptop[[#This Row],[PrimaryStorageType]]=laptop[[#This Row],[SecondaryStorageType]],laptop[[#This Row],[PrimaryStorageType]],"SSD &amp; HDD")</f>
        <v>SSD &amp; HDD</v>
      </c>
      <c r="Y729" t="s">
        <v>42</v>
      </c>
      <c r="Z729" s="4" t="str">
        <f>_xlfn.CONCAT(laptop[[#This Row],[CPU_company]]," ",laptop[[#This Row],[GPU_model]])</f>
        <v>Intel HD Graphics 620</v>
      </c>
    </row>
    <row r="730" spans="1:26" x14ac:dyDescent="0.25">
      <c r="A730" t="s">
        <v>65</v>
      </c>
      <c r="B730" t="s">
        <v>200</v>
      </c>
      <c r="C730" t="s">
        <v>38</v>
      </c>
      <c r="D730">
        <v>15.6</v>
      </c>
      <c r="E730">
        <v>8</v>
      </c>
      <c r="F730" t="s">
        <v>111</v>
      </c>
      <c r="G730">
        <v>2.3199999999999998</v>
      </c>
      <c r="H730" s="16">
        <v>589.52</v>
      </c>
      <c r="I730" t="s">
        <v>26</v>
      </c>
      <c r="J730">
        <v>1366</v>
      </c>
      <c r="K730">
        <v>768</v>
      </c>
      <c r="L730" t="s">
        <v>27</v>
      </c>
      <c r="M730" t="s">
        <v>27</v>
      </c>
      <c r="N730" t="s">
        <v>27</v>
      </c>
      <c r="O730" t="s">
        <v>29</v>
      </c>
      <c r="P730">
        <v>2.5</v>
      </c>
      <c r="Q730" t="s">
        <v>41</v>
      </c>
      <c r="R730" t="str">
        <f>_xlfn.CONCAT(laptop[[#This Row],[CPU_company]]," ",laptop[[#This Row],[CPU_model]])</f>
        <v>Intel Core i5 7200U</v>
      </c>
      <c r="S730">
        <v>1024</v>
      </c>
      <c r="T730">
        <v>0</v>
      </c>
      <c r="U730">
        <f>laptop[[#This Row],[PrimaryStorage]]+laptop[[#This Row],[SecondaryStorage]]</f>
        <v>1024</v>
      </c>
      <c r="V730" t="s">
        <v>51</v>
      </c>
      <c r="W730" t="s">
        <v>27</v>
      </c>
      <c r="X730" t="str">
        <f>IF(laptop[[#This Row],[PrimaryStorageType]]=laptop[[#This Row],[SecondaryStorageType]],laptop[[#This Row],[PrimaryStorageType]],"SSD &amp; HDD")</f>
        <v>SSD &amp; HDD</v>
      </c>
      <c r="Y730" t="s">
        <v>201</v>
      </c>
      <c r="Z730" s="4" t="str">
        <f>_xlfn.CONCAT(laptop[[#This Row],[CPU_company]]," ",laptop[[#This Row],[GPU_model]])</f>
        <v>Intel Radeon R7 M445</v>
      </c>
    </row>
    <row r="731" spans="1:26" x14ac:dyDescent="0.25">
      <c r="A731" t="s">
        <v>36</v>
      </c>
      <c r="B731" t="s">
        <v>609</v>
      </c>
      <c r="C731" t="s">
        <v>38</v>
      </c>
      <c r="D731">
        <v>15.6</v>
      </c>
      <c r="E731">
        <v>4</v>
      </c>
      <c r="F731" t="s">
        <v>48</v>
      </c>
      <c r="G731">
        <v>2.1</v>
      </c>
      <c r="H731" s="16">
        <v>489</v>
      </c>
      <c r="I731" t="s">
        <v>40</v>
      </c>
      <c r="J731">
        <v>1920</v>
      </c>
      <c r="K731">
        <v>1080</v>
      </c>
      <c r="L731" t="s">
        <v>27</v>
      </c>
      <c r="M731" t="s">
        <v>27</v>
      </c>
      <c r="N731" t="s">
        <v>27</v>
      </c>
      <c r="O731" t="s">
        <v>49</v>
      </c>
      <c r="P731">
        <v>3</v>
      </c>
      <c r="Q731" t="s">
        <v>50</v>
      </c>
      <c r="R731" t="str">
        <f>_xlfn.CONCAT(laptop[[#This Row],[CPU_company]]," ",laptop[[#This Row],[CPU_model]])</f>
        <v>AMD A9-Series 9420</v>
      </c>
      <c r="S731">
        <v>1024</v>
      </c>
      <c r="T731">
        <v>0</v>
      </c>
      <c r="U731">
        <f>laptop[[#This Row],[PrimaryStorage]]+laptop[[#This Row],[SecondaryStorage]]</f>
        <v>1024</v>
      </c>
      <c r="V731" t="s">
        <v>51</v>
      </c>
      <c r="W731" t="s">
        <v>27</v>
      </c>
      <c r="X731" t="str">
        <f>IF(laptop[[#This Row],[PrimaryStorageType]]=laptop[[#This Row],[SecondaryStorageType]],laptop[[#This Row],[PrimaryStorageType]],"SSD &amp; HDD")</f>
        <v>SSD &amp; HDD</v>
      </c>
      <c r="Y731" t="s">
        <v>138</v>
      </c>
      <c r="Z731" s="4" t="str">
        <f>_xlfn.CONCAT(laptop[[#This Row],[CPU_company]]," ",laptop[[#This Row],[GPU_model]])</f>
        <v>AMD Radeon 520</v>
      </c>
    </row>
    <row r="732" spans="1:26" x14ac:dyDescent="0.25">
      <c r="A732" t="s">
        <v>46</v>
      </c>
      <c r="B732" t="s">
        <v>610</v>
      </c>
      <c r="C732" t="s">
        <v>83</v>
      </c>
      <c r="D732">
        <v>17.3</v>
      </c>
      <c r="E732">
        <v>16</v>
      </c>
      <c r="F732" t="s">
        <v>48</v>
      </c>
      <c r="G732">
        <v>4.2</v>
      </c>
      <c r="H732" s="16">
        <v>1935</v>
      </c>
      <c r="I732" t="s">
        <v>40</v>
      </c>
      <c r="J732">
        <v>1920</v>
      </c>
      <c r="K732">
        <v>1080</v>
      </c>
      <c r="L732" t="s">
        <v>27</v>
      </c>
      <c r="M732" t="s">
        <v>28</v>
      </c>
      <c r="N732" t="s">
        <v>27</v>
      </c>
      <c r="O732" t="s">
        <v>29</v>
      </c>
      <c r="P732">
        <v>2.6</v>
      </c>
      <c r="Q732" t="s">
        <v>447</v>
      </c>
      <c r="R732" t="str">
        <f>_xlfn.CONCAT(laptop[[#This Row],[CPU_company]]," ",laptop[[#This Row],[CPU_model]])</f>
        <v>Intel Core i7 6700HQ</v>
      </c>
      <c r="S732">
        <v>128</v>
      </c>
      <c r="T732">
        <v>1024</v>
      </c>
      <c r="U732">
        <f>laptop[[#This Row],[PrimaryStorage]]+laptop[[#This Row],[SecondaryStorage]]</f>
        <v>1152</v>
      </c>
      <c r="V732" t="s">
        <v>31</v>
      </c>
      <c r="W732" t="s">
        <v>51</v>
      </c>
      <c r="X732" t="str">
        <f>IF(laptop[[#This Row],[PrimaryStorageType]]=laptop[[#This Row],[SecondaryStorageType]],laptop[[#This Row],[PrimaryStorageType]],"SSD &amp; HDD")</f>
        <v>SSD &amp; HDD</v>
      </c>
      <c r="Y732" t="s">
        <v>119</v>
      </c>
      <c r="Z732" s="4" t="str">
        <f>_xlfn.CONCAT(laptop[[#This Row],[CPU_company]]," ",laptop[[#This Row],[GPU_model]])</f>
        <v>Intel GeForce GTX 1060</v>
      </c>
    </row>
    <row r="733" spans="1:26" x14ac:dyDescent="0.25">
      <c r="A733" t="s">
        <v>65</v>
      </c>
      <c r="B733" t="s">
        <v>66</v>
      </c>
      <c r="C733" t="s">
        <v>38</v>
      </c>
      <c r="D733">
        <v>15.6</v>
      </c>
      <c r="E733">
        <v>12</v>
      </c>
      <c r="F733" t="s">
        <v>48</v>
      </c>
      <c r="G733">
        <v>2.25</v>
      </c>
      <c r="H733" s="16">
        <v>649</v>
      </c>
      <c r="I733" t="s">
        <v>26</v>
      </c>
      <c r="J733">
        <v>1366</v>
      </c>
      <c r="K733">
        <v>768</v>
      </c>
      <c r="L733" t="s">
        <v>27</v>
      </c>
      <c r="M733" t="s">
        <v>27</v>
      </c>
      <c r="N733" t="s">
        <v>27</v>
      </c>
      <c r="O733" t="s">
        <v>29</v>
      </c>
      <c r="P733">
        <v>2.5</v>
      </c>
      <c r="Q733" t="s">
        <v>41</v>
      </c>
      <c r="R733" t="str">
        <f>_xlfn.CONCAT(laptop[[#This Row],[CPU_company]]," ",laptop[[#This Row],[CPU_model]])</f>
        <v>Intel Core i5 7200U</v>
      </c>
      <c r="S733">
        <v>1024</v>
      </c>
      <c r="T733">
        <v>0</v>
      </c>
      <c r="U733">
        <f>laptop[[#This Row],[PrimaryStorage]]+laptop[[#This Row],[SecondaryStorage]]</f>
        <v>1024</v>
      </c>
      <c r="V733" t="s">
        <v>51</v>
      </c>
      <c r="W733" t="s">
        <v>27</v>
      </c>
      <c r="X733" t="str">
        <f>IF(laptop[[#This Row],[PrimaryStorageType]]=laptop[[#This Row],[SecondaryStorageType]],laptop[[#This Row],[PrimaryStorageType]],"SSD &amp; HDD")</f>
        <v>SSD &amp; HDD</v>
      </c>
      <c r="Y733" t="s">
        <v>42</v>
      </c>
      <c r="Z733" s="4" t="str">
        <f>_xlfn.CONCAT(laptop[[#This Row],[CPU_company]]," ",laptop[[#This Row],[GPU_model]])</f>
        <v>Intel HD Graphics 620</v>
      </c>
    </row>
    <row r="734" spans="1:26" x14ac:dyDescent="0.25">
      <c r="A734" t="s">
        <v>36</v>
      </c>
      <c r="B734" t="s">
        <v>611</v>
      </c>
      <c r="C734" t="s">
        <v>38</v>
      </c>
      <c r="D734">
        <v>15.6</v>
      </c>
      <c r="E734">
        <v>6</v>
      </c>
      <c r="F734" t="s">
        <v>48</v>
      </c>
      <c r="G734">
        <v>2.1</v>
      </c>
      <c r="H734" s="16">
        <v>650</v>
      </c>
      <c r="I734" t="s">
        <v>40</v>
      </c>
      <c r="J734">
        <v>1920</v>
      </c>
      <c r="K734">
        <v>1080</v>
      </c>
      <c r="L734" t="s">
        <v>27</v>
      </c>
      <c r="M734" t="s">
        <v>27</v>
      </c>
      <c r="N734" t="s">
        <v>27</v>
      </c>
      <c r="O734" t="s">
        <v>49</v>
      </c>
      <c r="P734">
        <v>3</v>
      </c>
      <c r="Q734" t="s">
        <v>509</v>
      </c>
      <c r="R734" t="str">
        <f>_xlfn.CONCAT(laptop[[#This Row],[CPU_company]]," ",laptop[[#This Row],[CPU_model]])</f>
        <v>AMD A9-Series A9-9420</v>
      </c>
      <c r="S734">
        <v>128</v>
      </c>
      <c r="T734">
        <v>1024</v>
      </c>
      <c r="U734">
        <f>laptop[[#This Row],[PrimaryStorage]]+laptop[[#This Row],[SecondaryStorage]]</f>
        <v>1152</v>
      </c>
      <c r="V734" t="s">
        <v>31</v>
      </c>
      <c r="W734" t="s">
        <v>51</v>
      </c>
      <c r="X734" t="str">
        <f>IF(laptop[[#This Row],[PrimaryStorageType]]=laptop[[#This Row],[SecondaryStorageType]],laptop[[#This Row],[PrimaryStorageType]],"SSD &amp; HDD")</f>
        <v>SSD &amp; HDD</v>
      </c>
      <c r="Y734" t="s">
        <v>138</v>
      </c>
      <c r="Z734" s="4" t="str">
        <f>_xlfn.CONCAT(laptop[[#This Row],[CPU_company]]," ",laptop[[#This Row],[GPU_model]])</f>
        <v>AMD Radeon 520</v>
      </c>
    </row>
    <row r="735" spans="1:26" x14ac:dyDescent="0.25">
      <c r="A735" t="s">
        <v>46</v>
      </c>
      <c r="B735" t="s">
        <v>612</v>
      </c>
      <c r="C735" t="s">
        <v>38</v>
      </c>
      <c r="D735">
        <v>15.6</v>
      </c>
      <c r="E735">
        <v>4</v>
      </c>
      <c r="F735" t="s">
        <v>48</v>
      </c>
      <c r="G735">
        <v>2.4</v>
      </c>
      <c r="H735" s="16">
        <v>559</v>
      </c>
      <c r="I735" t="s">
        <v>26</v>
      </c>
      <c r="J735">
        <v>1366</v>
      </c>
      <c r="K735">
        <v>768</v>
      </c>
      <c r="L735" t="s">
        <v>27</v>
      </c>
      <c r="M735" t="s">
        <v>27</v>
      </c>
      <c r="N735" t="s">
        <v>27</v>
      </c>
      <c r="O735" t="s">
        <v>29</v>
      </c>
      <c r="P735">
        <v>2.5</v>
      </c>
      <c r="Q735" t="s">
        <v>41</v>
      </c>
      <c r="R735" t="str">
        <f>_xlfn.CONCAT(laptop[[#This Row],[CPU_company]]," ",laptop[[#This Row],[CPU_model]])</f>
        <v>Intel Core i5 7200U</v>
      </c>
      <c r="S735">
        <v>500</v>
      </c>
      <c r="T735">
        <v>0</v>
      </c>
      <c r="U735">
        <f>laptop[[#This Row],[PrimaryStorage]]+laptop[[#This Row],[SecondaryStorage]]</f>
        <v>500</v>
      </c>
      <c r="V735" t="s">
        <v>51</v>
      </c>
      <c r="W735" t="s">
        <v>27</v>
      </c>
      <c r="X735" t="str">
        <f>IF(laptop[[#This Row],[PrimaryStorageType]]=laptop[[#This Row],[SecondaryStorageType]],laptop[[#This Row],[PrimaryStorageType]],"SSD &amp; HDD")</f>
        <v>SSD &amp; HDD</v>
      </c>
      <c r="Y735" t="s">
        <v>42</v>
      </c>
      <c r="Z735" s="4" t="str">
        <f>_xlfn.CONCAT(laptop[[#This Row],[CPU_company]]," ",laptop[[#This Row],[GPU_model]])</f>
        <v>Intel HD Graphics 620</v>
      </c>
    </row>
    <row r="736" spans="1:26" x14ac:dyDescent="0.25">
      <c r="A736" t="s">
        <v>73</v>
      </c>
      <c r="B736" t="s">
        <v>341</v>
      </c>
      <c r="C736" t="s">
        <v>38</v>
      </c>
      <c r="D736">
        <v>13.3</v>
      </c>
      <c r="E736">
        <v>8</v>
      </c>
      <c r="F736" t="s">
        <v>48</v>
      </c>
      <c r="G736">
        <v>1.44</v>
      </c>
      <c r="H736" s="16">
        <v>960</v>
      </c>
      <c r="I736" t="s">
        <v>40</v>
      </c>
      <c r="J736">
        <v>1920</v>
      </c>
      <c r="K736">
        <v>1080</v>
      </c>
      <c r="L736" t="s">
        <v>27</v>
      </c>
      <c r="M736" t="s">
        <v>28</v>
      </c>
      <c r="N736" t="s">
        <v>27</v>
      </c>
      <c r="O736" t="s">
        <v>29</v>
      </c>
      <c r="P736">
        <v>2.5</v>
      </c>
      <c r="Q736" t="s">
        <v>41</v>
      </c>
      <c r="R736" t="str">
        <f>_xlfn.CONCAT(laptop[[#This Row],[CPU_company]]," ",laptop[[#This Row],[CPU_model]])</f>
        <v>Intel Core i5 7200U</v>
      </c>
      <c r="S736">
        <v>256</v>
      </c>
      <c r="T736">
        <v>0</v>
      </c>
      <c r="U736">
        <f>laptop[[#This Row],[PrimaryStorage]]+laptop[[#This Row],[SecondaryStorage]]</f>
        <v>256</v>
      </c>
      <c r="V736" t="s">
        <v>31</v>
      </c>
      <c r="W736" t="s">
        <v>27</v>
      </c>
      <c r="X736" t="str">
        <f>IF(laptop[[#This Row],[PrimaryStorageType]]=laptop[[#This Row],[SecondaryStorageType]],laptop[[#This Row],[PrimaryStorageType]],"SSD &amp; HDD")</f>
        <v>SSD &amp; HDD</v>
      </c>
      <c r="Y736" t="s">
        <v>42</v>
      </c>
      <c r="Z736" s="4" t="str">
        <f>_xlfn.CONCAT(laptop[[#This Row],[CPU_company]]," ",laptop[[#This Row],[GPU_model]])</f>
        <v>Intel HD Graphics 620</v>
      </c>
    </row>
    <row r="737" spans="1:26" x14ac:dyDescent="0.25">
      <c r="A737" t="s">
        <v>73</v>
      </c>
      <c r="B737" t="s">
        <v>613</v>
      </c>
      <c r="C737" t="s">
        <v>38</v>
      </c>
      <c r="D737">
        <v>15.6</v>
      </c>
      <c r="E737">
        <v>4</v>
      </c>
      <c r="F737" t="s">
        <v>48</v>
      </c>
      <c r="G737">
        <v>1.85</v>
      </c>
      <c r="H737" s="16">
        <v>779</v>
      </c>
      <c r="I737" t="s">
        <v>40</v>
      </c>
      <c r="J737">
        <v>1920</v>
      </c>
      <c r="K737">
        <v>1080</v>
      </c>
      <c r="L737" t="s">
        <v>27</v>
      </c>
      <c r="M737" t="s">
        <v>27</v>
      </c>
      <c r="N737" t="s">
        <v>27</v>
      </c>
      <c r="O737" t="s">
        <v>29</v>
      </c>
      <c r="P737">
        <v>2.7</v>
      </c>
      <c r="Q737" t="s">
        <v>71</v>
      </c>
      <c r="R737" t="str">
        <f>_xlfn.CONCAT(laptop[[#This Row],[CPU_company]]," ",laptop[[#This Row],[CPU_model]])</f>
        <v>Intel Core i7 7500U</v>
      </c>
      <c r="S737">
        <v>1024</v>
      </c>
      <c r="T737">
        <v>0</v>
      </c>
      <c r="U737">
        <f>laptop[[#This Row],[PrimaryStorage]]+laptop[[#This Row],[SecondaryStorage]]</f>
        <v>1024</v>
      </c>
      <c r="V737" t="s">
        <v>51</v>
      </c>
      <c r="W737" t="s">
        <v>27</v>
      </c>
      <c r="X737" t="str">
        <f>IF(laptop[[#This Row],[PrimaryStorageType]]=laptop[[#This Row],[SecondaryStorageType]],laptop[[#This Row],[PrimaryStorageType]],"SSD &amp; HDD")</f>
        <v>SSD &amp; HDD</v>
      </c>
      <c r="Y737" t="s">
        <v>42</v>
      </c>
      <c r="Z737" s="4" t="str">
        <f>_xlfn.CONCAT(laptop[[#This Row],[CPU_company]]," ",laptop[[#This Row],[GPU_model]])</f>
        <v>Intel HD Graphics 620</v>
      </c>
    </row>
    <row r="738" spans="1:26" x14ac:dyDescent="0.25">
      <c r="A738" t="s">
        <v>36</v>
      </c>
      <c r="B738" t="s">
        <v>614</v>
      </c>
      <c r="C738" t="s">
        <v>265</v>
      </c>
      <c r="D738">
        <v>15.6</v>
      </c>
      <c r="E738">
        <v>16</v>
      </c>
      <c r="F738" t="s">
        <v>48</v>
      </c>
      <c r="G738">
        <v>2.6</v>
      </c>
      <c r="H738" s="16">
        <v>2419</v>
      </c>
      <c r="I738" t="s">
        <v>40</v>
      </c>
      <c r="J738">
        <v>1920</v>
      </c>
      <c r="K738">
        <v>1080</v>
      </c>
      <c r="L738" t="s">
        <v>27</v>
      </c>
      <c r="M738" t="s">
        <v>27</v>
      </c>
      <c r="N738" t="s">
        <v>27</v>
      </c>
      <c r="O738" t="s">
        <v>29</v>
      </c>
      <c r="P738">
        <v>2.8</v>
      </c>
      <c r="Q738" t="s">
        <v>118</v>
      </c>
      <c r="R738" t="str">
        <f>_xlfn.CONCAT(laptop[[#This Row],[CPU_company]]," ",laptop[[#This Row],[CPU_model]])</f>
        <v>Intel Core i7 7700HQ</v>
      </c>
      <c r="S738">
        <v>256</v>
      </c>
      <c r="T738">
        <v>0</v>
      </c>
      <c r="U738">
        <f>laptop[[#This Row],[PrimaryStorage]]+laptop[[#This Row],[SecondaryStorage]]</f>
        <v>256</v>
      </c>
      <c r="V738" t="s">
        <v>31</v>
      </c>
      <c r="W738" t="s">
        <v>27</v>
      </c>
      <c r="X738" t="str">
        <f>IF(laptop[[#This Row],[PrimaryStorageType]]=laptop[[#This Row],[SecondaryStorageType]],laptop[[#This Row],[PrimaryStorageType]],"SSD &amp; HDD")</f>
        <v>SSD &amp; HDD</v>
      </c>
      <c r="Y738" t="s">
        <v>615</v>
      </c>
      <c r="Z738" s="4" t="str">
        <f>_xlfn.CONCAT(laptop[[#This Row],[CPU_company]]," ",laptop[[#This Row],[GPU_model]])</f>
        <v>Intel Quadro M2200</v>
      </c>
    </row>
    <row r="739" spans="1:26" x14ac:dyDescent="0.25">
      <c r="A739" t="s">
        <v>65</v>
      </c>
      <c r="B739" t="s">
        <v>89</v>
      </c>
      <c r="C739" t="s">
        <v>90</v>
      </c>
      <c r="D739">
        <v>13.3</v>
      </c>
      <c r="E739">
        <v>8</v>
      </c>
      <c r="F739" t="s">
        <v>48</v>
      </c>
      <c r="G739">
        <v>1.55</v>
      </c>
      <c r="H739" s="16">
        <v>659</v>
      </c>
      <c r="I739" t="s">
        <v>40</v>
      </c>
      <c r="J739">
        <v>1920</v>
      </c>
      <c r="K739">
        <v>1080</v>
      </c>
      <c r="L739" t="s">
        <v>28</v>
      </c>
      <c r="M739" t="s">
        <v>27</v>
      </c>
      <c r="N739" t="s">
        <v>27</v>
      </c>
      <c r="O739" t="s">
        <v>29</v>
      </c>
      <c r="P739">
        <v>1.6</v>
      </c>
      <c r="Q739" t="s">
        <v>60</v>
      </c>
      <c r="R739" t="str">
        <f>_xlfn.CONCAT(laptop[[#This Row],[CPU_company]]," ",laptop[[#This Row],[CPU_model]])</f>
        <v>Intel Core i5 8250U</v>
      </c>
      <c r="S739">
        <v>1024</v>
      </c>
      <c r="T739">
        <v>0</v>
      </c>
      <c r="U739">
        <f>laptop[[#This Row],[PrimaryStorage]]+laptop[[#This Row],[SecondaryStorage]]</f>
        <v>1024</v>
      </c>
      <c r="V739" t="s">
        <v>51</v>
      </c>
      <c r="W739" t="s">
        <v>27</v>
      </c>
      <c r="X739" t="str">
        <f>IF(laptop[[#This Row],[PrimaryStorageType]]=laptop[[#This Row],[SecondaryStorageType]],laptop[[#This Row],[PrimaryStorageType]],"SSD &amp; HDD")</f>
        <v>SSD &amp; HDD</v>
      </c>
      <c r="Y739" t="s">
        <v>61</v>
      </c>
      <c r="Z739" s="4" t="str">
        <f>_xlfn.CONCAT(laptop[[#This Row],[CPU_company]]," ",laptop[[#This Row],[GPU_model]])</f>
        <v>Intel UHD Graphics 620</v>
      </c>
    </row>
    <row r="740" spans="1:26" x14ac:dyDescent="0.25">
      <c r="A740" t="s">
        <v>141</v>
      </c>
      <c r="B740" t="s">
        <v>531</v>
      </c>
      <c r="C740" t="s">
        <v>83</v>
      </c>
      <c r="D740">
        <v>15.6</v>
      </c>
      <c r="E740">
        <v>16</v>
      </c>
      <c r="F740" t="s">
        <v>48</v>
      </c>
      <c r="G740">
        <v>1.8</v>
      </c>
      <c r="H740" s="16">
        <v>2094.48</v>
      </c>
      <c r="I740" t="s">
        <v>40</v>
      </c>
      <c r="J740">
        <v>1920</v>
      </c>
      <c r="K740">
        <v>1080</v>
      </c>
      <c r="L740" t="s">
        <v>27</v>
      </c>
      <c r="M740" t="s">
        <v>27</v>
      </c>
      <c r="N740" t="s">
        <v>27</v>
      </c>
      <c r="O740" t="s">
        <v>29</v>
      </c>
      <c r="P740">
        <v>2.8</v>
      </c>
      <c r="Q740" t="s">
        <v>118</v>
      </c>
      <c r="R740" t="str">
        <f>_xlfn.CONCAT(laptop[[#This Row],[CPU_company]]," ",laptop[[#This Row],[CPU_model]])</f>
        <v>Intel Core i7 7700HQ</v>
      </c>
      <c r="S740">
        <v>256</v>
      </c>
      <c r="T740">
        <v>1024</v>
      </c>
      <c r="U740">
        <f>laptop[[#This Row],[PrimaryStorage]]+laptop[[#This Row],[SecondaryStorage]]</f>
        <v>1280</v>
      </c>
      <c r="V740" t="s">
        <v>31</v>
      </c>
      <c r="W740" t="s">
        <v>51</v>
      </c>
      <c r="X740" t="str">
        <f>IF(laptop[[#This Row],[PrimaryStorageType]]=laptop[[#This Row],[SecondaryStorageType]],laptop[[#This Row],[PrimaryStorageType]],"SSD &amp; HDD")</f>
        <v>SSD &amp; HDD</v>
      </c>
      <c r="Y740" t="s">
        <v>119</v>
      </c>
      <c r="Z740" s="4" t="str">
        <f>_xlfn.CONCAT(laptop[[#This Row],[CPU_company]]," ",laptop[[#This Row],[GPU_model]])</f>
        <v>Intel GeForce GTX 1060</v>
      </c>
    </row>
    <row r="741" spans="1:26" x14ac:dyDescent="0.25">
      <c r="A741" t="s">
        <v>46</v>
      </c>
      <c r="B741" t="s">
        <v>429</v>
      </c>
      <c r="C741" t="s">
        <v>38</v>
      </c>
      <c r="D741">
        <v>15.6</v>
      </c>
      <c r="E741">
        <v>4</v>
      </c>
      <c r="F741" t="s">
        <v>48</v>
      </c>
      <c r="G741">
        <v>2.4</v>
      </c>
      <c r="H741" s="16">
        <v>410.8</v>
      </c>
      <c r="I741" t="s">
        <v>26</v>
      </c>
      <c r="J741">
        <v>1366</v>
      </c>
      <c r="K741">
        <v>768</v>
      </c>
      <c r="L741" t="s">
        <v>27</v>
      </c>
      <c r="M741" t="s">
        <v>27</v>
      </c>
      <c r="N741" t="s">
        <v>27</v>
      </c>
      <c r="O741" t="s">
        <v>29</v>
      </c>
      <c r="P741">
        <v>2</v>
      </c>
      <c r="Q741" t="s">
        <v>62</v>
      </c>
      <c r="R741" t="str">
        <f>_xlfn.CONCAT(laptop[[#This Row],[CPU_company]]," ",laptop[[#This Row],[CPU_model]])</f>
        <v>Intel Core i3 6006U</v>
      </c>
      <c r="S741">
        <v>500</v>
      </c>
      <c r="T741">
        <v>0</v>
      </c>
      <c r="U741">
        <f>laptop[[#This Row],[PrimaryStorage]]+laptop[[#This Row],[SecondaryStorage]]</f>
        <v>500</v>
      </c>
      <c r="V741" t="s">
        <v>51</v>
      </c>
      <c r="W741" t="s">
        <v>27</v>
      </c>
      <c r="X741" t="str">
        <f>IF(laptop[[#This Row],[PrimaryStorageType]]=laptop[[#This Row],[SecondaryStorageType]],laptop[[#This Row],[PrimaryStorageType]],"SSD &amp; HDD")</f>
        <v>SSD &amp; HDD</v>
      </c>
      <c r="Y741" t="s">
        <v>63</v>
      </c>
      <c r="Z741" s="4" t="str">
        <f>_xlfn.CONCAT(laptop[[#This Row],[CPU_company]]," ",laptop[[#This Row],[GPU_model]])</f>
        <v>Intel HD Graphics 520</v>
      </c>
    </row>
    <row r="742" spans="1:26" x14ac:dyDescent="0.25">
      <c r="A742" t="s">
        <v>65</v>
      </c>
      <c r="B742" t="s">
        <v>616</v>
      </c>
      <c r="C742" t="s">
        <v>38</v>
      </c>
      <c r="D742">
        <v>15.6</v>
      </c>
      <c r="E742">
        <v>8</v>
      </c>
      <c r="F742" t="s">
        <v>48</v>
      </c>
      <c r="G742">
        <v>2</v>
      </c>
      <c r="H742" s="16">
        <v>1207</v>
      </c>
      <c r="I742" t="s">
        <v>40</v>
      </c>
      <c r="J742">
        <v>1920</v>
      </c>
      <c r="K742">
        <v>1080</v>
      </c>
      <c r="L742" t="s">
        <v>27</v>
      </c>
      <c r="M742" t="s">
        <v>27</v>
      </c>
      <c r="N742" t="s">
        <v>27</v>
      </c>
      <c r="O742" t="s">
        <v>29</v>
      </c>
      <c r="P742">
        <v>2.7</v>
      </c>
      <c r="Q742" t="s">
        <v>71</v>
      </c>
      <c r="R742" t="str">
        <f>_xlfn.CONCAT(laptop[[#This Row],[CPU_company]]," ",laptop[[#This Row],[CPU_model]])</f>
        <v>Intel Core i7 7500U</v>
      </c>
      <c r="S742">
        <v>128</v>
      </c>
      <c r="T742">
        <v>1024</v>
      </c>
      <c r="U742">
        <f>laptop[[#This Row],[PrimaryStorage]]+laptop[[#This Row],[SecondaryStorage]]</f>
        <v>1152</v>
      </c>
      <c r="V742" t="s">
        <v>31</v>
      </c>
      <c r="W742" t="s">
        <v>51</v>
      </c>
      <c r="X742" t="str">
        <f>IF(laptop[[#This Row],[PrimaryStorageType]]=laptop[[#This Row],[SecondaryStorageType]],laptop[[#This Row],[PrimaryStorageType]],"SSD &amp; HDD")</f>
        <v>SSD &amp; HDD</v>
      </c>
      <c r="Y742" t="s">
        <v>76</v>
      </c>
      <c r="Z742" s="4" t="str">
        <f>_xlfn.CONCAT(laptop[[#This Row],[CPU_company]]," ",laptop[[#This Row],[GPU_model]])</f>
        <v>Intel GeForce 940MX</v>
      </c>
    </row>
    <row r="743" spans="1:26" x14ac:dyDescent="0.25">
      <c r="A743" t="s">
        <v>65</v>
      </c>
      <c r="B743" t="s">
        <v>305</v>
      </c>
      <c r="C743" t="s">
        <v>38</v>
      </c>
      <c r="D743">
        <v>15.6</v>
      </c>
      <c r="E743">
        <v>8</v>
      </c>
      <c r="F743" t="s">
        <v>48</v>
      </c>
      <c r="G743">
        <v>2</v>
      </c>
      <c r="H743" s="16">
        <v>665</v>
      </c>
      <c r="I743" t="s">
        <v>26</v>
      </c>
      <c r="J743">
        <v>1366</v>
      </c>
      <c r="K743">
        <v>768</v>
      </c>
      <c r="L743" t="s">
        <v>27</v>
      </c>
      <c r="M743" t="s">
        <v>27</v>
      </c>
      <c r="N743" t="s">
        <v>27</v>
      </c>
      <c r="O743" t="s">
        <v>29</v>
      </c>
      <c r="P743">
        <v>2</v>
      </c>
      <c r="Q743" t="s">
        <v>62</v>
      </c>
      <c r="R743" t="str">
        <f>_xlfn.CONCAT(laptop[[#This Row],[CPU_company]]," ",laptop[[#This Row],[CPU_model]])</f>
        <v>Intel Core i3 6006U</v>
      </c>
      <c r="S743">
        <v>256</v>
      </c>
      <c r="T743">
        <v>0</v>
      </c>
      <c r="U743">
        <f>laptop[[#This Row],[PrimaryStorage]]+laptop[[#This Row],[SecondaryStorage]]</f>
        <v>256</v>
      </c>
      <c r="V743" t="s">
        <v>31</v>
      </c>
      <c r="W743" t="s">
        <v>27</v>
      </c>
      <c r="X743" t="str">
        <f>IF(laptop[[#This Row],[PrimaryStorageType]]=laptop[[#This Row],[SecondaryStorageType]],laptop[[#This Row],[PrimaryStorageType]],"SSD &amp; HDD")</f>
        <v>SSD &amp; HDD</v>
      </c>
      <c r="Y743" t="s">
        <v>63</v>
      </c>
      <c r="Z743" s="4" t="str">
        <f>_xlfn.CONCAT(laptop[[#This Row],[CPU_company]]," ",laptop[[#This Row],[GPU_model]])</f>
        <v>Intel HD Graphics 520</v>
      </c>
    </row>
    <row r="744" spans="1:26" x14ac:dyDescent="0.25">
      <c r="A744" t="s">
        <v>210</v>
      </c>
      <c r="B744" t="s">
        <v>617</v>
      </c>
      <c r="C744" t="s">
        <v>38</v>
      </c>
      <c r="D744">
        <v>14</v>
      </c>
      <c r="E744">
        <v>8</v>
      </c>
      <c r="F744" t="s">
        <v>48</v>
      </c>
      <c r="G744">
        <v>1.25</v>
      </c>
      <c r="H744" s="16">
        <v>1535</v>
      </c>
      <c r="I744" t="s">
        <v>40</v>
      </c>
      <c r="J744">
        <v>1920</v>
      </c>
      <c r="K744">
        <v>1080</v>
      </c>
      <c r="L744" t="s">
        <v>28</v>
      </c>
      <c r="M744" t="s">
        <v>28</v>
      </c>
      <c r="N744" t="s">
        <v>27</v>
      </c>
      <c r="O744" t="s">
        <v>29</v>
      </c>
      <c r="P744">
        <v>2.5</v>
      </c>
      <c r="Q744" t="s">
        <v>41</v>
      </c>
      <c r="R744" t="str">
        <f>_xlfn.CONCAT(laptop[[#This Row],[CPU_company]]," ",laptop[[#This Row],[CPU_model]])</f>
        <v>Intel Core i5 7200U</v>
      </c>
      <c r="S744">
        <v>256</v>
      </c>
      <c r="T744">
        <v>0</v>
      </c>
      <c r="U744">
        <f>laptop[[#This Row],[PrimaryStorage]]+laptop[[#This Row],[SecondaryStorage]]</f>
        <v>256</v>
      </c>
      <c r="V744" t="s">
        <v>31</v>
      </c>
      <c r="W744" t="s">
        <v>27</v>
      </c>
      <c r="X744" t="str">
        <f>IF(laptop[[#This Row],[PrimaryStorageType]]=laptop[[#This Row],[SecondaryStorageType]],laptop[[#This Row],[PrimaryStorageType]],"SSD &amp; HDD")</f>
        <v>SSD &amp; HDD</v>
      </c>
      <c r="Y744" t="s">
        <v>42</v>
      </c>
      <c r="Z744" s="4" t="str">
        <f>_xlfn.CONCAT(laptop[[#This Row],[CPU_company]]," ",laptop[[#This Row],[GPU_model]])</f>
        <v>Intel HD Graphics 620</v>
      </c>
    </row>
    <row r="745" spans="1:26" x14ac:dyDescent="0.25">
      <c r="A745" t="s">
        <v>73</v>
      </c>
      <c r="B745" t="s">
        <v>618</v>
      </c>
      <c r="C745" t="s">
        <v>90</v>
      </c>
      <c r="D745">
        <v>14</v>
      </c>
      <c r="E745">
        <v>8</v>
      </c>
      <c r="F745" t="s">
        <v>48</v>
      </c>
      <c r="G745">
        <v>1.7</v>
      </c>
      <c r="H745" s="16">
        <v>999</v>
      </c>
      <c r="I745" t="s">
        <v>40</v>
      </c>
      <c r="J745">
        <v>1920</v>
      </c>
      <c r="K745">
        <v>1080</v>
      </c>
      <c r="L745" t="s">
        <v>28</v>
      </c>
      <c r="M745" t="s">
        <v>27</v>
      </c>
      <c r="N745" t="s">
        <v>27</v>
      </c>
      <c r="O745" t="s">
        <v>29</v>
      </c>
      <c r="P745">
        <v>2.5</v>
      </c>
      <c r="Q745" t="s">
        <v>41</v>
      </c>
      <c r="R745" t="str">
        <f>_xlfn.CONCAT(laptop[[#This Row],[CPU_company]]," ",laptop[[#This Row],[CPU_model]])</f>
        <v>Intel Core i5 7200U</v>
      </c>
      <c r="S745">
        <v>256</v>
      </c>
      <c r="T745">
        <v>0</v>
      </c>
      <c r="U745">
        <f>laptop[[#This Row],[PrimaryStorage]]+laptop[[#This Row],[SecondaryStorage]]</f>
        <v>256</v>
      </c>
      <c r="V745" t="s">
        <v>31</v>
      </c>
      <c r="W745" t="s">
        <v>27</v>
      </c>
      <c r="X745" t="str">
        <f>IF(laptop[[#This Row],[PrimaryStorageType]]=laptop[[#This Row],[SecondaryStorageType]],laptop[[#This Row],[PrimaryStorageType]],"SSD &amp; HDD")</f>
        <v>SSD &amp; HDD</v>
      </c>
      <c r="Y745" t="s">
        <v>42</v>
      </c>
      <c r="Z745" s="4" t="str">
        <f>_xlfn.CONCAT(laptop[[#This Row],[CPU_company]]," ",laptop[[#This Row],[GPU_model]])</f>
        <v>Intel HD Graphics 620</v>
      </c>
    </row>
    <row r="746" spans="1:26" x14ac:dyDescent="0.25">
      <c r="A746" t="s">
        <v>73</v>
      </c>
      <c r="B746" t="s">
        <v>619</v>
      </c>
      <c r="C746" t="s">
        <v>265</v>
      </c>
      <c r="D746">
        <v>15.6</v>
      </c>
      <c r="E746">
        <v>16</v>
      </c>
      <c r="F746" t="s">
        <v>48</v>
      </c>
      <c r="G746">
        <v>2.5</v>
      </c>
      <c r="H746" s="16">
        <v>3299</v>
      </c>
      <c r="I746" t="s">
        <v>215</v>
      </c>
      <c r="J746">
        <v>3840</v>
      </c>
      <c r="K746">
        <v>2160</v>
      </c>
      <c r="L746" t="s">
        <v>27</v>
      </c>
      <c r="M746" t="s">
        <v>28</v>
      </c>
      <c r="N746" t="s">
        <v>27</v>
      </c>
      <c r="O746" t="s">
        <v>29</v>
      </c>
      <c r="P746">
        <v>2.8</v>
      </c>
      <c r="Q746" t="s">
        <v>335</v>
      </c>
      <c r="R746" t="str">
        <f>_xlfn.CONCAT(laptop[[#This Row],[CPU_company]]," ",laptop[[#This Row],[CPU_model]])</f>
        <v>Intel Core i7 7600U</v>
      </c>
      <c r="S746">
        <v>1024</v>
      </c>
      <c r="T746">
        <v>0</v>
      </c>
      <c r="U746">
        <f>laptop[[#This Row],[PrimaryStorage]]+laptop[[#This Row],[SecondaryStorage]]</f>
        <v>1024</v>
      </c>
      <c r="V746" t="s">
        <v>31</v>
      </c>
      <c r="W746" t="s">
        <v>27</v>
      </c>
      <c r="X746" t="str">
        <f>IF(laptop[[#This Row],[PrimaryStorageType]]=laptop[[#This Row],[SecondaryStorageType]],laptop[[#This Row],[PrimaryStorageType]],"SSD &amp; HDD")</f>
        <v>SSD &amp; HDD</v>
      </c>
      <c r="Y746" t="s">
        <v>599</v>
      </c>
      <c r="Z746" s="4" t="str">
        <f>_xlfn.CONCAT(laptop[[#This Row],[CPU_company]]," ",laptop[[#This Row],[GPU_model]])</f>
        <v>Intel Quadro M520M</v>
      </c>
    </row>
    <row r="747" spans="1:26" x14ac:dyDescent="0.25">
      <c r="A747" t="s">
        <v>46</v>
      </c>
      <c r="B747" t="s">
        <v>587</v>
      </c>
      <c r="C747" t="s">
        <v>38</v>
      </c>
      <c r="D747">
        <v>14</v>
      </c>
      <c r="E747">
        <v>2</v>
      </c>
      <c r="F747" t="s">
        <v>317</v>
      </c>
      <c r="G747">
        <v>1.68</v>
      </c>
      <c r="H747" s="16">
        <v>330</v>
      </c>
      <c r="I747" t="s">
        <v>26</v>
      </c>
      <c r="J747">
        <v>1366</v>
      </c>
      <c r="K747">
        <v>768</v>
      </c>
      <c r="L747" t="s">
        <v>27</v>
      </c>
      <c r="M747" t="s">
        <v>27</v>
      </c>
      <c r="N747" t="s">
        <v>27</v>
      </c>
      <c r="O747" t="s">
        <v>29</v>
      </c>
      <c r="P747">
        <v>1.6</v>
      </c>
      <c r="Q747" t="s">
        <v>151</v>
      </c>
      <c r="R747" t="str">
        <f>_xlfn.CONCAT(laptop[[#This Row],[CPU_company]]," ",laptop[[#This Row],[CPU_model]])</f>
        <v>Intel Celeron Dual Core N3060</v>
      </c>
      <c r="S747">
        <v>32</v>
      </c>
      <c r="T747">
        <v>0</v>
      </c>
      <c r="U747">
        <f>laptop[[#This Row],[PrimaryStorage]]+laptop[[#This Row],[SecondaryStorage]]</f>
        <v>32</v>
      </c>
      <c r="V747" t="s">
        <v>34</v>
      </c>
      <c r="W747" t="s">
        <v>27</v>
      </c>
      <c r="X747" t="str">
        <f>IF(laptop[[#This Row],[PrimaryStorageType]]=laptop[[#This Row],[SecondaryStorageType]],laptop[[#This Row],[PrimaryStorageType]],"SSD &amp; HDD")</f>
        <v>SSD &amp; HDD</v>
      </c>
      <c r="Y747" t="s">
        <v>81</v>
      </c>
      <c r="Z747" s="4" t="str">
        <f>_xlfn.CONCAT(laptop[[#This Row],[CPU_company]]," ",laptop[[#This Row],[GPU_model]])</f>
        <v>Intel HD Graphics 400</v>
      </c>
    </row>
    <row r="748" spans="1:26" x14ac:dyDescent="0.25">
      <c r="A748" t="s">
        <v>413</v>
      </c>
      <c r="B748" t="s">
        <v>620</v>
      </c>
      <c r="C748" t="s">
        <v>24</v>
      </c>
      <c r="D748">
        <v>13.3</v>
      </c>
      <c r="E748">
        <v>16</v>
      </c>
      <c r="F748" t="s">
        <v>48</v>
      </c>
      <c r="G748">
        <v>0.81</v>
      </c>
      <c r="H748" s="16">
        <v>1649</v>
      </c>
      <c r="I748" t="s">
        <v>40</v>
      </c>
      <c r="J748">
        <v>1920</v>
      </c>
      <c r="K748">
        <v>1080</v>
      </c>
      <c r="L748" t="s">
        <v>27</v>
      </c>
      <c r="M748" t="s">
        <v>27</v>
      </c>
      <c r="N748" t="s">
        <v>27</v>
      </c>
      <c r="O748" t="s">
        <v>29</v>
      </c>
      <c r="P748">
        <v>2.7</v>
      </c>
      <c r="Q748" t="s">
        <v>71</v>
      </c>
      <c r="R748" t="str">
        <f>_xlfn.CONCAT(laptop[[#This Row],[CPU_company]]," ",laptop[[#This Row],[CPU_model]])</f>
        <v>Intel Core i7 7500U</v>
      </c>
      <c r="S748">
        <v>256</v>
      </c>
      <c r="T748">
        <v>0</v>
      </c>
      <c r="U748">
        <f>laptop[[#This Row],[PrimaryStorage]]+laptop[[#This Row],[SecondaryStorage]]</f>
        <v>256</v>
      </c>
      <c r="V748" t="s">
        <v>31</v>
      </c>
      <c r="W748" t="s">
        <v>27</v>
      </c>
      <c r="X748" t="str">
        <f>IF(laptop[[#This Row],[PrimaryStorageType]]=laptop[[#This Row],[SecondaryStorageType]],laptop[[#This Row],[PrimaryStorageType]],"SSD &amp; HDD")</f>
        <v>SSD &amp; HDD</v>
      </c>
      <c r="Y748" t="s">
        <v>42</v>
      </c>
      <c r="Z748" s="4" t="str">
        <f>_xlfn.CONCAT(laptop[[#This Row],[CPU_company]]," ",laptop[[#This Row],[GPU_model]])</f>
        <v>Intel HD Graphics 620</v>
      </c>
    </row>
    <row r="749" spans="1:26" x14ac:dyDescent="0.25">
      <c r="A749" t="s">
        <v>36</v>
      </c>
      <c r="B749" t="s">
        <v>37</v>
      </c>
      <c r="C749" t="s">
        <v>38</v>
      </c>
      <c r="D749">
        <v>15.6</v>
      </c>
      <c r="E749">
        <v>8</v>
      </c>
      <c r="F749" t="s">
        <v>48</v>
      </c>
      <c r="G749">
        <v>1.86</v>
      </c>
      <c r="H749" s="16">
        <v>539</v>
      </c>
      <c r="I749" t="s">
        <v>40</v>
      </c>
      <c r="J749">
        <v>1920</v>
      </c>
      <c r="K749">
        <v>1080</v>
      </c>
      <c r="L749" t="s">
        <v>27</v>
      </c>
      <c r="M749" t="s">
        <v>27</v>
      </c>
      <c r="N749" t="s">
        <v>27</v>
      </c>
      <c r="O749" t="s">
        <v>29</v>
      </c>
      <c r="P749">
        <v>2</v>
      </c>
      <c r="Q749" t="s">
        <v>62</v>
      </c>
      <c r="R749" t="str">
        <f>_xlfn.CONCAT(laptop[[#This Row],[CPU_company]]," ",laptop[[#This Row],[CPU_model]])</f>
        <v>Intel Core i3 6006U</v>
      </c>
      <c r="S749">
        <v>256</v>
      </c>
      <c r="T749">
        <v>0</v>
      </c>
      <c r="U749">
        <f>laptop[[#This Row],[PrimaryStorage]]+laptop[[#This Row],[SecondaryStorage]]</f>
        <v>256</v>
      </c>
      <c r="V749" t="s">
        <v>31</v>
      </c>
      <c r="W749" t="s">
        <v>27</v>
      </c>
      <c r="X749" t="str">
        <f>IF(laptop[[#This Row],[PrimaryStorageType]]=laptop[[#This Row],[SecondaryStorageType]],laptop[[#This Row],[PrimaryStorageType]],"SSD &amp; HDD")</f>
        <v>SSD &amp; HDD</v>
      </c>
      <c r="Y749" t="s">
        <v>63</v>
      </c>
      <c r="Z749" s="4" t="str">
        <f>_xlfn.CONCAT(laptop[[#This Row],[CPU_company]]," ",laptop[[#This Row],[GPU_model]])</f>
        <v>Intel HD Graphics 520</v>
      </c>
    </row>
    <row r="750" spans="1:26" x14ac:dyDescent="0.25">
      <c r="A750" t="s">
        <v>65</v>
      </c>
      <c r="B750" t="s">
        <v>409</v>
      </c>
      <c r="C750" t="s">
        <v>38</v>
      </c>
      <c r="D750">
        <v>14</v>
      </c>
      <c r="E750">
        <v>8</v>
      </c>
      <c r="F750" t="s">
        <v>48</v>
      </c>
      <c r="G750">
        <v>1.6</v>
      </c>
      <c r="H750" s="16">
        <v>1126.71</v>
      </c>
      <c r="I750" t="s">
        <v>26</v>
      </c>
      <c r="J750">
        <v>1366</v>
      </c>
      <c r="K750">
        <v>768</v>
      </c>
      <c r="L750" t="s">
        <v>27</v>
      </c>
      <c r="M750" t="s">
        <v>27</v>
      </c>
      <c r="N750" t="s">
        <v>27</v>
      </c>
      <c r="O750" t="s">
        <v>29</v>
      </c>
      <c r="P750">
        <v>2.5</v>
      </c>
      <c r="Q750" t="s">
        <v>41</v>
      </c>
      <c r="R750" t="str">
        <f>_xlfn.CONCAT(laptop[[#This Row],[CPU_company]]," ",laptop[[#This Row],[CPU_model]])</f>
        <v>Intel Core i5 7200U</v>
      </c>
      <c r="S750">
        <v>256</v>
      </c>
      <c r="T750">
        <v>0</v>
      </c>
      <c r="U750">
        <f>laptop[[#This Row],[PrimaryStorage]]+laptop[[#This Row],[SecondaryStorage]]</f>
        <v>256</v>
      </c>
      <c r="V750" t="s">
        <v>31</v>
      </c>
      <c r="W750" t="s">
        <v>27</v>
      </c>
      <c r="X750" t="str">
        <f>IF(laptop[[#This Row],[PrimaryStorageType]]=laptop[[#This Row],[SecondaryStorageType]],laptop[[#This Row],[PrimaryStorageType]],"SSD &amp; HDD")</f>
        <v>SSD &amp; HDD</v>
      </c>
      <c r="Y750" t="s">
        <v>42</v>
      </c>
      <c r="Z750" s="4" t="str">
        <f>_xlfn.CONCAT(laptop[[#This Row],[CPU_company]]," ",laptop[[#This Row],[GPU_model]])</f>
        <v>Intel HD Graphics 620</v>
      </c>
    </row>
    <row r="751" spans="1:26" x14ac:dyDescent="0.25">
      <c r="A751" t="s">
        <v>36</v>
      </c>
      <c r="B751" t="s">
        <v>621</v>
      </c>
      <c r="C751" t="s">
        <v>265</v>
      </c>
      <c r="D751">
        <v>17.3</v>
      </c>
      <c r="E751">
        <v>16</v>
      </c>
      <c r="F751" t="s">
        <v>480</v>
      </c>
      <c r="G751">
        <v>3</v>
      </c>
      <c r="H751" s="16">
        <v>4389</v>
      </c>
      <c r="I751" t="s">
        <v>40</v>
      </c>
      <c r="J751">
        <v>1920</v>
      </c>
      <c r="K751">
        <v>1080</v>
      </c>
      <c r="L751" t="s">
        <v>27</v>
      </c>
      <c r="M751" t="s">
        <v>28</v>
      </c>
      <c r="N751" t="s">
        <v>27</v>
      </c>
      <c r="O751" t="s">
        <v>29</v>
      </c>
      <c r="P751">
        <v>2.9</v>
      </c>
      <c r="Q751" t="s">
        <v>622</v>
      </c>
      <c r="R751" t="str">
        <f>_xlfn.CONCAT(laptop[[#This Row],[CPU_company]]," ",laptop[[#This Row],[CPU_model]])</f>
        <v>Intel Xeon E3-1535M v5</v>
      </c>
      <c r="S751">
        <v>256</v>
      </c>
      <c r="T751">
        <v>0</v>
      </c>
      <c r="U751">
        <f>laptop[[#This Row],[PrimaryStorage]]+laptop[[#This Row],[SecondaryStorage]]</f>
        <v>256</v>
      </c>
      <c r="V751" t="s">
        <v>31</v>
      </c>
      <c r="W751" t="s">
        <v>27</v>
      </c>
      <c r="X751" t="str">
        <f>IF(laptop[[#This Row],[PrimaryStorageType]]=laptop[[#This Row],[SecondaryStorageType]],laptop[[#This Row],[PrimaryStorageType]],"SSD &amp; HDD")</f>
        <v>SSD &amp; HDD</v>
      </c>
      <c r="Y751" t="s">
        <v>623</v>
      </c>
      <c r="Z751" s="4" t="str">
        <f>_xlfn.CONCAT(laptop[[#This Row],[CPU_company]]," ",laptop[[#This Row],[GPU_model]])</f>
        <v>Intel Quadro M2000M</v>
      </c>
    </row>
    <row r="752" spans="1:26" x14ac:dyDescent="0.25">
      <c r="A752" t="s">
        <v>73</v>
      </c>
      <c r="B752" t="s">
        <v>624</v>
      </c>
      <c r="C752" t="s">
        <v>79</v>
      </c>
      <c r="D752">
        <v>11.6</v>
      </c>
      <c r="E752">
        <v>4</v>
      </c>
      <c r="F752" t="s">
        <v>48</v>
      </c>
      <c r="G752">
        <v>1.4</v>
      </c>
      <c r="H752" s="16">
        <v>475</v>
      </c>
      <c r="I752" t="s">
        <v>26</v>
      </c>
      <c r="J752">
        <v>1366</v>
      </c>
      <c r="K752">
        <v>768</v>
      </c>
      <c r="L752" t="s">
        <v>28</v>
      </c>
      <c r="M752" t="s">
        <v>27</v>
      </c>
      <c r="N752" t="s">
        <v>27</v>
      </c>
      <c r="O752" t="s">
        <v>29</v>
      </c>
      <c r="P752">
        <v>1.6</v>
      </c>
      <c r="Q752" t="s">
        <v>151</v>
      </c>
      <c r="R752" t="str">
        <f>_xlfn.CONCAT(laptop[[#This Row],[CPU_company]]," ",laptop[[#This Row],[CPU_model]])</f>
        <v>Intel Celeron Dual Core N3060</v>
      </c>
      <c r="S752">
        <v>128</v>
      </c>
      <c r="T752">
        <v>0</v>
      </c>
      <c r="U752">
        <f>laptop[[#This Row],[PrimaryStorage]]+laptop[[#This Row],[SecondaryStorage]]</f>
        <v>128</v>
      </c>
      <c r="V752" t="s">
        <v>31</v>
      </c>
      <c r="W752" t="s">
        <v>27</v>
      </c>
      <c r="X752" t="str">
        <f>IF(laptop[[#This Row],[PrimaryStorageType]]=laptop[[#This Row],[SecondaryStorageType]],laptop[[#This Row],[PrimaryStorageType]],"SSD &amp; HDD")</f>
        <v>SSD &amp; HDD</v>
      </c>
      <c r="Y752" t="s">
        <v>81</v>
      </c>
      <c r="Z752" s="4" t="str">
        <f>_xlfn.CONCAT(laptop[[#This Row],[CPU_company]]," ",laptop[[#This Row],[GPU_model]])</f>
        <v>Intel HD Graphics 400</v>
      </c>
    </row>
    <row r="753" spans="1:26" x14ac:dyDescent="0.25">
      <c r="A753" t="s">
        <v>36</v>
      </c>
      <c r="B753" t="s">
        <v>527</v>
      </c>
      <c r="C753" t="s">
        <v>38</v>
      </c>
      <c r="D753">
        <v>15.6</v>
      </c>
      <c r="E753">
        <v>8</v>
      </c>
      <c r="F753" t="s">
        <v>48</v>
      </c>
      <c r="G753">
        <v>1.84</v>
      </c>
      <c r="H753" s="16">
        <v>1900</v>
      </c>
      <c r="I753" t="s">
        <v>40</v>
      </c>
      <c r="J753">
        <v>1920</v>
      </c>
      <c r="K753">
        <v>1080</v>
      </c>
      <c r="L753" t="s">
        <v>27</v>
      </c>
      <c r="M753" t="s">
        <v>27</v>
      </c>
      <c r="N753" t="s">
        <v>27</v>
      </c>
      <c r="O753" t="s">
        <v>29</v>
      </c>
      <c r="P753">
        <v>2.4</v>
      </c>
      <c r="Q753" t="s">
        <v>562</v>
      </c>
      <c r="R753" t="str">
        <f>_xlfn.CONCAT(laptop[[#This Row],[CPU_company]]," ",laptop[[#This Row],[CPU_model]])</f>
        <v>Intel Core i5 6300U</v>
      </c>
      <c r="S753">
        <v>256</v>
      </c>
      <c r="T753">
        <v>0</v>
      </c>
      <c r="U753">
        <f>laptop[[#This Row],[PrimaryStorage]]+laptop[[#This Row],[SecondaryStorage]]</f>
        <v>256</v>
      </c>
      <c r="V753" t="s">
        <v>31</v>
      </c>
      <c r="W753" t="s">
        <v>27</v>
      </c>
      <c r="X753" t="str">
        <f>IF(laptop[[#This Row],[PrimaryStorageType]]=laptop[[#This Row],[SecondaryStorageType]],laptop[[#This Row],[PrimaryStorageType]],"SSD &amp; HDD")</f>
        <v>SSD &amp; HDD</v>
      </c>
      <c r="Y753" t="s">
        <v>63</v>
      </c>
      <c r="Z753" s="4" t="str">
        <f>_xlfn.CONCAT(laptop[[#This Row],[CPU_company]]," ",laptop[[#This Row],[GPU_model]])</f>
        <v>Intel HD Graphics 520</v>
      </c>
    </row>
    <row r="754" spans="1:26" x14ac:dyDescent="0.25">
      <c r="A754" t="s">
        <v>55</v>
      </c>
      <c r="B754" t="s">
        <v>625</v>
      </c>
      <c r="C754" t="s">
        <v>38</v>
      </c>
      <c r="D754">
        <v>15.6</v>
      </c>
      <c r="E754">
        <v>4</v>
      </c>
      <c r="F754" t="s">
        <v>39</v>
      </c>
      <c r="G754">
        <v>2.4500000000000002</v>
      </c>
      <c r="H754" s="16">
        <v>579</v>
      </c>
      <c r="I754" t="s">
        <v>26</v>
      </c>
      <c r="J754">
        <v>1366</v>
      </c>
      <c r="K754">
        <v>768</v>
      </c>
      <c r="L754" t="s">
        <v>27</v>
      </c>
      <c r="M754" t="s">
        <v>27</v>
      </c>
      <c r="N754" t="s">
        <v>27</v>
      </c>
      <c r="O754" t="s">
        <v>29</v>
      </c>
      <c r="P754">
        <v>2.2999999999999998</v>
      </c>
      <c r="Q754" t="s">
        <v>601</v>
      </c>
      <c r="R754" t="str">
        <f>_xlfn.CONCAT(laptop[[#This Row],[CPU_company]]," ",laptop[[#This Row],[CPU_model]])</f>
        <v>Intel Core i5 6300HQ</v>
      </c>
      <c r="S754">
        <v>1024</v>
      </c>
      <c r="T754">
        <v>0</v>
      </c>
      <c r="U754">
        <f>laptop[[#This Row],[PrimaryStorage]]+laptop[[#This Row],[SecondaryStorage]]</f>
        <v>1024</v>
      </c>
      <c r="V754" t="s">
        <v>51</v>
      </c>
      <c r="W754" t="s">
        <v>27</v>
      </c>
      <c r="X754" t="str">
        <f>IF(laptop[[#This Row],[PrimaryStorageType]]=laptop[[#This Row],[SecondaryStorageType]],laptop[[#This Row],[PrimaryStorageType]],"SSD &amp; HDD")</f>
        <v>SSD &amp; HDD</v>
      </c>
      <c r="Y754" t="s">
        <v>279</v>
      </c>
      <c r="Z754" s="4" t="str">
        <f>_xlfn.CONCAT(laptop[[#This Row],[CPU_company]]," ",laptop[[#This Row],[GPU_model]])</f>
        <v>Intel GeForce GTX 950M</v>
      </c>
    </row>
    <row r="755" spans="1:26" x14ac:dyDescent="0.25">
      <c r="A755" t="s">
        <v>73</v>
      </c>
      <c r="B755" t="s">
        <v>626</v>
      </c>
      <c r="C755" t="s">
        <v>24</v>
      </c>
      <c r="D755">
        <v>14</v>
      </c>
      <c r="E755">
        <v>4</v>
      </c>
      <c r="F755" t="s">
        <v>48</v>
      </c>
      <c r="G755">
        <v>1.7</v>
      </c>
      <c r="H755" s="16">
        <v>1096</v>
      </c>
      <c r="I755" t="s">
        <v>40</v>
      </c>
      <c r="J755">
        <v>1920</v>
      </c>
      <c r="K755">
        <v>1080</v>
      </c>
      <c r="L755" t="s">
        <v>27</v>
      </c>
      <c r="M755" t="s">
        <v>27</v>
      </c>
      <c r="N755" t="s">
        <v>27</v>
      </c>
      <c r="O755" t="s">
        <v>29</v>
      </c>
      <c r="P755">
        <v>2.2999999999999998</v>
      </c>
      <c r="Q755" t="s">
        <v>212</v>
      </c>
      <c r="R755" t="str">
        <f>_xlfn.CONCAT(laptop[[#This Row],[CPU_company]]," ",laptop[[#This Row],[CPU_model]])</f>
        <v>Intel Core i5 6200U</v>
      </c>
      <c r="S755">
        <v>180</v>
      </c>
      <c r="T755">
        <v>0</v>
      </c>
      <c r="U755">
        <f>laptop[[#This Row],[PrimaryStorage]]+laptop[[#This Row],[SecondaryStorage]]</f>
        <v>180</v>
      </c>
      <c r="V755" t="s">
        <v>31</v>
      </c>
      <c r="W755" t="s">
        <v>27</v>
      </c>
      <c r="X755" t="str">
        <f>IF(laptop[[#This Row],[PrimaryStorageType]]=laptop[[#This Row],[SecondaryStorageType]],laptop[[#This Row],[PrimaryStorageType]],"SSD &amp; HDD")</f>
        <v>SSD &amp; HDD</v>
      </c>
      <c r="Y755" t="s">
        <v>63</v>
      </c>
      <c r="Z755" s="4" t="str">
        <f>_xlfn.CONCAT(laptop[[#This Row],[CPU_company]]," ",laptop[[#This Row],[GPU_model]])</f>
        <v>Intel HD Graphics 520</v>
      </c>
    </row>
    <row r="756" spans="1:26" x14ac:dyDescent="0.25">
      <c r="A756" t="s">
        <v>55</v>
      </c>
      <c r="B756" t="s">
        <v>627</v>
      </c>
      <c r="C756" t="s">
        <v>38</v>
      </c>
      <c r="D756">
        <v>15.6</v>
      </c>
      <c r="E756">
        <v>4</v>
      </c>
      <c r="F756" t="s">
        <v>48</v>
      </c>
      <c r="G756">
        <v>2.37</v>
      </c>
      <c r="H756" s="16">
        <v>849.9</v>
      </c>
      <c r="I756" t="s">
        <v>26</v>
      </c>
      <c r="J756">
        <v>1366</v>
      </c>
      <c r="K756">
        <v>768</v>
      </c>
      <c r="L756" t="s">
        <v>27</v>
      </c>
      <c r="M756" t="s">
        <v>27</v>
      </c>
      <c r="N756" t="s">
        <v>27</v>
      </c>
      <c r="O756" t="s">
        <v>29</v>
      </c>
      <c r="P756">
        <v>2.7</v>
      </c>
      <c r="Q756" t="s">
        <v>71</v>
      </c>
      <c r="R756" t="str">
        <f>_xlfn.CONCAT(laptop[[#This Row],[CPU_company]]," ",laptop[[#This Row],[CPU_model]])</f>
        <v>Intel Core i7 7500U</v>
      </c>
      <c r="S756">
        <v>256</v>
      </c>
      <c r="T756">
        <v>0</v>
      </c>
      <c r="U756">
        <f>laptop[[#This Row],[PrimaryStorage]]+laptop[[#This Row],[SecondaryStorage]]</f>
        <v>256</v>
      </c>
      <c r="V756" t="s">
        <v>31</v>
      </c>
      <c r="W756" t="s">
        <v>27</v>
      </c>
      <c r="X756" t="str">
        <f>IF(laptop[[#This Row],[PrimaryStorageType]]=laptop[[#This Row],[SecondaryStorageType]],laptop[[#This Row],[PrimaryStorageType]],"SSD &amp; HDD")</f>
        <v>SSD &amp; HDD</v>
      </c>
      <c r="Y756" t="s">
        <v>42</v>
      </c>
      <c r="Z756" s="4" t="str">
        <f>_xlfn.CONCAT(laptop[[#This Row],[CPU_company]]," ",laptop[[#This Row],[GPU_model]])</f>
        <v>Intel HD Graphics 620</v>
      </c>
    </row>
    <row r="757" spans="1:26" x14ac:dyDescent="0.25">
      <c r="A757" t="s">
        <v>73</v>
      </c>
      <c r="B757" t="s">
        <v>628</v>
      </c>
      <c r="C757" t="s">
        <v>90</v>
      </c>
      <c r="D757">
        <v>13.3</v>
      </c>
      <c r="E757">
        <v>8</v>
      </c>
      <c r="F757" t="s">
        <v>48</v>
      </c>
      <c r="G757">
        <v>1.3</v>
      </c>
      <c r="H757" s="16">
        <v>1199</v>
      </c>
      <c r="I757" t="s">
        <v>107</v>
      </c>
      <c r="J757">
        <v>3200</v>
      </c>
      <c r="K757">
        <v>1800</v>
      </c>
      <c r="L757" t="s">
        <v>28</v>
      </c>
      <c r="M757" t="s">
        <v>28</v>
      </c>
      <c r="N757" t="s">
        <v>27</v>
      </c>
      <c r="O757" t="s">
        <v>29</v>
      </c>
      <c r="P757">
        <v>1.8</v>
      </c>
      <c r="Q757" t="s">
        <v>629</v>
      </c>
      <c r="R757" t="str">
        <f>_xlfn.CONCAT(laptop[[#This Row],[CPU_company]]," ",laptop[[#This Row],[CPU_model]])</f>
        <v>Intel Core i5 6260U</v>
      </c>
      <c r="S757">
        <v>256</v>
      </c>
      <c r="T757">
        <v>0</v>
      </c>
      <c r="U757">
        <f>laptop[[#This Row],[PrimaryStorage]]+laptop[[#This Row],[SecondaryStorage]]</f>
        <v>256</v>
      </c>
      <c r="V757" t="s">
        <v>31</v>
      </c>
      <c r="W757" t="s">
        <v>27</v>
      </c>
      <c r="X757" t="str">
        <f>IF(laptop[[#This Row],[PrimaryStorageType]]=laptop[[#This Row],[SecondaryStorageType]],laptop[[#This Row],[PrimaryStorageType]],"SSD &amp; HDD")</f>
        <v>SSD &amp; HDD</v>
      </c>
      <c r="Y757" t="s">
        <v>630</v>
      </c>
      <c r="Z757" s="4" t="str">
        <f>_xlfn.CONCAT(laptop[[#This Row],[CPU_company]]," ",laptop[[#This Row],[GPU_model]])</f>
        <v>Intel HD Graphics 540</v>
      </c>
    </row>
    <row r="758" spans="1:26" x14ac:dyDescent="0.25">
      <c r="A758" t="s">
        <v>36</v>
      </c>
      <c r="B758" t="s">
        <v>631</v>
      </c>
      <c r="C758" t="s">
        <v>38</v>
      </c>
      <c r="D758">
        <v>15.6</v>
      </c>
      <c r="E758">
        <v>8</v>
      </c>
      <c r="F758" t="s">
        <v>48</v>
      </c>
      <c r="G758">
        <v>2.2000000000000002</v>
      </c>
      <c r="H758" s="16">
        <v>1099</v>
      </c>
      <c r="I758" t="s">
        <v>40</v>
      </c>
      <c r="J758">
        <v>1920</v>
      </c>
      <c r="K758">
        <v>1080</v>
      </c>
      <c r="L758" t="s">
        <v>27</v>
      </c>
      <c r="M758" t="s">
        <v>28</v>
      </c>
      <c r="N758" t="s">
        <v>27</v>
      </c>
      <c r="O758" t="s">
        <v>29</v>
      </c>
      <c r="P758">
        <v>2.5</v>
      </c>
      <c r="Q758" t="s">
        <v>84</v>
      </c>
      <c r="R758" t="str">
        <f>_xlfn.CONCAT(laptop[[#This Row],[CPU_company]]," ",laptop[[#This Row],[CPU_model]])</f>
        <v>Intel Core i5 7300HQ</v>
      </c>
      <c r="S758">
        <v>128</v>
      </c>
      <c r="T758">
        <v>1024</v>
      </c>
      <c r="U758">
        <f>laptop[[#This Row],[PrimaryStorage]]+laptop[[#This Row],[SecondaryStorage]]</f>
        <v>1152</v>
      </c>
      <c r="V758" t="s">
        <v>31</v>
      </c>
      <c r="W758" t="s">
        <v>51</v>
      </c>
      <c r="X758" t="str">
        <f>IF(laptop[[#This Row],[PrimaryStorageType]]=laptop[[#This Row],[SecondaryStorageType]],laptop[[#This Row],[PrimaryStorageType]],"SSD &amp; HDD")</f>
        <v>SSD &amp; HDD</v>
      </c>
      <c r="Y758" t="s">
        <v>85</v>
      </c>
      <c r="Z758" s="4" t="str">
        <f>_xlfn.CONCAT(laptop[[#This Row],[CPU_company]]," ",laptop[[#This Row],[GPU_model]])</f>
        <v>Intel GeForce GTX 1050</v>
      </c>
    </row>
    <row r="759" spans="1:26" x14ac:dyDescent="0.25">
      <c r="A759" t="s">
        <v>36</v>
      </c>
      <c r="B759" t="s">
        <v>614</v>
      </c>
      <c r="C759" t="s">
        <v>265</v>
      </c>
      <c r="D759">
        <v>15.6</v>
      </c>
      <c r="E759">
        <v>8</v>
      </c>
      <c r="F759" t="s">
        <v>480</v>
      </c>
      <c r="G759">
        <v>2.59</v>
      </c>
      <c r="H759" s="16">
        <v>1561</v>
      </c>
      <c r="I759" t="s">
        <v>40</v>
      </c>
      <c r="J759">
        <v>1920</v>
      </c>
      <c r="K759">
        <v>1080</v>
      </c>
      <c r="L759" t="s">
        <v>27</v>
      </c>
      <c r="M759" t="s">
        <v>27</v>
      </c>
      <c r="N759" t="s">
        <v>27</v>
      </c>
      <c r="O759" t="s">
        <v>29</v>
      </c>
      <c r="P759">
        <v>2.6</v>
      </c>
      <c r="Q759" t="s">
        <v>447</v>
      </c>
      <c r="R759" t="str">
        <f>_xlfn.CONCAT(laptop[[#This Row],[CPU_company]]," ",laptop[[#This Row],[CPU_model]])</f>
        <v>Intel Core i7 6700HQ</v>
      </c>
      <c r="S759">
        <v>256</v>
      </c>
      <c r="T759">
        <v>0</v>
      </c>
      <c r="U759">
        <f>laptop[[#This Row],[PrimaryStorage]]+laptop[[#This Row],[SecondaryStorage]]</f>
        <v>256</v>
      </c>
      <c r="V759" t="s">
        <v>31</v>
      </c>
      <c r="W759" t="s">
        <v>27</v>
      </c>
      <c r="X759" t="str">
        <f>IF(laptop[[#This Row],[PrimaryStorageType]]=laptop[[#This Row],[SecondaryStorageType]],laptop[[#This Row],[PrimaryStorageType]],"SSD &amp; HDD")</f>
        <v>SSD &amp; HDD</v>
      </c>
      <c r="Y759" t="s">
        <v>632</v>
      </c>
      <c r="Z759" s="4" t="str">
        <f>_xlfn.CONCAT(laptop[[#This Row],[CPU_company]]," ",laptop[[#This Row],[GPU_model]])</f>
        <v>Intel Quadro M1000M</v>
      </c>
    </row>
    <row r="760" spans="1:26" x14ac:dyDescent="0.25">
      <c r="A760" t="s">
        <v>65</v>
      </c>
      <c r="B760" t="s">
        <v>275</v>
      </c>
      <c r="C760" t="s">
        <v>83</v>
      </c>
      <c r="D760">
        <v>15.6</v>
      </c>
      <c r="E760">
        <v>16</v>
      </c>
      <c r="F760" t="s">
        <v>48</v>
      </c>
      <c r="G760">
        <v>4.42</v>
      </c>
      <c r="H760" s="16">
        <v>2868.99</v>
      </c>
      <c r="I760" t="s">
        <v>215</v>
      </c>
      <c r="J760">
        <v>3840</v>
      </c>
      <c r="K760">
        <v>2160</v>
      </c>
      <c r="L760" t="s">
        <v>27</v>
      </c>
      <c r="M760" t="s">
        <v>28</v>
      </c>
      <c r="N760" t="s">
        <v>27</v>
      </c>
      <c r="O760" t="s">
        <v>29</v>
      </c>
      <c r="P760">
        <v>2.8</v>
      </c>
      <c r="Q760" t="s">
        <v>118</v>
      </c>
      <c r="R760" t="str">
        <f>_xlfn.CONCAT(laptop[[#This Row],[CPU_company]]," ",laptop[[#This Row],[CPU_model]])</f>
        <v>Intel Core i7 7700HQ</v>
      </c>
      <c r="S760">
        <v>256</v>
      </c>
      <c r="T760">
        <v>1024</v>
      </c>
      <c r="U760">
        <f>laptop[[#This Row],[PrimaryStorage]]+laptop[[#This Row],[SecondaryStorage]]</f>
        <v>1280</v>
      </c>
      <c r="V760" t="s">
        <v>31</v>
      </c>
      <c r="W760" t="s">
        <v>51</v>
      </c>
      <c r="X760" t="str">
        <f>IF(laptop[[#This Row],[PrimaryStorageType]]=laptop[[#This Row],[SecondaryStorageType]],laptop[[#This Row],[PrimaryStorageType]],"SSD &amp; HDD")</f>
        <v>SSD &amp; HDD</v>
      </c>
      <c r="Y760" t="s">
        <v>143</v>
      </c>
      <c r="Z760" s="4" t="str">
        <f>_xlfn.CONCAT(laptop[[#This Row],[CPU_company]]," ",laptop[[#This Row],[GPU_model]])</f>
        <v>Intel GeForce GTX 1070</v>
      </c>
    </row>
    <row r="761" spans="1:26" x14ac:dyDescent="0.25">
      <c r="A761" t="s">
        <v>46</v>
      </c>
      <c r="B761" t="s">
        <v>47</v>
      </c>
      <c r="C761" t="s">
        <v>38</v>
      </c>
      <c r="D761">
        <v>15.6</v>
      </c>
      <c r="E761">
        <v>4</v>
      </c>
      <c r="F761" t="s">
        <v>48</v>
      </c>
      <c r="G761">
        <v>2.1</v>
      </c>
      <c r="H761" s="16">
        <v>599</v>
      </c>
      <c r="I761" t="s">
        <v>26</v>
      </c>
      <c r="J761">
        <v>1366</v>
      </c>
      <c r="K761">
        <v>768</v>
      </c>
      <c r="L761" t="s">
        <v>27</v>
      </c>
      <c r="M761" t="s">
        <v>27</v>
      </c>
      <c r="N761" t="s">
        <v>27</v>
      </c>
      <c r="O761" t="s">
        <v>29</v>
      </c>
      <c r="P761">
        <v>2.5</v>
      </c>
      <c r="Q761" t="s">
        <v>41</v>
      </c>
      <c r="R761" t="str">
        <f>_xlfn.CONCAT(laptop[[#This Row],[CPU_company]]," ",laptop[[#This Row],[CPU_model]])</f>
        <v>Intel Core i5 7200U</v>
      </c>
      <c r="S761">
        <v>256</v>
      </c>
      <c r="T761">
        <v>0</v>
      </c>
      <c r="U761">
        <f>laptop[[#This Row],[PrimaryStorage]]+laptop[[#This Row],[SecondaryStorage]]</f>
        <v>256</v>
      </c>
      <c r="V761" t="s">
        <v>31</v>
      </c>
      <c r="W761" t="s">
        <v>27</v>
      </c>
      <c r="X761" t="str">
        <f>IF(laptop[[#This Row],[PrimaryStorageType]]=laptop[[#This Row],[SecondaryStorageType]],laptop[[#This Row],[PrimaryStorageType]],"SSD &amp; HDD")</f>
        <v>SSD &amp; HDD</v>
      </c>
      <c r="Y761" t="s">
        <v>42</v>
      </c>
      <c r="Z761" s="4" t="str">
        <f>_xlfn.CONCAT(laptop[[#This Row],[CPU_company]]," ",laptop[[#This Row],[GPU_model]])</f>
        <v>Intel HD Graphics 620</v>
      </c>
    </row>
    <row r="762" spans="1:26" x14ac:dyDescent="0.25">
      <c r="A762" t="s">
        <v>73</v>
      </c>
      <c r="B762" t="s">
        <v>82</v>
      </c>
      <c r="C762" t="s">
        <v>83</v>
      </c>
      <c r="D762">
        <v>15.6</v>
      </c>
      <c r="E762">
        <v>8</v>
      </c>
      <c r="F762" t="s">
        <v>48</v>
      </c>
      <c r="G762">
        <v>2.5</v>
      </c>
      <c r="H762" s="16">
        <v>1048</v>
      </c>
      <c r="I762" t="s">
        <v>40</v>
      </c>
      <c r="J762">
        <v>1920</v>
      </c>
      <c r="K762">
        <v>1080</v>
      </c>
      <c r="L762" t="s">
        <v>27</v>
      </c>
      <c r="M762" t="s">
        <v>28</v>
      </c>
      <c r="N762" t="s">
        <v>27</v>
      </c>
      <c r="O762" t="s">
        <v>29</v>
      </c>
      <c r="P762">
        <v>2.8</v>
      </c>
      <c r="Q762" t="s">
        <v>118</v>
      </c>
      <c r="R762" t="str">
        <f>_xlfn.CONCAT(laptop[[#This Row],[CPU_company]]," ",laptop[[#This Row],[CPU_model]])</f>
        <v>Intel Core i7 7700HQ</v>
      </c>
      <c r="S762">
        <v>128</v>
      </c>
      <c r="T762">
        <v>1024</v>
      </c>
      <c r="U762">
        <f>laptop[[#This Row],[PrimaryStorage]]+laptop[[#This Row],[SecondaryStorage]]</f>
        <v>1152</v>
      </c>
      <c r="V762" t="s">
        <v>31</v>
      </c>
      <c r="W762" t="s">
        <v>51</v>
      </c>
      <c r="X762" t="str">
        <f>IF(laptop[[#This Row],[PrimaryStorageType]]=laptop[[#This Row],[SecondaryStorageType]],laptop[[#This Row],[PrimaryStorageType]],"SSD &amp; HDD")</f>
        <v>SSD &amp; HDD</v>
      </c>
      <c r="Y762" t="s">
        <v>85</v>
      </c>
      <c r="Z762" s="4" t="str">
        <f>_xlfn.CONCAT(laptop[[#This Row],[CPU_company]]," ",laptop[[#This Row],[GPU_model]])</f>
        <v>Intel GeForce GTX 1050</v>
      </c>
    </row>
    <row r="763" spans="1:26" x14ac:dyDescent="0.25">
      <c r="A763" t="s">
        <v>65</v>
      </c>
      <c r="B763" t="s">
        <v>633</v>
      </c>
      <c r="C763" t="s">
        <v>24</v>
      </c>
      <c r="D763">
        <v>12.5</v>
      </c>
      <c r="E763">
        <v>16</v>
      </c>
      <c r="F763" t="s">
        <v>48</v>
      </c>
      <c r="G763">
        <v>1.18</v>
      </c>
      <c r="H763" s="16">
        <v>1859</v>
      </c>
      <c r="I763" t="s">
        <v>40</v>
      </c>
      <c r="J763">
        <v>1920</v>
      </c>
      <c r="K763">
        <v>1080</v>
      </c>
      <c r="L763" t="s">
        <v>27</v>
      </c>
      <c r="M763" t="s">
        <v>27</v>
      </c>
      <c r="N763" t="s">
        <v>27</v>
      </c>
      <c r="O763" t="s">
        <v>29</v>
      </c>
      <c r="P763">
        <v>2.8</v>
      </c>
      <c r="Q763" t="s">
        <v>335</v>
      </c>
      <c r="R763" t="str">
        <f>_xlfn.CONCAT(laptop[[#This Row],[CPU_company]]," ",laptop[[#This Row],[CPU_model]])</f>
        <v>Intel Core i7 7600U</v>
      </c>
      <c r="S763">
        <v>256</v>
      </c>
      <c r="T763">
        <v>0</v>
      </c>
      <c r="U763">
        <f>laptop[[#This Row],[PrimaryStorage]]+laptop[[#This Row],[SecondaryStorage]]</f>
        <v>256</v>
      </c>
      <c r="V763" t="s">
        <v>31</v>
      </c>
      <c r="W763" t="s">
        <v>27</v>
      </c>
      <c r="X763" t="str">
        <f>IF(laptop[[#This Row],[PrimaryStorageType]]=laptop[[#This Row],[SecondaryStorageType]],laptop[[#This Row],[PrimaryStorageType]],"SSD &amp; HDD")</f>
        <v>SSD &amp; HDD</v>
      </c>
      <c r="Y763" t="s">
        <v>42</v>
      </c>
      <c r="Z763" s="4" t="str">
        <f>_xlfn.CONCAT(laptop[[#This Row],[CPU_company]]," ",laptop[[#This Row],[GPU_model]])</f>
        <v>Intel HD Graphics 620</v>
      </c>
    </row>
    <row r="764" spans="1:26" x14ac:dyDescent="0.25">
      <c r="A764" t="s">
        <v>421</v>
      </c>
      <c r="B764" t="s">
        <v>422</v>
      </c>
      <c r="C764" t="s">
        <v>24</v>
      </c>
      <c r="D764">
        <v>12.3</v>
      </c>
      <c r="E764">
        <v>8</v>
      </c>
      <c r="F764" t="s">
        <v>317</v>
      </c>
      <c r="G764">
        <v>1.1000000000000001</v>
      </c>
      <c r="H764" s="16">
        <v>1559</v>
      </c>
      <c r="I764" t="s">
        <v>26</v>
      </c>
      <c r="J764">
        <v>2400</v>
      </c>
      <c r="K764">
        <v>1600</v>
      </c>
      <c r="L764" t="s">
        <v>28</v>
      </c>
      <c r="M764" t="s">
        <v>27</v>
      </c>
      <c r="N764" t="s">
        <v>27</v>
      </c>
      <c r="O764" t="s">
        <v>29</v>
      </c>
      <c r="P764">
        <v>1.2</v>
      </c>
      <c r="Q764" t="s">
        <v>445</v>
      </c>
      <c r="R764" t="str">
        <f>_xlfn.CONCAT(laptop[[#This Row],[CPU_company]]," ",laptop[[#This Row],[CPU_model]])</f>
        <v>Intel Core i5 7Y57</v>
      </c>
      <c r="S764">
        <v>256</v>
      </c>
      <c r="T764">
        <v>0</v>
      </c>
      <c r="U764">
        <f>laptop[[#This Row],[PrimaryStorage]]+laptop[[#This Row],[SecondaryStorage]]</f>
        <v>256</v>
      </c>
      <c r="V764" t="s">
        <v>31</v>
      </c>
      <c r="W764" t="s">
        <v>27</v>
      </c>
      <c r="X764" t="str">
        <f>IF(laptop[[#This Row],[PrimaryStorageType]]=laptop[[#This Row],[SecondaryStorageType]],laptop[[#This Row],[PrimaryStorageType]],"SSD &amp; HDD")</f>
        <v>SSD &amp; HDD</v>
      </c>
      <c r="Y764" t="s">
        <v>70</v>
      </c>
      <c r="Z764" s="4" t="str">
        <f>_xlfn.CONCAT(laptop[[#This Row],[CPU_company]]," ",laptop[[#This Row],[GPU_model]])</f>
        <v>Intel HD Graphics 615</v>
      </c>
    </row>
    <row r="765" spans="1:26" x14ac:dyDescent="0.25">
      <c r="A765" t="s">
        <v>55</v>
      </c>
      <c r="B765" t="s">
        <v>634</v>
      </c>
      <c r="C765" t="s">
        <v>24</v>
      </c>
      <c r="D765">
        <v>13.3</v>
      </c>
      <c r="E765">
        <v>8</v>
      </c>
      <c r="F765" t="s">
        <v>48</v>
      </c>
      <c r="G765">
        <v>1.2</v>
      </c>
      <c r="H765" s="16">
        <v>1129</v>
      </c>
      <c r="I765" t="s">
        <v>107</v>
      </c>
      <c r="J765">
        <v>3200</v>
      </c>
      <c r="K765">
        <v>1800</v>
      </c>
      <c r="L765" t="s">
        <v>27</v>
      </c>
      <c r="M765" t="s">
        <v>28</v>
      </c>
      <c r="N765" t="s">
        <v>27</v>
      </c>
      <c r="O765" t="s">
        <v>29</v>
      </c>
      <c r="P765">
        <v>2.5</v>
      </c>
      <c r="Q765" t="s">
        <v>41</v>
      </c>
      <c r="R765" t="str">
        <f>_xlfn.CONCAT(laptop[[#This Row],[CPU_company]]," ",laptop[[#This Row],[CPU_model]])</f>
        <v>Intel Core i5 7200U</v>
      </c>
      <c r="S765">
        <v>256</v>
      </c>
      <c r="T765">
        <v>0</v>
      </c>
      <c r="U765">
        <f>laptop[[#This Row],[PrimaryStorage]]+laptop[[#This Row],[SecondaryStorage]]</f>
        <v>256</v>
      </c>
      <c r="V765" t="s">
        <v>31</v>
      </c>
      <c r="W765" t="s">
        <v>27</v>
      </c>
      <c r="X765" t="str">
        <f>IF(laptop[[#This Row],[PrimaryStorageType]]=laptop[[#This Row],[SecondaryStorageType]],laptop[[#This Row],[PrimaryStorageType]],"SSD &amp; HDD")</f>
        <v>SSD &amp; HDD</v>
      </c>
      <c r="Y765" t="s">
        <v>42</v>
      </c>
      <c r="Z765" s="4" t="str">
        <f>_xlfn.CONCAT(laptop[[#This Row],[CPU_company]]," ",laptop[[#This Row],[GPU_model]])</f>
        <v>Intel HD Graphics 620</v>
      </c>
    </row>
    <row r="766" spans="1:26" x14ac:dyDescent="0.25">
      <c r="A766" t="s">
        <v>65</v>
      </c>
      <c r="B766" t="s">
        <v>404</v>
      </c>
      <c r="C766" t="s">
        <v>38</v>
      </c>
      <c r="D766">
        <v>13.3</v>
      </c>
      <c r="E766">
        <v>4</v>
      </c>
      <c r="F766" t="s">
        <v>48</v>
      </c>
      <c r="G766">
        <v>1.65</v>
      </c>
      <c r="H766" s="16">
        <v>849</v>
      </c>
      <c r="I766" t="s">
        <v>26</v>
      </c>
      <c r="J766">
        <v>1366</v>
      </c>
      <c r="K766">
        <v>768</v>
      </c>
      <c r="L766" t="s">
        <v>27</v>
      </c>
      <c r="M766" t="s">
        <v>27</v>
      </c>
      <c r="N766" t="s">
        <v>27</v>
      </c>
      <c r="O766" t="s">
        <v>29</v>
      </c>
      <c r="P766">
        <v>2</v>
      </c>
      <c r="Q766" t="s">
        <v>62</v>
      </c>
      <c r="R766" t="str">
        <f>_xlfn.CONCAT(laptop[[#This Row],[CPU_company]]," ",laptop[[#This Row],[CPU_model]])</f>
        <v>Intel Core i3 6006U</v>
      </c>
      <c r="S766">
        <v>500</v>
      </c>
      <c r="T766">
        <v>0</v>
      </c>
      <c r="U766">
        <f>laptop[[#This Row],[PrimaryStorage]]+laptop[[#This Row],[SecondaryStorage]]</f>
        <v>500</v>
      </c>
      <c r="V766" t="s">
        <v>51</v>
      </c>
      <c r="W766" t="s">
        <v>27</v>
      </c>
      <c r="X766" t="str">
        <f>IF(laptop[[#This Row],[PrimaryStorageType]]=laptop[[#This Row],[SecondaryStorageType]],laptop[[#This Row],[PrimaryStorageType]],"SSD &amp; HDD")</f>
        <v>SSD &amp; HDD</v>
      </c>
      <c r="Y766" t="s">
        <v>63</v>
      </c>
      <c r="Z766" s="4" t="str">
        <f>_xlfn.CONCAT(laptop[[#This Row],[CPU_company]]," ",laptop[[#This Row],[GPU_model]])</f>
        <v>Intel HD Graphics 520</v>
      </c>
    </row>
    <row r="767" spans="1:26" x14ac:dyDescent="0.25">
      <c r="A767" t="s">
        <v>46</v>
      </c>
      <c r="B767" t="s">
        <v>635</v>
      </c>
      <c r="C767" t="s">
        <v>38</v>
      </c>
      <c r="D767">
        <v>13.3</v>
      </c>
      <c r="E767">
        <v>4</v>
      </c>
      <c r="F767" t="s">
        <v>48</v>
      </c>
      <c r="G767">
        <v>1.6</v>
      </c>
      <c r="H767" s="16">
        <v>655</v>
      </c>
      <c r="I767" t="s">
        <v>26</v>
      </c>
      <c r="J767">
        <v>1366</v>
      </c>
      <c r="K767">
        <v>768</v>
      </c>
      <c r="L767" t="s">
        <v>27</v>
      </c>
      <c r="M767" t="s">
        <v>27</v>
      </c>
      <c r="N767" t="s">
        <v>27</v>
      </c>
      <c r="O767" t="s">
        <v>29</v>
      </c>
      <c r="P767">
        <v>2.2999999999999998</v>
      </c>
      <c r="Q767" t="s">
        <v>212</v>
      </c>
      <c r="R767" t="str">
        <f>_xlfn.CONCAT(laptop[[#This Row],[CPU_company]]," ",laptop[[#This Row],[CPU_model]])</f>
        <v>Intel Core i5 6200U</v>
      </c>
      <c r="S767">
        <v>128</v>
      </c>
      <c r="T767">
        <v>0</v>
      </c>
      <c r="U767">
        <f>laptop[[#This Row],[PrimaryStorage]]+laptop[[#This Row],[SecondaryStorage]]</f>
        <v>128</v>
      </c>
      <c r="V767" t="s">
        <v>31</v>
      </c>
      <c r="W767" t="s">
        <v>27</v>
      </c>
      <c r="X767" t="str">
        <f>IF(laptop[[#This Row],[PrimaryStorageType]]=laptop[[#This Row],[SecondaryStorageType]],laptop[[#This Row],[PrimaryStorageType]],"SSD &amp; HDD")</f>
        <v>SSD &amp; HDD</v>
      </c>
      <c r="Y767" t="s">
        <v>63</v>
      </c>
      <c r="Z767" s="4" t="str">
        <f>_xlfn.CONCAT(laptop[[#This Row],[CPU_company]]," ",laptop[[#This Row],[GPU_model]])</f>
        <v>Intel HD Graphics 520</v>
      </c>
    </row>
    <row r="768" spans="1:26" x14ac:dyDescent="0.25">
      <c r="A768" t="s">
        <v>55</v>
      </c>
      <c r="B768" t="s">
        <v>636</v>
      </c>
      <c r="C768" t="s">
        <v>38</v>
      </c>
      <c r="D768">
        <v>17.3</v>
      </c>
      <c r="E768">
        <v>4</v>
      </c>
      <c r="F768" t="s">
        <v>48</v>
      </c>
      <c r="G768">
        <v>2.8</v>
      </c>
      <c r="H768" s="16">
        <v>470.34</v>
      </c>
      <c r="I768" t="s">
        <v>26</v>
      </c>
      <c r="J768">
        <v>1366</v>
      </c>
      <c r="K768">
        <v>768</v>
      </c>
      <c r="L768" t="s">
        <v>27</v>
      </c>
      <c r="M768" t="s">
        <v>27</v>
      </c>
      <c r="N768" t="s">
        <v>27</v>
      </c>
      <c r="O768" t="s">
        <v>29</v>
      </c>
      <c r="P768">
        <v>1.1000000000000001</v>
      </c>
      <c r="Q768" t="s">
        <v>130</v>
      </c>
      <c r="R768" t="str">
        <f>_xlfn.CONCAT(laptop[[#This Row],[CPU_company]]," ",laptop[[#This Row],[CPU_model]])</f>
        <v>Intel Pentium Quad Core N4200</v>
      </c>
      <c r="S768">
        <v>1024</v>
      </c>
      <c r="T768">
        <v>0</v>
      </c>
      <c r="U768">
        <f>laptop[[#This Row],[PrimaryStorage]]+laptop[[#This Row],[SecondaryStorage]]</f>
        <v>1024</v>
      </c>
      <c r="V768" t="s">
        <v>51</v>
      </c>
      <c r="W768" t="s">
        <v>27</v>
      </c>
      <c r="X768" t="str">
        <f>IF(laptop[[#This Row],[PrimaryStorageType]]=laptop[[#This Row],[SecondaryStorageType]],laptop[[#This Row],[PrimaryStorageType]],"SSD &amp; HDD")</f>
        <v>SSD &amp; HDD</v>
      </c>
      <c r="Y768" t="s">
        <v>131</v>
      </c>
      <c r="Z768" s="4" t="str">
        <f>_xlfn.CONCAT(laptop[[#This Row],[CPU_company]]," ",laptop[[#This Row],[GPU_model]])</f>
        <v>Intel GeForce 920MX</v>
      </c>
    </row>
    <row r="769" spans="1:26" x14ac:dyDescent="0.25">
      <c r="A769" t="s">
        <v>65</v>
      </c>
      <c r="B769" t="s">
        <v>536</v>
      </c>
      <c r="C769" t="s">
        <v>83</v>
      </c>
      <c r="D769">
        <v>15.6</v>
      </c>
      <c r="E769">
        <v>16</v>
      </c>
      <c r="F769" t="s">
        <v>48</v>
      </c>
      <c r="G769">
        <v>2.72</v>
      </c>
      <c r="H769" s="16">
        <v>1099</v>
      </c>
      <c r="I769" t="s">
        <v>215</v>
      </c>
      <c r="J769">
        <v>3840</v>
      </c>
      <c r="K769">
        <v>2160</v>
      </c>
      <c r="L769" t="s">
        <v>28</v>
      </c>
      <c r="M769" t="s">
        <v>28</v>
      </c>
      <c r="N769" t="s">
        <v>27</v>
      </c>
      <c r="O769" t="s">
        <v>29</v>
      </c>
      <c r="P769">
        <v>2.6</v>
      </c>
      <c r="Q769" t="s">
        <v>447</v>
      </c>
      <c r="R769" t="str">
        <f>_xlfn.CONCAT(laptop[[#This Row],[CPU_company]]," ",laptop[[#This Row],[CPU_model]])</f>
        <v>Intel Core i7 6700HQ</v>
      </c>
      <c r="S769">
        <v>128</v>
      </c>
      <c r="T769">
        <v>1024</v>
      </c>
      <c r="U769">
        <f>laptop[[#This Row],[PrimaryStorage]]+laptop[[#This Row],[SecondaryStorage]]</f>
        <v>1152</v>
      </c>
      <c r="V769" t="s">
        <v>31</v>
      </c>
      <c r="W769" t="s">
        <v>51</v>
      </c>
      <c r="X769" t="str">
        <f>IF(laptop[[#This Row],[PrimaryStorageType]]=laptop[[#This Row],[SecondaryStorageType]],laptop[[#This Row],[PrimaryStorageType]],"SSD &amp; HDD")</f>
        <v>SSD &amp; HDD</v>
      </c>
      <c r="Y769" t="s">
        <v>483</v>
      </c>
      <c r="Z769" s="4" t="str">
        <f>_xlfn.CONCAT(laptop[[#This Row],[CPU_company]]," ",laptop[[#This Row],[GPU_model]])</f>
        <v>Intel GeForce GTX 960M</v>
      </c>
    </row>
    <row r="770" spans="1:26" x14ac:dyDescent="0.25">
      <c r="A770" t="s">
        <v>413</v>
      </c>
      <c r="B770" t="s">
        <v>620</v>
      </c>
      <c r="C770" t="s">
        <v>24</v>
      </c>
      <c r="D770">
        <v>13.3</v>
      </c>
      <c r="E770">
        <v>8</v>
      </c>
      <c r="F770" t="s">
        <v>48</v>
      </c>
      <c r="G770">
        <v>1.31</v>
      </c>
      <c r="H770" s="16">
        <v>1599</v>
      </c>
      <c r="I770" t="s">
        <v>40</v>
      </c>
      <c r="J770">
        <v>1920</v>
      </c>
      <c r="K770">
        <v>1080</v>
      </c>
      <c r="L770" t="s">
        <v>28</v>
      </c>
      <c r="M770" t="s">
        <v>27</v>
      </c>
      <c r="N770" t="s">
        <v>27</v>
      </c>
      <c r="O770" t="s">
        <v>29</v>
      </c>
      <c r="P770">
        <v>2.7</v>
      </c>
      <c r="Q770" t="s">
        <v>71</v>
      </c>
      <c r="R770" t="str">
        <f>_xlfn.CONCAT(laptop[[#This Row],[CPU_company]]," ",laptop[[#This Row],[CPU_model]])</f>
        <v>Intel Core i7 7500U</v>
      </c>
      <c r="S770">
        <v>256</v>
      </c>
      <c r="T770">
        <v>0</v>
      </c>
      <c r="U770">
        <f>laptop[[#This Row],[PrimaryStorage]]+laptop[[#This Row],[SecondaryStorage]]</f>
        <v>256</v>
      </c>
      <c r="V770" t="s">
        <v>31</v>
      </c>
      <c r="W770" t="s">
        <v>27</v>
      </c>
      <c r="X770" t="str">
        <f>IF(laptop[[#This Row],[PrimaryStorageType]]=laptop[[#This Row],[SecondaryStorageType]],laptop[[#This Row],[PrimaryStorageType]],"SSD &amp; HDD")</f>
        <v>SSD &amp; HDD</v>
      </c>
      <c r="Y770" t="s">
        <v>42</v>
      </c>
      <c r="Z770" s="4" t="str">
        <f>_xlfn.CONCAT(laptop[[#This Row],[CPU_company]]," ",laptop[[#This Row],[GPU_model]])</f>
        <v>Intel HD Graphics 620</v>
      </c>
    </row>
    <row r="771" spans="1:26" x14ac:dyDescent="0.25">
      <c r="A771" t="s">
        <v>46</v>
      </c>
      <c r="B771" t="s">
        <v>235</v>
      </c>
      <c r="C771" t="s">
        <v>38</v>
      </c>
      <c r="D771">
        <v>15.6</v>
      </c>
      <c r="E771">
        <v>4</v>
      </c>
      <c r="F771" t="s">
        <v>111</v>
      </c>
      <c r="G771">
        <v>2.1</v>
      </c>
      <c r="H771" s="16">
        <v>298</v>
      </c>
      <c r="I771" t="s">
        <v>26</v>
      </c>
      <c r="J771">
        <v>1366</v>
      </c>
      <c r="K771">
        <v>768</v>
      </c>
      <c r="L771" t="s">
        <v>27</v>
      </c>
      <c r="M771" t="s">
        <v>27</v>
      </c>
      <c r="N771" t="s">
        <v>27</v>
      </c>
      <c r="O771" t="s">
        <v>29</v>
      </c>
      <c r="P771">
        <v>1.1000000000000001</v>
      </c>
      <c r="Q771" t="s">
        <v>130</v>
      </c>
      <c r="R771" t="str">
        <f>_xlfn.CONCAT(laptop[[#This Row],[CPU_company]]," ",laptop[[#This Row],[CPU_model]])</f>
        <v>Intel Pentium Quad Core N4200</v>
      </c>
      <c r="S771">
        <v>1024</v>
      </c>
      <c r="T771">
        <v>0</v>
      </c>
      <c r="U771">
        <f>laptop[[#This Row],[PrimaryStorage]]+laptop[[#This Row],[SecondaryStorage]]</f>
        <v>1024</v>
      </c>
      <c r="V771" t="s">
        <v>51</v>
      </c>
      <c r="W771" t="s">
        <v>27</v>
      </c>
      <c r="X771" t="str">
        <f>IF(laptop[[#This Row],[PrimaryStorageType]]=laptop[[#This Row],[SecondaryStorageType]],laptop[[#This Row],[PrimaryStorageType]],"SSD &amp; HDD")</f>
        <v>SSD &amp; HDD</v>
      </c>
      <c r="Y771" t="s">
        <v>237</v>
      </c>
      <c r="Z771" s="4" t="str">
        <f>_xlfn.CONCAT(laptop[[#This Row],[CPU_company]]," ",laptop[[#This Row],[GPU_model]])</f>
        <v>Intel HD Graphics 505</v>
      </c>
    </row>
    <row r="772" spans="1:26" x14ac:dyDescent="0.25">
      <c r="A772" t="s">
        <v>65</v>
      </c>
      <c r="B772" t="s">
        <v>200</v>
      </c>
      <c r="C772" t="s">
        <v>38</v>
      </c>
      <c r="D772">
        <v>15.6</v>
      </c>
      <c r="E772">
        <v>16</v>
      </c>
      <c r="F772" t="s">
        <v>48</v>
      </c>
      <c r="G772">
        <v>2.2999999999999998</v>
      </c>
      <c r="H772" s="16">
        <v>1181.27</v>
      </c>
      <c r="I772" t="s">
        <v>40</v>
      </c>
      <c r="J772">
        <v>1920</v>
      </c>
      <c r="K772">
        <v>1080</v>
      </c>
      <c r="L772" t="s">
        <v>27</v>
      </c>
      <c r="M772" t="s">
        <v>27</v>
      </c>
      <c r="N772" t="s">
        <v>27</v>
      </c>
      <c r="O772" t="s">
        <v>29</v>
      </c>
      <c r="P772">
        <v>2.7</v>
      </c>
      <c r="Q772" t="s">
        <v>71</v>
      </c>
      <c r="R772" t="str">
        <f>_xlfn.CONCAT(laptop[[#This Row],[CPU_company]]," ",laptop[[#This Row],[CPU_model]])</f>
        <v>Intel Core i7 7500U</v>
      </c>
      <c r="S772">
        <v>256</v>
      </c>
      <c r="T772">
        <v>0</v>
      </c>
      <c r="U772">
        <f>laptop[[#This Row],[PrimaryStorage]]+laptop[[#This Row],[SecondaryStorage]]</f>
        <v>256</v>
      </c>
      <c r="V772" t="s">
        <v>31</v>
      </c>
      <c r="W772" t="s">
        <v>27</v>
      </c>
      <c r="X772" t="str">
        <f>IF(laptop[[#This Row],[PrimaryStorageType]]=laptop[[#This Row],[SecondaryStorageType]],laptop[[#This Row],[PrimaryStorageType]],"SSD &amp; HDD")</f>
        <v>SSD &amp; HDD</v>
      </c>
      <c r="Y772" t="s">
        <v>201</v>
      </c>
      <c r="Z772" s="4" t="str">
        <f>_xlfn.CONCAT(laptop[[#This Row],[CPU_company]]," ",laptop[[#This Row],[GPU_model]])</f>
        <v>Intel Radeon R7 M445</v>
      </c>
    </row>
    <row r="773" spans="1:26" x14ac:dyDescent="0.25">
      <c r="A773" t="s">
        <v>413</v>
      </c>
      <c r="B773" t="s">
        <v>620</v>
      </c>
      <c r="C773" t="s">
        <v>90</v>
      </c>
      <c r="D773">
        <v>15</v>
      </c>
      <c r="E773">
        <v>16</v>
      </c>
      <c r="F773" t="s">
        <v>48</v>
      </c>
      <c r="G773">
        <v>1.71</v>
      </c>
      <c r="H773" s="16">
        <v>1799</v>
      </c>
      <c r="I773" t="s">
        <v>40</v>
      </c>
      <c r="J773">
        <v>1920</v>
      </c>
      <c r="K773">
        <v>1080</v>
      </c>
      <c r="L773" t="s">
        <v>28</v>
      </c>
      <c r="M773" t="s">
        <v>27</v>
      </c>
      <c r="N773" t="s">
        <v>27</v>
      </c>
      <c r="O773" t="s">
        <v>29</v>
      </c>
      <c r="P773">
        <v>2.7</v>
      </c>
      <c r="Q773" t="s">
        <v>71</v>
      </c>
      <c r="R773" t="str">
        <f>_xlfn.CONCAT(laptop[[#This Row],[CPU_company]]," ",laptop[[#This Row],[CPU_model]])</f>
        <v>Intel Core i7 7500U</v>
      </c>
      <c r="S773">
        <v>256</v>
      </c>
      <c r="T773">
        <v>0</v>
      </c>
      <c r="U773">
        <f>laptop[[#This Row],[PrimaryStorage]]+laptop[[#This Row],[SecondaryStorage]]</f>
        <v>256</v>
      </c>
      <c r="V773" t="s">
        <v>31</v>
      </c>
      <c r="W773" t="s">
        <v>27</v>
      </c>
      <c r="X773" t="str">
        <f>IF(laptop[[#This Row],[PrimaryStorageType]]=laptop[[#This Row],[SecondaryStorageType]],laptop[[#This Row],[PrimaryStorageType]],"SSD &amp; HDD")</f>
        <v>SSD &amp; HDD</v>
      </c>
      <c r="Y773" t="s">
        <v>637</v>
      </c>
      <c r="Z773" s="4" t="str">
        <f>_xlfn.CONCAT(laptop[[#This Row],[CPU_company]]," ",laptop[[#This Row],[GPU_model]])</f>
        <v>Intel Radeon 540</v>
      </c>
    </row>
    <row r="774" spans="1:26" x14ac:dyDescent="0.25">
      <c r="A774" t="s">
        <v>210</v>
      </c>
      <c r="B774" t="s">
        <v>638</v>
      </c>
      <c r="C774" t="s">
        <v>38</v>
      </c>
      <c r="D774">
        <v>14</v>
      </c>
      <c r="E774">
        <v>4</v>
      </c>
      <c r="F774" t="s">
        <v>48</v>
      </c>
      <c r="G774">
        <v>1.75</v>
      </c>
      <c r="H774" s="16">
        <v>1020</v>
      </c>
      <c r="I774" t="s">
        <v>26</v>
      </c>
      <c r="J774">
        <v>1366</v>
      </c>
      <c r="K774">
        <v>768</v>
      </c>
      <c r="L774" t="s">
        <v>27</v>
      </c>
      <c r="M774" t="s">
        <v>28</v>
      </c>
      <c r="N774" t="s">
        <v>27</v>
      </c>
      <c r="O774" t="s">
        <v>29</v>
      </c>
      <c r="P774">
        <v>2.2999999999999998</v>
      </c>
      <c r="Q774" t="s">
        <v>212</v>
      </c>
      <c r="R774" t="str">
        <f>_xlfn.CONCAT(laptop[[#This Row],[CPU_company]]," ",laptop[[#This Row],[CPU_model]])</f>
        <v>Intel Core i5 6200U</v>
      </c>
      <c r="S774">
        <v>128</v>
      </c>
      <c r="T774">
        <v>0</v>
      </c>
      <c r="U774">
        <f>laptop[[#This Row],[PrimaryStorage]]+laptop[[#This Row],[SecondaryStorage]]</f>
        <v>128</v>
      </c>
      <c r="V774" t="s">
        <v>31</v>
      </c>
      <c r="W774" t="s">
        <v>27</v>
      </c>
      <c r="X774" t="str">
        <f>IF(laptop[[#This Row],[PrimaryStorageType]]=laptop[[#This Row],[SecondaryStorageType]],laptop[[#This Row],[PrimaryStorageType]],"SSD &amp; HDD")</f>
        <v>SSD &amp; HDD</v>
      </c>
      <c r="Y774" t="s">
        <v>63</v>
      </c>
      <c r="Z774" s="4" t="str">
        <f>_xlfn.CONCAT(laptop[[#This Row],[CPU_company]]," ",laptop[[#This Row],[GPU_model]])</f>
        <v>Intel HD Graphics 520</v>
      </c>
    </row>
    <row r="775" spans="1:26" x14ac:dyDescent="0.25">
      <c r="A775" t="s">
        <v>65</v>
      </c>
      <c r="B775" t="s">
        <v>222</v>
      </c>
      <c r="C775" t="s">
        <v>83</v>
      </c>
      <c r="D775">
        <v>15.6</v>
      </c>
      <c r="E775">
        <v>8</v>
      </c>
      <c r="F775" t="s">
        <v>48</v>
      </c>
      <c r="G775">
        <v>2.62</v>
      </c>
      <c r="H775" s="16">
        <v>1099</v>
      </c>
      <c r="I775" t="s">
        <v>40</v>
      </c>
      <c r="J775">
        <v>1920</v>
      </c>
      <c r="K775">
        <v>1080</v>
      </c>
      <c r="L775" t="s">
        <v>27</v>
      </c>
      <c r="M775" t="s">
        <v>27</v>
      </c>
      <c r="N775" t="s">
        <v>27</v>
      </c>
      <c r="O775" t="s">
        <v>29</v>
      </c>
      <c r="P775">
        <v>2.8</v>
      </c>
      <c r="Q775" t="s">
        <v>118</v>
      </c>
      <c r="R775" t="str">
        <f>_xlfn.CONCAT(laptop[[#This Row],[CPU_company]]," ",laptop[[#This Row],[CPU_model]])</f>
        <v>Intel Core i7 7700HQ</v>
      </c>
      <c r="S775">
        <v>1024</v>
      </c>
      <c r="T775">
        <v>0</v>
      </c>
      <c r="U775">
        <f>laptop[[#This Row],[PrimaryStorage]]+laptop[[#This Row],[SecondaryStorage]]</f>
        <v>1024</v>
      </c>
      <c r="V775" t="s">
        <v>51</v>
      </c>
      <c r="W775" t="s">
        <v>27</v>
      </c>
      <c r="X775" t="str">
        <f>IF(laptop[[#This Row],[PrimaryStorageType]]=laptop[[#This Row],[SecondaryStorageType]],laptop[[#This Row],[PrimaryStorageType]],"SSD &amp; HDD")</f>
        <v>SSD &amp; HDD</v>
      </c>
      <c r="Y775" t="s">
        <v>85</v>
      </c>
      <c r="Z775" s="4" t="str">
        <f>_xlfn.CONCAT(laptop[[#This Row],[CPU_company]]," ",laptop[[#This Row],[GPU_model]])</f>
        <v>Intel GeForce GTX 1050</v>
      </c>
    </row>
    <row r="776" spans="1:26" x14ac:dyDescent="0.25">
      <c r="A776" t="s">
        <v>36</v>
      </c>
      <c r="B776" t="s">
        <v>639</v>
      </c>
      <c r="C776" t="s">
        <v>24</v>
      </c>
      <c r="D776">
        <v>12.5</v>
      </c>
      <c r="E776">
        <v>4</v>
      </c>
      <c r="F776" t="s">
        <v>48</v>
      </c>
      <c r="G776">
        <v>1.26</v>
      </c>
      <c r="H776" s="16">
        <v>1244</v>
      </c>
      <c r="I776" t="s">
        <v>26</v>
      </c>
      <c r="J776">
        <v>1366</v>
      </c>
      <c r="K776">
        <v>768</v>
      </c>
      <c r="L776" t="s">
        <v>27</v>
      </c>
      <c r="M776" t="s">
        <v>27</v>
      </c>
      <c r="N776" t="s">
        <v>27</v>
      </c>
      <c r="O776" t="s">
        <v>29</v>
      </c>
      <c r="P776">
        <v>2.2999999999999998</v>
      </c>
      <c r="Q776" t="s">
        <v>212</v>
      </c>
      <c r="R776" t="str">
        <f>_xlfn.CONCAT(laptop[[#This Row],[CPU_company]]," ",laptop[[#This Row],[CPU_model]])</f>
        <v>Intel Core i5 6200U</v>
      </c>
      <c r="S776">
        <v>256</v>
      </c>
      <c r="T776">
        <v>0</v>
      </c>
      <c r="U776">
        <f>laptop[[#This Row],[PrimaryStorage]]+laptop[[#This Row],[SecondaryStorage]]</f>
        <v>256</v>
      </c>
      <c r="V776" t="s">
        <v>31</v>
      </c>
      <c r="W776" t="s">
        <v>27</v>
      </c>
      <c r="X776" t="str">
        <f>IF(laptop[[#This Row],[PrimaryStorageType]]=laptop[[#This Row],[SecondaryStorageType]],laptop[[#This Row],[PrimaryStorageType]],"SSD &amp; HDD")</f>
        <v>SSD &amp; HDD</v>
      </c>
      <c r="Y776" t="s">
        <v>63</v>
      </c>
      <c r="Z776" s="4" t="str">
        <f>_xlfn.CONCAT(laptop[[#This Row],[CPU_company]]," ",laptop[[#This Row],[GPU_model]])</f>
        <v>Intel HD Graphics 520</v>
      </c>
    </row>
    <row r="777" spans="1:26" x14ac:dyDescent="0.25">
      <c r="A777" t="s">
        <v>55</v>
      </c>
      <c r="B777" t="s">
        <v>640</v>
      </c>
      <c r="C777" t="s">
        <v>90</v>
      </c>
      <c r="D777">
        <v>15.6</v>
      </c>
      <c r="E777">
        <v>12</v>
      </c>
      <c r="F777" t="s">
        <v>48</v>
      </c>
      <c r="G777">
        <v>2.2999999999999998</v>
      </c>
      <c r="H777" s="16">
        <v>839</v>
      </c>
      <c r="I777" t="s">
        <v>40</v>
      </c>
      <c r="J777">
        <v>1920</v>
      </c>
      <c r="K777">
        <v>1080</v>
      </c>
      <c r="L777" t="s">
        <v>28</v>
      </c>
      <c r="M777" t="s">
        <v>27</v>
      </c>
      <c r="N777" t="s">
        <v>27</v>
      </c>
      <c r="O777" t="s">
        <v>29</v>
      </c>
      <c r="P777">
        <v>2.7</v>
      </c>
      <c r="Q777" t="s">
        <v>71</v>
      </c>
      <c r="R777" t="str">
        <f>_xlfn.CONCAT(laptop[[#This Row],[CPU_company]]," ",laptop[[#This Row],[CPU_model]])</f>
        <v>Intel Core i7 7500U</v>
      </c>
      <c r="S777">
        <v>2048</v>
      </c>
      <c r="T777">
        <v>0</v>
      </c>
      <c r="U777">
        <f>laptop[[#This Row],[PrimaryStorage]]+laptop[[#This Row],[SecondaryStorage]]</f>
        <v>2048</v>
      </c>
      <c r="V777" t="s">
        <v>51</v>
      </c>
      <c r="W777" t="s">
        <v>27</v>
      </c>
      <c r="X777" t="str">
        <f>IF(laptop[[#This Row],[PrimaryStorageType]]=laptop[[#This Row],[SecondaryStorageType]],laptop[[#This Row],[PrimaryStorageType]],"SSD &amp; HDD")</f>
        <v>SSD &amp; HDD</v>
      </c>
      <c r="Y777" t="s">
        <v>76</v>
      </c>
      <c r="Z777" s="4" t="str">
        <f>_xlfn.CONCAT(laptop[[#This Row],[CPU_company]]," ",laptop[[#This Row],[GPU_model]])</f>
        <v>Intel GeForce 940MX</v>
      </c>
    </row>
    <row r="778" spans="1:26" x14ac:dyDescent="0.25">
      <c r="A778" t="s">
        <v>73</v>
      </c>
      <c r="B778" t="s">
        <v>641</v>
      </c>
      <c r="C778" t="s">
        <v>38</v>
      </c>
      <c r="D778">
        <v>15.6</v>
      </c>
      <c r="E778">
        <v>16</v>
      </c>
      <c r="F778" t="s">
        <v>480</v>
      </c>
      <c r="G778">
        <v>2.5</v>
      </c>
      <c r="H778" s="16">
        <v>2370</v>
      </c>
      <c r="I778" t="s">
        <v>215</v>
      </c>
      <c r="J778">
        <v>3840</v>
      </c>
      <c r="K778">
        <v>2160</v>
      </c>
      <c r="L778" t="s">
        <v>27</v>
      </c>
      <c r="M778" t="s">
        <v>27</v>
      </c>
      <c r="N778" t="s">
        <v>27</v>
      </c>
      <c r="O778" t="s">
        <v>29</v>
      </c>
      <c r="P778">
        <v>2.7</v>
      </c>
      <c r="Q778" t="s">
        <v>388</v>
      </c>
      <c r="R778" t="str">
        <f>_xlfn.CONCAT(laptop[[#This Row],[CPU_company]]," ",laptop[[#This Row],[CPU_model]])</f>
        <v>Intel Core i7 6820HQ</v>
      </c>
      <c r="S778">
        <v>512</v>
      </c>
      <c r="T778">
        <v>0</v>
      </c>
      <c r="U778">
        <f>laptop[[#This Row],[PrimaryStorage]]+laptop[[#This Row],[SecondaryStorage]]</f>
        <v>512</v>
      </c>
      <c r="V778" t="s">
        <v>31</v>
      </c>
      <c r="W778" t="s">
        <v>27</v>
      </c>
      <c r="X778" t="str">
        <f>IF(laptop[[#This Row],[PrimaryStorageType]]=laptop[[#This Row],[SecondaryStorageType]],laptop[[#This Row],[PrimaryStorageType]],"SSD &amp; HDD")</f>
        <v>SSD &amp; HDD</v>
      </c>
      <c r="Y778" t="s">
        <v>623</v>
      </c>
      <c r="Z778" s="4" t="str">
        <f>_xlfn.CONCAT(laptop[[#This Row],[CPU_company]]," ",laptop[[#This Row],[GPU_model]])</f>
        <v>Intel Quadro M2000M</v>
      </c>
    </row>
    <row r="779" spans="1:26" x14ac:dyDescent="0.25">
      <c r="A779" t="s">
        <v>46</v>
      </c>
      <c r="B779" t="s">
        <v>59</v>
      </c>
      <c r="C779" t="s">
        <v>38</v>
      </c>
      <c r="D779">
        <v>14</v>
      </c>
      <c r="E779">
        <v>4</v>
      </c>
      <c r="F779" t="s">
        <v>48</v>
      </c>
      <c r="G779">
        <v>1.8</v>
      </c>
      <c r="H779" s="16">
        <v>636</v>
      </c>
      <c r="I779" t="s">
        <v>40</v>
      </c>
      <c r="J779">
        <v>1920</v>
      </c>
      <c r="K779">
        <v>1080</v>
      </c>
      <c r="L779" t="s">
        <v>27</v>
      </c>
      <c r="M779" t="s">
        <v>28</v>
      </c>
      <c r="N779" t="s">
        <v>27</v>
      </c>
      <c r="O779" t="s">
        <v>29</v>
      </c>
      <c r="P779">
        <v>2.4</v>
      </c>
      <c r="Q779" t="s">
        <v>75</v>
      </c>
      <c r="R779" t="str">
        <f>_xlfn.CONCAT(laptop[[#This Row],[CPU_company]]," ",laptop[[#This Row],[CPU_model]])</f>
        <v>Intel Core i3 7100U</v>
      </c>
      <c r="S779">
        <v>128</v>
      </c>
      <c r="T779">
        <v>0</v>
      </c>
      <c r="U779">
        <f>laptop[[#This Row],[PrimaryStorage]]+laptop[[#This Row],[SecondaryStorage]]</f>
        <v>128</v>
      </c>
      <c r="V779" t="s">
        <v>31</v>
      </c>
      <c r="W779" t="s">
        <v>27</v>
      </c>
      <c r="X779" t="str">
        <f>IF(laptop[[#This Row],[PrimaryStorageType]]=laptop[[#This Row],[SecondaryStorageType]],laptop[[#This Row],[PrimaryStorageType]],"SSD &amp; HDD")</f>
        <v>SSD &amp; HDD</v>
      </c>
      <c r="Y779" t="s">
        <v>42</v>
      </c>
      <c r="Z779" s="4" t="str">
        <f>_xlfn.CONCAT(laptop[[#This Row],[CPU_company]]," ",laptop[[#This Row],[GPU_model]])</f>
        <v>Intel HD Graphics 620</v>
      </c>
    </row>
    <row r="780" spans="1:26" x14ac:dyDescent="0.25">
      <c r="A780" t="s">
        <v>256</v>
      </c>
      <c r="B780" t="s">
        <v>257</v>
      </c>
      <c r="C780" t="s">
        <v>83</v>
      </c>
      <c r="D780">
        <v>14</v>
      </c>
      <c r="E780">
        <v>16</v>
      </c>
      <c r="F780" t="s">
        <v>48</v>
      </c>
      <c r="G780">
        <v>1.95</v>
      </c>
      <c r="H780" s="16">
        <v>2899</v>
      </c>
      <c r="I780" t="s">
        <v>40</v>
      </c>
      <c r="J780">
        <v>1920</v>
      </c>
      <c r="K780">
        <v>1080</v>
      </c>
      <c r="L780" t="s">
        <v>27</v>
      </c>
      <c r="M780" t="s">
        <v>27</v>
      </c>
      <c r="N780" t="s">
        <v>27</v>
      </c>
      <c r="O780" t="s">
        <v>29</v>
      </c>
      <c r="P780">
        <v>2.8</v>
      </c>
      <c r="Q780" t="s">
        <v>118</v>
      </c>
      <c r="R780" t="str">
        <f>_xlfn.CONCAT(laptop[[#This Row],[CPU_company]]," ",laptop[[#This Row],[CPU_model]])</f>
        <v>Intel Core i7 7700HQ</v>
      </c>
      <c r="S780">
        <v>512</v>
      </c>
      <c r="T780">
        <v>0</v>
      </c>
      <c r="U780">
        <f>laptop[[#This Row],[PrimaryStorage]]+laptop[[#This Row],[SecondaryStorage]]</f>
        <v>512</v>
      </c>
      <c r="V780" t="s">
        <v>31</v>
      </c>
      <c r="W780" t="s">
        <v>27</v>
      </c>
      <c r="X780" t="str">
        <f>IF(laptop[[#This Row],[PrimaryStorageType]]=laptop[[#This Row],[SecondaryStorageType]],laptop[[#This Row],[PrimaryStorageType]],"SSD &amp; HDD")</f>
        <v>SSD &amp; HDD</v>
      </c>
      <c r="Y780" t="s">
        <v>119</v>
      </c>
      <c r="Z780" s="4" t="str">
        <f>_xlfn.CONCAT(laptop[[#This Row],[CPU_company]]," ",laptop[[#This Row],[GPU_model]])</f>
        <v>Intel GeForce GTX 1060</v>
      </c>
    </row>
    <row r="781" spans="1:26" x14ac:dyDescent="0.25">
      <c r="A781" t="s">
        <v>55</v>
      </c>
      <c r="B781" t="s">
        <v>642</v>
      </c>
      <c r="C781" t="s">
        <v>38</v>
      </c>
      <c r="D781">
        <v>15.6</v>
      </c>
      <c r="E781">
        <v>8</v>
      </c>
      <c r="F781" t="s">
        <v>48</v>
      </c>
      <c r="G781">
        <v>2</v>
      </c>
      <c r="H781" s="16">
        <v>581.9</v>
      </c>
      <c r="I781" t="s">
        <v>26</v>
      </c>
      <c r="J781">
        <v>1920</v>
      </c>
      <c r="K781">
        <v>1080</v>
      </c>
      <c r="L781" t="s">
        <v>27</v>
      </c>
      <c r="M781" t="s">
        <v>27</v>
      </c>
      <c r="N781" t="s">
        <v>27</v>
      </c>
      <c r="O781" t="s">
        <v>29</v>
      </c>
      <c r="P781">
        <v>1.1000000000000001</v>
      </c>
      <c r="Q781" t="s">
        <v>643</v>
      </c>
      <c r="R781" t="str">
        <f>_xlfn.CONCAT(laptop[[#This Row],[CPU_company]]," ",laptop[[#This Row],[CPU_model]])</f>
        <v>Intel Pentium Dual Core N4200</v>
      </c>
      <c r="S781">
        <v>128</v>
      </c>
      <c r="T781">
        <v>0</v>
      </c>
      <c r="U781">
        <f>laptop[[#This Row],[PrimaryStorage]]+laptop[[#This Row],[SecondaryStorage]]</f>
        <v>128</v>
      </c>
      <c r="V781" t="s">
        <v>31</v>
      </c>
      <c r="W781" t="s">
        <v>27</v>
      </c>
      <c r="X781" t="str">
        <f>IF(laptop[[#This Row],[PrimaryStorageType]]=laptop[[#This Row],[SecondaryStorageType]],laptop[[#This Row],[PrimaryStorageType]],"SSD &amp; HDD")</f>
        <v>SSD &amp; HDD</v>
      </c>
      <c r="Y781" t="s">
        <v>237</v>
      </c>
      <c r="Z781" s="4" t="str">
        <f>_xlfn.CONCAT(laptop[[#This Row],[CPU_company]]," ",laptop[[#This Row],[GPU_model]])</f>
        <v>Intel HD Graphics 505</v>
      </c>
    </row>
    <row r="782" spans="1:26" x14ac:dyDescent="0.25">
      <c r="A782" t="s">
        <v>65</v>
      </c>
      <c r="B782" t="s">
        <v>275</v>
      </c>
      <c r="C782" t="s">
        <v>83</v>
      </c>
      <c r="D782">
        <v>17.3</v>
      </c>
      <c r="E782">
        <v>32</v>
      </c>
      <c r="F782" t="s">
        <v>48</v>
      </c>
      <c r="G782">
        <v>4.42</v>
      </c>
      <c r="H782" s="16">
        <v>3588.8</v>
      </c>
      <c r="I782" t="s">
        <v>40</v>
      </c>
      <c r="J782">
        <v>1920</v>
      </c>
      <c r="K782">
        <v>1080</v>
      </c>
      <c r="L782" t="s">
        <v>27</v>
      </c>
      <c r="M782" t="s">
        <v>28</v>
      </c>
      <c r="N782" t="s">
        <v>27</v>
      </c>
      <c r="O782" t="s">
        <v>29</v>
      </c>
      <c r="P782">
        <v>2.8</v>
      </c>
      <c r="Q782" t="s">
        <v>118</v>
      </c>
      <c r="R782" t="str">
        <f>_xlfn.CONCAT(laptop[[#This Row],[CPU_company]]," ",laptop[[#This Row],[CPU_model]])</f>
        <v>Intel Core i7 7700HQ</v>
      </c>
      <c r="S782">
        <v>1024</v>
      </c>
      <c r="T782">
        <v>1024</v>
      </c>
      <c r="U782">
        <f>laptop[[#This Row],[PrimaryStorage]]+laptop[[#This Row],[SecondaryStorage]]</f>
        <v>2048</v>
      </c>
      <c r="V782" t="s">
        <v>31</v>
      </c>
      <c r="W782" t="s">
        <v>51</v>
      </c>
      <c r="X782" t="str">
        <f>IF(laptop[[#This Row],[PrimaryStorageType]]=laptop[[#This Row],[SecondaryStorageType]],laptop[[#This Row],[PrimaryStorageType]],"SSD &amp; HDD")</f>
        <v>SSD &amp; HDD</v>
      </c>
      <c r="Y782" t="s">
        <v>644</v>
      </c>
      <c r="Z782" s="4" t="str">
        <f>_xlfn.CONCAT(laptop[[#This Row],[CPU_company]]," ",laptop[[#This Row],[GPU_model]])</f>
        <v>Intel GeForce GTX 1070M</v>
      </c>
    </row>
    <row r="783" spans="1:26" x14ac:dyDescent="0.25">
      <c r="A783" t="s">
        <v>55</v>
      </c>
      <c r="B783" t="s">
        <v>645</v>
      </c>
      <c r="C783" t="s">
        <v>83</v>
      </c>
      <c r="D783">
        <v>17.3</v>
      </c>
      <c r="E783">
        <v>16</v>
      </c>
      <c r="F783" t="s">
        <v>48</v>
      </c>
      <c r="G783">
        <v>4.3</v>
      </c>
      <c r="H783" s="16">
        <v>2350</v>
      </c>
      <c r="I783" t="s">
        <v>40</v>
      </c>
      <c r="J783">
        <v>1920</v>
      </c>
      <c r="K783">
        <v>1080</v>
      </c>
      <c r="L783" t="s">
        <v>27</v>
      </c>
      <c r="M783" t="s">
        <v>28</v>
      </c>
      <c r="N783" t="s">
        <v>27</v>
      </c>
      <c r="O783" t="s">
        <v>29</v>
      </c>
      <c r="P783">
        <v>2.6</v>
      </c>
      <c r="Q783" t="s">
        <v>447</v>
      </c>
      <c r="R783" t="str">
        <f>_xlfn.CONCAT(laptop[[#This Row],[CPU_company]]," ",laptop[[#This Row],[CPU_model]])</f>
        <v>Intel Core i7 6700HQ</v>
      </c>
      <c r="S783">
        <v>256</v>
      </c>
      <c r="T783">
        <v>1024</v>
      </c>
      <c r="U783">
        <f>laptop[[#This Row],[PrimaryStorage]]+laptop[[#This Row],[SecondaryStorage]]</f>
        <v>1280</v>
      </c>
      <c r="V783" t="s">
        <v>31</v>
      </c>
      <c r="W783" t="s">
        <v>51</v>
      </c>
      <c r="X783" t="str">
        <f>IF(laptop[[#This Row],[PrimaryStorageType]]=laptop[[#This Row],[SecondaryStorageType]],laptop[[#This Row],[PrimaryStorageType]],"SSD &amp; HDD")</f>
        <v>SSD &amp; HDD</v>
      </c>
      <c r="Y783" t="s">
        <v>143</v>
      </c>
      <c r="Z783" s="4" t="str">
        <f>_xlfn.CONCAT(laptop[[#This Row],[CPU_company]]," ",laptop[[#This Row],[GPU_model]])</f>
        <v>Intel GeForce GTX 1070</v>
      </c>
    </row>
    <row r="784" spans="1:26" x14ac:dyDescent="0.25">
      <c r="A784" t="s">
        <v>210</v>
      </c>
      <c r="B784" t="s">
        <v>646</v>
      </c>
      <c r="C784" t="s">
        <v>24</v>
      </c>
      <c r="D784">
        <v>14</v>
      </c>
      <c r="E784">
        <v>16</v>
      </c>
      <c r="F784" t="s">
        <v>48</v>
      </c>
      <c r="G784">
        <v>1.47</v>
      </c>
      <c r="H784" s="16">
        <v>1764</v>
      </c>
      <c r="I784" t="s">
        <v>40</v>
      </c>
      <c r="J784">
        <v>1920</v>
      </c>
      <c r="K784">
        <v>1080</v>
      </c>
      <c r="L784" t="s">
        <v>27</v>
      </c>
      <c r="M784" t="s">
        <v>28</v>
      </c>
      <c r="N784" t="s">
        <v>27</v>
      </c>
      <c r="O784" t="s">
        <v>29</v>
      </c>
      <c r="P784">
        <v>2.6</v>
      </c>
      <c r="Q784" t="s">
        <v>309</v>
      </c>
      <c r="R784" t="str">
        <f>_xlfn.CONCAT(laptop[[#This Row],[CPU_company]]," ",laptop[[#This Row],[CPU_model]])</f>
        <v>Intel Core i7 6600U</v>
      </c>
      <c r="S784">
        <v>512</v>
      </c>
      <c r="T784">
        <v>0</v>
      </c>
      <c r="U784">
        <f>laptop[[#This Row],[PrimaryStorage]]+laptop[[#This Row],[SecondaryStorage]]</f>
        <v>512</v>
      </c>
      <c r="V784" t="s">
        <v>31</v>
      </c>
      <c r="W784" t="s">
        <v>27</v>
      </c>
      <c r="X784" t="str">
        <f>IF(laptop[[#This Row],[PrimaryStorageType]]=laptop[[#This Row],[SecondaryStorageType]],laptop[[#This Row],[PrimaryStorageType]],"SSD &amp; HDD")</f>
        <v>SSD &amp; HDD</v>
      </c>
      <c r="Y784" t="s">
        <v>310</v>
      </c>
      <c r="Z784" s="4" t="str">
        <f>_xlfn.CONCAT(laptop[[#This Row],[CPU_company]]," ",laptop[[#This Row],[GPU_model]])</f>
        <v>Intel GeForce 930M</v>
      </c>
    </row>
    <row r="785" spans="1:26" x14ac:dyDescent="0.25">
      <c r="A785" t="s">
        <v>73</v>
      </c>
      <c r="B785" t="s">
        <v>647</v>
      </c>
      <c r="C785" t="s">
        <v>38</v>
      </c>
      <c r="D785">
        <v>15.6</v>
      </c>
      <c r="E785">
        <v>8</v>
      </c>
      <c r="F785" t="s">
        <v>39</v>
      </c>
      <c r="G785">
        <v>2.2000000000000002</v>
      </c>
      <c r="H785" s="16">
        <v>329</v>
      </c>
      <c r="I785" t="s">
        <v>26</v>
      </c>
      <c r="J785">
        <v>1366</v>
      </c>
      <c r="K785">
        <v>768</v>
      </c>
      <c r="L785" t="s">
        <v>27</v>
      </c>
      <c r="M785" t="s">
        <v>27</v>
      </c>
      <c r="N785" t="s">
        <v>27</v>
      </c>
      <c r="O785" t="s">
        <v>29</v>
      </c>
      <c r="P785">
        <v>1.6</v>
      </c>
      <c r="Q785" t="s">
        <v>648</v>
      </c>
      <c r="R785" t="str">
        <f>_xlfn.CONCAT(laptop[[#This Row],[CPU_company]]," ",laptop[[#This Row],[CPU_model]])</f>
        <v>Intel Celeron Quad Core N3710</v>
      </c>
      <c r="S785">
        <v>1024</v>
      </c>
      <c r="T785">
        <v>0</v>
      </c>
      <c r="U785">
        <f>laptop[[#This Row],[PrimaryStorage]]+laptop[[#This Row],[SecondaryStorage]]</f>
        <v>1024</v>
      </c>
      <c r="V785" t="s">
        <v>51</v>
      </c>
      <c r="W785" t="s">
        <v>27</v>
      </c>
      <c r="X785" t="str">
        <f>IF(laptop[[#This Row],[PrimaryStorageType]]=laptop[[#This Row],[SecondaryStorageType]],laptop[[#This Row],[PrimaryStorageType]],"SSD &amp; HDD")</f>
        <v>SSD &amp; HDD</v>
      </c>
      <c r="Y785" t="s">
        <v>347</v>
      </c>
      <c r="Z785" s="4" t="str">
        <f>_xlfn.CONCAT(laptop[[#This Row],[CPU_company]]," ",laptop[[#This Row],[GPU_model]])</f>
        <v>Intel HD Graphics 405</v>
      </c>
    </row>
    <row r="786" spans="1:26" x14ac:dyDescent="0.25">
      <c r="A786" t="s">
        <v>73</v>
      </c>
      <c r="B786" t="s">
        <v>424</v>
      </c>
      <c r="C786" t="s">
        <v>24</v>
      </c>
      <c r="D786">
        <v>14</v>
      </c>
      <c r="E786">
        <v>16</v>
      </c>
      <c r="F786" t="s">
        <v>48</v>
      </c>
      <c r="G786">
        <v>1.7</v>
      </c>
      <c r="H786" s="16">
        <v>2299</v>
      </c>
      <c r="I786" t="s">
        <v>40</v>
      </c>
      <c r="J786">
        <v>1920</v>
      </c>
      <c r="K786">
        <v>1080</v>
      </c>
      <c r="L786" t="s">
        <v>27</v>
      </c>
      <c r="M786" t="s">
        <v>27</v>
      </c>
      <c r="N786" t="s">
        <v>27</v>
      </c>
      <c r="O786" t="s">
        <v>29</v>
      </c>
      <c r="P786">
        <v>2.7</v>
      </c>
      <c r="Q786" t="s">
        <v>71</v>
      </c>
      <c r="R786" t="str">
        <f>_xlfn.CONCAT(laptop[[#This Row],[CPU_company]]," ",laptop[[#This Row],[CPU_model]])</f>
        <v>Intel Core i7 7500U</v>
      </c>
      <c r="S786">
        <v>512</v>
      </c>
      <c r="T786">
        <v>0</v>
      </c>
      <c r="U786">
        <f>laptop[[#This Row],[PrimaryStorage]]+laptop[[#This Row],[SecondaryStorage]]</f>
        <v>512</v>
      </c>
      <c r="V786" t="s">
        <v>31</v>
      </c>
      <c r="W786" t="s">
        <v>27</v>
      </c>
      <c r="X786" t="str">
        <f>IF(laptop[[#This Row],[PrimaryStorageType]]=laptop[[#This Row],[SecondaryStorageType]],laptop[[#This Row],[PrimaryStorageType]],"SSD &amp; HDD")</f>
        <v>SSD &amp; HDD</v>
      </c>
      <c r="Y786" t="s">
        <v>42</v>
      </c>
      <c r="Z786" s="4" t="str">
        <f>_xlfn.CONCAT(laptop[[#This Row],[CPU_company]]," ",laptop[[#This Row],[GPU_model]])</f>
        <v>Intel HD Graphics 620</v>
      </c>
    </row>
    <row r="787" spans="1:26" x14ac:dyDescent="0.25">
      <c r="A787" t="s">
        <v>141</v>
      </c>
      <c r="B787" t="s">
        <v>649</v>
      </c>
      <c r="C787" t="s">
        <v>83</v>
      </c>
      <c r="D787">
        <v>14</v>
      </c>
      <c r="E787">
        <v>16</v>
      </c>
      <c r="F787" t="s">
        <v>48</v>
      </c>
      <c r="G787">
        <v>1.6</v>
      </c>
      <c r="H787" s="16">
        <v>1891</v>
      </c>
      <c r="I787" t="s">
        <v>40</v>
      </c>
      <c r="J787">
        <v>1920</v>
      </c>
      <c r="K787">
        <v>1080</v>
      </c>
      <c r="L787" t="s">
        <v>27</v>
      </c>
      <c r="M787" t="s">
        <v>28</v>
      </c>
      <c r="N787" t="s">
        <v>27</v>
      </c>
      <c r="O787" t="s">
        <v>29</v>
      </c>
      <c r="P787">
        <v>2.8</v>
      </c>
      <c r="Q787" t="s">
        <v>118</v>
      </c>
      <c r="R787" t="str">
        <f>_xlfn.CONCAT(laptop[[#This Row],[CPU_company]]," ",laptop[[#This Row],[CPU_model]])</f>
        <v>Intel Core i7 7700HQ</v>
      </c>
      <c r="S787">
        <v>256</v>
      </c>
      <c r="T787">
        <v>1024</v>
      </c>
      <c r="U787">
        <f>laptop[[#This Row],[PrimaryStorage]]+laptop[[#This Row],[SecondaryStorage]]</f>
        <v>1280</v>
      </c>
      <c r="V787" t="s">
        <v>31</v>
      </c>
      <c r="W787" t="s">
        <v>51</v>
      </c>
      <c r="X787" t="str">
        <f>IF(laptop[[#This Row],[PrimaryStorageType]]=laptop[[#This Row],[SecondaryStorageType]],laptop[[#This Row],[PrimaryStorageType]],"SSD &amp; HDD")</f>
        <v>SSD &amp; HDD</v>
      </c>
      <c r="Y787" t="s">
        <v>119</v>
      </c>
      <c r="Z787" s="4" t="str">
        <f>_xlfn.CONCAT(laptop[[#This Row],[CPU_company]]," ",laptop[[#This Row],[GPU_model]])</f>
        <v>Intel GeForce GTX 1060</v>
      </c>
    </row>
    <row r="788" spans="1:26" x14ac:dyDescent="0.25">
      <c r="A788" t="s">
        <v>141</v>
      </c>
      <c r="B788" t="s">
        <v>650</v>
      </c>
      <c r="C788" t="s">
        <v>83</v>
      </c>
      <c r="D788">
        <v>15.6</v>
      </c>
      <c r="E788">
        <v>8</v>
      </c>
      <c r="F788" t="s">
        <v>48</v>
      </c>
      <c r="G788">
        <v>2.2000000000000002</v>
      </c>
      <c r="H788" s="16">
        <v>1089</v>
      </c>
      <c r="I788" t="s">
        <v>40</v>
      </c>
      <c r="J788">
        <v>1920</v>
      </c>
      <c r="K788">
        <v>1080</v>
      </c>
      <c r="L788" t="s">
        <v>27</v>
      </c>
      <c r="M788" t="s">
        <v>27</v>
      </c>
      <c r="N788" t="s">
        <v>27</v>
      </c>
      <c r="O788" t="s">
        <v>29</v>
      </c>
      <c r="P788">
        <v>2.5</v>
      </c>
      <c r="Q788" t="s">
        <v>84</v>
      </c>
      <c r="R788" t="str">
        <f>_xlfn.CONCAT(laptop[[#This Row],[CPU_company]]," ",laptop[[#This Row],[CPU_model]])</f>
        <v>Intel Core i5 7300HQ</v>
      </c>
      <c r="S788">
        <v>128</v>
      </c>
      <c r="T788">
        <v>1024</v>
      </c>
      <c r="U788">
        <f>laptop[[#This Row],[PrimaryStorage]]+laptop[[#This Row],[SecondaryStorage]]</f>
        <v>1152</v>
      </c>
      <c r="V788" t="s">
        <v>31</v>
      </c>
      <c r="W788" t="s">
        <v>51</v>
      </c>
      <c r="X788" t="str">
        <f>IF(laptop[[#This Row],[PrimaryStorageType]]=laptop[[#This Row],[SecondaryStorageType]],laptop[[#This Row],[PrimaryStorageType]],"SSD &amp; HDD")</f>
        <v>SSD &amp; HDD</v>
      </c>
      <c r="Y788" t="s">
        <v>85</v>
      </c>
      <c r="Z788" s="4" t="str">
        <f>_xlfn.CONCAT(laptop[[#This Row],[CPU_company]]," ",laptop[[#This Row],[GPU_model]])</f>
        <v>Intel GeForce GTX 1050</v>
      </c>
    </row>
    <row r="789" spans="1:26" x14ac:dyDescent="0.25">
      <c r="A789" t="s">
        <v>73</v>
      </c>
      <c r="B789" t="s">
        <v>82</v>
      </c>
      <c r="C789" t="s">
        <v>83</v>
      </c>
      <c r="D789">
        <v>15.6</v>
      </c>
      <c r="E789">
        <v>4</v>
      </c>
      <c r="F789" t="s">
        <v>48</v>
      </c>
      <c r="G789">
        <v>2.4</v>
      </c>
      <c r="H789" s="16">
        <v>999</v>
      </c>
      <c r="I789" t="s">
        <v>40</v>
      </c>
      <c r="J789">
        <v>1920</v>
      </c>
      <c r="K789">
        <v>1080</v>
      </c>
      <c r="L789" t="s">
        <v>27</v>
      </c>
      <c r="M789" t="s">
        <v>28</v>
      </c>
      <c r="N789" t="s">
        <v>27</v>
      </c>
      <c r="O789" t="s">
        <v>29</v>
      </c>
      <c r="P789">
        <v>2.8</v>
      </c>
      <c r="Q789" t="s">
        <v>118</v>
      </c>
      <c r="R789" t="str">
        <f>_xlfn.CONCAT(laptop[[#This Row],[CPU_company]]," ",laptop[[#This Row],[CPU_model]])</f>
        <v>Intel Core i7 7700HQ</v>
      </c>
      <c r="S789">
        <v>1024</v>
      </c>
      <c r="T789">
        <v>0</v>
      </c>
      <c r="U789">
        <f>laptop[[#This Row],[PrimaryStorage]]+laptop[[#This Row],[SecondaryStorage]]</f>
        <v>1024</v>
      </c>
      <c r="V789" t="s">
        <v>51</v>
      </c>
      <c r="W789" t="s">
        <v>27</v>
      </c>
      <c r="X789" t="str">
        <f>IF(laptop[[#This Row],[PrimaryStorageType]]=laptop[[#This Row],[SecondaryStorageType]],laptop[[#This Row],[PrimaryStorageType]],"SSD &amp; HDD")</f>
        <v>SSD &amp; HDD</v>
      </c>
      <c r="Y789" t="s">
        <v>85</v>
      </c>
      <c r="Z789" s="4" t="str">
        <f>_xlfn.CONCAT(laptop[[#This Row],[CPU_company]]," ",laptop[[#This Row],[GPU_model]])</f>
        <v>Intel GeForce GTX 1050</v>
      </c>
    </row>
    <row r="790" spans="1:26" x14ac:dyDescent="0.25">
      <c r="A790" t="s">
        <v>46</v>
      </c>
      <c r="B790" t="s">
        <v>651</v>
      </c>
      <c r="C790" t="s">
        <v>83</v>
      </c>
      <c r="D790">
        <v>17.3</v>
      </c>
      <c r="E790">
        <v>16</v>
      </c>
      <c r="F790" t="s">
        <v>48</v>
      </c>
      <c r="G790">
        <v>4.2</v>
      </c>
      <c r="H790" s="16">
        <v>2299</v>
      </c>
      <c r="I790" t="s">
        <v>40</v>
      </c>
      <c r="J790">
        <v>1920</v>
      </c>
      <c r="K790">
        <v>1080</v>
      </c>
      <c r="L790" t="s">
        <v>27</v>
      </c>
      <c r="M790" t="s">
        <v>28</v>
      </c>
      <c r="N790" t="s">
        <v>27</v>
      </c>
      <c r="O790" t="s">
        <v>29</v>
      </c>
      <c r="P790">
        <v>2.8</v>
      </c>
      <c r="Q790" t="s">
        <v>118</v>
      </c>
      <c r="R790" t="str">
        <f>_xlfn.CONCAT(laptop[[#This Row],[CPU_company]]," ",laptop[[#This Row],[CPU_model]])</f>
        <v>Intel Core i7 7700HQ</v>
      </c>
      <c r="S790">
        <v>256</v>
      </c>
      <c r="T790">
        <v>1024</v>
      </c>
      <c r="U790">
        <f>laptop[[#This Row],[PrimaryStorage]]+laptop[[#This Row],[SecondaryStorage]]</f>
        <v>1280</v>
      </c>
      <c r="V790" t="s">
        <v>31</v>
      </c>
      <c r="W790" t="s">
        <v>51</v>
      </c>
      <c r="X790" t="str">
        <f>IF(laptop[[#This Row],[PrimaryStorageType]]=laptop[[#This Row],[SecondaryStorageType]],laptop[[#This Row],[PrimaryStorageType]],"SSD &amp; HDD")</f>
        <v>SSD &amp; HDD</v>
      </c>
      <c r="Y790" t="s">
        <v>119</v>
      </c>
      <c r="Z790" s="4" t="str">
        <f>_xlfn.CONCAT(laptop[[#This Row],[CPU_company]]," ",laptop[[#This Row],[GPU_model]])</f>
        <v>Intel GeForce GTX 1060</v>
      </c>
    </row>
    <row r="791" spans="1:26" x14ac:dyDescent="0.25">
      <c r="A791" t="s">
        <v>65</v>
      </c>
      <c r="B791" t="s">
        <v>222</v>
      </c>
      <c r="C791" t="s">
        <v>83</v>
      </c>
      <c r="D791">
        <v>15.6</v>
      </c>
      <c r="E791">
        <v>8</v>
      </c>
      <c r="F791" t="s">
        <v>48</v>
      </c>
      <c r="G791">
        <v>2.62</v>
      </c>
      <c r="H791" s="16">
        <v>985</v>
      </c>
      <c r="I791" t="s">
        <v>40</v>
      </c>
      <c r="J791">
        <v>1920</v>
      </c>
      <c r="K791">
        <v>1080</v>
      </c>
      <c r="L791" t="s">
        <v>27</v>
      </c>
      <c r="M791" t="s">
        <v>27</v>
      </c>
      <c r="N791" t="s">
        <v>27</v>
      </c>
      <c r="O791" t="s">
        <v>29</v>
      </c>
      <c r="P791">
        <v>2.5</v>
      </c>
      <c r="Q791" t="s">
        <v>84</v>
      </c>
      <c r="R791" t="str">
        <f>_xlfn.CONCAT(laptop[[#This Row],[CPU_company]]," ",laptop[[#This Row],[CPU_model]])</f>
        <v>Intel Core i5 7300HQ</v>
      </c>
      <c r="S791">
        <v>256</v>
      </c>
      <c r="T791">
        <v>0</v>
      </c>
      <c r="U791">
        <f>laptop[[#This Row],[PrimaryStorage]]+laptop[[#This Row],[SecondaryStorage]]</f>
        <v>256</v>
      </c>
      <c r="V791" t="s">
        <v>31</v>
      </c>
      <c r="W791" t="s">
        <v>27</v>
      </c>
      <c r="X791" t="str">
        <f>IF(laptop[[#This Row],[PrimaryStorageType]]=laptop[[#This Row],[SecondaryStorageType]],laptop[[#This Row],[PrimaryStorageType]],"SSD &amp; HDD")</f>
        <v>SSD &amp; HDD</v>
      </c>
      <c r="Y791" t="s">
        <v>85</v>
      </c>
      <c r="Z791" s="4" t="str">
        <f>_xlfn.CONCAT(laptop[[#This Row],[CPU_company]]," ",laptop[[#This Row],[GPU_model]])</f>
        <v>Intel GeForce GTX 1050</v>
      </c>
    </row>
    <row r="792" spans="1:26" x14ac:dyDescent="0.25">
      <c r="A792" t="s">
        <v>55</v>
      </c>
      <c r="B792" t="s">
        <v>652</v>
      </c>
      <c r="C792" t="s">
        <v>83</v>
      </c>
      <c r="D792">
        <v>15.6</v>
      </c>
      <c r="E792">
        <v>8</v>
      </c>
      <c r="F792" t="s">
        <v>48</v>
      </c>
      <c r="G792">
        <v>2.2400000000000002</v>
      </c>
      <c r="H792" s="16">
        <v>1339</v>
      </c>
      <c r="I792" t="s">
        <v>40</v>
      </c>
      <c r="J792">
        <v>1920</v>
      </c>
      <c r="K792">
        <v>1080</v>
      </c>
      <c r="L792" t="s">
        <v>27</v>
      </c>
      <c r="M792" t="s">
        <v>27</v>
      </c>
      <c r="N792" t="s">
        <v>27</v>
      </c>
      <c r="O792" t="s">
        <v>29</v>
      </c>
      <c r="P792">
        <v>2.8</v>
      </c>
      <c r="Q792" t="s">
        <v>118</v>
      </c>
      <c r="R792" t="str">
        <f>_xlfn.CONCAT(laptop[[#This Row],[CPU_company]]," ",laptop[[#This Row],[CPU_model]])</f>
        <v>Intel Core i7 7700HQ</v>
      </c>
      <c r="S792">
        <v>128</v>
      </c>
      <c r="T792">
        <v>1024</v>
      </c>
      <c r="U792">
        <f>laptop[[#This Row],[PrimaryStorage]]+laptop[[#This Row],[SecondaryStorage]]</f>
        <v>1152</v>
      </c>
      <c r="V792" t="s">
        <v>31</v>
      </c>
      <c r="W792" t="s">
        <v>51</v>
      </c>
      <c r="X792" t="str">
        <f>IF(laptop[[#This Row],[PrimaryStorageType]]=laptop[[#This Row],[SecondaryStorageType]],laptop[[#This Row],[PrimaryStorageType]],"SSD &amp; HDD")</f>
        <v>SSD &amp; HDD</v>
      </c>
      <c r="Y792" t="s">
        <v>653</v>
      </c>
      <c r="Z792" s="4" t="str">
        <f>_xlfn.CONCAT(laptop[[#This Row],[CPU_company]]," ",laptop[[#This Row],[GPU_model]])</f>
        <v>Intel GeForce GTX1060</v>
      </c>
    </row>
    <row r="793" spans="1:26" x14ac:dyDescent="0.25">
      <c r="A793" t="s">
        <v>253</v>
      </c>
      <c r="B793" t="s">
        <v>654</v>
      </c>
      <c r="C793" t="s">
        <v>38</v>
      </c>
      <c r="D793">
        <v>14</v>
      </c>
      <c r="E793">
        <v>4</v>
      </c>
      <c r="F793" t="s">
        <v>48</v>
      </c>
      <c r="G793">
        <v>1.22</v>
      </c>
      <c r="H793" s="16">
        <v>202.9</v>
      </c>
      <c r="I793" t="s">
        <v>26</v>
      </c>
      <c r="J793">
        <v>1920</v>
      </c>
      <c r="K793">
        <v>1080</v>
      </c>
      <c r="L793" t="s">
        <v>27</v>
      </c>
      <c r="M793" t="s">
        <v>27</v>
      </c>
      <c r="N793" t="s">
        <v>27</v>
      </c>
      <c r="O793" t="s">
        <v>29</v>
      </c>
      <c r="P793">
        <v>1.1000000000000001</v>
      </c>
      <c r="Q793" t="s">
        <v>109</v>
      </c>
      <c r="R793" t="str">
        <f>_xlfn.CONCAT(laptop[[#This Row],[CPU_company]]," ",laptop[[#This Row],[CPU_model]])</f>
        <v>Intel Celeron Dual Core N3350</v>
      </c>
      <c r="S793">
        <v>32</v>
      </c>
      <c r="T793">
        <v>0</v>
      </c>
      <c r="U793">
        <f>laptop[[#This Row],[PrimaryStorage]]+laptop[[#This Row],[SecondaryStorage]]</f>
        <v>32</v>
      </c>
      <c r="V793" t="s">
        <v>34</v>
      </c>
      <c r="W793" t="s">
        <v>27</v>
      </c>
      <c r="X793" t="str">
        <f>IF(laptop[[#This Row],[PrimaryStorageType]]=laptop[[#This Row],[SecondaryStorageType]],laptop[[#This Row],[PrimaryStorageType]],"SSD &amp; HDD")</f>
        <v>SSD &amp; HDD</v>
      </c>
      <c r="Y793" t="s">
        <v>110</v>
      </c>
      <c r="Z793" s="4" t="str">
        <f>_xlfn.CONCAT(laptop[[#This Row],[CPU_company]]," ",laptop[[#This Row],[GPU_model]])</f>
        <v>Intel HD Graphics 500</v>
      </c>
    </row>
    <row r="794" spans="1:26" x14ac:dyDescent="0.25">
      <c r="A794" t="s">
        <v>73</v>
      </c>
      <c r="B794" t="s">
        <v>190</v>
      </c>
      <c r="C794" t="s">
        <v>90</v>
      </c>
      <c r="D794">
        <v>13.3</v>
      </c>
      <c r="E794">
        <v>8</v>
      </c>
      <c r="F794" t="s">
        <v>48</v>
      </c>
      <c r="G794">
        <v>1.37</v>
      </c>
      <c r="H794" s="16">
        <v>1970</v>
      </c>
      <c r="I794" t="s">
        <v>40</v>
      </c>
      <c r="J794">
        <v>1920</v>
      </c>
      <c r="K794">
        <v>1080</v>
      </c>
      <c r="L794" t="s">
        <v>28</v>
      </c>
      <c r="M794" t="s">
        <v>28</v>
      </c>
      <c r="N794" t="s">
        <v>27</v>
      </c>
      <c r="O794" t="s">
        <v>29</v>
      </c>
      <c r="P794">
        <v>2.7</v>
      </c>
      <c r="Q794" t="s">
        <v>71</v>
      </c>
      <c r="R794" t="str">
        <f>_xlfn.CONCAT(laptop[[#This Row],[CPU_company]]," ",laptop[[#This Row],[CPU_model]])</f>
        <v>Intel Core i7 7500U</v>
      </c>
      <c r="S794">
        <v>512</v>
      </c>
      <c r="T794">
        <v>0</v>
      </c>
      <c r="U794">
        <f>laptop[[#This Row],[PrimaryStorage]]+laptop[[#This Row],[SecondaryStorage]]</f>
        <v>512</v>
      </c>
      <c r="V794" t="s">
        <v>31</v>
      </c>
      <c r="W794" t="s">
        <v>27</v>
      </c>
      <c r="X794" t="str">
        <f>IF(laptop[[#This Row],[PrimaryStorageType]]=laptop[[#This Row],[SecondaryStorageType]],laptop[[#This Row],[PrimaryStorageType]],"SSD &amp; HDD")</f>
        <v>SSD &amp; HDD</v>
      </c>
      <c r="Y794" t="s">
        <v>42</v>
      </c>
      <c r="Z794" s="4" t="str">
        <f>_xlfn.CONCAT(laptop[[#This Row],[CPU_company]]," ",laptop[[#This Row],[GPU_model]])</f>
        <v>Intel HD Graphics 620</v>
      </c>
    </row>
    <row r="795" spans="1:26" x14ac:dyDescent="0.25">
      <c r="A795" t="s">
        <v>73</v>
      </c>
      <c r="B795" t="s">
        <v>655</v>
      </c>
      <c r="C795" t="s">
        <v>90</v>
      </c>
      <c r="D795">
        <v>15.6</v>
      </c>
      <c r="E795">
        <v>8</v>
      </c>
      <c r="F795" t="s">
        <v>48</v>
      </c>
      <c r="G795">
        <v>2.08</v>
      </c>
      <c r="H795" s="16">
        <v>959</v>
      </c>
      <c r="I795" t="s">
        <v>40</v>
      </c>
      <c r="J795">
        <v>1920</v>
      </c>
      <c r="K795">
        <v>1080</v>
      </c>
      <c r="L795" t="s">
        <v>28</v>
      </c>
      <c r="M795" t="s">
        <v>27</v>
      </c>
      <c r="N795" t="s">
        <v>27</v>
      </c>
      <c r="O795" t="s">
        <v>29</v>
      </c>
      <c r="P795">
        <v>2.5</v>
      </c>
      <c r="Q795" t="s">
        <v>41</v>
      </c>
      <c r="R795" t="str">
        <f>_xlfn.CONCAT(laptop[[#This Row],[CPU_company]]," ",laptop[[#This Row],[CPU_model]])</f>
        <v>Intel Core i5 7200U</v>
      </c>
      <c r="S795">
        <v>256</v>
      </c>
      <c r="T795">
        <v>0</v>
      </c>
      <c r="U795">
        <f>laptop[[#This Row],[PrimaryStorage]]+laptop[[#This Row],[SecondaryStorage]]</f>
        <v>256</v>
      </c>
      <c r="V795" t="s">
        <v>31</v>
      </c>
      <c r="W795" t="s">
        <v>27</v>
      </c>
      <c r="X795" t="str">
        <f>IF(laptop[[#This Row],[PrimaryStorageType]]=laptop[[#This Row],[SecondaryStorageType]],laptop[[#This Row],[PrimaryStorageType]],"SSD &amp; HDD")</f>
        <v>SSD &amp; HDD</v>
      </c>
      <c r="Y795" t="s">
        <v>441</v>
      </c>
      <c r="Z795" s="4" t="str">
        <f>_xlfn.CONCAT(laptop[[#This Row],[CPU_company]]," ",laptop[[#This Row],[GPU_model]])</f>
        <v>Intel Radeon R7 M460</v>
      </c>
    </row>
    <row r="796" spans="1:26" x14ac:dyDescent="0.25">
      <c r="A796" t="s">
        <v>22</v>
      </c>
      <c r="B796" t="s">
        <v>68</v>
      </c>
      <c r="C796" t="s">
        <v>24</v>
      </c>
      <c r="D796">
        <v>12</v>
      </c>
      <c r="E796">
        <v>8</v>
      </c>
      <c r="F796" t="s">
        <v>53</v>
      </c>
      <c r="G796">
        <v>0.92</v>
      </c>
      <c r="H796" s="16">
        <v>1165</v>
      </c>
      <c r="I796" t="s">
        <v>26</v>
      </c>
      <c r="J796">
        <v>2304</v>
      </c>
      <c r="K796">
        <v>1440</v>
      </c>
      <c r="L796" t="s">
        <v>27</v>
      </c>
      <c r="M796" t="s">
        <v>28</v>
      </c>
      <c r="N796" t="s">
        <v>28</v>
      </c>
      <c r="O796" t="s">
        <v>29</v>
      </c>
      <c r="P796">
        <v>1.2</v>
      </c>
      <c r="Q796" t="s">
        <v>656</v>
      </c>
      <c r="R796" t="str">
        <f>_xlfn.CONCAT(laptop[[#This Row],[CPU_company]]," ",laptop[[#This Row],[CPU_model]])</f>
        <v>Intel Core M</v>
      </c>
      <c r="S796">
        <v>512</v>
      </c>
      <c r="T796">
        <v>0</v>
      </c>
      <c r="U796">
        <f>laptop[[#This Row],[PrimaryStorage]]+laptop[[#This Row],[SecondaryStorage]]</f>
        <v>512</v>
      </c>
      <c r="V796" t="s">
        <v>34</v>
      </c>
      <c r="W796" t="s">
        <v>27</v>
      </c>
      <c r="X796" t="str">
        <f>IF(laptop[[#This Row],[PrimaryStorageType]]=laptop[[#This Row],[SecondaryStorageType]],laptop[[#This Row],[PrimaryStorageType]],"SSD &amp; HDD")</f>
        <v>SSD &amp; HDD</v>
      </c>
      <c r="Y796" t="s">
        <v>657</v>
      </c>
      <c r="Z796" s="4" t="str">
        <f>_xlfn.CONCAT(laptop[[#This Row],[CPU_company]]," ",laptop[[#This Row],[GPU_model]])</f>
        <v>Intel HD Graphics 5300</v>
      </c>
    </row>
    <row r="797" spans="1:26" x14ac:dyDescent="0.25">
      <c r="A797" t="s">
        <v>73</v>
      </c>
      <c r="B797" t="s">
        <v>308</v>
      </c>
      <c r="C797" t="s">
        <v>90</v>
      </c>
      <c r="D797">
        <v>14</v>
      </c>
      <c r="E797">
        <v>8</v>
      </c>
      <c r="F797" t="s">
        <v>48</v>
      </c>
      <c r="G797">
        <v>1.42</v>
      </c>
      <c r="H797" s="16">
        <v>2330</v>
      </c>
      <c r="I797" t="s">
        <v>26</v>
      </c>
      <c r="J797">
        <v>2560</v>
      </c>
      <c r="K797">
        <v>1440</v>
      </c>
      <c r="L797" t="s">
        <v>28</v>
      </c>
      <c r="M797" t="s">
        <v>28</v>
      </c>
      <c r="N797" t="s">
        <v>27</v>
      </c>
      <c r="O797" t="s">
        <v>29</v>
      </c>
      <c r="P797">
        <v>2.5</v>
      </c>
      <c r="Q797" t="s">
        <v>41</v>
      </c>
      <c r="R797" t="str">
        <f>_xlfn.CONCAT(laptop[[#This Row],[CPU_company]]," ",laptop[[#This Row],[CPU_model]])</f>
        <v>Intel Core i5 7200U</v>
      </c>
      <c r="S797">
        <v>256</v>
      </c>
      <c r="T797">
        <v>0</v>
      </c>
      <c r="U797">
        <f>laptop[[#This Row],[PrimaryStorage]]+laptop[[#This Row],[SecondaryStorage]]</f>
        <v>256</v>
      </c>
      <c r="V797" t="s">
        <v>31</v>
      </c>
      <c r="W797" t="s">
        <v>27</v>
      </c>
      <c r="X797" t="str">
        <f>IF(laptop[[#This Row],[PrimaryStorageType]]=laptop[[#This Row],[SecondaryStorageType]],laptop[[#This Row],[PrimaryStorageType]],"SSD &amp; HDD")</f>
        <v>SSD &amp; HDD</v>
      </c>
      <c r="Y797" t="s">
        <v>42</v>
      </c>
      <c r="Z797" s="4" t="str">
        <f>_xlfn.CONCAT(laptop[[#This Row],[CPU_company]]," ",laptop[[#This Row],[GPU_model]])</f>
        <v>Intel HD Graphics 620</v>
      </c>
    </row>
    <row r="798" spans="1:26" x14ac:dyDescent="0.25">
      <c r="A798" t="s">
        <v>55</v>
      </c>
      <c r="B798" t="s">
        <v>658</v>
      </c>
      <c r="C798" t="s">
        <v>38</v>
      </c>
      <c r="D798">
        <v>14</v>
      </c>
      <c r="E798">
        <v>4</v>
      </c>
      <c r="F798" t="s">
        <v>48</v>
      </c>
      <c r="G798">
        <v>1.63</v>
      </c>
      <c r="H798" s="16">
        <v>299</v>
      </c>
      <c r="I798" t="s">
        <v>26</v>
      </c>
      <c r="J798">
        <v>1366</v>
      </c>
      <c r="K798">
        <v>768</v>
      </c>
      <c r="L798" t="s">
        <v>27</v>
      </c>
      <c r="M798" t="s">
        <v>27</v>
      </c>
      <c r="N798" t="s">
        <v>27</v>
      </c>
      <c r="O798" t="s">
        <v>29</v>
      </c>
      <c r="P798">
        <v>1.1000000000000001</v>
      </c>
      <c r="Q798" t="s">
        <v>109</v>
      </c>
      <c r="R798" t="str">
        <f>_xlfn.CONCAT(laptop[[#This Row],[CPU_company]]," ",laptop[[#This Row],[CPU_model]])</f>
        <v>Intel Celeron Dual Core N3350</v>
      </c>
      <c r="S798">
        <v>32</v>
      </c>
      <c r="T798">
        <v>0</v>
      </c>
      <c r="U798">
        <f>laptop[[#This Row],[PrimaryStorage]]+laptop[[#This Row],[SecondaryStorage]]</f>
        <v>32</v>
      </c>
      <c r="V798" t="s">
        <v>34</v>
      </c>
      <c r="W798" t="s">
        <v>27</v>
      </c>
      <c r="X798" t="str">
        <f>IF(laptop[[#This Row],[PrimaryStorageType]]=laptop[[#This Row],[SecondaryStorageType]],laptop[[#This Row],[PrimaryStorageType]],"SSD &amp; HDD")</f>
        <v>SSD &amp; HDD</v>
      </c>
      <c r="Y798" t="s">
        <v>110</v>
      </c>
      <c r="Z798" s="4" t="str">
        <f>_xlfn.CONCAT(laptop[[#This Row],[CPU_company]]," ",laptop[[#This Row],[GPU_model]])</f>
        <v>Intel HD Graphics 500</v>
      </c>
    </row>
    <row r="799" spans="1:26" x14ac:dyDescent="0.25">
      <c r="A799" t="s">
        <v>65</v>
      </c>
      <c r="B799" t="s">
        <v>566</v>
      </c>
      <c r="C799" t="s">
        <v>38</v>
      </c>
      <c r="D799">
        <v>15.6</v>
      </c>
      <c r="E799">
        <v>8</v>
      </c>
      <c r="F799" t="s">
        <v>48</v>
      </c>
      <c r="G799">
        <v>1.95</v>
      </c>
      <c r="H799" s="16">
        <v>810</v>
      </c>
      <c r="I799" t="s">
        <v>26</v>
      </c>
      <c r="J799">
        <v>1366</v>
      </c>
      <c r="K799">
        <v>768</v>
      </c>
      <c r="L799" t="s">
        <v>27</v>
      </c>
      <c r="M799" t="s">
        <v>27</v>
      </c>
      <c r="N799" t="s">
        <v>27</v>
      </c>
      <c r="O799" t="s">
        <v>29</v>
      </c>
      <c r="P799">
        <v>2.5</v>
      </c>
      <c r="Q799" t="s">
        <v>41</v>
      </c>
      <c r="R799" t="str">
        <f>_xlfn.CONCAT(laptop[[#This Row],[CPU_company]]," ",laptop[[#This Row],[CPU_model]])</f>
        <v>Intel Core i5 7200U</v>
      </c>
      <c r="S799">
        <v>128</v>
      </c>
      <c r="T799">
        <v>0</v>
      </c>
      <c r="U799">
        <f>laptop[[#This Row],[PrimaryStorage]]+laptop[[#This Row],[SecondaryStorage]]</f>
        <v>128</v>
      </c>
      <c r="V799" t="s">
        <v>31</v>
      </c>
      <c r="W799" t="s">
        <v>27</v>
      </c>
      <c r="X799" t="str">
        <f>IF(laptop[[#This Row],[PrimaryStorageType]]=laptop[[#This Row],[SecondaryStorageType]],laptop[[#This Row],[PrimaryStorageType]],"SSD &amp; HDD")</f>
        <v>SSD &amp; HDD</v>
      </c>
      <c r="Y799" t="s">
        <v>42</v>
      </c>
      <c r="Z799" s="4" t="str">
        <f>_xlfn.CONCAT(laptop[[#This Row],[CPU_company]]," ",laptop[[#This Row],[GPU_model]])</f>
        <v>Intel HD Graphics 620</v>
      </c>
    </row>
    <row r="800" spans="1:26" x14ac:dyDescent="0.25">
      <c r="A800" t="s">
        <v>73</v>
      </c>
      <c r="B800" t="s">
        <v>293</v>
      </c>
      <c r="C800" t="s">
        <v>90</v>
      </c>
      <c r="D800">
        <v>13.9</v>
      </c>
      <c r="E800">
        <v>8</v>
      </c>
      <c r="F800" t="s">
        <v>48</v>
      </c>
      <c r="G800">
        <v>1.38</v>
      </c>
      <c r="H800" s="16">
        <v>1349</v>
      </c>
      <c r="I800" t="s">
        <v>40</v>
      </c>
      <c r="J800">
        <v>1920</v>
      </c>
      <c r="K800">
        <v>1080</v>
      </c>
      <c r="L800" t="s">
        <v>28</v>
      </c>
      <c r="M800" t="s">
        <v>28</v>
      </c>
      <c r="N800" t="s">
        <v>27</v>
      </c>
      <c r="O800" t="s">
        <v>29</v>
      </c>
      <c r="P800">
        <v>2.7</v>
      </c>
      <c r="Q800" t="s">
        <v>71</v>
      </c>
      <c r="R800" t="str">
        <f>_xlfn.CONCAT(laptop[[#This Row],[CPU_company]]," ",laptop[[#This Row],[CPU_model]])</f>
        <v>Intel Core i7 7500U</v>
      </c>
      <c r="S800">
        <v>256</v>
      </c>
      <c r="T800">
        <v>0</v>
      </c>
      <c r="U800">
        <f>laptop[[#This Row],[PrimaryStorage]]+laptop[[#This Row],[SecondaryStorage]]</f>
        <v>256</v>
      </c>
      <c r="V800" t="s">
        <v>31</v>
      </c>
      <c r="W800" t="s">
        <v>27</v>
      </c>
      <c r="X800" t="str">
        <f>IF(laptop[[#This Row],[PrimaryStorageType]]=laptop[[#This Row],[SecondaryStorageType]],laptop[[#This Row],[PrimaryStorageType]],"SSD &amp; HDD")</f>
        <v>SSD &amp; HDD</v>
      </c>
      <c r="Y800" t="s">
        <v>42</v>
      </c>
      <c r="Z800" s="4" t="str">
        <f>_xlfn.CONCAT(laptop[[#This Row],[CPU_company]]," ",laptop[[#This Row],[GPU_model]])</f>
        <v>Intel HD Graphics 620</v>
      </c>
    </row>
    <row r="801" spans="1:26" x14ac:dyDescent="0.25">
      <c r="A801" t="s">
        <v>65</v>
      </c>
      <c r="B801" t="s">
        <v>471</v>
      </c>
      <c r="C801" t="s">
        <v>38</v>
      </c>
      <c r="D801">
        <v>15.6</v>
      </c>
      <c r="E801">
        <v>8</v>
      </c>
      <c r="F801" t="s">
        <v>48</v>
      </c>
      <c r="G801">
        <v>2</v>
      </c>
      <c r="H801" s="16">
        <v>739</v>
      </c>
      <c r="I801" t="s">
        <v>40</v>
      </c>
      <c r="J801">
        <v>1920</v>
      </c>
      <c r="K801">
        <v>1080</v>
      </c>
      <c r="L801" t="s">
        <v>27</v>
      </c>
      <c r="M801" t="s">
        <v>27</v>
      </c>
      <c r="N801" t="s">
        <v>27</v>
      </c>
      <c r="O801" t="s">
        <v>29</v>
      </c>
      <c r="P801">
        <v>2</v>
      </c>
      <c r="Q801" t="s">
        <v>62</v>
      </c>
      <c r="R801" t="str">
        <f>_xlfn.CONCAT(laptop[[#This Row],[CPU_company]]," ",laptop[[#This Row],[CPU_model]])</f>
        <v>Intel Core i3 6006U</v>
      </c>
      <c r="S801">
        <v>256</v>
      </c>
      <c r="T801">
        <v>0</v>
      </c>
      <c r="U801">
        <f>laptop[[#This Row],[PrimaryStorage]]+laptop[[#This Row],[SecondaryStorage]]</f>
        <v>256</v>
      </c>
      <c r="V801" t="s">
        <v>31</v>
      </c>
      <c r="W801" t="s">
        <v>27</v>
      </c>
      <c r="X801" t="str">
        <f>IF(laptop[[#This Row],[PrimaryStorageType]]=laptop[[#This Row],[SecondaryStorageType]],laptop[[#This Row],[PrimaryStorageType]],"SSD &amp; HDD")</f>
        <v>SSD &amp; HDD</v>
      </c>
      <c r="Y801" t="s">
        <v>659</v>
      </c>
      <c r="Z801" s="4" t="str">
        <f>_xlfn.CONCAT(laptop[[#This Row],[CPU_company]]," ",laptop[[#This Row],[GPU_model]])</f>
        <v>Intel Radeon R5 M420X</v>
      </c>
    </row>
    <row r="802" spans="1:26" x14ac:dyDescent="0.25">
      <c r="A802" t="s">
        <v>36</v>
      </c>
      <c r="B802" t="s">
        <v>506</v>
      </c>
      <c r="C802" t="s">
        <v>265</v>
      </c>
      <c r="D802">
        <v>15.6</v>
      </c>
      <c r="E802">
        <v>8</v>
      </c>
      <c r="F802" t="s">
        <v>48</v>
      </c>
      <c r="G802">
        <v>3.14</v>
      </c>
      <c r="H802" s="16">
        <v>2064.9</v>
      </c>
      <c r="I802" t="s">
        <v>40</v>
      </c>
      <c r="J802">
        <v>1920</v>
      </c>
      <c r="K802">
        <v>1080</v>
      </c>
      <c r="L802" t="s">
        <v>27</v>
      </c>
      <c r="M802" t="s">
        <v>27</v>
      </c>
      <c r="N802" t="s">
        <v>27</v>
      </c>
      <c r="O802" t="s">
        <v>29</v>
      </c>
      <c r="P802">
        <v>2.8</v>
      </c>
      <c r="Q802" t="s">
        <v>118</v>
      </c>
      <c r="R802" t="str">
        <f>_xlfn.CONCAT(laptop[[#This Row],[CPU_company]]," ",laptop[[#This Row],[CPU_model]])</f>
        <v>Intel Core i7 7700HQ</v>
      </c>
      <c r="S802">
        <v>256</v>
      </c>
      <c r="T802">
        <v>0</v>
      </c>
      <c r="U802">
        <f>laptop[[#This Row],[PrimaryStorage]]+laptop[[#This Row],[SecondaryStorage]]</f>
        <v>256</v>
      </c>
      <c r="V802" t="s">
        <v>31</v>
      </c>
      <c r="W802" t="s">
        <v>27</v>
      </c>
      <c r="X802" t="str">
        <f>IF(laptop[[#This Row],[PrimaryStorageType]]=laptop[[#This Row],[SecondaryStorageType]],laptop[[#This Row],[PrimaryStorageType]],"SSD &amp; HDD")</f>
        <v>SSD &amp; HDD</v>
      </c>
      <c r="Y802" t="s">
        <v>615</v>
      </c>
      <c r="Z802" s="4" t="str">
        <f>_xlfn.CONCAT(laptop[[#This Row],[CPU_company]]," ",laptop[[#This Row],[GPU_model]])</f>
        <v>Intel Quadro M2200</v>
      </c>
    </row>
    <row r="803" spans="1:26" x14ac:dyDescent="0.25">
      <c r="A803" t="s">
        <v>55</v>
      </c>
      <c r="B803" t="s">
        <v>660</v>
      </c>
      <c r="C803" t="s">
        <v>38</v>
      </c>
      <c r="D803">
        <v>15.6</v>
      </c>
      <c r="E803">
        <v>8</v>
      </c>
      <c r="F803" t="s">
        <v>48</v>
      </c>
      <c r="G803">
        <v>2.37</v>
      </c>
      <c r="H803" s="16">
        <v>1099</v>
      </c>
      <c r="I803" t="s">
        <v>40</v>
      </c>
      <c r="J803">
        <v>1920</v>
      </c>
      <c r="K803">
        <v>1080</v>
      </c>
      <c r="L803" t="s">
        <v>27</v>
      </c>
      <c r="M803" t="s">
        <v>27</v>
      </c>
      <c r="N803" t="s">
        <v>27</v>
      </c>
      <c r="O803" t="s">
        <v>29</v>
      </c>
      <c r="P803">
        <v>2.5</v>
      </c>
      <c r="Q803" t="s">
        <v>41</v>
      </c>
      <c r="R803" t="str">
        <f>_xlfn.CONCAT(laptop[[#This Row],[CPU_company]]," ",laptop[[#This Row],[CPU_model]])</f>
        <v>Intel Core i5 7200U</v>
      </c>
      <c r="S803">
        <v>256</v>
      </c>
      <c r="T803">
        <v>0</v>
      </c>
      <c r="U803">
        <f>laptop[[#This Row],[PrimaryStorage]]+laptop[[#This Row],[SecondaryStorage]]</f>
        <v>256</v>
      </c>
      <c r="V803" t="s">
        <v>31</v>
      </c>
      <c r="W803" t="s">
        <v>27</v>
      </c>
      <c r="X803" t="str">
        <f>IF(laptop[[#This Row],[PrimaryStorageType]]=laptop[[#This Row],[SecondaryStorageType]],laptop[[#This Row],[PrimaryStorageType]],"SSD &amp; HDD")</f>
        <v>SSD &amp; HDD</v>
      </c>
      <c r="Y803" t="s">
        <v>42</v>
      </c>
      <c r="Z803" s="4" t="str">
        <f>_xlfn.CONCAT(laptop[[#This Row],[CPU_company]]," ",laptop[[#This Row],[GPU_model]])</f>
        <v>Intel HD Graphics 620</v>
      </c>
    </row>
    <row r="804" spans="1:26" x14ac:dyDescent="0.25">
      <c r="A804" t="s">
        <v>65</v>
      </c>
      <c r="B804" t="s">
        <v>77</v>
      </c>
      <c r="C804" t="s">
        <v>24</v>
      </c>
      <c r="D804">
        <v>13.3</v>
      </c>
      <c r="E804">
        <v>8</v>
      </c>
      <c r="F804" t="s">
        <v>48</v>
      </c>
      <c r="G804">
        <v>1.29</v>
      </c>
      <c r="H804" s="16">
        <v>1499</v>
      </c>
      <c r="I804" t="s">
        <v>40</v>
      </c>
      <c r="J804">
        <v>1920</v>
      </c>
      <c r="K804">
        <v>1080</v>
      </c>
      <c r="L804" t="s">
        <v>27</v>
      </c>
      <c r="M804" t="s">
        <v>27</v>
      </c>
      <c r="N804" t="s">
        <v>27</v>
      </c>
      <c r="O804" t="s">
        <v>29</v>
      </c>
      <c r="P804">
        <v>2.5</v>
      </c>
      <c r="Q804" t="s">
        <v>41</v>
      </c>
      <c r="R804" t="str">
        <f>_xlfn.CONCAT(laptop[[#This Row],[CPU_company]]," ",laptop[[#This Row],[CPU_model]])</f>
        <v>Intel Core i5 7200U</v>
      </c>
      <c r="S804">
        <v>256</v>
      </c>
      <c r="T804">
        <v>0</v>
      </c>
      <c r="U804">
        <f>laptop[[#This Row],[PrimaryStorage]]+laptop[[#This Row],[SecondaryStorage]]</f>
        <v>256</v>
      </c>
      <c r="V804" t="s">
        <v>31</v>
      </c>
      <c r="W804" t="s">
        <v>27</v>
      </c>
      <c r="X804" t="str">
        <f>IF(laptop[[#This Row],[PrimaryStorageType]]=laptop[[#This Row],[SecondaryStorageType]],laptop[[#This Row],[PrimaryStorageType]],"SSD &amp; HDD")</f>
        <v>SSD &amp; HDD</v>
      </c>
      <c r="Y804" t="s">
        <v>42</v>
      </c>
      <c r="Z804" s="4" t="str">
        <f>_xlfn.CONCAT(laptop[[#This Row],[CPU_company]]," ",laptop[[#This Row],[GPU_model]])</f>
        <v>Intel HD Graphics 620</v>
      </c>
    </row>
    <row r="805" spans="1:26" x14ac:dyDescent="0.25">
      <c r="A805" t="s">
        <v>65</v>
      </c>
      <c r="B805" t="s">
        <v>249</v>
      </c>
      <c r="C805" t="s">
        <v>38</v>
      </c>
      <c r="D805">
        <v>15.6</v>
      </c>
      <c r="E805">
        <v>8</v>
      </c>
      <c r="F805" t="s">
        <v>48</v>
      </c>
      <c r="G805">
        <v>2.06</v>
      </c>
      <c r="H805" s="16">
        <v>1749</v>
      </c>
      <c r="I805" t="s">
        <v>215</v>
      </c>
      <c r="J805">
        <v>3840</v>
      </c>
      <c r="K805">
        <v>2160</v>
      </c>
      <c r="L805" t="s">
        <v>28</v>
      </c>
      <c r="M805" t="s">
        <v>27</v>
      </c>
      <c r="N805" t="s">
        <v>27</v>
      </c>
      <c r="O805" t="s">
        <v>29</v>
      </c>
      <c r="P805">
        <v>2.5</v>
      </c>
      <c r="Q805" t="s">
        <v>84</v>
      </c>
      <c r="R805" t="str">
        <f>_xlfn.CONCAT(laptop[[#This Row],[CPU_company]]," ",laptop[[#This Row],[CPU_model]])</f>
        <v>Intel Core i5 7300HQ</v>
      </c>
      <c r="S805">
        <v>256</v>
      </c>
      <c r="T805">
        <v>0</v>
      </c>
      <c r="U805">
        <f>laptop[[#This Row],[PrimaryStorage]]+laptop[[#This Row],[SecondaryStorage]]</f>
        <v>256</v>
      </c>
      <c r="V805" t="s">
        <v>31</v>
      </c>
      <c r="W805" t="s">
        <v>27</v>
      </c>
      <c r="X805" t="str">
        <f>IF(laptop[[#This Row],[PrimaryStorageType]]=laptop[[#This Row],[SecondaryStorageType]],laptop[[#This Row],[PrimaryStorageType]],"SSD &amp; HDD")</f>
        <v>SSD &amp; HDD</v>
      </c>
      <c r="Y805" t="s">
        <v>85</v>
      </c>
      <c r="Z805" s="4" t="str">
        <f>_xlfn.CONCAT(laptop[[#This Row],[CPU_company]]," ",laptop[[#This Row],[GPU_model]])</f>
        <v>Intel GeForce GTX 1050</v>
      </c>
    </row>
    <row r="806" spans="1:26" x14ac:dyDescent="0.25">
      <c r="A806" t="s">
        <v>65</v>
      </c>
      <c r="B806" t="s">
        <v>661</v>
      </c>
      <c r="C806" t="s">
        <v>79</v>
      </c>
      <c r="D806">
        <v>11.6</v>
      </c>
      <c r="E806">
        <v>4</v>
      </c>
      <c r="F806" t="s">
        <v>48</v>
      </c>
      <c r="G806">
        <v>1.63</v>
      </c>
      <c r="H806" s="16">
        <v>744</v>
      </c>
      <c r="I806" t="s">
        <v>26</v>
      </c>
      <c r="J806">
        <v>1366</v>
      </c>
      <c r="K806">
        <v>768</v>
      </c>
      <c r="L806" t="s">
        <v>27</v>
      </c>
      <c r="M806" t="s">
        <v>27</v>
      </c>
      <c r="N806" t="s">
        <v>27</v>
      </c>
      <c r="O806" t="s">
        <v>29</v>
      </c>
      <c r="P806">
        <v>1.1000000000000001</v>
      </c>
      <c r="Q806" t="s">
        <v>130</v>
      </c>
      <c r="R806" t="str">
        <f>_xlfn.CONCAT(laptop[[#This Row],[CPU_company]]," ",laptop[[#This Row],[CPU_model]])</f>
        <v>Intel Pentium Quad Core N4200</v>
      </c>
      <c r="S806">
        <v>128</v>
      </c>
      <c r="T806">
        <v>0</v>
      </c>
      <c r="U806">
        <f>laptop[[#This Row],[PrimaryStorage]]+laptop[[#This Row],[SecondaryStorage]]</f>
        <v>128</v>
      </c>
      <c r="V806" t="s">
        <v>31</v>
      </c>
      <c r="W806" t="s">
        <v>27</v>
      </c>
      <c r="X806" t="str">
        <f>IF(laptop[[#This Row],[PrimaryStorageType]]=laptop[[#This Row],[SecondaryStorageType]],laptop[[#This Row],[PrimaryStorageType]],"SSD &amp; HDD")</f>
        <v>SSD &amp; HDD</v>
      </c>
      <c r="Y806" t="s">
        <v>237</v>
      </c>
      <c r="Z806" s="4" t="str">
        <f>_xlfn.CONCAT(laptop[[#This Row],[CPU_company]]," ",laptop[[#This Row],[GPU_model]])</f>
        <v>Intel HD Graphics 505</v>
      </c>
    </row>
    <row r="807" spans="1:26" x14ac:dyDescent="0.25">
      <c r="A807" t="s">
        <v>36</v>
      </c>
      <c r="B807" t="s">
        <v>639</v>
      </c>
      <c r="C807" t="s">
        <v>79</v>
      </c>
      <c r="D807">
        <v>12.5</v>
      </c>
      <c r="E807">
        <v>8</v>
      </c>
      <c r="F807" t="s">
        <v>48</v>
      </c>
      <c r="G807">
        <v>1.26</v>
      </c>
      <c r="H807" s="16">
        <v>1389</v>
      </c>
      <c r="I807" t="s">
        <v>26</v>
      </c>
      <c r="J807">
        <v>1366</v>
      </c>
      <c r="K807">
        <v>768</v>
      </c>
      <c r="L807" t="s">
        <v>27</v>
      </c>
      <c r="M807" t="s">
        <v>27</v>
      </c>
      <c r="N807" t="s">
        <v>27</v>
      </c>
      <c r="O807" t="s">
        <v>29</v>
      </c>
      <c r="P807">
        <v>2.6</v>
      </c>
      <c r="Q807" t="s">
        <v>358</v>
      </c>
      <c r="R807" t="str">
        <f>_xlfn.CONCAT(laptop[[#This Row],[CPU_company]]," ",laptop[[#This Row],[CPU_model]])</f>
        <v>Intel Core i5 7300U</v>
      </c>
      <c r="S807">
        <v>256</v>
      </c>
      <c r="T807">
        <v>0</v>
      </c>
      <c r="U807">
        <f>laptop[[#This Row],[PrimaryStorage]]+laptop[[#This Row],[SecondaryStorage]]</f>
        <v>256</v>
      </c>
      <c r="V807" t="s">
        <v>31</v>
      </c>
      <c r="W807" t="s">
        <v>27</v>
      </c>
      <c r="X807" t="str">
        <f>IF(laptop[[#This Row],[PrimaryStorageType]]=laptop[[#This Row],[SecondaryStorageType]],laptop[[#This Row],[PrimaryStorageType]],"SSD &amp; HDD")</f>
        <v>SSD &amp; HDD</v>
      </c>
      <c r="Y807" t="s">
        <v>42</v>
      </c>
      <c r="Z807" s="4" t="str">
        <f>_xlfn.CONCAT(laptop[[#This Row],[CPU_company]]," ",laptop[[#This Row],[GPU_model]])</f>
        <v>Intel HD Graphics 620</v>
      </c>
    </row>
    <row r="808" spans="1:26" x14ac:dyDescent="0.25">
      <c r="A808" t="s">
        <v>210</v>
      </c>
      <c r="B808" t="s">
        <v>211</v>
      </c>
      <c r="C808" t="s">
        <v>38</v>
      </c>
      <c r="D808">
        <v>15.6</v>
      </c>
      <c r="E808">
        <v>4</v>
      </c>
      <c r="F808" t="s">
        <v>48</v>
      </c>
      <c r="G808">
        <v>2.1</v>
      </c>
      <c r="H808" s="16">
        <v>780</v>
      </c>
      <c r="I808" t="s">
        <v>26</v>
      </c>
      <c r="J808">
        <v>1366</v>
      </c>
      <c r="K808">
        <v>768</v>
      </c>
      <c r="L808" t="s">
        <v>27</v>
      </c>
      <c r="M808" t="s">
        <v>27</v>
      </c>
      <c r="N808" t="s">
        <v>27</v>
      </c>
      <c r="O808" t="s">
        <v>29</v>
      </c>
      <c r="P808">
        <v>2.2999999999999998</v>
      </c>
      <c r="Q808" t="s">
        <v>212</v>
      </c>
      <c r="R808" t="str">
        <f>_xlfn.CONCAT(laptop[[#This Row],[CPU_company]]," ",laptop[[#This Row],[CPU_model]])</f>
        <v>Intel Core i5 6200U</v>
      </c>
      <c r="S808">
        <v>500</v>
      </c>
      <c r="T808">
        <v>0</v>
      </c>
      <c r="U808">
        <f>laptop[[#This Row],[PrimaryStorage]]+laptop[[#This Row],[SecondaryStorage]]</f>
        <v>500</v>
      </c>
      <c r="V808" t="s">
        <v>51</v>
      </c>
      <c r="W808" t="s">
        <v>27</v>
      </c>
      <c r="X808" t="str">
        <f>IF(laptop[[#This Row],[PrimaryStorageType]]=laptop[[#This Row],[SecondaryStorageType]],laptop[[#This Row],[PrimaryStorageType]],"SSD &amp; HDD")</f>
        <v>SSD &amp; HDD</v>
      </c>
      <c r="Y808" t="s">
        <v>63</v>
      </c>
      <c r="Z808" s="4" t="str">
        <f>_xlfn.CONCAT(laptop[[#This Row],[CPU_company]]," ",laptop[[#This Row],[GPU_model]])</f>
        <v>Intel HD Graphics 520</v>
      </c>
    </row>
    <row r="809" spans="1:26" x14ac:dyDescent="0.25">
      <c r="A809" t="s">
        <v>36</v>
      </c>
      <c r="B809" t="s">
        <v>662</v>
      </c>
      <c r="C809" t="s">
        <v>38</v>
      </c>
      <c r="D809">
        <v>15.6</v>
      </c>
      <c r="E809">
        <v>8</v>
      </c>
      <c r="F809" t="s">
        <v>48</v>
      </c>
      <c r="G809">
        <v>2.04</v>
      </c>
      <c r="H809" s="16">
        <v>629</v>
      </c>
      <c r="I809" t="s">
        <v>26</v>
      </c>
      <c r="J809">
        <v>1366</v>
      </c>
      <c r="K809">
        <v>768</v>
      </c>
      <c r="L809" t="s">
        <v>27</v>
      </c>
      <c r="M809" t="s">
        <v>27</v>
      </c>
      <c r="N809" t="s">
        <v>27</v>
      </c>
      <c r="O809" t="s">
        <v>49</v>
      </c>
      <c r="P809">
        <v>2.5</v>
      </c>
      <c r="Q809" t="s">
        <v>663</v>
      </c>
      <c r="R809" t="str">
        <f>_xlfn.CONCAT(laptop[[#This Row],[CPU_company]]," ",laptop[[#This Row],[CPU_model]])</f>
        <v>AMD A12-Series 9700P</v>
      </c>
      <c r="S809">
        <v>2048</v>
      </c>
      <c r="T809">
        <v>0</v>
      </c>
      <c r="U809">
        <f>laptop[[#This Row],[PrimaryStorage]]+laptop[[#This Row],[SecondaryStorage]]</f>
        <v>2048</v>
      </c>
      <c r="V809" t="s">
        <v>51</v>
      </c>
      <c r="W809" t="s">
        <v>27</v>
      </c>
      <c r="X809" t="str">
        <f>IF(laptop[[#This Row],[PrimaryStorageType]]=laptop[[#This Row],[SecondaryStorageType]],laptop[[#This Row],[PrimaryStorageType]],"SSD &amp; HDD")</f>
        <v>SSD &amp; HDD</v>
      </c>
      <c r="Y809" t="s">
        <v>664</v>
      </c>
      <c r="Z809" s="4" t="str">
        <f>_xlfn.CONCAT(laptop[[#This Row],[CPU_company]]," ",laptop[[#This Row],[GPU_model]])</f>
        <v>AMD Radeon R7 Graphics</v>
      </c>
    </row>
    <row r="810" spans="1:26" x14ac:dyDescent="0.25">
      <c r="A810" t="s">
        <v>65</v>
      </c>
      <c r="B810" t="s">
        <v>222</v>
      </c>
      <c r="C810" t="s">
        <v>83</v>
      </c>
      <c r="D810">
        <v>15.6</v>
      </c>
      <c r="E810">
        <v>16</v>
      </c>
      <c r="F810" t="s">
        <v>48</v>
      </c>
      <c r="G810">
        <v>2.62</v>
      </c>
      <c r="H810" s="16">
        <v>1679</v>
      </c>
      <c r="I810" t="s">
        <v>215</v>
      </c>
      <c r="J810">
        <v>3840</v>
      </c>
      <c r="K810">
        <v>2160</v>
      </c>
      <c r="L810" t="s">
        <v>27</v>
      </c>
      <c r="M810" t="s">
        <v>27</v>
      </c>
      <c r="N810" t="s">
        <v>27</v>
      </c>
      <c r="O810" t="s">
        <v>29</v>
      </c>
      <c r="P810">
        <v>2.8</v>
      </c>
      <c r="Q810" t="s">
        <v>118</v>
      </c>
      <c r="R810" t="str">
        <f>_xlfn.CONCAT(laptop[[#This Row],[CPU_company]]," ",laptop[[#This Row],[CPU_model]])</f>
        <v>Intel Core i7 7700HQ</v>
      </c>
      <c r="S810">
        <v>512</v>
      </c>
      <c r="T810">
        <v>0</v>
      </c>
      <c r="U810">
        <f>laptop[[#This Row],[PrimaryStorage]]+laptop[[#This Row],[SecondaryStorage]]</f>
        <v>512</v>
      </c>
      <c r="V810" t="s">
        <v>31</v>
      </c>
      <c r="W810" t="s">
        <v>27</v>
      </c>
      <c r="X810" t="str">
        <f>IF(laptop[[#This Row],[PrimaryStorageType]]=laptop[[#This Row],[SecondaryStorageType]],laptop[[#This Row],[PrimaryStorageType]],"SSD &amp; HDD")</f>
        <v>SSD &amp; HDD</v>
      </c>
      <c r="Y810" t="s">
        <v>149</v>
      </c>
      <c r="Z810" s="4" t="str">
        <f>_xlfn.CONCAT(laptop[[#This Row],[CPU_company]]," ",laptop[[#This Row],[GPU_model]])</f>
        <v>Intel GeForce GTX 1050 Ti</v>
      </c>
    </row>
    <row r="811" spans="1:26" x14ac:dyDescent="0.25">
      <c r="A811" t="s">
        <v>73</v>
      </c>
      <c r="B811" t="s">
        <v>533</v>
      </c>
      <c r="C811" t="s">
        <v>38</v>
      </c>
      <c r="D811">
        <v>15.6</v>
      </c>
      <c r="E811">
        <v>4</v>
      </c>
      <c r="F811" t="s">
        <v>48</v>
      </c>
      <c r="G811">
        <v>2.4</v>
      </c>
      <c r="H811" s="16">
        <v>609</v>
      </c>
      <c r="I811" t="s">
        <v>40</v>
      </c>
      <c r="J811">
        <v>1920</v>
      </c>
      <c r="K811">
        <v>1080</v>
      </c>
      <c r="L811" t="s">
        <v>27</v>
      </c>
      <c r="M811" t="s">
        <v>27</v>
      </c>
      <c r="N811" t="s">
        <v>27</v>
      </c>
      <c r="O811" t="s">
        <v>29</v>
      </c>
      <c r="P811">
        <v>2.5</v>
      </c>
      <c r="Q811" t="s">
        <v>41</v>
      </c>
      <c r="R811" t="str">
        <f>_xlfn.CONCAT(laptop[[#This Row],[CPU_company]]," ",laptop[[#This Row],[CPU_model]])</f>
        <v>Intel Core i5 7200U</v>
      </c>
      <c r="S811">
        <v>1024</v>
      </c>
      <c r="T811">
        <v>0</v>
      </c>
      <c r="U811">
        <f>laptop[[#This Row],[PrimaryStorage]]+laptop[[#This Row],[SecondaryStorage]]</f>
        <v>1024</v>
      </c>
      <c r="V811" t="s">
        <v>51</v>
      </c>
      <c r="W811" t="s">
        <v>27</v>
      </c>
      <c r="X811" t="str">
        <f>IF(laptop[[#This Row],[PrimaryStorageType]]=laptop[[#This Row],[SecondaryStorageType]],laptop[[#This Row],[PrimaryStorageType]],"SSD &amp; HDD")</f>
        <v>SSD &amp; HDD</v>
      </c>
      <c r="Y811" t="s">
        <v>178</v>
      </c>
      <c r="Z811" s="4" t="str">
        <f>_xlfn.CONCAT(laptop[[#This Row],[CPU_company]]," ",laptop[[#This Row],[GPU_model]])</f>
        <v>Intel GeForce 920M</v>
      </c>
    </row>
    <row r="812" spans="1:26" x14ac:dyDescent="0.25">
      <c r="A812" t="s">
        <v>36</v>
      </c>
      <c r="B812" t="s">
        <v>665</v>
      </c>
      <c r="C812" t="s">
        <v>83</v>
      </c>
      <c r="D812">
        <v>17.3</v>
      </c>
      <c r="E812">
        <v>12</v>
      </c>
      <c r="F812" t="s">
        <v>48</v>
      </c>
      <c r="G812">
        <v>3.74</v>
      </c>
      <c r="H812" s="16">
        <v>1749</v>
      </c>
      <c r="I812" t="s">
        <v>40</v>
      </c>
      <c r="J812">
        <v>1920</v>
      </c>
      <c r="K812">
        <v>1080</v>
      </c>
      <c r="L812" t="s">
        <v>27</v>
      </c>
      <c r="M812" t="s">
        <v>28</v>
      </c>
      <c r="N812" t="s">
        <v>27</v>
      </c>
      <c r="O812" t="s">
        <v>29</v>
      </c>
      <c r="P812">
        <v>2.8</v>
      </c>
      <c r="Q812" t="s">
        <v>118</v>
      </c>
      <c r="R812" t="str">
        <f>_xlfn.CONCAT(laptop[[#This Row],[CPU_company]]," ",laptop[[#This Row],[CPU_model]])</f>
        <v>Intel Core i7 7700HQ</v>
      </c>
      <c r="S812">
        <v>1024</v>
      </c>
      <c r="T812">
        <v>0</v>
      </c>
      <c r="U812">
        <f>laptop[[#This Row],[PrimaryStorage]]+laptop[[#This Row],[SecondaryStorage]]</f>
        <v>1024</v>
      </c>
      <c r="V812" t="s">
        <v>51</v>
      </c>
      <c r="W812" t="s">
        <v>27</v>
      </c>
      <c r="X812" t="str">
        <f>IF(laptop[[#This Row],[PrimaryStorageType]]=laptop[[#This Row],[SecondaryStorageType]],laptop[[#This Row],[PrimaryStorageType]],"SSD &amp; HDD")</f>
        <v>SSD &amp; HDD</v>
      </c>
      <c r="Y812" t="s">
        <v>128</v>
      </c>
      <c r="Z812" s="4" t="str">
        <f>_xlfn.CONCAT(laptop[[#This Row],[CPU_company]]," ",laptop[[#This Row],[GPU_model]])</f>
        <v>Intel Radeon RX 580</v>
      </c>
    </row>
    <row r="813" spans="1:26" x14ac:dyDescent="0.25">
      <c r="A813" t="s">
        <v>141</v>
      </c>
      <c r="B813" t="s">
        <v>219</v>
      </c>
      <c r="C813" t="s">
        <v>83</v>
      </c>
      <c r="D813">
        <v>17.3</v>
      </c>
      <c r="E813">
        <v>16</v>
      </c>
      <c r="F813" t="s">
        <v>48</v>
      </c>
      <c r="G813">
        <v>2.9</v>
      </c>
      <c r="H813" s="16">
        <v>2415</v>
      </c>
      <c r="I813" t="s">
        <v>40</v>
      </c>
      <c r="J813">
        <v>1920</v>
      </c>
      <c r="K813">
        <v>1080</v>
      </c>
      <c r="L813" t="s">
        <v>27</v>
      </c>
      <c r="M813" t="s">
        <v>27</v>
      </c>
      <c r="N813" t="s">
        <v>27</v>
      </c>
      <c r="O813" t="s">
        <v>29</v>
      </c>
      <c r="P813">
        <v>2.8</v>
      </c>
      <c r="Q813" t="s">
        <v>118</v>
      </c>
      <c r="R813" t="str">
        <f>_xlfn.CONCAT(laptop[[#This Row],[CPU_company]]," ",laptop[[#This Row],[CPU_model]])</f>
        <v>Intel Core i7 7700HQ</v>
      </c>
      <c r="S813">
        <v>512</v>
      </c>
      <c r="T813">
        <v>1024</v>
      </c>
      <c r="U813">
        <f>laptop[[#This Row],[PrimaryStorage]]+laptop[[#This Row],[SecondaryStorage]]</f>
        <v>1536</v>
      </c>
      <c r="V813" t="s">
        <v>31</v>
      </c>
      <c r="W813" t="s">
        <v>51</v>
      </c>
      <c r="X813" t="str">
        <f>IF(laptop[[#This Row],[PrimaryStorageType]]=laptop[[#This Row],[SecondaryStorageType]],laptop[[#This Row],[PrimaryStorageType]],"SSD &amp; HDD")</f>
        <v>SSD &amp; HDD</v>
      </c>
      <c r="Y813" t="s">
        <v>143</v>
      </c>
      <c r="Z813" s="4" t="str">
        <f>_xlfn.CONCAT(laptop[[#This Row],[CPU_company]]," ",laptop[[#This Row],[GPU_model]])</f>
        <v>Intel GeForce GTX 1070</v>
      </c>
    </row>
    <row r="814" spans="1:26" x14ac:dyDescent="0.25">
      <c r="A814" t="s">
        <v>413</v>
      </c>
      <c r="B814" t="s">
        <v>620</v>
      </c>
      <c r="C814" t="s">
        <v>24</v>
      </c>
      <c r="D814">
        <v>13.3</v>
      </c>
      <c r="E814">
        <v>8</v>
      </c>
      <c r="F814" t="s">
        <v>48</v>
      </c>
      <c r="G814">
        <v>0.81</v>
      </c>
      <c r="H814" s="16">
        <v>1499</v>
      </c>
      <c r="I814" t="s">
        <v>40</v>
      </c>
      <c r="J814">
        <v>1920</v>
      </c>
      <c r="K814">
        <v>1080</v>
      </c>
      <c r="L814" t="s">
        <v>27</v>
      </c>
      <c r="M814" t="s">
        <v>27</v>
      </c>
      <c r="N814" t="s">
        <v>27</v>
      </c>
      <c r="O814" t="s">
        <v>29</v>
      </c>
      <c r="P814">
        <v>2.5</v>
      </c>
      <c r="Q814" t="s">
        <v>41</v>
      </c>
      <c r="R814" t="str">
        <f>_xlfn.CONCAT(laptop[[#This Row],[CPU_company]]," ",laptop[[#This Row],[CPU_model]])</f>
        <v>Intel Core i5 7200U</v>
      </c>
      <c r="S814">
        <v>256</v>
      </c>
      <c r="T814">
        <v>0</v>
      </c>
      <c r="U814">
        <f>laptop[[#This Row],[PrimaryStorage]]+laptop[[#This Row],[SecondaryStorage]]</f>
        <v>256</v>
      </c>
      <c r="V814" t="s">
        <v>31</v>
      </c>
      <c r="W814" t="s">
        <v>27</v>
      </c>
      <c r="X814" t="str">
        <f>IF(laptop[[#This Row],[PrimaryStorageType]]=laptop[[#This Row],[SecondaryStorageType]],laptop[[#This Row],[PrimaryStorageType]],"SSD &amp; HDD")</f>
        <v>SSD &amp; HDD</v>
      </c>
      <c r="Y814" t="s">
        <v>42</v>
      </c>
      <c r="Z814" s="4" t="str">
        <f>_xlfn.CONCAT(laptop[[#This Row],[CPU_company]]," ",laptop[[#This Row],[GPU_model]])</f>
        <v>Intel HD Graphics 620</v>
      </c>
    </row>
    <row r="815" spans="1:26" x14ac:dyDescent="0.25">
      <c r="A815" t="s">
        <v>65</v>
      </c>
      <c r="B815" t="s">
        <v>471</v>
      </c>
      <c r="C815" t="s">
        <v>38</v>
      </c>
      <c r="D815">
        <v>15.6</v>
      </c>
      <c r="E815">
        <v>8</v>
      </c>
      <c r="F815" t="s">
        <v>48</v>
      </c>
      <c r="G815">
        <v>1.98</v>
      </c>
      <c r="H815" s="16">
        <v>961</v>
      </c>
      <c r="I815" t="s">
        <v>40</v>
      </c>
      <c r="J815">
        <v>1920</v>
      </c>
      <c r="K815">
        <v>1080</v>
      </c>
      <c r="L815" t="s">
        <v>27</v>
      </c>
      <c r="M815" t="s">
        <v>27</v>
      </c>
      <c r="N815" t="s">
        <v>27</v>
      </c>
      <c r="O815" t="s">
        <v>29</v>
      </c>
      <c r="P815">
        <v>2.7</v>
      </c>
      <c r="Q815" t="s">
        <v>71</v>
      </c>
      <c r="R815" t="str">
        <f>_xlfn.CONCAT(laptop[[#This Row],[CPU_company]]," ",laptop[[#This Row],[CPU_model]])</f>
        <v>Intel Core i7 7500U</v>
      </c>
      <c r="S815">
        <v>1024</v>
      </c>
      <c r="T815">
        <v>0</v>
      </c>
      <c r="U815">
        <f>laptop[[#This Row],[PrimaryStorage]]+laptop[[#This Row],[SecondaryStorage]]</f>
        <v>1024</v>
      </c>
      <c r="V815" t="s">
        <v>51</v>
      </c>
      <c r="W815" t="s">
        <v>27</v>
      </c>
      <c r="X815" t="str">
        <f>IF(laptop[[#This Row],[PrimaryStorageType]]=laptop[[#This Row],[SecondaryStorageType]],laptop[[#This Row],[PrimaryStorageType]],"SSD &amp; HDD")</f>
        <v>SSD &amp; HDD</v>
      </c>
      <c r="Y815" t="s">
        <v>371</v>
      </c>
      <c r="Z815" s="4" t="str">
        <f>_xlfn.CONCAT(laptop[[#This Row],[CPU_company]]," ",laptop[[#This Row],[GPU_model]])</f>
        <v>Intel GeForce GT 940MX</v>
      </c>
    </row>
    <row r="816" spans="1:26" x14ac:dyDescent="0.25">
      <c r="A816" t="s">
        <v>65</v>
      </c>
      <c r="B816" t="s">
        <v>305</v>
      </c>
      <c r="C816" t="s">
        <v>38</v>
      </c>
      <c r="D816">
        <v>15.6</v>
      </c>
      <c r="E816">
        <v>8</v>
      </c>
      <c r="F816" t="s">
        <v>48</v>
      </c>
      <c r="G816">
        <v>2.1800000000000002</v>
      </c>
      <c r="H816" s="16">
        <v>789.81</v>
      </c>
      <c r="I816" t="s">
        <v>40</v>
      </c>
      <c r="J816">
        <v>1920</v>
      </c>
      <c r="K816">
        <v>1080</v>
      </c>
      <c r="L816" t="s">
        <v>27</v>
      </c>
      <c r="M816" t="s">
        <v>27</v>
      </c>
      <c r="N816" t="s">
        <v>27</v>
      </c>
      <c r="O816" t="s">
        <v>29</v>
      </c>
      <c r="P816">
        <v>2.5</v>
      </c>
      <c r="Q816" t="s">
        <v>41</v>
      </c>
      <c r="R816" t="str">
        <f>_xlfn.CONCAT(laptop[[#This Row],[CPU_company]]," ",laptop[[#This Row],[CPU_model]])</f>
        <v>Intel Core i5 7200U</v>
      </c>
      <c r="S816">
        <v>256</v>
      </c>
      <c r="T816">
        <v>0</v>
      </c>
      <c r="U816">
        <f>laptop[[#This Row],[PrimaryStorage]]+laptop[[#This Row],[SecondaryStorage]]</f>
        <v>256</v>
      </c>
      <c r="V816" t="s">
        <v>31</v>
      </c>
      <c r="W816" t="s">
        <v>27</v>
      </c>
      <c r="X816" t="str">
        <f>IF(laptop[[#This Row],[PrimaryStorageType]]=laptop[[#This Row],[SecondaryStorageType]],laptop[[#This Row],[PrimaryStorageType]],"SSD &amp; HDD")</f>
        <v>SSD &amp; HDD</v>
      </c>
      <c r="Y816" t="s">
        <v>233</v>
      </c>
      <c r="Z816" s="4" t="str">
        <f>_xlfn.CONCAT(laptop[[#This Row],[CPU_company]]," ",laptop[[#This Row],[GPU_model]])</f>
        <v>Intel Radeon R5 M420</v>
      </c>
    </row>
    <row r="817" spans="1:26" x14ac:dyDescent="0.25">
      <c r="A817" t="s">
        <v>73</v>
      </c>
      <c r="B817" t="s">
        <v>666</v>
      </c>
      <c r="C817" t="s">
        <v>24</v>
      </c>
      <c r="D817">
        <v>14</v>
      </c>
      <c r="E817">
        <v>8</v>
      </c>
      <c r="F817" t="s">
        <v>48</v>
      </c>
      <c r="G817">
        <v>1.32</v>
      </c>
      <c r="H817" s="16">
        <v>1859</v>
      </c>
      <c r="I817" t="s">
        <v>40</v>
      </c>
      <c r="J817">
        <v>1920</v>
      </c>
      <c r="K817">
        <v>1080</v>
      </c>
      <c r="L817" t="s">
        <v>27</v>
      </c>
      <c r="M817" t="s">
        <v>27</v>
      </c>
      <c r="N817" t="s">
        <v>27</v>
      </c>
      <c r="O817" t="s">
        <v>29</v>
      </c>
      <c r="P817">
        <v>2.7</v>
      </c>
      <c r="Q817" t="s">
        <v>71</v>
      </c>
      <c r="R817" t="str">
        <f>_xlfn.CONCAT(laptop[[#This Row],[CPU_company]]," ",laptop[[#This Row],[CPU_model]])</f>
        <v>Intel Core i7 7500U</v>
      </c>
      <c r="S817">
        <v>256</v>
      </c>
      <c r="T817">
        <v>0</v>
      </c>
      <c r="U817">
        <f>laptop[[#This Row],[PrimaryStorage]]+laptop[[#This Row],[SecondaryStorage]]</f>
        <v>256</v>
      </c>
      <c r="V817" t="s">
        <v>31</v>
      </c>
      <c r="W817" t="s">
        <v>27</v>
      </c>
      <c r="X817" t="str">
        <f>IF(laptop[[#This Row],[PrimaryStorageType]]=laptop[[#This Row],[SecondaryStorageType]],laptop[[#This Row],[PrimaryStorageType]],"SSD &amp; HDD")</f>
        <v>SSD &amp; HDD</v>
      </c>
      <c r="Y817" t="s">
        <v>42</v>
      </c>
      <c r="Z817" s="4" t="str">
        <f>_xlfn.CONCAT(laptop[[#This Row],[CPU_company]]," ",laptop[[#This Row],[GPU_model]])</f>
        <v>Intel HD Graphics 620</v>
      </c>
    </row>
    <row r="818" spans="1:26" x14ac:dyDescent="0.25">
      <c r="A818" t="s">
        <v>256</v>
      </c>
      <c r="B818" t="s">
        <v>667</v>
      </c>
      <c r="C818" t="s">
        <v>24</v>
      </c>
      <c r="D818">
        <v>12.5</v>
      </c>
      <c r="E818">
        <v>16</v>
      </c>
      <c r="F818" t="s">
        <v>48</v>
      </c>
      <c r="G818">
        <v>1.29</v>
      </c>
      <c r="H818" s="16">
        <v>1799</v>
      </c>
      <c r="I818" t="s">
        <v>215</v>
      </c>
      <c r="J818">
        <v>3840</v>
      </c>
      <c r="K818">
        <v>2160</v>
      </c>
      <c r="L818" t="s">
        <v>28</v>
      </c>
      <c r="M818" t="s">
        <v>28</v>
      </c>
      <c r="N818" t="s">
        <v>27</v>
      </c>
      <c r="O818" t="s">
        <v>29</v>
      </c>
      <c r="P818">
        <v>2.5</v>
      </c>
      <c r="Q818" t="s">
        <v>71</v>
      </c>
      <c r="R818" t="str">
        <f>_xlfn.CONCAT(laptop[[#This Row],[CPU_company]]," ",laptop[[#This Row],[CPU_model]])</f>
        <v>Intel Core i7 7500U</v>
      </c>
      <c r="S818">
        <v>512</v>
      </c>
      <c r="T818">
        <v>0</v>
      </c>
      <c r="U818">
        <f>laptop[[#This Row],[PrimaryStorage]]+laptop[[#This Row],[SecondaryStorage]]</f>
        <v>512</v>
      </c>
      <c r="V818" t="s">
        <v>31</v>
      </c>
      <c r="W818" t="s">
        <v>27</v>
      </c>
      <c r="X818" t="str">
        <f>IF(laptop[[#This Row],[PrimaryStorageType]]=laptop[[#This Row],[SecondaryStorageType]],laptop[[#This Row],[PrimaryStorageType]],"SSD &amp; HDD")</f>
        <v>SSD &amp; HDD</v>
      </c>
      <c r="Y818" t="s">
        <v>42</v>
      </c>
      <c r="Z818" s="4" t="str">
        <f>_xlfn.CONCAT(laptop[[#This Row],[CPU_company]]," ",laptop[[#This Row],[GPU_model]])</f>
        <v>Intel HD Graphics 620</v>
      </c>
    </row>
    <row r="819" spans="1:26" x14ac:dyDescent="0.25">
      <c r="A819" t="s">
        <v>36</v>
      </c>
      <c r="B819" t="s">
        <v>516</v>
      </c>
      <c r="C819" t="s">
        <v>79</v>
      </c>
      <c r="D819">
        <v>11.6</v>
      </c>
      <c r="E819">
        <v>4</v>
      </c>
      <c r="F819" t="s">
        <v>317</v>
      </c>
      <c r="G819">
        <v>1.23</v>
      </c>
      <c r="H819" s="16">
        <v>385</v>
      </c>
      <c r="I819" t="s">
        <v>26</v>
      </c>
      <c r="J819">
        <v>1366</v>
      </c>
      <c r="K819">
        <v>768</v>
      </c>
      <c r="L819" t="s">
        <v>27</v>
      </c>
      <c r="M819" t="s">
        <v>27</v>
      </c>
      <c r="N819" t="s">
        <v>27</v>
      </c>
      <c r="O819" t="s">
        <v>29</v>
      </c>
      <c r="P819">
        <v>1.6</v>
      </c>
      <c r="Q819" t="s">
        <v>151</v>
      </c>
      <c r="R819" t="str">
        <f>_xlfn.CONCAT(laptop[[#This Row],[CPU_company]]," ",laptop[[#This Row],[CPU_model]])</f>
        <v>Intel Celeron Dual Core N3060</v>
      </c>
      <c r="S819">
        <v>16</v>
      </c>
      <c r="T819">
        <v>0</v>
      </c>
      <c r="U819">
        <f>laptop[[#This Row],[PrimaryStorage]]+laptop[[#This Row],[SecondaryStorage]]</f>
        <v>16</v>
      </c>
      <c r="V819" t="s">
        <v>34</v>
      </c>
      <c r="W819" t="s">
        <v>27</v>
      </c>
      <c r="X819" t="str">
        <f>IF(laptop[[#This Row],[PrimaryStorageType]]=laptop[[#This Row],[SecondaryStorageType]],laptop[[#This Row],[PrimaryStorageType]],"SSD &amp; HDD")</f>
        <v>SSD &amp; HDD</v>
      </c>
      <c r="Y819" t="s">
        <v>81</v>
      </c>
      <c r="Z819" s="4" t="str">
        <f>_xlfn.CONCAT(laptop[[#This Row],[CPU_company]]," ",laptop[[#This Row],[GPU_model]])</f>
        <v>Intel HD Graphics 400</v>
      </c>
    </row>
    <row r="820" spans="1:26" x14ac:dyDescent="0.25">
      <c r="A820" t="s">
        <v>65</v>
      </c>
      <c r="B820" t="s">
        <v>275</v>
      </c>
      <c r="C820" t="s">
        <v>83</v>
      </c>
      <c r="D820">
        <v>17.3</v>
      </c>
      <c r="E820">
        <v>16</v>
      </c>
      <c r="F820" t="s">
        <v>48</v>
      </c>
      <c r="G820">
        <v>4.3600000000000003</v>
      </c>
      <c r="H820" s="16">
        <v>2505.02</v>
      </c>
      <c r="I820" t="s">
        <v>40</v>
      </c>
      <c r="J820">
        <v>1920</v>
      </c>
      <c r="K820">
        <v>1080</v>
      </c>
      <c r="L820" t="s">
        <v>27</v>
      </c>
      <c r="M820" t="s">
        <v>28</v>
      </c>
      <c r="N820" t="s">
        <v>27</v>
      </c>
      <c r="O820" t="s">
        <v>29</v>
      </c>
      <c r="P820">
        <v>2.8</v>
      </c>
      <c r="Q820" t="s">
        <v>118</v>
      </c>
      <c r="R820" t="str">
        <f>_xlfn.CONCAT(laptop[[#This Row],[CPU_company]]," ",laptop[[#This Row],[CPU_model]])</f>
        <v>Intel Core i7 7700HQ</v>
      </c>
      <c r="S820">
        <v>128</v>
      </c>
      <c r="T820">
        <v>1024</v>
      </c>
      <c r="U820">
        <f>laptop[[#This Row],[PrimaryStorage]]+laptop[[#This Row],[SecondaryStorage]]</f>
        <v>1152</v>
      </c>
      <c r="V820" t="s">
        <v>31</v>
      </c>
      <c r="W820" t="s">
        <v>51</v>
      </c>
      <c r="X820" t="str">
        <f>IF(laptop[[#This Row],[PrimaryStorageType]]=laptop[[#This Row],[SecondaryStorageType]],laptop[[#This Row],[PrimaryStorageType]],"SSD &amp; HDD")</f>
        <v>SSD &amp; HDD</v>
      </c>
      <c r="Y820" t="s">
        <v>119</v>
      </c>
      <c r="Z820" s="4" t="str">
        <f>_xlfn.CONCAT(laptop[[#This Row],[CPU_company]]," ",laptop[[#This Row],[GPU_model]])</f>
        <v>Intel GeForce GTX 1060</v>
      </c>
    </row>
    <row r="821" spans="1:26" x14ac:dyDescent="0.25">
      <c r="A821" t="s">
        <v>65</v>
      </c>
      <c r="B821" t="s">
        <v>668</v>
      </c>
      <c r="C821" t="s">
        <v>38</v>
      </c>
      <c r="D821">
        <v>14</v>
      </c>
      <c r="E821">
        <v>4</v>
      </c>
      <c r="F821" t="s">
        <v>48</v>
      </c>
      <c r="G821">
        <v>1.76</v>
      </c>
      <c r="H821" s="16">
        <v>755</v>
      </c>
      <c r="I821" t="s">
        <v>26</v>
      </c>
      <c r="J821">
        <v>1366</v>
      </c>
      <c r="K821">
        <v>768</v>
      </c>
      <c r="L821" t="s">
        <v>27</v>
      </c>
      <c r="M821" t="s">
        <v>27</v>
      </c>
      <c r="N821" t="s">
        <v>27</v>
      </c>
      <c r="O821" t="s">
        <v>29</v>
      </c>
      <c r="P821">
        <v>2.2999999999999998</v>
      </c>
      <c r="Q821" t="s">
        <v>212</v>
      </c>
      <c r="R821" t="str">
        <f>_xlfn.CONCAT(laptop[[#This Row],[CPU_company]]," ",laptop[[#This Row],[CPU_model]])</f>
        <v>Intel Core i5 6200U</v>
      </c>
      <c r="S821">
        <v>500</v>
      </c>
      <c r="T821">
        <v>0</v>
      </c>
      <c r="U821">
        <f>laptop[[#This Row],[PrimaryStorage]]+laptop[[#This Row],[SecondaryStorage]]</f>
        <v>500</v>
      </c>
      <c r="V821" t="s">
        <v>51</v>
      </c>
      <c r="W821" t="s">
        <v>27</v>
      </c>
      <c r="X821" t="str">
        <f>IF(laptop[[#This Row],[PrimaryStorageType]]=laptop[[#This Row],[SecondaryStorageType]],laptop[[#This Row],[PrimaryStorageType]],"SSD &amp; HDD")</f>
        <v>SSD &amp; HDD</v>
      </c>
      <c r="Y821" t="s">
        <v>63</v>
      </c>
      <c r="Z821" s="4" t="str">
        <f>_xlfn.CONCAT(laptop[[#This Row],[CPU_company]]," ",laptop[[#This Row],[GPU_model]])</f>
        <v>Intel HD Graphics 520</v>
      </c>
    </row>
    <row r="822" spans="1:26" x14ac:dyDescent="0.25">
      <c r="A822" t="s">
        <v>73</v>
      </c>
      <c r="B822" t="s">
        <v>669</v>
      </c>
      <c r="C822" t="s">
        <v>38</v>
      </c>
      <c r="D822">
        <v>15.6</v>
      </c>
      <c r="E822">
        <v>4</v>
      </c>
      <c r="F822" t="s">
        <v>48</v>
      </c>
      <c r="G822">
        <v>2.1</v>
      </c>
      <c r="H822" s="16">
        <v>489.9</v>
      </c>
      <c r="I822" t="s">
        <v>26</v>
      </c>
      <c r="J822">
        <v>1366</v>
      </c>
      <c r="K822">
        <v>768</v>
      </c>
      <c r="L822" t="s">
        <v>27</v>
      </c>
      <c r="M822" t="s">
        <v>27</v>
      </c>
      <c r="N822" t="s">
        <v>27</v>
      </c>
      <c r="O822" t="s">
        <v>29</v>
      </c>
      <c r="P822">
        <v>2</v>
      </c>
      <c r="Q822" t="s">
        <v>62</v>
      </c>
      <c r="R822" t="str">
        <f>_xlfn.CONCAT(laptop[[#This Row],[CPU_company]]," ",laptop[[#This Row],[CPU_model]])</f>
        <v>Intel Core i3 6006U</v>
      </c>
      <c r="S822">
        <v>500</v>
      </c>
      <c r="T822">
        <v>0</v>
      </c>
      <c r="U822">
        <f>laptop[[#This Row],[PrimaryStorage]]+laptop[[#This Row],[SecondaryStorage]]</f>
        <v>500</v>
      </c>
      <c r="V822" t="s">
        <v>51</v>
      </c>
      <c r="W822" t="s">
        <v>27</v>
      </c>
      <c r="X822" t="str">
        <f>IF(laptop[[#This Row],[PrimaryStorageType]]=laptop[[#This Row],[SecondaryStorageType]],laptop[[#This Row],[PrimaryStorageType]],"SSD &amp; HDD")</f>
        <v>SSD &amp; HDD</v>
      </c>
      <c r="Y822" t="s">
        <v>63</v>
      </c>
      <c r="Z822" s="4" t="str">
        <f>_xlfn.CONCAT(laptop[[#This Row],[CPU_company]]," ",laptop[[#This Row],[GPU_model]])</f>
        <v>Intel HD Graphics 520</v>
      </c>
    </row>
    <row r="823" spans="1:26" x14ac:dyDescent="0.25">
      <c r="A823" t="s">
        <v>210</v>
      </c>
      <c r="B823" t="s">
        <v>670</v>
      </c>
      <c r="C823" t="s">
        <v>24</v>
      </c>
      <c r="D823">
        <v>14</v>
      </c>
      <c r="E823">
        <v>4</v>
      </c>
      <c r="F823" t="s">
        <v>48</v>
      </c>
      <c r="G823">
        <v>1.25</v>
      </c>
      <c r="H823" s="16">
        <v>1090</v>
      </c>
      <c r="I823" t="s">
        <v>26</v>
      </c>
      <c r="J823">
        <v>1366</v>
      </c>
      <c r="K823">
        <v>768</v>
      </c>
      <c r="L823" t="s">
        <v>27</v>
      </c>
      <c r="M823" t="s">
        <v>27</v>
      </c>
      <c r="N823" t="s">
        <v>27</v>
      </c>
      <c r="O823" t="s">
        <v>29</v>
      </c>
      <c r="P823">
        <v>2.5</v>
      </c>
      <c r="Q823" t="s">
        <v>41</v>
      </c>
      <c r="R823" t="str">
        <f>_xlfn.CONCAT(laptop[[#This Row],[CPU_company]]," ",laptop[[#This Row],[CPU_model]])</f>
        <v>Intel Core i5 7200U</v>
      </c>
      <c r="S823">
        <v>128</v>
      </c>
      <c r="T823">
        <v>0</v>
      </c>
      <c r="U823">
        <f>laptop[[#This Row],[PrimaryStorage]]+laptop[[#This Row],[SecondaryStorage]]</f>
        <v>128</v>
      </c>
      <c r="V823" t="s">
        <v>31</v>
      </c>
      <c r="W823" t="s">
        <v>27</v>
      </c>
      <c r="X823" t="str">
        <f>IF(laptop[[#This Row],[PrimaryStorageType]]=laptop[[#This Row],[SecondaryStorageType]],laptop[[#This Row],[PrimaryStorageType]],"SSD &amp; HDD")</f>
        <v>SSD &amp; HDD</v>
      </c>
      <c r="Y823" t="s">
        <v>42</v>
      </c>
      <c r="Z823" s="4" t="str">
        <f>_xlfn.CONCAT(laptop[[#This Row],[CPU_company]]," ",laptop[[#This Row],[GPU_model]])</f>
        <v>Intel HD Graphics 620</v>
      </c>
    </row>
    <row r="824" spans="1:26" x14ac:dyDescent="0.25">
      <c r="A824" t="s">
        <v>73</v>
      </c>
      <c r="B824" t="s">
        <v>382</v>
      </c>
      <c r="C824" t="s">
        <v>24</v>
      </c>
      <c r="D824">
        <v>14</v>
      </c>
      <c r="E824">
        <v>8</v>
      </c>
      <c r="F824" t="s">
        <v>48</v>
      </c>
      <c r="G824">
        <v>1.1299999999999999</v>
      </c>
      <c r="H824" s="16">
        <v>2499</v>
      </c>
      <c r="I824" t="s">
        <v>40</v>
      </c>
      <c r="J824">
        <v>1920</v>
      </c>
      <c r="K824">
        <v>1080</v>
      </c>
      <c r="L824" t="s">
        <v>27</v>
      </c>
      <c r="M824" t="s">
        <v>28</v>
      </c>
      <c r="N824" t="s">
        <v>27</v>
      </c>
      <c r="O824" t="s">
        <v>29</v>
      </c>
      <c r="P824">
        <v>2.7</v>
      </c>
      <c r="Q824" t="s">
        <v>71</v>
      </c>
      <c r="R824" t="str">
        <f>_xlfn.CONCAT(laptop[[#This Row],[CPU_company]]," ",laptop[[#This Row],[CPU_model]])</f>
        <v>Intel Core i7 7500U</v>
      </c>
      <c r="S824">
        <v>512</v>
      </c>
      <c r="T824">
        <v>0</v>
      </c>
      <c r="U824">
        <f>laptop[[#This Row],[PrimaryStorage]]+laptop[[#This Row],[SecondaryStorage]]</f>
        <v>512</v>
      </c>
      <c r="V824" t="s">
        <v>31</v>
      </c>
      <c r="W824" t="s">
        <v>27</v>
      </c>
      <c r="X824" t="str">
        <f>IF(laptop[[#This Row],[PrimaryStorageType]]=laptop[[#This Row],[SecondaryStorageType]],laptop[[#This Row],[PrimaryStorageType]],"SSD &amp; HDD")</f>
        <v>SSD &amp; HDD</v>
      </c>
      <c r="Y824" t="s">
        <v>42</v>
      </c>
      <c r="Z824" s="4" t="str">
        <f>_xlfn.CONCAT(laptop[[#This Row],[CPU_company]]," ",laptop[[#This Row],[GPU_model]])</f>
        <v>Intel HD Graphics 620</v>
      </c>
    </row>
    <row r="825" spans="1:26" x14ac:dyDescent="0.25">
      <c r="A825" t="s">
        <v>141</v>
      </c>
      <c r="B825" t="s">
        <v>671</v>
      </c>
      <c r="C825" t="s">
        <v>83</v>
      </c>
      <c r="D825">
        <v>15.6</v>
      </c>
      <c r="E825">
        <v>8</v>
      </c>
      <c r="F825" t="s">
        <v>48</v>
      </c>
      <c r="G825">
        <v>2.4</v>
      </c>
      <c r="H825" s="16">
        <v>1199</v>
      </c>
      <c r="I825" t="s">
        <v>40</v>
      </c>
      <c r="J825">
        <v>1920</v>
      </c>
      <c r="K825">
        <v>1080</v>
      </c>
      <c r="L825" t="s">
        <v>27</v>
      </c>
      <c r="M825" t="s">
        <v>27</v>
      </c>
      <c r="N825" t="s">
        <v>27</v>
      </c>
      <c r="O825" t="s">
        <v>29</v>
      </c>
      <c r="P825">
        <v>2.5</v>
      </c>
      <c r="Q825" t="s">
        <v>84</v>
      </c>
      <c r="R825" t="str">
        <f>_xlfn.CONCAT(laptop[[#This Row],[CPU_company]]," ",laptop[[#This Row],[CPU_model]])</f>
        <v>Intel Core i5 7300HQ</v>
      </c>
      <c r="S825">
        <v>256</v>
      </c>
      <c r="T825">
        <v>0</v>
      </c>
      <c r="U825">
        <f>laptop[[#This Row],[PrimaryStorage]]+laptop[[#This Row],[SecondaryStorage]]</f>
        <v>256</v>
      </c>
      <c r="V825" t="s">
        <v>31</v>
      </c>
      <c r="W825" t="s">
        <v>27</v>
      </c>
      <c r="X825" t="str">
        <f>IF(laptop[[#This Row],[PrimaryStorageType]]=laptop[[#This Row],[SecondaryStorageType]],laptop[[#This Row],[PrimaryStorageType]],"SSD &amp; HDD")</f>
        <v>SSD &amp; HDD</v>
      </c>
      <c r="Y825" t="s">
        <v>85</v>
      </c>
      <c r="Z825" s="4" t="str">
        <f>_xlfn.CONCAT(laptop[[#This Row],[CPU_company]]," ",laptop[[#This Row],[GPU_model]])</f>
        <v>Intel GeForce GTX 1050</v>
      </c>
    </row>
    <row r="826" spans="1:26" x14ac:dyDescent="0.25">
      <c r="A826" t="s">
        <v>73</v>
      </c>
      <c r="B826" t="s">
        <v>308</v>
      </c>
      <c r="C826" t="s">
        <v>24</v>
      </c>
      <c r="D826">
        <v>14</v>
      </c>
      <c r="E826">
        <v>8</v>
      </c>
      <c r="F826" t="s">
        <v>48</v>
      </c>
      <c r="G826">
        <v>1.1299999999999999</v>
      </c>
      <c r="H826" s="16">
        <v>1875</v>
      </c>
      <c r="I826" t="s">
        <v>40</v>
      </c>
      <c r="J826">
        <v>1920</v>
      </c>
      <c r="K826">
        <v>1080</v>
      </c>
      <c r="L826" t="s">
        <v>27</v>
      </c>
      <c r="M826" t="s">
        <v>28</v>
      </c>
      <c r="N826" t="s">
        <v>27</v>
      </c>
      <c r="O826" t="s">
        <v>29</v>
      </c>
      <c r="P826">
        <v>2.5</v>
      </c>
      <c r="Q826" t="s">
        <v>41</v>
      </c>
      <c r="R826" t="str">
        <f>_xlfn.CONCAT(laptop[[#This Row],[CPU_company]]," ",laptop[[#This Row],[CPU_model]])</f>
        <v>Intel Core i5 7200U</v>
      </c>
      <c r="S826">
        <v>256</v>
      </c>
      <c r="T826">
        <v>0</v>
      </c>
      <c r="U826">
        <f>laptop[[#This Row],[PrimaryStorage]]+laptop[[#This Row],[SecondaryStorage]]</f>
        <v>256</v>
      </c>
      <c r="V826" t="s">
        <v>34</v>
      </c>
      <c r="W826" t="s">
        <v>27</v>
      </c>
      <c r="X826" t="str">
        <f>IF(laptop[[#This Row],[PrimaryStorageType]]=laptop[[#This Row],[SecondaryStorageType]],laptop[[#This Row],[PrimaryStorageType]],"SSD &amp; HDD")</f>
        <v>SSD &amp; HDD</v>
      </c>
      <c r="Y826" t="s">
        <v>42</v>
      </c>
      <c r="Z826" s="4" t="str">
        <f>_xlfn.CONCAT(laptop[[#This Row],[CPU_company]]," ",laptop[[#This Row],[GPU_model]])</f>
        <v>Intel HD Graphics 620</v>
      </c>
    </row>
    <row r="827" spans="1:26" x14ac:dyDescent="0.25">
      <c r="A827" t="s">
        <v>210</v>
      </c>
      <c r="B827" t="s">
        <v>211</v>
      </c>
      <c r="C827" t="s">
        <v>38</v>
      </c>
      <c r="D827">
        <v>14</v>
      </c>
      <c r="E827">
        <v>4</v>
      </c>
      <c r="F827" t="s">
        <v>48</v>
      </c>
      <c r="G827">
        <v>1.75</v>
      </c>
      <c r="H827" s="16">
        <v>499</v>
      </c>
      <c r="I827" t="s">
        <v>26</v>
      </c>
      <c r="J827">
        <v>1366</v>
      </c>
      <c r="K827">
        <v>768</v>
      </c>
      <c r="L827" t="s">
        <v>27</v>
      </c>
      <c r="M827" t="s">
        <v>27</v>
      </c>
      <c r="N827" t="s">
        <v>27</v>
      </c>
      <c r="O827" t="s">
        <v>29</v>
      </c>
      <c r="P827">
        <v>2.1</v>
      </c>
      <c r="Q827" t="s">
        <v>672</v>
      </c>
      <c r="R827" t="str">
        <f>_xlfn.CONCAT(laptop[[#This Row],[CPU_company]]," ",laptop[[#This Row],[CPU_model]])</f>
        <v>Intel Pentium Dual Core 4405U</v>
      </c>
      <c r="S827">
        <v>128</v>
      </c>
      <c r="T827">
        <v>0</v>
      </c>
      <c r="U827">
        <f>laptop[[#This Row],[PrimaryStorage]]+laptop[[#This Row],[SecondaryStorage]]</f>
        <v>128</v>
      </c>
      <c r="V827" t="s">
        <v>31</v>
      </c>
      <c r="W827" t="s">
        <v>27</v>
      </c>
      <c r="X827" t="str">
        <f>IF(laptop[[#This Row],[PrimaryStorageType]]=laptop[[#This Row],[SecondaryStorageType]],laptop[[#This Row],[PrimaryStorageType]],"SSD &amp; HDD")</f>
        <v>SSD &amp; HDD</v>
      </c>
      <c r="Y827" t="s">
        <v>343</v>
      </c>
      <c r="Z827" s="4" t="str">
        <f>_xlfn.CONCAT(laptop[[#This Row],[CPU_company]]," ",laptop[[#This Row],[GPU_model]])</f>
        <v>Intel HD Graphics 510</v>
      </c>
    </row>
    <row r="828" spans="1:26" x14ac:dyDescent="0.25">
      <c r="A828" t="s">
        <v>55</v>
      </c>
      <c r="B828" t="s">
        <v>230</v>
      </c>
      <c r="C828" t="s">
        <v>90</v>
      </c>
      <c r="D828">
        <v>13.3</v>
      </c>
      <c r="E828">
        <v>8</v>
      </c>
      <c r="F828" t="s">
        <v>48</v>
      </c>
      <c r="G828">
        <v>1.1000000000000001</v>
      </c>
      <c r="H828" s="16">
        <v>1358</v>
      </c>
      <c r="I828" t="s">
        <v>40</v>
      </c>
      <c r="J828">
        <v>1920</v>
      </c>
      <c r="K828">
        <v>1080</v>
      </c>
      <c r="L828" t="s">
        <v>28</v>
      </c>
      <c r="M828" t="s">
        <v>27</v>
      </c>
      <c r="N828" t="s">
        <v>27</v>
      </c>
      <c r="O828" t="s">
        <v>29</v>
      </c>
      <c r="P828">
        <v>2.5</v>
      </c>
      <c r="Q828" t="s">
        <v>41</v>
      </c>
      <c r="R828" t="str">
        <f>_xlfn.CONCAT(laptop[[#This Row],[CPU_company]]," ",laptop[[#This Row],[CPU_model]])</f>
        <v>Intel Core i5 7200U</v>
      </c>
      <c r="S828">
        <v>256</v>
      </c>
      <c r="T828">
        <v>0</v>
      </c>
      <c r="U828">
        <f>laptop[[#This Row],[PrimaryStorage]]+laptop[[#This Row],[SecondaryStorage]]</f>
        <v>256</v>
      </c>
      <c r="V828" t="s">
        <v>31</v>
      </c>
      <c r="W828" t="s">
        <v>27</v>
      </c>
      <c r="X828" t="str">
        <f>IF(laptop[[#This Row],[PrimaryStorageType]]=laptop[[#This Row],[SecondaryStorageType]],laptop[[#This Row],[PrimaryStorageType]],"SSD &amp; HDD")</f>
        <v>SSD &amp; HDD</v>
      </c>
      <c r="Y828" t="s">
        <v>42</v>
      </c>
      <c r="Z828" s="4" t="str">
        <f>_xlfn.CONCAT(laptop[[#This Row],[CPU_company]]," ",laptop[[#This Row],[GPU_model]])</f>
        <v>Intel HD Graphics 620</v>
      </c>
    </row>
    <row r="829" spans="1:26" x14ac:dyDescent="0.25">
      <c r="A829" t="s">
        <v>65</v>
      </c>
      <c r="B829" t="s">
        <v>668</v>
      </c>
      <c r="C829" t="s">
        <v>38</v>
      </c>
      <c r="D829">
        <v>14</v>
      </c>
      <c r="E829">
        <v>4</v>
      </c>
      <c r="F829" t="s">
        <v>48</v>
      </c>
      <c r="G829">
        <v>1.76</v>
      </c>
      <c r="H829" s="16">
        <v>585</v>
      </c>
      <c r="I829" t="s">
        <v>26</v>
      </c>
      <c r="J829">
        <v>1366</v>
      </c>
      <c r="K829">
        <v>768</v>
      </c>
      <c r="L829" t="s">
        <v>27</v>
      </c>
      <c r="M829" t="s">
        <v>27</v>
      </c>
      <c r="N829" t="s">
        <v>27</v>
      </c>
      <c r="O829" t="s">
        <v>29</v>
      </c>
      <c r="P829">
        <v>2</v>
      </c>
      <c r="Q829" t="s">
        <v>62</v>
      </c>
      <c r="R829" t="str">
        <f>_xlfn.CONCAT(laptop[[#This Row],[CPU_company]]," ",laptop[[#This Row],[CPU_model]])</f>
        <v>Intel Core i3 6006U</v>
      </c>
      <c r="S829">
        <v>500</v>
      </c>
      <c r="T829">
        <v>0</v>
      </c>
      <c r="U829">
        <f>laptop[[#This Row],[PrimaryStorage]]+laptop[[#This Row],[SecondaryStorage]]</f>
        <v>500</v>
      </c>
      <c r="V829" t="s">
        <v>51</v>
      </c>
      <c r="W829" t="s">
        <v>27</v>
      </c>
      <c r="X829" t="str">
        <f>IF(laptop[[#This Row],[PrimaryStorageType]]=laptop[[#This Row],[SecondaryStorageType]],laptop[[#This Row],[PrimaryStorageType]],"SSD &amp; HDD")</f>
        <v>SSD &amp; HDD</v>
      </c>
      <c r="Y829" t="s">
        <v>63</v>
      </c>
      <c r="Z829" s="4" t="str">
        <f>_xlfn.CONCAT(laptop[[#This Row],[CPU_company]]," ",laptop[[#This Row],[GPU_model]])</f>
        <v>Intel HD Graphics 520</v>
      </c>
    </row>
    <row r="830" spans="1:26" x14ac:dyDescent="0.25">
      <c r="A830" t="s">
        <v>46</v>
      </c>
      <c r="B830" t="s">
        <v>516</v>
      </c>
      <c r="C830" t="s">
        <v>79</v>
      </c>
      <c r="D830">
        <v>11.6</v>
      </c>
      <c r="E830">
        <v>4</v>
      </c>
      <c r="F830" t="s">
        <v>317</v>
      </c>
      <c r="G830">
        <v>1.35</v>
      </c>
      <c r="H830" s="16">
        <v>355</v>
      </c>
      <c r="I830" t="s">
        <v>26</v>
      </c>
      <c r="J830">
        <v>1366</v>
      </c>
      <c r="K830">
        <v>768</v>
      </c>
      <c r="L830" t="s">
        <v>27</v>
      </c>
      <c r="M830" t="s">
        <v>28</v>
      </c>
      <c r="N830" t="s">
        <v>27</v>
      </c>
      <c r="O830" t="s">
        <v>29</v>
      </c>
      <c r="P830">
        <v>1.6</v>
      </c>
      <c r="Q830" t="s">
        <v>151</v>
      </c>
      <c r="R830" t="str">
        <f>_xlfn.CONCAT(laptop[[#This Row],[CPU_company]]," ",laptop[[#This Row],[CPU_model]])</f>
        <v>Intel Celeron Dual Core N3060</v>
      </c>
      <c r="S830">
        <v>32</v>
      </c>
      <c r="T830">
        <v>0</v>
      </c>
      <c r="U830">
        <f>laptop[[#This Row],[PrimaryStorage]]+laptop[[#This Row],[SecondaryStorage]]</f>
        <v>32</v>
      </c>
      <c r="V830" t="s">
        <v>34</v>
      </c>
      <c r="W830" t="s">
        <v>27</v>
      </c>
      <c r="X830" t="str">
        <f>IF(laptop[[#This Row],[PrimaryStorageType]]=laptop[[#This Row],[SecondaryStorageType]],laptop[[#This Row],[PrimaryStorageType]],"SSD &amp; HDD")</f>
        <v>SSD &amp; HDD</v>
      </c>
      <c r="Y830" t="s">
        <v>81</v>
      </c>
      <c r="Z830" s="4" t="str">
        <f>_xlfn.CONCAT(laptop[[#This Row],[CPU_company]]," ",laptop[[#This Row],[GPU_model]])</f>
        <v>Intel HD Graphics 400</v>
      </c>
    </row>
    <row r="831" spans="1:26" x14ac:dyDescent="0.25">
      <c r="A831" t="s">
        <v>46</v>
      </c>
      <c r="B831" t="s">
        <v>59</v>
      </c>
      <c r="C831" t="s">
        <v>38</v>
      </c>
      <c r="D831">
        <v>14</v>
      </c>
      <c r="E831">
        <v>8</v>
      </c>
      <c r="F831" t="s">
        <v>48</v>
      </c>
      <c r="G831">
        <v>1.5</v>
      </c>
      <c r="H831" s="16">
        <v>619</v>
      </c>
      <c r="I831" t="s">
        <v>40</v>
      </c>
      <c r="J831">
        <v>1920</v>
      </c>
      <c r="K831">
        <v>1080</v>
      </c>
      <c r="L831" t="s">
        <v>27</v>
      </c>
      <c r="M831" t="s">
        <v>28</v>
      </c>
      <c r="N831" t="s">
        <v>27</v>
      </c>
      <c r="O831" t="s">
        <v>29</v>
      </c>
      <c r="P831">
        <v>2.4</v>
      </c>
      <c r="Q831" t="s">
        <v>75</v>
      </c>
      <c r="R831" t="str">
        <f>_xlfn.CONCAT(laptop[[#This Row],[CPU_company]]," ",laptop[[#This Row],[CPU_model]])</f>
        <v>Intel Core i3 7100U</v>
      </c>
      <c r="S831">
        <v>128</v>
      </c>
      <c r="T831">
        <v>0</v>
      </c>
      <c r="U831">
        <f>laptop[[#This Row],[PrimaryStorage]]+laptop[[#This Row],[SecondaryStorage]]</f>
        <v>128</v>
      </c>
      <c r="V831" t="s">
        <v>31</v>
      </c>
      <c r="W831" t="s">
        <v>27</v>
      </c>
      <c r="X831" t="str">
        <f>IF(laptop[[#This Row],[PrimaryStorageType]]=laptop[[#This Row],[SecondaryStorageType]],laptop[[#This Row],[PrimaryStorageType]],"SSD &amp; HDD")</f>
        <v>SSD &amp; HDD</v>
      </c>
      <c r="Y831" t="s">
        <v>42</v>
      </c>
      <c r="Z831" s="4" t="str">
        <f>_xlfn.CONCAT(laptop[[#This Row],[CPU_company]]," ",laptop[[#This Row],[GPU_model]])</f>
        <v>Intel HD Graphics 620</v>
      </c>
    </row>
    <row r="832" spans="1:26" x14ac:dyDescent="0.25">
      <c r="A832" t="s">
        <v>256</v>
      </c>
      <c r="B832" t="s">
        <v>257</v>
      </c>
      <c r="C832" t="s">
        <v>83</v>
      </c>
      <c r="D832">
        <v>17.3</v>
      </c>
      <c r="E832">
        <v>32</v>
      </c>
      <c r="F832" t="s">
        <v>48</v>
      </c>
      <c r="G832">
        <v>3.49</v>
      </c>
      <c r="H832" s="16">
        <v>5499</v>
      </c>
      <c r="I832" t="s">
        <v>215</v>
      </c>
      <c r="J832">
        <v>3840</v>
      </c>
      <c r="K832">
        <v>2160</v>
      </c>
      <c r="L832" t="s">
        <v>28</v>
      </c>
      <c r="M832" t="s">
        <v>27</v>
      </c>
      <c r="N832" t="s">
        <v>27</v>
      </c>
      <c r="O832" t="s">
        <v>29</v>
      </c>
      <c r="P832">
        <v>2.9</v>
      </c>
      <c r="Q832" t="s">
        <v>258</v>
      </c>
      <c r="R832" t="str">
        <f>_xlfn.CONCAT(laptop[[#This Row],[CPU_company]]," ",laptop[[#This Row],[CPU_model]])</f>
        <v>Intel Core i7 7820HK</v>
      </c>
      <c r="S832">
        <v>512</v>
      </c>
      <c r="T832">
        <v>0</v>
      </c>
      <c r="U832">
        <f>laptop[[#This Row],[PrimaryStorage]]+laptop[[#This Row],[SecondaryStorage]]</f>
        <v>512</v>
      </c>
      <c r="V832" t="s">
        <v>31</v>
      </c>
      <c r="W832" t="s">
        <v>27</v>
      </c>
      <c r="X832" t="str">
        <f>IF(laptop[[#This Row],[PrimaryStorageType]]=laptop[[#This Row],[SecondaryStorageType]],laptop[[#This Row],[PrimaryStorageType]],"SSD &amp; HDD")</f>
        <v>SSD &amp; HDD</v>
      </c>
      <c r="Y832" t="s">
        <v>259</v>
      </c>
      <c r="Z832" s="4" t="str">
        <f>_xlfn.CONCAT(laptop[[#This Row],[CPU_company]]," ",laptop[[#This Row],[GPU_model]])</f>
        <v>Intel GeForce GTX 1080</v>
      </c>
    </row>
    <row r="833" spans="1:26" x14ac:dyDescent="0.25">
      <c r="A833" t="s">
        <v>73</v>
      </c>
      <c r="B833" t="s">
        <v>382</v>
      </c>
      <c r="C833" t="s">
        <v>24</v>
      </c>
      <c r="D833">
        <v>14</v>
      </c>
      <c r="E833">
        <v>16</v>
      </c>
      <c r="F833" t="s">
        <v>48</v>
      </c>
      <c r="G833">
        <v>1.1000000000000001</v>
      </c>
      <c r="H833" s="16">
        <v>2099</v>
      </c>
      <c r="I833" t="s">
        <v>107</v>
      </c>
      <c r="J833">
        <v>2560</v>
      </c>
      <c r="K833">
        <v>1440</v>
      </c>
      <c r="L833" t="s">
        <v>27</v>
      </c>
      <c r="M833" t="s">
        <v>28</v>
      </c>
      <c r="N833" t="s">
        <v>27</v>
      </c>
      <c r="O833" t="s">
        <v>29</v>
      </c>
      <c r="P833">
        <v>2.6</v>
      </c>
      <c r="Q833" t="s">
        <v>309</v>
      </c>
      <c r="R833" t="str">
        <f>_xlfn.CONCAT(laptop[[#This Row],[CPU_company]]," ",laptop[[#This Row],[CPU_model]])</f>
        <v>Intel Core i7 6600U</v>
      </c>
      <c r="S833">
        <v>512</v>
      </c>
      <c r="T833">
        <v>0</v>
      </c>
      <c r="U833">
        <f>laptop[[#This Row],[PrimaryStorage]]+laptop[[#This Row],[SecondaryStorage]]</f>
        <v>512</v>
      </c>
      <c r="V833" t="s">
        <v>31</v>
      </c>
      <c r="W833" t="s">
        <v>27</v>
      </c>
      <c r="X833" t="str">
        <f>IF(laptop[[#This Row],[PrimaryStorageType]]=laptop[[#This Row],[SecondaryStorageType]],laptop[[#This Row],[PrimaryStorageType]],"SSD &amp; HDD")</f>
        <v>SSD &amp; HDD</v>
      </c>
      <c r="Y833" t="s">
        <v>63</v>
      </c>
      <c r="Z833" s="4" t="str">
        <f>_xlfn.CONCAT(laptop[[#This Row],[CPU_company]]," ",laptop[[#This Row],[GPU_model]])</f>
        <v>Intel HD Graphics 520</v>
      </c>
    </row>
    <row r="834" spans="1:26" x14ac:dyDescent="0.25">
      <c r="A834" t="s">
        <v>55</v>
      </c>
      <c r="B834" t="s">
        <v>140</v>
      </c>
      <c r="C834" t="s">
        <v>38</v>
      </c>
      <c r="D834">
        <v>15.6</v>
      </c>
      <c r="E834">
        <v>4</v>
      </c>
      <c r="F834" t="s">
        <v>111</v>
      </c>
      <c r="G834">
        <v>2.1</v>
      </c>
      <c r="H834" s="16">
        <v>519</v>
      </c>
      <c r="I834" t="s">
        <v>40</v>
      </c>
      <c r="J834">
        <v>1920</v>
      </c>
      <c r="K834">
        <v>1080</v>
      </c>
      <c r="L834" t="s">
        <v>27</v>
      </c>
      <c r="M834" t="s">
        <v>27</v>
      </c>
      <c r="N834" t="s">
        <v>27</v>
      </c>
      <c r="O834" t="s">
        <v>29</v>
      </c>
      <c r="P834">
        <v>2.5</v>
      </c>
      <c r="Q834" t="s">
        <v>41</v>
      </c>
      <c r="R834" t="str">
        <f>_xlfn.CONCAT(laptop[[#This Row],[CPU_company]]," ",laptop[[#This Row],[CPU_model]])</f>
        <v>Intel Core i5 7200U</v>
      </c>
      <c r="S834">
        <v>1024</v>
      </c>
      <c r="T834">
        <v>0</v>
      </c>
      <c r="U834">
        <f>laptop[[#This Row],[PrimaryStorage]]+laptop[[#This Row],[SecondaryStorage]]</f>
        <v>1024</v>
      </c>
      <c r="V834" t="s">
        <v>51</v>
      </c>
      <c r="W834" t="s">
        <v>27</v>
      </c>
      <c r="X834" t="str">
        <f>IF(laptop[[#This Row],[PrimaryStorageType]]=laptop[[#This Row],[SecondaryStorageType]],laptop[[#This Row],[PrimaryStorageType]],"SSD &amp; HDD")</f>
        <v>SSD &amp; HDD</v>
      </c>
      <c r="Y834" t="s">
        <v>673</v>
      </c>
      <c r="Z834" s="4" t="str">
        <f>_xlfn.CONCAT(laptop[[#This Row],[CPU_company]]," ",laptop[[#This Row],[GPU_model]])</f>
        <v>Intel GeForce 920</v>
      </c>
    </row>
    <row r="835" spans="1:26" x14ac:dyDescent="0.25">
      <c r="A835" t="s">
        <v>73</v>
      </c>
      <c r="B835" t="s">
        <v>626</v>
      </c>
      <c r="C835" t="s">
        <v>38</v>
      </c>
      <c r="D835">
        <v>14</v>
      </c>
      <c r="E835">
        <v>8</v>
      </c>
      <c r="F835" t="s">
        <v>48</v>
      </c>
      <c r="G835">
        <v>1.7</v>
      </c>
      <c r="H835" s="16">
        <v>1186</v>
      </c>
      <c r="I835" t="s">
        <v>40</v>
      </c>
      <c r="J835">
        <v>1920</v>
      </c>
      <c r="K835">
        <v>1080</v>
      </c>
      <c r="L835" t="s">
        <v>27</v>
      </c>
      <c r="M835" t="s">
        <v>27</v>
      </c>
      <c r="N835" t="s">
        <v>27</v>
      </c>
      <c r="O835" t="s">
        <v>29</v>
      </c>
      <c r="P835">
        <v>2.2999999999999998</v>
      </c>
      <c r="Q835" t="s">
        <v>212</v>
      </c>
      <c r="R835" t="str">
        <f>_xlfn.CONCAT(laptop[[#This Row],[CPU_company]]," ",laptop[[#This Row],[CPU_model]])</f>
        <v>Intel Core i5 6200U</v>
      </c>
      <c r="S835">
        <v>256</v>
      </c>
      <c r="T835">
        <v>0</v>
      </c>
      <c r="U835">
        <f>laptop[[#This Row],[PrimaryStorage]]+laptop[[#This Row],[SecondaryStorage]]</f>
        <v>256</v>
      </c>
      <c r="V835" t="s">
        <v>31</v>
      </c>
      <c r="W835" t="s">
        <v>27</v>
      </c>
      <c r="X835" t="str">
        <f>IF(laptop[[#This Row],[PrimaryStorageType]]=laptop[[#This Row],[SecondaryStorageType]],laptop[[#This Row],[PrimaryStorageType]],"SSD &amp; HDD")</f>
        <v>SSD &amp; HDD</v>
      </c>
      <c r="Y835" t="s">
        <v>63</v>
      </c>
      <c r="Z835" s="4" t="str">
        <f>_xlfn.CONCAT(laptop[[#This Row],[CPU_company]]," ",laptop[[#This Row],[GPU_model]])</f>
        <v>Intel HD Graphics 520</v>
      </c>
    </row>
    <row r="836" spans="1:26" x14ac:dyDescent="0.25">
      <c r="A836" t="s">
        <v>73</v>
      </c>
      <c r="B836" t="s">
        <v>424</v>
      </c>
      <c r="C836" t="s">
        <v>38</v>
      </c>
      <c r="D836">
        <v>14</v>
      </c>
      <c r="E836">
        <v>8</v>
      </c>
      <c r="F836" t="s">
        <v>48</v>
      </c>
      <c r="G836">
        <v>1.32</v>
      </c>
      <c r="H836" s="16">
        <v>1650</v>
      </c>
      <c r="I836" t="s">
        <v>40</v>
      </c>
      <c r="J836">
        <v>1920</v>
      </c>
      <c r="K836">
        <v>1080</v>
      </c>
      <c r="L836" t="s">
        <v>27</v>
      </c>
      <c r="M836" t="s">
        <v>28</v>
      </c>
      <c r="N836" t="s">
        <v>27</v>
      </c>
      <c r="O836" t="s">
        <v>29</v>
      </c>
      <c r="P836">
        <v>2.6</v>
      </c>
      <c r="Q836" t="s">
        <v>358</v>
      </c>
      <c r="R836" t="str">
        <f>_xlfn.CONCAT(laptop[[#This Row],[CPU_company]]," ",laptop[[#This Row],[CPU_model]])</f>
        <v>Intel Core i5 7300U</v>
      </c>
      <c r="S836">
        <v>256</v>
      </c>
      <c r="T836">
        <v>0</v>
      </c>
      <c r="U836">
        <f>laptop[[#This Row],[PrimaryStorage]]+laptop[[#This Row],[SecondaryStorage]]</f>
        <v>256</v>
      </c>
      <c r="V836" t="s">
        <v>31</v>
      </c>
      <c r="W836" t="s">
        <v>27</v>
      </c>
      <c r="X836" t="str">
        <f>IF(laptop[[#This Row],[PrimaryStorageType]]=laptop[[#This Row],[SecondaryStorageType]],laptop[[#This Row],[PrimaryStorageType]],"SSD &amp; HDD")</f>
        <v>SSD &amp; HDD</v>
      </c>
      <c r="Y836" t="s">
        <v>42</v>
      </c>
      <c r="Z836" s="4" t="str">
        <f>_xlfn.CONCAT(laptop[[#This Row],[CPU_company]]," ",laptop[[#This Row],[GPU_model]])</f>
        <v>Intel HD Graphics 620</v>
      </c>
    </row>
    <row r="837" spans="1:26" x14ac:dyDescent="0.25">
      <c r="A837" t="s">
        <v>65</v>
      </c>
      <c r="B837" t="s">
        <v>580</v>
      </c>
      <c r="C837" t="s">
        <v>83</v>
      </c>
      <c r="D837">
        <v>15.6</v>
      </c>
      <c r="E837">
        <v>16</v>
      </c>
      <c r="F837" t="s">
        <v>48</v>
      </c>
      <c r="G837">
        <v>3.21</v>
      </c>
      <c r="H837" s="16">
        <v>2774.63</v>
      </c>
      <c r="I837" t="s">
        <v>40</v>
      </c>
      <c r="J837">
        <v>1920</v>
      </c>
      <c r="K837">
        <v>1080</v>
      </c>
      <c r="L837" t="s">
        <v>27</v>
      </c>
      <c r="M837" t="s">
        <v>27</v>
      </c>
      <c r="N837" t="s">
        <v>27</v>
      </c>
      <c r="O837" t="s">
        <v>29</v>
      </c>
      <c r="P837">
        <v>2.8</v>
      </c>
      <c r="Q837" t="s">
        <v>118</v>
      </c>
      <c r="R837" t="str">
        <f>_xlfn.CONCAT(laptop[[#This Row],[CPU_company]]," ",laptop[[#This Row],[CPU_model]])</f>
        <v>Intel Core i7 7700HQ</v>
      </c>
      <c r="S837">
        <v>256</v>
      </c>
      <c r="T837">
        <v>1024</v>
      </c>
      <c r="U837">
        <f>laptop[[#This Row],[PrimaryStorage]]+laptop[[#This Row],[SecondaryStorage]]</f>
        <v>1280</v>
      </c>
      <c r="V837" t="s">
        <v>31</v>
      </c>
      <c r="W837" t="s">
        <v>51</v>
      </c>
      <c r="X837" t="str">
        <f>IF(laptop[[#This Row],[PrimaryStorageType]]=laptop[[#This Row],[SecondaryStorageType]],laptop[[#This Row],[PrimaryStorageType]],"SSD &amp; HDD")</f>
        <v>SSD &amp; HDD</v>
      </c>
      <c r="Y837" t="s">
        <v>143</v>
      </c>
      <c r="Z837" s="4" t="str">
        <f>_xlfn.CONCAT(laptop[[#This Row],[CPU_company]]," ",laptop[[#This Row],[GPU_model]])</f>
        <v>Intel GeForce GTX 1070</v>
      </c>
    </row>
    <row r="838" spans="1:26" x14ac:dyDescent="0.25">
      <c r="A838" t="s">
        <v>55</v>
      </c>
      <c r="B838" t="s">
        <v>674</v>
      </c>
      <c r="C838" t="s">
        <v>83</v>
      </c>
      <c r="D838">
        <v>17.3</v>
      </c>
      <c r="E838">
        <v>16</v>
      </c>
      <c r="F838" t="s">
        <v>48</v>
      </c>
      <c r="G838">
        <v>2.9</v>
      </c>
      <c r="H838" s="16">
        <v>2419</v>
      </c>
      <c r="I838" t="s">
        <v>40</v>
      </c>
      <c r="J838">
        <v>1920</v>
      </c>
      <c r="K838">
        <v>1080</v>
      </c>
      <c r="L838" t="s">
        <v>27</v>
      </c>
      <c r="M838" t="s">
        <v>27</v>
      </c>
      <c r="N838" t="s">
        <v>27</v>
      </c>
      <c r="O838" t="s">
        <v>29</v>
      </c>
      <c r="P838">
        <v>2.8</v>
      </c>
      <c r="Q838" t="s">
        <v>118</v>
      </c>
      <c r="R838" t="str">
        <f>_xlfn.CONCAT(laptop[[#This Row],[CPU_company]]," ",laptop[[#This Row],[CPU_model]])</f>
        <v>Intel Core i7 7700HQ</v>
      </c>
      <c r="S838">
        <v>256</v>
      </c>
      <c r="T838">
        <v>1024</v>
      </c>
      <c r="U838">
        <f>laptop[[#This Row],[PrimaryStorage]]+laptop[[#This Row],[SecondaryStorage]]</f>
        <v>1280</v>
      </c>
      <c r="V838" t="s">
        <v>31</v>
      </c>
      <c r="W838" t="s">
        <v>51</v>
      </c>
      <c r="X838" t="str">
        <f>IF(laptop[[#This Row],[PrimaryStorageType]]=laptop[[#This Row],[SecondaryStorageType]],laptop[[#This Row],[PrimaryStorageType]],"SSD &amp; HDD")</f>
        <v>SSD &amp; HDD</v>
      </c>
      <c r="Y838" t="s">
        <v>143</v>
      </c>
      <c r="Z838" s="4" t="str">
        <f>_xlfn.CONCAT(laptop[[#This Row],[CPU_company]]," ",laptop[[#This Row],[GPU_model]])</f>
        <v>Intel GeForce GTX 1070</v>
      </c>
    </row>
    <row r="839" spans="1:26" x14ac:dyDescent="0.25">
      <c r="A839" t="s">
        <v>210</v>
      </c>
      <c r="B839" t="s">
        <v>211</v>
      </c>
      <c r="C839" t="s">
        <v>38</v>
      </c>
      <c r="D839">
        <v>15.6</v>
      </c>
      <c r="E839">
        <v>4</v>
      </c>
      <c r="F839" t="s">
        <v>48</v>
      </c>
      <c r="G839">
        <v>2</v>
      </c>
      <c r="H839" s="16">
        <v>669</v>
      </c>
      <c r="I839" t="s">
        <v>26</v>
      </c>
      <c r="J839">
        <v>1366</v>
      </c>
      <c r="K839">
        <v>768</v>
      </c>
      <c r="L839" t="s">
        <v>27</v>
      </c>
      <c r="M839" t="s">
        <v>27</v>
      </c>
      <c r="N839" t="s">
        <v>27</v>
      </c>
      <c r="O839" t="s">
        <v>29</v>
      </c>
      <c r="P839">
        <v>2.4</v>
      </c>
      <c r="Q839" t="s">
        <v>75</v>
      </c>
      <c r="R839" t="str">
        <f>_xlfn.CONCAT(laptop[[#This Row],[CPU_company]]," ",laptop[[#This Row],[CPU_model]])</f>
        <v>Intel Core i3 7100U</v>
      </c>
      <c r="S839">
        <v>500</v>
      </c>
      <c r="T839">
        <v>0</v>
      </c>
      <c r="U839">
        <f>laptop[[#This Row],[PrimaryStorage]]+laptop[[#This Row],[SecondaryStorage]]</f>
        <v>500</v>
      </c>
      <c r="V839" t="s">
        <v>51</v>
      </c>
      <c r="W839" t="s">
        <v>27</v>
      </c>
      <c r="X839" t="str">
        <f>IF(laptop[[#This Row],[PrimaryStorageType]]=laptop[[#This Row],[SecondaryStorageType]],laptop[[#This Row],[PrimaryStorageType]],"SSD &amp; HDD")</f>
        <v>SSD &amp; HDD</v>
      </c>
      <c r="Y839" t="s">
        <v>42</v>
      </c>
      <c r="Z839" s="4" t="str">
        <f>_xlfn.CONCAT(laptop[[#This Row],[CPU_company]]," ",laptop[[#This Row],[GPU_model]])</f>
        <v>Intel HD Graphics 620</v>
      </c>
    </row>
    <row r="840" spans="1:26" x14ac:dyDescent="0.25">
      <c r="A840" t="s">
        <v>73</v>
      </c>
      <c r="B840" t="s">
        <v>675</v>
      </c>
      <c r="C840" t="s">
        <v>38</v>
      </c>
      <c r="D840">
        <v>14</v>
      </c>
      <c r="E840">
        <v>4</v>
      </c>
      <c r="F840" t="s">
        <v>317</v>
      </c>
      <c r="G840">
        <v>1.5</v>
      </c>
      <c r="H840" s="16">
        <v>325</v>
      </c>
      <c r="I840" t="s">
        <v>26</v>
      </c>
      <c r="J840">
        <v>1366</v>
      </c>
      <c r="K840">
        <v>768</v>
      </c>
      <c r="L840" t="s">
        <v>27</v>
      </c>
      <c r="M840" t="s">
        <v>27</v>
      </c>
      <c r="N840" t="s">
        <v>27</v>
      </c>
      <c r="O840" t="s">
        <v>29</v>
      </c>
      <c r="P840">
        <v>1.6</v>
      </c>
      <c r="Q840" t="s">
        <v>541</v>
      </c>
      <c r="R840" t="str">
        <f>_xlfn.CONCAT(laptop[[#This Row],[CPU_company]]," ",laptop[[#This Row],[CPU_model]])</f>
        <v>Intel Celeron Quad Core N3160</v>
      </c>
      <c r="S840">
        <v>16</v>
      </c>
      <c r="T840">
        <v>0</v>
      </c>
      <c r="U840">
        <f>laptop[[#This Row],[PrimaryStorage]]+laptop[[#This Row],[SecondaryStorage]]</f>
        <v>16</v>
      </c>
      <c r="V840" t="s">
        <v>34</v>
      </c>
      <c r="W840" t="s">
        <v>27</v>
      </c>
      <c r="X840" t="str">
        <f>IF(laptop[[#This Row],[PrimaryStorageType]]=laptop[[#This Row],[SecondaryStorageType]],laptop[[#This Row],[PrimaryStorageType]],"SSD &amp; HDD")</f>
        <v>SSD &amp; HDD</v>
      </c>
      <c r="Y840" t="s">
        <v>81</v>
      </c>
      <c r="Z840" s="4" t="str">
        <f>_xlfn.CONCAT(laptop[[#This Row],[CPU_company]]," ",laptop[[#This Row],[GPU_model]])</f>
        <v>Intel HD Graphics 400</v>
      </c>
    </row>
    <row r="841" spans="1:26" x14ac:dyDescent="0.25">
      <c r="A841" t="s">
        <v>55</v>
      </c>
      <c r="B841" t="s">
        <v>676</v>
      </c>
      <c r="C841" t="s">
        <v>38</v>
      </c>
      <c r="D841">
        <v>15.6</v>
      </c>
      <c r="E841">
        <v>8</v>
      </c>
      <c r="F841" t="s">
        <v>48</v>
      </c>
      <c r="G841">
        <v>2.2999999999999998</v>
      </c>
      <c r="H841" s="16">
        <v>590</v>
      </c>
      <c r="I841" t="s">
        <v>40</v>
      </c>
      <c r="J841">
        <v>1920</v>
      </c>
      <c r="K841">
        <v>1080</v>
      </c>
      <c r="L841" t="s">
        <v>27</v>
      </c>
      <c r="M841" t="s">
        <v>27</v>
      </c>
      <c r="N841" t="s">
        <v>27</v>
      </c>
      <c r="O841" t="s">
        <v>29</v>
      </c>
      <c r="P841">
        <v>2.5</v>
      </c>
      <c r="Q841" t="s">
        <v>41</v>
      </c>
      <c r="R841" t="str">
        <f>_xlfn.CONCAT(laptop[[#This Row],[CPU_company]]," ",laptop[[#This Row],[CPU_model]])</f>
        <v>Intel Core i5 7200U</v>
      </c>
      <c r="S841">
        <v>128</v>
      </c>
      <c r="T841">
        <v>0</v>
      </c>
      <c r="U841">
        <f>laptop[[#This Row],[PrimaryStorage]]+laptop[[#This Row],[SecondaryStorage]]</f>
        <v>128</v>
      </c>
      <c r="V841" t="s">
        <v>51</v>
      </c>
      <c r="W841" t="s">
        <v>27</v>
      </c>
      <c r="X841" t="str">
        <f>IF(laptop[[#This Row],[PrimaryStorageType]]=laptop[[#This Row],[SecondaryStorageType]],laptop[[#This Row],[PrimaryStorageType]],"SSD &amp; HDD")</f>
        <v>SSD &amp; HDD</v>
      </c>
      <c r="Y841" t="s">
        <v>42</v>
      </c>
      <c r="Z841" s="4" t="str">
        <f>_xlfn.CONCAT(laptop[[#This Row],[CPU_company]]," ",laptop[[#This Row],[GPU_model]])</f>
        <v>Intel HD Graphics 620</v>
      </c>
    </row>
    <row r="842" spans="1:26" x14ac:dyDescent="0.25">
      <c r="A842" t="s">
        <v>55</v>
      </c>
      <c r="B842" t="s">
        <v>677</v>
      </c>
      <c r="C842" t="s">
        <v>83</v>
      </c>
      <c r="D842">
        <v>17.3</v>
      </c>
      <c r="E842">
        <v>16</v>
      </c>
      <c r="F842" t="s">
        <v>48</v>
      </c>
      <c r="G842">
        <v>2.73</v>
      </c>
      <c r="H842" s="16">
        <v>1799</v>
      </c>
      <c r="I842" t="s">
        <v>40</v>
      </c>
      <c r="J842">
        <v>1920</v>
      </c>
      <c r="K842">
        <v>1080</v>
      </c>
      <c r="L842" t="s">
        <v>27</v>
      </c>
      <c r="M842" t="s">
        <v>27</v>
      </c>
      <c r="N842" t="s">
        <v>27</v>
      </c>
      <c r="O842" t="s">
        <v>29</v>
      </c>
      <c r="P842">
        <v>2.6</v>
      </c>
      <c r="Q842" t="s">
        <v>447</v>
      </c>
      <c r="R842" t="str">
        <f>_xlfn.CONCAT(laptop[[#This Row],[CPU_company]]," ",laptop[[#This Row],[CPU_model]])</f>
        <v>Intel Core i7 6700HQ</v>
      </c>
      <c r="S842">
        <v>512</v>
      </c>
      <c r="T842">
        <v>1024</v>
      </c>
      <c r="U842">
        <f>laptop[[#This Row],[PrimaryStorage]]+laptop[[#This Row],[SecondaryStorage]]</f>
        <v>1536</v>
      </c>
      <c r="V842" t="s">
        <v>31</v>
      </c>
      <c r="W842" t="s">
        <v>51</v>
      </c>
      <c r="X842" t="str">
        <f>IF(laptop[[#This Row],[PrimaryStorageType]]=laptop[[#This Row],[SecondaryStorageType]],laptop[[#This Row],[PrimaryStorageType]],"SSD &amp; HDD")</f>
        <v>SSD &amp; HDD</v>
      </c>
      <c r="Y842" t="s">
        <v>119</v>
      </c>
      <c r="Z842" s="4" t="str">
        <f>_xlfn.CONCAT(laptop[[#This Row],[CPU_company]]," ",laptop[[#This Row],[GPU_model]])</f>
        <v>Intel GeForce GTX 1060</v>
      </c>
    </row>
    <row r="843" spans="1:26" x14ac:dyDescent="0.25">
      <c r="A843" t="s">
        <v>65</v>
      </c>
      <c r="B843" t="s">
        <v>275</v>
      </c>
      <c r="C843" t="s">
        <v>83</v>
      </c>
      <c r="D843">
        <v>17.3</v>
      </c>
      <c r="E843">
        <v>32</v>
      </c>
      <c r="F843" t="s">
        <v>48</v>
      </c>
      <c r="G843">
        <v>4.42</v>
      </c>
      <c r="H843" s="16">
        <v>3072.89</v>
      </c>
      <c r="I843" t="s">
        <v>40</v>
      </c>
      <c r="J843">
        <v>1920</v>
      </c>
      <c r="K843">
        <v>1080</v>
      </c>
      <c r="L843" t="s">
        <v>27</v>
      </c>
      <c r="M843" t="s">
        <v>28</v>
      </c>
      <c r="N843" t="s">
        <v>27</v>
      </c>
      <c r="O843" t="s">
        <v>29</v>
      </c>
      <c r="P843">
        <v>2.8</v>
      </c>
      <c r="Q843" t="s">
        <v>118</v>
      </c>
      <c r="R843" t="str">
        <f>_xlfn.CONCAT(laptop[[#This Row],[CPU_company]]," ",laptop[[#This Row],[CPU_model]])</f>
        <v>Intel Core i7 7700HQ</v>
      </c>
      <c r="S843">
        <v>512</v>
      </c>
      <c r="T843">
        <v>1024</v>
      </c>
      <c r="U843">
        <f>laptop[[#This Row],[PrimaryStorage]]+laptop[[#This Row],[SecondaryStorage]]</f>
        <v>1536</v>
      </c>
      <c r="V843" t="s">
        <v>31</v>
      </c>
      <c r="W843" t="s">
        <v>51</v>
      </c>
      <c r="X843" t="str">
        <f>IF(laptop[[#This Row],[PrimaryStorageType]]=laptop[[#This Row],[SecondaryStorageType]],laptop[[#This Row],[PrimaryStorageType]],"SSD &amp; HDD")</f>
        <v>SSD &amp; HDD</v>
      </c>
      <c r="Y843" t="s">
        <v>143</v>
      </c>
      <c r="Z843" s="4" t="str">
        <f>_xlfn.CONCAT(laptop[[#This Row],[CPU_company]]," ",laptop[[#This Row],[GPU_model]])</f>
        <v>Intel GeForce GTX 1070</v>
      </c>
    </row>
    <row r="844" spans="1:26" x14ac:dyDescent="0.25">
      <c r="A844" t="s">
        <v>36</v>
      </c>
      <c r="B844" t="s">
        <v>97</v>
      </c>
      <c r="C844" t="s">
        <v>38</v>
      </c>
      <c r="D844">
        <v>17.3</v>
      </c>
      <c r="E844">
        <v>8</v>
      </c>
      <c r="F844" t="s">
        <v>48</v>
      </c>
      <c r="G844">
        <v>2.63</v>
      </c>
      <c r="H844" s="16">
        <v>910</v>
      </c>
      <c r="I844" t="s">
        <v>26</v>
      </c>
      <c r="J844">
        <v>1600</v>
      </c>
      <c r="K844">
        <v>900</v>
      </c>
      <c r="L844" t="s">
        <v>27</v>
      </c>
      <c r="M844" t="s">
        <v>27</v>
      </c>
      <c r="N844" t="s">
        <v>27</v>
      </c>
      <c r="O844" t="s">
        <v>29</v>
      </c>
      <c r="P844">
        <v>2.5</v>
      </c>
      <c r="Q844" t="s">
        <v>41</v>
      </c>
      <c r="R844" t="str">
        <f>_xlfn.CONCAT(laptop[[#This Row],[CPU_company]]," ",laptop[[#This Row],[CPU_model]])</f>
        <v>Intel Core i5 7200U</v>
      </c>
      <c r="S844">
        <v>1024</v>
      </c>
      <c r="T844">
        <v>0</v>
      </c>
      <c r="U844">
        <f>laptop[[#This Row],[PrimaryStorage]]+laptop[[#This Row],[SecondaryStorage]]</f>
        <v>1024</v>
      </c>
      <c r="V844" t="s">
        <v>51</v>
      </c>
      <c r="W844" t="s">
        <v>27</v>
      </c>
      <c r="X844" t="str">
        <f>IF(laptop[[#This Row],[PrimaryStorageType]]=laptop[[#This Row],[SecondaryStorageType]],laptop[[#This Row],[PrimaryStorageType]],"SSD &amp; HDD")</f>
        <v>SSD &amp; HDD</v>
      </c>
      <c r="Y844" t="s">
        <v>98</v>
      </c>
      <c r="Z844" s="4" t="str">
        <f>_xlfn.CONCAT(laptop[[#This Row],[CPU_company]]," ",laptop[[#This Row],[GPU_model]])</f>
        <v>Intel GeForce 930MX</v>
      </c>
    </row>
    <row r="845" spans="1:26" x14ac:dyDescent="0.25">
      <c r="A845" t="s">
        <v>65</v>
      </c>
      <c r="B845" t="s">
        <v>305</v>
      </c>
      <c r="C845" t="s">
        <v>38</v>
      </c>
      <c r="D845">
        <v>15.6</v>
      </c>
      <c r="E845">
        <v>8</v>
      </c>
      <c r="F845" t="s">
        <v>48</v>
      </c>
      <c r="G845">
        <v>2.1800000000000002</v>
      </c>
      <c r="H845" s="16">
        <v>713.99</v>
      </c>
      <c r="I845" t="s">
        <v>26</v>
      </c>
      <c r="J845">
        <v>1366</v>
      </c>
      <c r="K845">
        <v>768</v>
      </c>
      <c r="L845" t="s">
        <v>27</v>
      </c>
      <c r="M845" t="s">
        <v>27</v>
      </c>
      <c r="N845" t="s">
        <v>27</v>
      </c>
      <c r="O845" t="s">
        <v>29</v>
      </c>
      <c r="P845">
        <v>2.5</v>
      </c>
      <c r="Q845" t="s">
        <v>41</v>
      </c>
      <c r="R845" t="str">
        <f>_xlfn.CONCAT(laptop[[#This Row],[CPU_company]]," ",laptop[[#This Row],[CPU_model]])</f>
        <v>Intel Core i5 7200U</v>
      </c>
      <c r="S845">
        <v>128</v>
      </c>
      <c r="T845">
        <v>0</v>
      </c>
      <c r="U845">
        <f>laptop[[#This Row],[PrimaryStorage]]+laptop[[#This Row],[SecondaryStorage]]</f>
        <v>128</v>
      </c>
      <c r="V845" t="s">
        <v>31</v>
      </c>
      <c r="W845" t="s">
        <v>27</v>
      </c>
      <c r="X845" t="str">
        <f>IF(laptop[[#This Row],[PrimaryStorageType]]=laptop[[#This Row],[SecondaryStorageType]],laptop[[#This Row],[PrimaryStorageType]],"SSD &amp; HDD")</f>
        <v>SSD &amp; HDD</v>
      </c>
      <c r="Y845" t="s">
        <v>42</v>
      </c>
      <c r="Z845" s="4" t="str">
        <f>_xlfn.CONCAT(laptop[[#This Row],[CPU_company]]," ",laptop[[#This Row],[GPU_model]])</f>
        <v>Intel HD Graphics 620</v>
      </c>
    </row>
    <row r="846" spans="1:26" x14ac:dyDescent="0.25">
      <c r="A846" t="s">
        <v>36</v>
      </c>
      <c r="B846" t="s">
        <v>226</v>
      </c>
      <c r="C846" t="s">
        <v>24</v>
      </c>
      <c r="D846">
        <v>14</v>
      </c>
      <c r="E846">
        <v>8</v>
      </c>
      <c r="F846" t="s">
        <v>480</v>
      </c>
      <c r="G846">
        <v>1.54</v>
      </c>
      <c r="H846" s="16">
        <v>1870</v>
      </c>
      <c r="I846" t="s">
        <v>40</v>
      </c>
      <c r="J846">
        <v>1920</v>
      </c>
      <c r="K846">
        <v>1080</v>
      </c>
      <c r="L846" t="s">
        <v>27</v>
      </c>
      <c r="M846" t="s">
        <v>27</v>
      </c>
      <c r="N846" t="s">
        <v>27</v>
      </c>
      <c r="O846" t="s">
        <v>29</v>
      </c>
      <c r="P846">
        <v>2.5</v>
      </c>
      <c r="Q846" t="s">
        <v>274</v>
      </c>
      <c r="R846" t="str">
        <f>_xlfn.CONCAT(laptop[[#This Row],[CPU_company]]," ",laptop[[#This Row],[CPU_model]])</f>
        <v>Intel Core i7 6500U</v>
      </c>
      <c r="S846">
        <v>512</v>
      </c>
      <c r="T846">
        <v>0</v>
      </c>
      <c r="U846">
        <f>laptop[[#This Row],[PrimaryStorage]]+laptop[[#This Row],[SecondaryStorage]]</f>
        <v>512</v>
      </c>
      <c r="V846" t="s">
        <v>31</v>
      </c>
      <c r="W846" t="s">
        <v>27</v>
      </c>
      <c r="X846" t="str">
        <f>IF(laptop[[#This Row],[PrimaryStorageType]]=laptop[[#This Row],[SecondaryStorageType]],laptop[[#This Row],[PrimaryStorageType]],"SSD &amp; HDD")</f>
        <v>SSD &amp; HDD</v>
      </c>
      <c r="Y846" t="s">
        <v>63</v>
      </c>
      <c r="Z846" s="4" t="str">
        <f>_xlfn.CONCAT(laptop[[#This Row],[CPU_company]]," ",laptop[[#This Row],[GPU_model]])</f>
        <v>Intel HD Graphics 520</v>
      </c>
    </row>
    <row r="847" spans="1:26" x14ac:dyDescent="0.25">
      <c r="A847" t="s">
        <v>65</v>
      </c>
      <c r="B847" t="s">
        <v>305</v>
      </c>
      <c r="C847" t="s">
        <v>38</v>
      </c>
      <c r="D847">
        <v>15.6</v>
      </c>
      <c r="E847">
        <v>4</v>
      </c>
      <c r="F847" t="s">
        <v>48</v>
      </c>
      <c r="G847">
        <v>2.1800000000000002</v>
      </c>
      <c r="H847" s="16">
        <v>739</v>
      </c>
      <c r="I847" t="s">
        <v>40</v>
      </c>
      <c r="J847">
        <v>1920</v>
      </c>
      <c r="K847">
        <v>1080</v>
      </c>
      <c r="L847" t="s">
        <v>27</v>
      </c>
      <c r="M847" t="s">
        <v>27</v>
      </c>
      <c r="N847" t="s">
        <v>27</v>
      </c>
      <c r="O847" t="s">
        <v>29</v>
      </c>
      <c r="P847">
        <v>2.7</v>
      </c>
      <c r="Q847" t="s">
        <v>71</v>
      </c>
      <c r="R847" t="str">
        <f>_xlfn.CONCAT(laptop[[#This Row],[CPU_company]]," ",laptop[[#This Row],[CPU_model]])</f>
        <v>Intel Core i7 7500U</v>
      </c>
      <c r="S847">
        <v>256</v>
      </c>
      <c r="T847">
        <v>0</v>
      </c>
      <c r="U847">
        <f>laptop[[#This Row],[PrimaryStorage]]+laptop[[#This Row],[SecondaryStorage]]</f>
        <v>256</v>
      </c>
      <c r="V847" t="s">
        <v>31</v>
      </c>
      <c r="W847" t="s">
        <v>27</v>
      </c>
      <c r="X847" t="str">
        <f>IF(laptop[[#This Row],[PrimaryStorageType]]=laptop[[#This Row],[SecondaryStorageType]],laptop[[#This Row],[PrimaryStorageType]],"SSD &amp; HDD")</f>
        <v>SSD &amp; HDD</v>
      </c>
      <c r="Y847" t="s">
        <v>233</v>
      </c>
      <c r="Z847" s="4" t="str">
        <f>_xlfn.CONCAT(laptop[[#This Row],[CPU_company]]," ",laptop[[#This Row],[GPU_model]])</f>
        <v>Intel Radeon R5 M420</v>
      </c>
    </row>
    <row r="848" spans="1:26" x14ac:dyDescent="0.25">
      <c r="A848" t="s">
        <v>36</v>
      </c>
      <c r="B848" t="s">
        <v>574</v>
      </c>
      <c r="C848" t="s">
        <v>90</v>
      </c>
      <c r="D848">
        <v>11.6</v>
      </c>
      <c r="E848">
        <v>4</v>
      </c>
      <c r="F848" t="s">
        <v>317</v>
      </c>
      <c r="G848">
        <v>1.4</v>
      </c>
      <c r="H848" s="16">
        <v>615</v>
      </c>
      <c r="I848" t="s">
        <v>26</v>
      </c>
      <c r="J848">
        <v>1366</v>
      </c>
      <c r="K848">
        <v>768</v>
      </c>
      <c r="L848" t="s">
        <v>28</v>
      </c>
      <c r="M848" t="s">
        <v>27</v>
      </c>
      <c r="N848" t="s">
        <v>27</v>
      </c>
      <c r="O848" t="s">
        <v>29</v>
      </c>
      <c r="P848">
        <v>1.1000000000000001</v>
      </c>
      <c r="Q848" t="s">
        <v>109</v>
      </c>
      <c r="R848" t="str">
        <f>_xlfn.CONCAT(laptop[[#This Row],[CPU_company]]," ",laptop[[#This Row],[CPU_model]])</f>
        <v>Intel Celeron Dual Core N3350</v>
      </c>
      <c r="S848">
        <v>32</v>
      </c>
      <c r="T848">
        <v>0</v>
      </c>
      <c r="U848">
        <f>laptop[[#This Row],[PrimaryStorage]]+laptop[[#This Row],[SecondaryStorage]]</f>
        <v>32</v>
      </c>
      <c r="V848" t="s">
        <v>34</v>
      </c>
      <c r="W848" t="s">
        <v>27</v>
      </c>
      <c r="X848" t="str">
        <f>IF(laptop[[#This Row],[PrimaryStorageType]]=laptop[[#This Row],[SecondaryStorageType]],laptop[[#This Row],[PrimaryStorageType]],"SSD &amp; HDD")</f>
        <v>SSD &amp; HDD</v>
      </c>
      <c r="Y848" t="s">
        <v>110</v>
      </c>
      <c r="Z848" s="4" t="str">
        <f>_xlfn.CONCAT(laptop[[#This Row],[CPU_company]]," ",laptop[[#This Row],[GPU_model]])</f>
        <v>Intel HD Graphics 500</v>
      </c>
    </row>
    <row r="849" spans="1:26" x14ac:dyDescent="0.25">
      <c r="A849" t="s">
        <v>55</v>
      </c>
      <c r="B849" t="s">
        <v>678</v>
      </c>
      <c r="C849" t="s">
        <v>24</v>
      </c>
      <c r="D849">
        <v>13.3</v>
      </c>
      <c r="E849">
        <v>8</v>
      </c>
      <c r="F849" t="s">
        <v>48</v>
      </c>
      <c r="G849">
        <v>1.45</v>
      </c>
      <c r="H849" s="16">
        <v>1026</v>
      </c>
      <c r="I849" t="s">
        <v>40</v>
      </c>
      <c r="J849">
        <v>1920</v>
      </c>
      <c r="K849">
        <v>1080</v>
      </c>
      <c r="L849" t="s">
        <v>27</v>
      </c>
      <c r="M849" t="s">
        <v>28</v>
      </c>
      <c r="N849" t="s">
        <v>27</v>
      </c>
      <c r="O849" t="s">
        <v>29</v>
      </c>
      <c r="P849">
        <v>2.2999999999999998</v>
      </c>
      <c r="Q849" t="s">
        <v>212</v>
      </c>
      <c r="R849" t="str">
        <f>_xlfn.CONCAT(laptop[[#This Row],[CPU_company]]," ",laptop[[#This Row],[CPU_model]])</f>
        <v>Intel Core i5 6200U</v>
      </c>
      <c r="S849">
        <v>512</v>
      </c>
      <c r="T849">
        <v>0</v>
      </c>
      <c r="U849">
        <f>laptop[[#This Row],[PrimaryStorage]]+laptop[[#This Row],[SecondaryStorage]]</f>
        <v>512</v>
      </c>
      <c r="V849" t="s">
        <v>31</v>
      </c>
      <c r="W849" t="s">
        <v>27</v>
      </c>
      <c r="X849" t="str">
        <f>IF(laptop[[#This Row],[PrimaryStorageType]]=laptop[[#This Row],[SecondaryStorageType]],laptop[[#This Row],[PrimaryStorageType]],"SSD &amp; HDD")</f>
        <v>SSD &amp; HDD</v>
      </c>
      <c r="Y849" t="s">
        <v>679</v>
      </c>
      <c r="Z849" s="4" t="str">
        <f>_xlfn.CONCAT(laptop[[#This Row],[CPU_company]]," ",laptop[[#This Row],[GPU_model]])</f>
        <v>Intel GeForce 940M</v>
      </c>
    </row>
    <row r="850" spans="1:26" x14ac:dyDescent="0.25">
      <c r="A850" t="s">
        <v>36</v>
      </c>
      <c r="B850" t="s">
        <v>334</v>
      </c>
      <c r="C850" t="s">
        <v>90</v>
      </c>
      <c r="D850">
        <v>13.3</v>
      </c>
      <c r="E850">
        <v>8</v>
      </c>
      <c r="F850" t="s">
        <v>48</v>
      </c>
      <c r="G850">
        <v>1.28</v>
      </c>
      <c r="H850" s="16">
        <v>2277</v>
      </c>
      <c r="I850" t="s">
        <v>40</v>
      </c>
      <c r="J850">
        <v>1920</v>
      </c>
      <c r="K850">
        <v>1080</v>
      </c>
      <c r="L850" t="s">
        <v>28</v>
      </c>
      <c r="M850" t="s">
        <v>27</v>
      </c>
      <c r="N850" t="s">
        <v>27</v>
      </c>
      <c r="O850" t="s">
        <v>29</v>
      </c>
      <c r="P850">
        <v>2.5</v>
      </c>
      <c r="Q850" t="s">
        <v>41</v>
      </c>
      <c r="R850" t="str">
        <f>_xlfn.CONCAT(laptop[[#This Row],[CPU_company]]," ",laptop[[#This Row],[CPU_model]])</f>
        <v>Intel Core i5 7200U</v>
      </c>
      <c r="S850">
        <v>256</v>
      </c>
      <c r="T850">
        <v>0</v>
      </c>
      <c r="U850">
        <f>laptop[[#This Row],[PrimaryStorage]]+laptop[[#This Row],[SecondaryStorage]]</f>
        <v>256</v>
      </c>
      <c r="V850" t="s">
        <v>31</v>
      </c>
      <c r="W850" t="s">
        <v>27</v>
      </c>
      <c r="X850" t="str">
        <f>IF(laptop[[#This Row],[PrimaryStorageType]]=laptop[[#This Row],[SecondaryStorageType]],laptop[[#This Row],[PrimaryStorageType]],"SSD &amp; HDD")</f>
        <v>SSD &amp; HDD</v>
      </c>
      <c r="Y850" t="s">
        <v>42</v>
      </c>
      <c r="Z850" s="4" t="str">
        <f>_xlfn.CONCAT(laptop[[#This Row],[CPU_company]]," ",laptop[[#This Row],[GPU_model]])</f>
        <v>Intel HD Graphics 620</v>
      </c>
    </row>
    <row r="851" spans="1:26" x14ac:dyDescent="0.25">
      <c r="A851" t="s">
        <v>36</v>
      </c>
      <c r="B851" t="s">
        <v>226</v>
      </c>
      <c r="C851" t="s">
        <v>24</v>
      </c>
      <c r="D851">
        <v>14</v>
      </c>
      <c r="E851">
        <v>8</v>
      </c>
      <c r="F851" t="s">
        <v>48</v>
      </c>
      <c r="G851">
        <v>1.54</v>
      </c>
      <c r="H851" s="16">
        <v>1468</v>
      </c>
      <c r="I851" t="s">
        <v>40</v>
      </c>
      <c r="J851">
        <v>1920</v>
      </c>
      <c r="K851">
        <v>1080</v>
      </c>
      <c r="L851" t="s">
        <v>27</v>
      </c>
      <c r="M851" t="s">
        <v>27</v>
      </c>
      <c r="N851" t="s">
        <v>27</v>
      </c>
      <c r="O851" t="s">
        <v>29</v>
      </c>
      <c r="P851">
        <v>2.5</v>
      </c>
      <c r="Q851" t="s">
        <v>274</v>
      </c>
      <c r="R851" t="str">
        <f>_xlfn.CONCAT(laptop[[#This Row],[CPU_company]]," ",laptop[[#This Row],[CPU_model]])</f>
        <v>Intel Core i7 6500U</v>
      </c>
      <c r="S851">
        <v>512</v>
      </c>
      <c r="T851">
        <v>0</v>
      </c>
      <c r="U851">
        <f>laptop[[#This Row],[PrimaryStorage]]+laptop[[#This Row],[SecondaryStorage]]</f>
        <v>512</v>
      </c>
      <c r="V851" t="s">
        <v>31</v>
      </c>
      <c r="W851" t="s">
        <v>27</v>
      </c>
      <c r="X851" t="str">
        <f>IF(laptop[[#This Row],[PrimaryStorageType]]=laptop[[#This Row],[SecondaryStorageType]],laptop[[#This Row],[PrimaryStorageType]],"SSD &amp; HDD")</f>
        <v>SSD &amp; HDD</v>
      </c>
      <c r="Y851" t="s">
        <v>63</v>
      </c>
      <c r="Z851" s="4" t="str">
        <f>_xlfn.CONCAT(laptop[[#This Row],[CPU_company]]," ",laptop[[#This Row],[GPU_model]])</f>
        <v>Intel HD Graphics 520</v>
      </c>
    </row>
    <row r="852" spans="1:26" x14ac:dyDescent="0.25">
      <c r="A852" t="s">
        <v>36</v>
      </c>
      <c r="B852" t="s">
        <v>37</v>
      </c>
      <c r="C852" t="s">
        <v>38</v>
      </c>
      <c r="D852">
        <v>15.6</v>
      </c>
      <c r="E852">
        <v>4</v>
      </c>
      <c r="F852" t="s">
        <v>39</v>
      </c>
      <c r="G852">
        <v>1.86</v>
      </c>
      <c r="H852" s="16">
        <v>299</v>
      </c>
      <c r="I852" t="s">
        <v>26</v>
      </c>
      <c r="J852">
        <v>1366</v>
      </c>
      <c r="K852">
        <v>768</v>
      </c>
      <c r="L852" t="s">
        <v>27</v>
      </c>
      <c r="M852" t="s">
        <v>27</v>
      </c>
      <c r="N852" t="s">
        <v>27</v>
      </c>
      <c r="O852" t="s">
        <v>29</v>
      </c>
      <c r="P852">
        <v>1.6</v>
      </c>
      <c r="Q852" t="s">
        <v>151</v>
      </c>
      <c r="R852" t="str">
        <f>_xlfn.CONCAT(laptop[[#This Row],[CPU_company]]," ",laptop[[#This Row],[CPU_model]])</f>
        <v>Intel Celeron Dual Core N3060</v>
      </c>
      <c r="S852">
        <v>128</v>
      </c>
      <c r="T852">
        <v>0</v>
      </c>
      <c r="U852">
        <f>laptop[[#This Row],[PrimaryStorage]]+laptop[[#This Row],[SecondaryStorage]]</f>
        <v>128</v>
      </c>
      <c r="V852" t="s">
        <v>31</v>
      </c>
      <c r="W852" t="s">
        <v>27</v>
      </c>
      <c r="X852" t="str">
        <f>IF(laptop[[#This Row],[PrimaryStorageType]]=laptop[[#This Row],[SecondaryStorageType]],laptop[[#This Row],[PrimaryStorageType]],"SSD &amp; HDD")</f>
        <v>SSD &amp; HDD</v>
      </c>
      <c r="Y852" t="s">
        <v>81</v>
      </c>
      <c r="Z852" s="4" t="str">
        <f>_xlfn.CONCAT(laptop[[#This Row],[CPU_company]]," ",laptop[[#This Row],[GPU_model]])</f>
        <v>Intel HD Graphics 400</v>
      </c>
    </row>
    <row r="853" spans="1:26" x14ac:dyDescent="0.25">
      <c r="A853" t="s">
        <v>55</v>
      </c>
      <c r="B853" t="s">
        <v>680</v>
      </c>
      <c r="C853" t="s">
        <v>83</v>
      </c>
      <c r="D853">
        <v>15.6</v>
      </c>
      <c r="E853">
        <v>16</v>
      </c>
      <c r="F853" t="s">
        <v>48</v>
      </c>
      <c r="G853">
        <v>2.1</v>
      </c>
      <c r="H853" s="16">
        <v>1899</v>
      </c>
      <c r="I853" t="s">
        <v>40</v>
      </c>
      <c r="J853">
        <v>1920</v>
      </c>
      <c r="K853">
        <v>1080</v>
      </c>
      <c r="L853" t="s">
        <v>27</v>
      </c>
      <c r="M853" t="s">
        <v>27</v>
      </c>
      <c r="N853" t="s">
        <v>27</v>
      </c>
      <c r="O853" t="s">
        <v>29</v>
      </c>
      <c r="P853">
        <v>2.8</v>
      </c>
      <c r="Q853" t="s">
        <v>118</v>
      </c>
      <c r="R853" t="str">
        <f>_xlfn.CONCAT(laptop[[#This Row],[CPU_company]]," ",laptop[[#This Row],[CPU_model]])</f>
        <v>Intel Core i7 7700HQ</v>
      </c>
      <c r="S853">
        <v>128</v>
      </c>
      <c r="T853">
        <v>1024</v>
      </c>
      <c r="U853">
        <f>laptop[[#This Row],[PrimaryStorage]]+laptop[[#This Row],[SecondaryStorage]]</f>
        <v>1152</v>
      </c>
      <c r="V853" t="s">
        <v>31</v>
      </c>
      <c r="W853" t="s">
        <v>51</v>
      </c>
      <c r="X853" t="str">
        <f>IF(laptop[[#This Row],[PrimaryStorageType]]=laptop[[#This Row],[SecondaryStorageType]],laptop[[#This Row],[PrimaryStorageType]],"SSD &amp; HDD")</f>
        <v>SSD &amp; HDD</v>
      </c>
      <c r="Y853" t="s">
        <v>119</v>
      </c>
      <c r="Z853" s="4" t="str">
        <f>_xlfn.CONCAT(laptop[[#This Row],[CPU_company]]," ",laptop[[#This Row],[GPU_model]])</f>
        <v>Intel GeForce GTX 1060</v>
      </c>
    </row>
    <row r="854" spans="1:26" x14ac:dyDescent="0.25">
      <c r="A854" t="s">
        <v>65</v>
      </c>
      <c r="B854" t="s">
        <v>681</v>
      </c>
      <c r="C854" t="s">
        <v>38</v>
      </c>
      <c r="D854">
        <v>17.3</v>
      </c>
      <c r="E854">
        <v>8</v>
      </c>
      <c r="F854" t="s">
        <v>111</v>
      </c>
      <c r="G854">
        <v>2.83</v>
      </c>
      <c r="H854" s="16">
        <v>865</v>
      </c>
      <c r="I854" t="s">
        <v>40</v>
      </c>
      <c r="J854">
        <v>1920</v>
      </c>
      <c r="K854">
        <v>1080</v>
      </c>
      <c r="L854" t="s">
        <v>27</v>
      </c>
      <c r="M854" t="s">
        <v>27</v>
      </c>
      <c r="N854" t="s">
        <v>27</v>
      </c>
      <c r="O854" t="s">
        <v>29</v>
      </c>
      <c r="P854">
        <v>2.7</v>
      </c>
      <c r="Q854" t="s">
        <v>71</v>
      </c>
      <c r="R854" t="str">
        <f>_xlfn.CONCAT(laptop[[#This Row],[CPU_company]]," ",laptop[[#This Row],[CPU_model]])</f>
        <v>Intel Core i7 7500U</v>
      </c>
      <c r="S854">
        <v>1024</v>
      </c>
      <c r="T854">
        <v>0</v>
      </c>
      <c r="U854">
        <f>laptop[[#This Row],[PrimaryStorage]]+laptop[[#This Row],[SecondaryStorage]]</f>
        <v>1024</v>
      </c>
      <c r="V854" t="s">
        <v>51</v>
      </c>
      <c r="W854" t="s">
        <v>27</v>
      </c>
      <c r="X854" t="str">
        <f>IF(laptop[[#This Row],[PrimaryStorageType]]=laptop[[#This Row],[SecondaryStorageType]],laptop[[#This Row],[PrimaryStorageType]],"SSD &amp; HDD")</f>
        <v>SSD &amp; HDD</v>
      </c>
      <c r="Y854" t="s">
        <v>201</v>
      </c>
      <c r="Z854" s="4" t="str">
        <f>_xlfn.CONCAT(laptop[[#This Row],[CPU_company]]," ",laptop[[#This Row],[GPU_model]])</f>
        <v>Intel Radeon R7 M445</v>
      </c>
    </row>
    <row r="855" spans="1:26" x14ac:dyDescent="0.25">
      <c r="A855" t="s">
        <v>73</v>
      </c>
      <c r="B855" t="s">
        <v>682</v>
      </c>
      <c r="C855" t="s">
        <v>24</v>
      </c>
      <c r="D855">
        <v>14</v>
      </c>
      <c r="E855">
        <v>8</v>
      </c>
      <c r="F855" t="s">
        <v>48</v>
      </c>
      <c r="G855">
        <v>1.96</v>
      </c>
      <c r="H855" s="16">
        <v>1903</v>
      </c>
      <c r="I855" t="s">
        <v>40</v>
      </c>
      <c r="J855">
        <v>1920</v>
      </c>
      <c r="K855">
        <v>1080</v>
      </c>
      <c r="L855" t="s">
        <v>27</v>
      </c>
      <c r="M855" t="s">
        <v>28</v>
      </c>
      <c r="N855" t="s">
        <v>27</v>
      </c>
      <c r="O855" t="s">
        <v>29</v>
      </c>
      <c r="P855">
        <v>2.8</v>
      </c>
      <c r="Q855" t="s">
        <v>118</v>
      </c>
      <c r="R855" t="str">
        <f>_xlfn.CONCAT(laptop[[#This Row],[CPU_company]]," ",laptop[[#This Row],[CPU_model]])</f>
        <v>Intel Core i7 7700HQ</v>
      </c>
      <c r="S855">
        <v>256</v>
      </c>
      <c r="T855">
        <v>0</v>
      </c>
      <c r="U855">
        <f>laptop[[#This Row],[PrimaryStorage]]+laptop[[#This Row],[SecondaryStorage]]</f>
        <v>256</v>
      </c>
      <c r="V855" t="s">
        <v>31</v>
      </c>
      <c r="W855" t="s">
        <v>27</v>
      </c>
      <c r="X855" t="str">
        <f>IF(laptop[[#This Row],[PrimaryStorageType]]=laptop[[#This Row],[SecondaryStorageType]],laptop[[#This Row],[PrimaryStorageType]],"SSD &amp; HDD")</f>
        <v>SSD &amp; HDD</v>
      </c>
      <c r="Y855" t="s">
        <v>371</v>
      </c>
      <c r="Z855" s="4" t="str">
        <f>_xlfn.CONCAT(laptop[[#This Row],[CPU_company]]," ",laptop[[#This Row],[GPU_model]])</f>
        <v>Intel GeForce GT 940MX</v>
      </c>
    </row>
    <row r="856" spans="1:26" x14ac:dyDescent="0.25">
      <c r="A856" t="s">
        <v>55</v>
      </c>
      <c r="B856" t="s">
        <v>683</v>
      </c>
      <c r="C856" t="s">
        <v>38</v>
      </c>
      <c r="D856">
        <v>15.6</v>
      </c>
      <c r="E856">
        <v>8</v>
      </c>
      <c r="F856" t="s">
        <v>48</v>
      </c>
      <c r="G856">
        <v>2.2999999999999998</v>
      </c>
      <c r="H856" s="16">
        <v>787</v>
      </c>
      <c r="I856" t="s">
        <v>40</v>
      </c>
      <c r="J856">
        <v>1920</v>
      </c>
      <c r="K856">
        <v>1080</v>
      </c>
      <c r="L856" t="s">
        <v>27</v>
      </c>
      <c r="M856" t="s">
        <v>28</v>
      </c>
      <c r="N856" t="s">
        <v>27</v>
      </c>
      <c r="O856" t="s">
        <v>29</v>
      </c>
      <c r="P856">
        <v>2.7</v>
      </c>
      <c r="Q856" t="s">
        <v>71</v>
      </c>
      <c r="R856" t="str">
        <f>_xlfn.CONCAT(laptop[[#This Row],[CPU_company]]," ",laptop[[#This Row],[CPU_model]])</f>
        <v>Intel Core i7 7500U</v>
      </c>
      <c r="S856">
        <v>256</v>
      </c>
      <c r="T856">
        <v>0</v>
      </c>
      <c r="U856">
        <f>laptop[[#This Row],[PrimaryStorage]]+laptop[[#This Row],[SecondaryStorage]]</f>
        <v>256</v>
      </c>
      <c r="V856" t="s">
        <v>31</v>
      </c>
      <c r="W856" t="s">
        <v>27</v>
      </c>
      <c r="X856" t="str">
        <f>IF(laptop[[#This Row],[PrimaryStorageType]]=laptop[[#This Row],[SecondaryStorageType]],laptop[[#This Row],[PrimaryStorageType]],"SSD &amp; HDD")</f>
        <v>SSD &amp; HDD</v>
      </c>
      <c r="Y856" t="s">
        <v>684</v>
      </c>
      <c r="Z856" s="4" t="str">
        <f>_xlfn.CONCAT(laptop[[#This Row],[CPU_company]]," ",laptop[[#This Row],[GPU_model]])</f>
        <v>Intel GeForce GTX 930MX</v>
      </c>
    </row>
    <row r="857" spans="1:26" x14ac:dyDescent="0.25">
      <c r="A857" t="s">
        <v>65</v>
      </c>
      <c r="B857" t="s">
        <v>481</v>
      </c>
      <c r="C857" t="s">
        <v>38</v>
      </c>
      <c r="D857">
        <v>15.6</v>
      </c>
      <c r="E857">
        <v>8</v>
      </c>
      <c r="F857" t="s">
        <v>48</v>
      </c>
      <c r="G857">
        <v>1.9</v>
      </c>
      <c r="H857" s="16">
        <v>945</v>
      </c>
      <c r="I857" t="s">
        <v>40</v>
      </c>
      <c r="J857">
        <v>1920</v>
      </c>
      <c r="K857">
        <v>1080</v>
      </c>
      <c r="L857" t="s">
        <v>27</v>
      </c>
      <c r="M857" t="s">
        <v>27</v>
      </c>
      <c r="N857" t="s">
        <v>27</v>
      </c>
      <c r="O857" t="s">
        <v>29</v>
      </c>
      <c r="P857">
        <v>2.5</v>
      </c>
      <c r="Q857" t="s">
        <v>41</v>
      </c>
      <c r="R857" t="str">
        <f>_xlfn.CONCAT(laptop[[#This Row],[CPU_company]]," ",laptop[[#This Row],[CPU_model]])</f>
        <v>Intel Core i5 7200U</v>
      </c>
      <c r="S857">
        <v>128</v>
      </c>
      <c r="T857">
        <v>0</v>
      </c>
      <c r="U857">
        <f>laptop[[#This Row],[PrimaryStorage]]+laptop[[#This Row],[SecondaryStorage]]</f>
        <v>128</v>
      </c>
      <c r="V857" t="s">
        <v>31</v>
      </c>
      <c r="W857" t="s">
        <v>27</v>
      </c>
      <c r="X857" t="str">
        <f>IF(laptop[[#This Row],[PrimaryStorageType]]=laptop[[#This Row],[SecondaryStorageType]],laptop[[#This Row],[PrimaryStorageType]],"SSD &amp; HDD")</f>
        <v>SSD &amp; HDD</v>
      </c>
      <c r="Y857" t="s">
        <v>42</v>
      </c>
      <c r="Z857" s="4" t="str">
        <f>_xlfn.CONCAT(laptop[[#This Row],[CPU_company]]," ",laptop[[#This Row],[GPU_model]])</f>
        <v>Intel HD Graphics 620</v>
      </c>
    </row>
    <row r="858" spans="1:26" x14ac:dyDescent="0.25">
      <c r="A858" t="s">
        <v>55</v>
      </c>
      <c r="B858" t="s">
        <v>685</v>
      </c>
      <c r="C858" t="s">
        <v>38</v>
      </c>
      <c r="D858">
        <v>15.6</v>
      </c>
      <c r="E858">
        <v>4</v>
      </c>
      <c r="F858" t="s">
        <v>48</v>
      </c>
      <c r="G858">
        <v>2</v>
      </c>
      <c r="H858" s="16">
        <v>449</v>
      </c>
      <c r="I858" t="s">
        <v>26</v>
      </c>
      <c r="J858">
        <v>1366</v>
      </c>
      <c r="K858">
        <v>768</v>
      </c>
      <c r="L858" t="s">
        <v>27</v>
      </c>
      <c r="M858" t="s">
        <v>27</v>
      </c>
      <c r="N858" t="s">
        <v>27</v>
      </c>
      <c r="O858" t="s">
        <v>29</v>
      </c>
      <c r="P858">
        <v>1.1000000000000001</v>
      </c>
      <c r="Q858" t="s">
        <v>130</v>
      </c>
      <c r="R858" t="str">
        <f>_xlfn.CONCAT(laptop[[#This Row],[CPU_company]]," ",laptop[[#This Row],[CPU_model]])</f>
        <v>Intel Pentium Quad Core N4200</v>
      </c>
      <c r="S858">
        <v>1024</v>
      </c>
      <c r="T858">
        <v>0</v>
      </c>
      <c r="U858">
        <f>laptop[[#This Row],[PrimaryStorage]]+laptop[[#This Row],[SecondaryStorage]]</f>
        <v>1024</v>
      </c>
      <c r="V858" t="s">
        <v>51</v>
      </c>
      <c r="W858" t="s">
        <v>27</v>
      </c>
      <c r="X858" t="str">
        <f>IF(laptop[[#This Row],[PrimaryStorageType]]=laptop[[#This Row],[SecondaryStorageType]],laptop[[#This Row],[PrimaryStorageType]],"SSD &amp; HDD")</f>
        <v>SSD &amp; HDD</v>
      </c>
      <c r="Y858" t="s">
        <v>237</v>
      </c>
      <c r="Z858" s="4" t="str">
        <f>_xlfn.CONCAT(laptop[[#This Row],[CPU_company]]," ",laptop[[#This Row],[GPU_model]])</f>
        <v>Intel HD Graphics 505</v>
      </c>
    </row>
    <row r="859" spans="1:26" x14ac:dyDescent="0.25">
      <c r="A859" t="s">
        <v>36</v>
      </c>
      <c r="B859" t="s">
        <v>334</v>
      </c>
      <c r="C859" t="s">
        <v>90</v>
      </c>
      <c r="D859">
        <v>13.3</v>
      </c>
      <c r="E859">
        <v>8</v>
      </c>
      <c r="F859" t="s">
        <v>48</v>
      </c>
      <c r="G859">
        <v>1.28</v>
      </c>
      <c r="H859" s="16">
        <v>2559</v>
      </c>
      <c r="I859" t="s">
        <v>40</v>
      </c>
      <c r="J859">
        <v>1920</v>
      </c>
      <c r="K859">
        <v>1080</v>
      </c>
      <c r="L859" t="s">
        <v>28</v>
      </c>
      <c r="M859" t="s">
        <v>27</v>
      </c>
      <c r="N859" t="s">
        <v>27</v>
      </c>
      <c r="O859" t="s">
        <v>29</v>
      </c>
      <c r="P859">
        <v>2.8</v>
      </c>
      <c r="Q859" t="s">
        <v>335</v>
      </c>
      <c r="R859" t="str">
        <f>_xlfn.CONCAT(laptop[[#This Row],[CPU_company]]," ",laptop[[#This Row],[CPU_model]])</f>
        <v>Intel Core i7 7600U</v>
      </c>
      <c r="S859">
        <v>256</v>
      </c>
      <c r="T859">
        <v>0</v>
      </c>
      <c r="U859">
        <f>laptop[[#This Row],[PrimaryStorage]]+laptop[[#This Row],[SecondaryStorage]]</f>
        <v>256</v>
      </c>
      <c r="V859" t="s">
        <v>31</v>
      </c>
      <c r="W859" t="s">
        <v>27</v>
      </c>
      <c r="X859" t="str">
        <f>IF(laptop[[#This Row],[PrimaryStorageType]]=laptop[[#This Row],[SecondaryStorageType]],laptop[[#This Row],[PrimaryStorageType]],"SSD &amp; HDD")</f>
        <v>SSD &amp; HDD</v>
      </c>
      <c r="Y859" t="s">
        <v>42</v>
      </c>
      <c r="Z859" s="4" t="str">
        <f>_xlfn.CONCAT(laptop[[#This Row],[CPU_company]]," ",laptop[[#This Row],[GPU_model]])</f>
        <v>Intel HD Graphics 620</v>
      </c>
    </row>
    <row r="860" spans="1:26" x14ac:dyDescent="0.25">
      <c r="A860" t="s">
        <v>65</v>
      </c>
      <c r="B860" t="s">
        <v>686</v>
      </c>
      <c r="C860" t="s">
        <v>38</v>
      </c>
      <c r="D860">
        <v>13.3</v>
      </c>
      <c r="E860">
        <v>8</v>
      </c>
      <c r="F860" t="s">
        <v>48</v>
      </c>
      <c r="G860">
        <v>1.62</v>
      </c>
      <c r="H860" s="16">
        <v>649</v>
      </c>
      <c r="I860" t="s">
        <v>40</v>
      </c>
      <c r="J860">
        <v>1920</v>
      </c>
      <c r="K860">
        <v>1080</v>
      </c>
      <c r="L860" t="s">
        <v>28</v>
      </c>
      <c r="M860" t="s">
        <v>27</v>
      </c>
      <c r="N860" t="s">
        <v>27</v>
      </c>
      <c r="O860" t="s">
        <v>29</v>
      </c>
      <c r="P860">
        <v>2.2999999999999998</v>
      </c>
      <c r="Q860" t="s">
        <v>212</v>
      </c>
      <c r="R860" t="str">
        <f>_xlfn.CONCAT(laptop[[#This Row],[CPU_company]]," ",laptop[[#This Row],[CPU_model]])</f>
        <v>Intel Core i5 6200U</v>
      </c>
      <c r="S860">
        <v>1024</v>
      </c>
      <c r="T860">
        <v>0</v>
      </c>
      <c r="U860">
        <f>laptop[[#This Row],[PrimaryStorage]]+laptop[[#This Row],[SecondaryStorage]]</f>
        <v>1024</v>
      </c>
      <c r="V860" t="s">
        <v>51</v>
      </c>
      <c r="W860" t="s">
        <v>27</v>
      </c>
      <c r="X860" t="str">
        <f>IF(laptop[[#This Row],[PrimaryStorageType]]=laptop[[#This Row],[SecondaryStorageType]],laptop[[#This Row],[PrimaryStorageType]],"SSD &amp; HDD")</f>
        <v>SSD &amp; HDD</v>
      </c>
      <c r="Y860" t="s">
        <v>63</v>
      </c>
      <c r="Z860" s="4" t="str">
        <f>_xlfn.CONCAT(laptop[[#This Row],[CPU_company]]," ",laptop[[#This Row],[GPU_model]])</f>
        <v>Intel HD Graphics 520</v>
      </c>
    </row>
    <row r="861" spans="1:26" x14ac:dyDescent="0.25">
      <c r="A861" t="s">
        <v>73</v>
      </c>
      <c r="B861" t="s">
        <v>525</v>
      </c>
      <c r="C861" t="s">
        <v>38</v>
      </c>
      <c r="D861">
        <v>15.6</v>
      </c>
      <c r="E861">
        <v>4</v>
      </c>
      <c r="F861" t="s">
        <v>39</v>
      </c>
      <c r="G861">
        <v>2.2000000000000002</v>
      </c>
      <c r="H861" s="16">
        <v>469</v>
      </c>
      <c r="I861" t="s">
        <v>40</v>
      </c>
      <c r="J861">
        <v>1920</v>
      </c>
      <c r="K861">
        <v>1080</v>
      </c>
      <c r="L861" t="s">
        <v>27</v>
      </c>
      <c r="M861" t="s">
        <v>27</v>
      </c>
      <c r="N861" t="s">
        <v>27</v>
      </c>
      <c r="O861" t="s">
        <v>29</v>
      </c>
      <c r="P861">
        <v>2</v>
      </c>
      <c r="Q861" t="s">
        <v>62</v>
      </c>
      <c r="R861" t="str">
        <f>_xlfn.CONCAT(laptop[[#This Row],[CPU_company]]," ",laptop[[#This Row],[CPU_model]])</f>
        <v>Intel Core i3 6006U</v>
      </c>
      <c r="S861">
        <v>1024</v>
      </c>
      <c r="T861">
        <v>0</v>
      </c>
      <c r="U861">
        <f>laptop[[#This Row],[PrimaryStorage]]+laptop[[#This Row],[SecondaryStorage]]</f>
        <v>1024</v>
      </c>
      <c r="V861" t="s">
        <v>51</v>
      </c>
      <c r="W861" t="s">
        <v>27</v>
      </c>
      <c r="X861" t="str">
        <f>IF(laptop[[#This Row],[PrimaryStorageType]]=laptop[[#This Row],[SecondaryStorageType]],laptop[[#This Row],[PrimaryStorageType]],"SSD &amp; HDD")</f>
        <v>SSD &amp; HDD</v>
      </c>
      <c r="Y861" t="s">
        <v>63</v>
      </c>
      <c r="Z861" s="4" t="str">
        <f>_xlfn.CONCAT(laptop[[#This Row],[CPU_company]]," ",laptop[[#This Row],[GPU_model]])</f>
        <v>Intel HD Graphics 520</v>
      </c>
    </row>
    <row r="862" spans="1:26" x14ac:dyDescent="0.25">
      <c r="A862" t="s">
        <v>73</v>
      </c>
      <c r="B862" t="s">
        <v>453</v>
      </c>
      <c r="C862" t="s">
        <v>38</v>
      </c>
      <c r="D862">
        <v>15.6</v>
      </c>
      <c r="E862">
        <v>8</v>
      </c>
      <c r="F862" t="s">
        <v>48</v>
      </c>
      <c r="G862">
        <v>2.2999999999999998</v>
      </c>
      <c r="H862" s="16">
        <v>850.66</v>
      </c>
      <c r="I862" t="s">
        <v>40</v>
      </c>
      <c r="J862">
        <v>1920</v>
      </c>
      <c r="K862">
        <v>1080</v>
      </c>
      <c r="L862" t="s">
        <v>27</v>
      </c>
      <c r="M862" t="s">
        <v>28</v>
      </c>
      <c r="N862" t="s">
        <v>27</v>
      </c>
      <c r="O862" t="s">
        <v>29</v>
      </c>
      <c r="P862">
        <v>2.5</v>
      </c>
      <c r="Q862" t="s">
        <v>41</v>
      </c>
      <c r="R862" t="str">
        <f>_xlfn.CONCAT(laptop[[#This Row],[CPU_company]]," ",laptop[[#This Row],[CPU_model]])</f>
        <v>Intel Core i5 7200U</v>
      </c>
      <c r="S862">
        <v>1024</v>
      </c>
      <c r="T862">
        <v>0</v>
      </c>
      <c r="U862">
        <f>laptop[[#This Row],[PrimaryStorage]]+laptop[[#This Row],[SecondaryStorage]]</f>
        <v>1024</v>
      </c>
      <c r="V862" t="s">
        <v>51</v>
      </c>
      <c r="W862" t="s">
        <v>27</v>
      </c>
      <c r="X862" t="str">
        <f>IF(laptop[[#This Row],[PrimaryStorageType]]=laptop[[#This Row],[SecondaryStorageType]],laptop[[#This Row],[PrimaryStorageType]],"SSD &amp; HDD")</f>
        <v>SSD &amp; HDD</v>
      </c>
      <c r="Y862" t="s">
        <v>42</v>
      </c>
      <c r="Z862" s="4" t="str">
        <f>_xlfn.CONCAT(laptop[[#This Row],[CPU_company]]," ",laptop[[#This Row],[GPU_model]])</f>
        <v>Intel HD Graphics 620</v>
      </c>
    </row>
    <row r="863" spans="1:26" x14ac:dyDescent="0.25">
      <c r="A863" t="s">
        <v>36</v>
      </c>
      <c r="B863" t="s">
        <v>527</v>
      </c>
      <c r="C863" t="s">
        <v>38</v>
      </c>
      <c r="D863">
        <v>15.6</v>
      </c>
      <c r="E863">
        <v>8</v>
      </c>
      <c r="F863" t="s">
        <v>48</v>
      </c>
      <c r="G863">
        <v>1.84</v>
      </c>
      <c r="H863" s="16">
        <v>1349</v>
      </c>
      <c r="I863" t="s">
        <v>40</v>
      </c>
      <c r="J863">
        <v>1920</v>
      </c>
      <c r="K863">
        <v>1080</v>
      </c>
      <c r="L863" t="s">
        <v>27</v>
      </c>
      <c r="M863" t="s">
        <v>27</v>
      </c>
      <c r="N863" t="s">
        <v>27</v>
      </c>
      <c r="O863" t="s">
        <v>29</v>
      </c>
      <c r="P863">
        <v>2.6</v>
      </c>
      <c r="Q863" t="s">
        <v>358</v>
      </c>
      <c r="R863" t="str">
        <f>_xlfn.CONCAT(laptop[[#This Row],[CPU_company]]," ",laptop[[#This Row],[CPU_model]])</f>
        <v>Intel Core i5 7300U</v>
      </c>
      <c r="S863">
        <v>256</v>
      </c>
      <c r="T863">
        <v>0</v>
      </c>
      <c r="U863">
        <f>laptop[[#This Row],[PrimaryStorage]]+laptop[[#This Row],[SecondaryStorage]]</f>
        <v>256</v>
      </c>
      <c r="V863" t="s">
        <v>31</v>
      </c>
      <c r="W863" t="s">
        <v>27</v>
      </c>
      <c r="X863" t="str">
        <f>IF(laptop[[#This Row],[PrimaryStorageType]]=laptop[[#This Row],[SecondaryStorageType]],laptop[[#This Row],[PrimaryStorageType]],"SSD &amp; HDD")</f>
        <v>SSD &amp; HDD</v>
      </c>
      <c r="Y863" t="s">
        <v>687</v>
      </c>
      <c r="Z863" s="4" t="str">
        <f>_xlfn.CONCAT(laptop[[#This Row],[CPU_company]]," ",laptop[[#This Row],[GPU_model]])</f>
        <v>Intel Radeon R7 M465</v>
      </c>
    </row>
    <row r="864" spans="1:26" x14ac:dyDescent="0.25">
      <c r="A864" t="s">
        <v>210</v>
      </c>
      <c r="B864" t="s">
        <v>688</v>
      </c>
      <c r="C864" t="s">
        <v>38</v>
      </c>
      <c r="D864">
        <v>13.3</v>
      </c>
      <c r="E864">
        <v>4</v>
      </c>
      <c r="F864" t="s">
        <v>48</v>
      </c>
      <c r="G864">
        <v>1.05</v>
      </c>
      <c r="H864" s="16">
        <v>1285</v>
      </c>
      <c r="I864" t="s">
        <v>40</v>
      </c>
      <c r="J864">
        <v>1920</v>
      </c>
      <c r="K864">
        <v>1080</v>
      </c>
      <c r="L864" t="s">
        <v>27</v>
      </c>
      <c r="M864" t="s">
        <v>27</v>
      </c>
      <c r="N864" t="s">
        <v>27</v>
      </c>
      <c r="O864" t="s">
        <v>29</v>
      </c>
      <c r="P864">
        <v>2.5</v>
      </c>
      <c r="Q864" t="s">
        <v>41</v>
      </c>
      <c r="R864" t="str">
        <f>_xlfn.CONCAT(laptop[[#This Row],[CPU_company]]," ",laptop[[#This Row],[CPU_model]])</f>
        <v>Intel Core i5 7200U</v>
      </c>
      <c r="S864">
        <v>128</v>
      </c>
      <c r="T864">
        <v>0</v>
      </c>
      <c r="U864">
        <f>laptop[[#This Row],[PrimaryStorage]]+laptop[[#This Row],[SecondaryStorage]]</f>
        <v>128</v>
      </c>
      <c r="V864" t="s">
        <v>31</v>
      </c>
      <c r="W864" t="s">
        <v>27</v>
      </c>
      <c r="X864" t="str">
        <f>IF(laptop[[#This Row],[PrimaryStorageType]]=laptop[[#This Row],[SecondaryStorageType]],laptop[[#This Row],[PrimaryStorageType]],"SSD &amp; HDD")</f>
        <v>SSD &amp; HDD</v>
      </c>
      <c r="Y864" t="s">
        <v>42</v>
      </c>
      <c r="Z864" s="4" t="str">
        <f>_xlfn.CONCAT(laptop[[#This Row],[CPU_company]]," ",laptop[[#This Row],[GPU_model]])</f>
        <v>Intel HD Graphics 620</v>
      </c>
    </row>
    <row r="865" spans="1:26" x14ac:dyDescent="0.25">
      <c r="A865" t="s">
        <v>73</v>
      </c>
      <c r="B865" t="s">
        <v>82</v>
      </c>
      <c r="C865" t="s">
        <v>83</v>
      </c>
      <c r="D865">
        <v>15.6</v>
      </c>
      <c r="E865">
        <v>8</v>
      </c>
      <c r="F865" t="s">
        <v>39</v>
      </c>
      <c r="G865">
        <v>2.5</v>
      </c>
      <c r="H865" s="16">
        <v>1017</v>
      </c>
      <c r="I865" t="s">
        <v>40</v>
      </c>
      <c r="J865">
        <v>1920</v>
      </c>
      <c r="K865">
        <v>1080</v>
      </c>
      <c r="L865" t="s">
        <v>27</v>
      </c>
      <c r="M865" t="s">
        <v>28</v>
      </c>
      <c r="N865" t="s">
        <v>27</v>
      </c>
      <c r="O865" t="s">
        <v>29</v>
      </c>
      <c r="P865">
        <v>2.5</v>
      </c>
      <c r="Q865" t="s">
        <v>84</v>
      </c>
      <c r="R865" t="str">
        <f>_xlfn.CONCAT(laptop[[#This Row],[CPU_company]]," ",laptop[[#This Row],[CPU_model]])</f>
        <v>Intel Core i5 7300HQ</v>
      </c>
      <c r="S865">
        <v>1024</v>
      </c>
      <c r="T865">
        <v>0</v>
      </c>
      <c r="U865">
        <f>laptop[[#This Row],[PrimaryStorage]]+laptop[[#This Row],[SecondaryStorage]]</f>
        <v>1024</v>
      </c>
      <c r="V865" t="s">
        <v>51</v>
      </c>
      <c r="W865" t="s">
        <v>27</v>
      </c>
      <c r="X865" t="str">
        <f>IF(laptop[[#This Row],[PrimaryStorageType]]=laptop[[#This Row],[SecondaryStorageType]],laptop[[#This Row],[PrimaryStorageType]],"SSD &amp; HDD")</f>
        <v>SSD &amp; HDD</v>
      </c>
      <c r="Y865" t="s">
        <v>85</v>
      </c>
      <c r="Z865" s="4" t="str">
        <f>_xlfn.CONCAT(laptop[[#This Row],[CPU_company]]," ",laptop[[#This Row],[GPU_model]])</f>
        <v>Intel GeForce GTX 1050</v>
      </c>
    </row>
    <row r="866" spans="1:26" x14ac:dyDescent="0.25">
      <c r="A866" t="s">
        <v>65</v>
      </c>
      <c r="B866" t="s">
        <v>77</v>
      </c>
      <c r="C866" t="s">
        <v>24</v>
      </c>
      <c r="D866">
        <v>13.3</v>
      </c>
      <c r="E866">
        <v>16</v>
      </c>
      <c r="F866" t="s">
        <v>48</v>
      </c>
      <c r="G866">
        <v>1.29</v>
      </c>
      <c r="H866" s="16">
        <v>2240</v>
      </c>
      <c r="I866" t="s">
        <v>107</v>
      </c>
      <c r="J866">
        <v>3200</v>
      </c>
      <c r="K866">
        <v>1800</v>
      </c>
      <c r="L866" t="s">
        <v>28</v>
      </c>
      <c r="M866" t="s">
        <v>27</v>
      </c>
      <c r="N866" t="s">
        <v>27</v>
      </c>
      <c r="O866" t="s">
        <v>29</v>
      </c>
      <c r="P866">
        <v>2.5</v>
      </c>
      <c r="Q866" t="s">
        <v>433</v>
      </c>
      <c r="R866" t="str">
        <f>_xlfn.CONCAT(laptop[[#This Row],[CPU_company]]," ",laptop[[#This Row],[CPU_model]])</f>
        <v>Intel Core i7 7660U</v>
      </c>
      <c r="S866">
        <v>512</v>
      </c>
      <c r="T866">
        <v>0</v>
      </c>
      <c r="U866">
        <f>laptop[[#This Row],[PrimaryStorage]]+laptop[[#This Row],[SecondaryStorage]]</f>
        <v>512</v>
      </c>
      <c r="V866" t="s">
        <v>31</v>
      </c>
      <c r="W866" t="s">
        <v>27</v>
      </c>
      <c r="X866" t="str">
        <f>IF(laptop[[#This Row],[PrimaryStorageType]]=laptop[[#This Row],[SecondaryStorageType]],laptop[[#This Row],[PrimaryStorageType]],"SSD &amp; HDD")</f>
        <v>SSD &amp; HDD</v>
      </c>
      <c r="Y866" t="s">
        <v>32</v>
      </c>
      <c r="Z866" s="4" t="str">
        <f>_xlfn.CONCAT(laptop[[#This Row],[CPU_company]]," ",laptop[[#This Row],[GPU_model]])</f>
        <v>Intel Iris Plus Graphics 640</v>
      </c>
    </row>
    <row r="867" spans="1:26" x14ac:dyDescent="0.25">
      <c r="A867" t="s">
        <v>36</v>
      </c>
      <c r="B867" t="s">
        <v>476</v>
      </c>
      <c r="C867" t="s">
        <v>38</v>
      </c>
      <c r="D867">
        <v>15.6</v>
      </c>
      <c r="E867">
        <v>4</v>
      </c>
      <c r="F867" t="s">
        <v>48</v>
      </c>
      <c r="G867">
        <v>2.0699999999999998</v>
      </c>
      <c r="H867" s="16">
        <v>910</v>
      </c>
      <c r="I867" t="s">
        <v>40</v>
      </c>
      <c r="J867">
        <v>1920</v>
      </c>
      <c r="K867">
        <v>1080</v>
      </c>
      <c r="L867" t="s">
        <v>27</v>
      </c>
      <c r="M867" t="s">
        <v>27</v>
      </c>
      <c r="N867" t="s">
        <v>27</v>
      </c>
      <c r="O867" t="s">
        <v>29</v>
      </c>
      <c r="P867">
        <v>2.2999999999999998</v>
      </c>
      <c r="Q867" t="s">
        <v>212</v>
      </c>
      <c r="R867" t="str">
        <f>_xlfn.CONCAT(laptop[[#This Row],[CPU_company]]," ",laptop[[#This Row],[CPU_model]])</f>
        <v>Intel Core i5 6200U</v>
      </c>
      <c r="S867">
        <v>500</v>
      </c>
      <c r="T867">
        <v>0</v>
      </c>
      <c r="U867">
        <f>laptop[[#This Row],[PrimaryStorage]]+laptop[[#This Row],[SecondaryStorage]]</f>
        <v>500</v>
      </c>
      <c r="V867" t="s">
        <v>51</v>
      </c>
      <c r="W867" t="s">
        <v>27</v>
      </c>
      <c r="X867" t="str">
        <f>IF(laptop[[#This Row],[PrimaryStorageType]]=laptop[[#This Row],[SecondaryStorageType]],laptop[[#This Row],[PrimaryStorageType]],"SSD &amp; HDD")</f>
        <v>SSD &amp; HDD</v>
      </c>
      <c r="Y867" t="s">
        <v>63</v>
      </c>
      <c r="Z867" s="4" t="str">
        <f>_xlfn.CONCAT(laptop[[#This Row],[CPU_company]]," ",laptop[[#This Row],[GPU_model]])</f>
        <v>Intel HD Graphics 520</v>
      </c>
    </row>
    <row r="868" spans="1:26" x14ac:dyDescent="0.25">
      <c r="A868" t="s">
        <v>210</v>
      </c>
      <c r="B868" t="s">
        <v>689</v>
      </c>
      <c r="C868" t="s">
        <v>24</v>
      </c>
      <c r="D868">
        <v>13.3</v>
      </c>
      <c r="E868">
        <v>8</v>
      </c>
      <c r="F868" t="s">
        <v>48</v>
      </c>
      <c r="G868">
        <v>1.2</v>
      </c>
      <c r="H868" s="16">
        <v>1095</v>
      </c>
      <c r="I868" t="s">
        <v>26</v>
      </c>
      <c r="J868">
        <v>1366</v>
      </c>
      <c r="K868">
        <v>768</v>
      </c>
      <c r="L868" t="s">
        <v>27</v>
      </c>
      <c r="M868" t="s">
        <v>27</v>
      </c>
      <c r="N868" t="s">
        <v>27</v>
      </c>
      <c r="O868" t="s">
        <v>29</v>
      </c>
      <c r="P868">
        <v>2.2999999999999998</v>
      </c>
      <c r="Q868" t="s">
        <v>212</v>
      </c>
      <c r="R868" t="str">
        <f>_xlfn.CONCAT(laptop[[#This Row],[CPU_company]]," ",laptop[[#This Row],[CPU_model]])</f>
        <v>Intel Core i5 6200U</v>
      </c>
      <c r="S868">
        <v>256</v>
      </c>
      <c r="T868">
        <v>0</v>
      </c>
      <c r="U868">
        <f>laptop[[#This Row],[PrimaryStorage]]+laptop[[#This Row],[SecondaryStorage]]</f>
        <v>256</v>
      </c>
      <c r="V868" t="s">
        <v>31</v>
      </c>
      <c r="W868" t="s">
        <v>27</v>
      </c>
      <c r="X868" t="str">
        <f>IF(laptop[[#This Row],[PrimaryStorageType]]=laptop[[#This Row],[SecondaryStorageType]],laptop[[#This Row],[PrimaryStorageType]],"SSD &amp; HDD")</f>
        <v>SSD &amp; HDD</v>
      </c>
      <c r="Y868" t="s">
        <v>63</v>
      </c>
      <c r="Z868" s="4" t="str">
        <f>_xlfn.CONCAT(laptop[[#This Row],[CPU_company]]," ",laptop[[#This Row],[GPU_model]])</f>
        <v>Intel HD Graphics 520</v>
      </c>
    </row>
    <row r="869" spans="1:26" x14ac:dyDescent="0.25">
      <c r="A869" t="s">
        <v>73</v>
      </c>
      <c r="B869" t="s">
        <v>190</v>
      </c>
      <c r="C869" t="s">
        <v>90</v>
      </c>
      <c r="D869">
        <v>13.3</v>
      </c>
      <c r="E869">
        <v>8</v>
      </c>
      <c r="F869" t="s">
        <v>48</v>
      </c>
      <c r="G869">
        <v>1.37</v>
      </c>
      <c r="H869" s="16">
        <v>1950</v>
      </c>
      <c r="I869" t="s">
        <v>40</v>
      </c>
      <c r="J869">
        <v>1920</v>
      </c>
      <c r="K869">
        <v>1080</v>
      </c>
      <c r="L869" t="s">
        <v>28</v>
      </c>
      <c r="M869" t="s">
        <v>28</v>
      </c>
      <c r="N869" t="s">
        <v>27</v>
      </c>
      <c r="O869" t="s">
        <v>29</v>
      </c>
      <c r="P869">
        <v>2.7</v>
      </c>
      <c r="Q869" t="s">
        <v>71</v>
      </c>
      <c r="R869" t="str">
        <f>_xlfn.CONCAT(laptop[[#This Row],[CPU_company]]," ",laptop[[#This Row],[CPU_model]])</f>
        <v>Intel Core i7 7500U</v>
      </c>
      <c r="S869">
        <v>256</v>
      </c>
      <c r="T869">
        <v>0</v>
      </c>
      <c r="U869">
        <f>laptop[[#This Row],[PrimaryStorage]]+laptop[[#This Row],[SecondaryStorage]]</f>
        <v>256</v>
      </c>
      <c r="V869" t="s">
        <v>31</v>
      </c>
      <c r="W869" t="s">
        <v>27</v>
      </c>
      <c r="X869" t="str">
        <f>IF(laptop[[#This Row],[PrimaryStorageType]]=laptop[[#This Row],[SecondaryStorageType]],laptop[[#This Row],[PrimaryStorageType]],"SSD &amp; HDD")</f>
        <v>SSD &amp; HDD</v>
      </c>
      <c r="Y869" t="s">
        <v>42</v>
      </c>
      <c r="Z869" s="4" t="str">
        <f>_xlfn.CONCAT(laptop[[#This Row],[CPU_company]]," ",laptop[[#This Row],[GPU_model]])</f>
        <v>Intel HD Graphics 620</v>
      </c>
    </row>
    <row r="870" spans="1:26" x14ac:dyDescent="0.25">
      <c r="A870" t="s">
        <v>46</v>
      </c>
      <c r="B870" t="s">
        <v>690</v>
      </c>
      <c r="C870" t="s">
        <v>38</v>
      </c>
      <c r="D870">
        <v>14</v>
      </c>
      <c r="E870">
        <v>8</v>
      </c>
      <c r="F870" t="s">
        <v>48</v>
      </c>
      <c r="G870">
        <v>1.56</v>
      </c>
      <c r="H870" s="16">
        <v>902</v>
      </c>
      <c r="I870" t="s">
        <v>40</v>
      </c>
      <c r="J870">
        <v>1920</v>
      </c>
      <c r="K870">
        <v>1080</v>
      </c>
      <c r="L870" t="s">
        <v>27</v>
      </c>
      <c r="M870" t="s">
        <v>28</v>
      </c>
      <c r="N870" t="s">
        <v>27</v>
      </c>
      <c r="O870" t="s">
        <v>29</v>
      </c>
      <c r="P870">
        <v>2.5</v>
      </c>
      <c r="Q870" t="s">
        <v>41</v>
      </c>
      <c r="R870" t="str">
        <f>_xlfn.CONCAT(laptop[[#This Row],[CPU_company]]," ",laptop[[#This Row],[CPU_model]])</f>
        <v>Intel Core i5 7200U</v>
      </c>
      <c r="S870">
        <v>256</v>
      </c>
      <c r="T870">
        <v>0</v>
      </c>
      <c r="U870">
        <f>laptop[[#This Row],[PrimaryStorage]]+laptop[[#This Row],[SecondaryStorage]]</f>
        <v>256</v>
      </c>
      <c r="V870" t="s">
        <v>31</v>
      </c>
      <c r="W870" t="s">
        <v>27</v>
      </c>
      <c r="X870" t="str">
        <f>IF(laptop[[#This Row],[PrimaryStorageType]]=laptop[[#This Row],[SecondaryStorageType]],laptop[[#This Row],[PrimaryStorageType]],"SSD &amp; HDD")</f>
        <v>SSD &amp; HDD</v>
      </c>
      <c r="Y870" t="s">
        <v>42</v>
      </c>
      <c r="Z870" s="4" t="str">
        <f>_xlfn.CONCAT(laptop[[#This Row],[CPU_company]]," ",laptop[[#This Row],[GPU_model]])</f>
        <v>Intel HD Graphics 620</v>
      </c>
    </row>
    <row r="871" spans="1:26" x14ac:dyDescent="0.25">
      <c r="A871" t="s">
        <v>65</v>
      </c>
      <c r="B871" t="s">
        <v>430</v>
      </c>
      <c r="C871" t="s">
        <v>265</v>
      </c>
      <c r="D871">
        <v>15.6</v>
      </c>
      <c r="E871">
        <v>8</v>
      </c>
      <c r="F871" t="s">
        <v>48</v>
      </c>
      <c r="G871">
        <v>2.23</v>
      </c>
      <c r="H871" s="16">
        <v>1778</v>
      </c>
      <c r="I871" t="s">
        <v>40</v>
      </c>
      <c r="J871">
        <v>1920</v>
      </c>
      <c r="K871">
        <v>1080</v>
      </c>
      <c r="L871" t="s">
        <v>27</v>
      </c>
      <c r="M871" t="s">
        <v>27</v>
      </c>
      <c r="N871" t="s">
        <v>27</v>
      </c>
      <c r="O871" t="s">
        <v>29</v>
      </c>
      <c r="P871">
        <v>2.8</v>
      </c>
      <c r="Q871" t="s">
        <v>118</v>
      </c>
      <c r="R871" t="str">
        <f>_xlfn.CONCAT(laptop[[#This Row],[CPU_company]]," ",laptop[[#This Row],[CPU_model]])</f>
        <v>Intel Core i7 7700HQ</v>
      </c>
      <c r="S871">
        <v>1024</v>
      </c>
      <c r="T871">
        <v>0</v>
      </c>
      <c r="U871">
        <f>laptop[[#This Row],[PrimaryStorage]]+laptop[[#This Row],[SecondaryStorage]]</f>
        <v>1024</v>
      </c>
      <c r="V871" t="s">
        <v>51</v>
      </c>
      <c r="W871" t="s">
        <v>27</v>
      </c>
      <c r="X871" t="str">
        <f>IF(laptop[[#This Row],[PrimaryStorageType]]=laptop[[#This Row],[SecondaryStorageType]],laptop[[#This Row],[PrimaryStorageType]],"SSD &amp; HDD")</f>
        <v>SSD &amp; HDD</v>
      </c>
      <c r="Y871" t="s">
        <v>431</v>
      </c>
      <c r="Z871" s="4" t="str">
        <f>_xlfn.CONCAT(laptop[[#This Row],[CPU_company]]," ",laptop[[#This Row],[GPU_model]])</f>
        <v>Intel Quadro M620</v>
      </c>
    </row>
    <row r="872" spans="1:26" x14ac:dyDescent="0.25">
      <c r="A872" t="s">
        <v>73</v>
      </c>
      <c r="B872" t="s">
        <v>463</v>
      </c>
      <c r="C872" t="s">
        <v>38</v>
      </c>
      <c r="D872">
        <v>15.6</v>
      </c>
      <c r="E872">
        <v>4</v>
      </c>
      <c r="F872" t="s">
        <v>48</v>
      </c>
      <c r="G872">
        <v>2.38</v>
      </c>
      <c r="H872" s="16">
        <v>1055</v>
      </c>
      <c r="I872" t="s">
        <v>26</v>
      </c>
      <c r="J872">
        <v>1366</v>
      </c>
      <c r="K872">
        <v>768</v>
      </c>
      <c r="L872" t="s">
        <v>27</v>
      </c>
      <c r="M872" t="s">
        <v>27</v>
      </c>
      <c r="N872" t="s">
        <v>27</v>
      </c>
      <c r="O872" t="s">
        <v>29</v>
      </c>
      <c r="P872">
        <v>2.5</v>
      </c>
      <c r="Q872" t="s">
        <v>41</v>
      </c>
      <c r="R872" t="str">
        <f>_xlfn.CONCAT(laptop[[#This Row],[CPU_company]]," ",laptop[[#This Row],[CPU_model]])</f>
        <v>Intel Core i5 7200U</v>
      </c>
      <c r="S872">
        <v>500</v>
      </c>
      <c r="T872">
        <v>0</v>
      </c>
      <c r="U872">
        <f>laptop[[#This Row],[PrimaryStorage]]+laptop[[#This Row],[SecondaryStorage]]</f>
        <v>500</v>
      </c>
      <c r="V872" t="s">
        <v>51</v>
      </c>
      <c r="W872" t="s">
        <v>27</v>
      </c>
      <c r="X872" t="str">
        <f>IF(laptop[[#This Row],[PrimaryStorageType]]=laptop[[#This Row],[SecondaryStorageType]],laptop[[#This Row],[PrimaryStorageType]],"SSD &amp; HDD")</f>
        <v>SSD &amp; HDD</v>
      </c>
      <c r="Y872" t="s">
        <v>42</v>
      </c>
      <c r="Z872" s="4" t="str">
        <f>_xlfn.CONCAT(laptop[[#This Row],[CPU_company]]," ",laptop[[#This Row],[GPU_model]])</f>
        <v>Intel HD Graphics 620</v>
      </c>
    </row>
    <row r="873" spans="1:26" x14ac:dyDescent="0.25">
      <c r="A873" t="s">
        <v>73</v>
      </c>
      <c r="B873" t="s">
        <v>525</v>
      </c>
      <c r="C873" t="s">
        <v>38</v>
      </c>
      <c r="D873">
        <v>15.6</v>
      </c>
      <c r="E873">
        <v>4</v>
      </c>
      <c r="F873" t="s">
        <v>39</v>
      </c>
      <c r="G873">
        <v>2.2000000000000002</v>
      </c>
      <c r="H873" s="16">
        <v>479</v>
      </c>
      <c r="I873" t="s">
        <v>40</v>
      </c>
      <c r="J873">
        <v>1920</v>
      </c>
      <c r="K873">
        <v>1080</v>
      </c>
      <c r="L873" t="s">
        <v>27</v>
      </c>
      <c r="M873" t="s">
        <v>27</v>
      </c>
      <c r="N873" t="s">
        <v>27</v>
      </c>
      <c r="O873" t="s">
        <v>29</v>
      </c>
      <c r="P873">
        <v>2</v>
      </c>
      <c r="Q873" t="s">
        <v>62</v>
      </c>
      <c r="R873" t="str">
        <f>_xlfn.CONCAT(laptop[[#This Row],[CPU_company]]," ",laptop[[#This Row],[CPU_model]])</f>
        <v>Intel Core i3 6006U</v>
      </c>
      <c r="S873">
        <v>1024</v>
      </c>
      <c r="T873">
        <v>0</v>
      </c>
      <c r="U873">
        <f>laptop[[#This Row],[PrimaryStorage]]+laptop[[#This Row],[SecondaryStorage]]</f>
        <v>1024</v>
      </c>
      <c r="V873" t="s">
        <v>51</v>
      </c>
      <c r="W873" t="s">
        <v>27</v>
      </c>
      <c r="X873" t="str">
        <f>IF(laptop[[#This Row],[PrimaryStorageType]]=laptop[[#This Row],[SecondaryStorageType]],laptop[[#This Row],[PrimaryStorageType]],"SSD &amp; HDD")</f>
        <v>SSD &amp; HDD</v>
      </c>
      <c r="Y873" t="s">
        <v>67</v>
      </c>
      <c r="Z873" s="4" t="str">
        <f>_xlfn.CONCAT(laptop[[#This Row],[CPU_company]]," ",laptop[[#This Row],[GPU_model]])</f>
        <v>Intel Radeon R5 M430</v>
      </c>
    </row>
    <row r="874" spans="1:26" x14ac:dyDescent="0.25">
      <c r="A874" t="s">
        <v>210</v>
      </c>
      <c r="B874" t="s">
        <v>691</v>
      </c>
      <c r="C874" t="s">
        <v>38</v>
      </c>
      <c r="D874">
        <v>15.6</v>
      </c>
      <c r="E874">
        <v>8</v>
      </c>
      <c r="F874" t="s">
        <v>48</v>
      </c>
      <c r="G874">
        <v>2</v>
      </c>
      <c r="H874" s="16">
        <v>1388</v>
      </c>
      <c r="I874" t="s">
        <v>40</v>
      </c>
      <c r="J874">
        <v>1920</v>
      </c>
      <c r="K874">
        <v>1080</v>
      </c>
      <c r="L874" t="s">
        <v>27</v>
      </c>
      <c r="M874" t="s">
        <v>28</v>
      </c>
      <c r="N874" t="s">
        <v>27</v>
      </c>
      <c r="O874" t="s">
        <v>29</v>
      </c>
      <c r="P874">
        <v>2.7</v>
      </c>
      <c r="Q874" t="s">
        <v>71</v>
      </c>
      <c r="R874" t="str">
        <f>_xlfn.CONCAT(laptop[[#This Row],[CPU_company]]," ",laptop[[#This Row],[CPU_model]])</f>
        <v>Intel Core i7 7500U</v>
      </c>
      <c r="S874">
        <v>256</v>
      </c>
      <c r="T874">
        <v>0</v>
      </c>
      <c r="U874">
        <f>laptop[[#This Row],[PrimaryStorage]]+laptop[[#This Row],[SecondaryStorage]]</f>
        <v>256</v>
      </c>
      <c r="V874" t="s">
        <v>31</v>
      </c>
      <c r="W874" t="s">
        <v>27</v>
      </c>
      <c r="X874" t="str">
        <f>IF(laptop[[#This Row],[PrimaryStorageType]]=laptop[[#This Row],[SecondaryStorageType]],laptop[[#This Row],[PrimaryStorageType]],"SSD &amp; HDD")</f>
        <v>SSD &amp; HDD</v>
      </c>
      <c r="Y874" t="s">
        <v>42</v>
      </c>
      <c r="Z874" s="4" t="str">
        <f>_xlfn.CONCAT(laptop[[#This Row],[CPU_company]]," ",laptop[[#This Row],[GPU_model]])</f>
        <v>Intel HD Graphics 620</v>
      </c>
    </row>
    <row r="875" spans="1:26" x14ac:dyDescent="0.25">
      <c r="A875" t="s">
        <v>73</v>
      </c>
      <c r="B875" t="s">
        <v>415</v>
      </c>
      <c r="C875" t="s">
        <v>38</v>
      </c>
      <c r="D875">
        <v>13.3</v>
      </c>
      <c r="E875">
        <v>4</v>
      </c>
      <c r="F875" t="s">
        <v>48</v>
      </c>
      <c r="G875">
        <v>1.44</v>
      </c>
      <c r="H875" s="16">
        <v>735</v>
      </c>
      <c r="I875" t="s">
        <v>40</v>
      </c>
      <c r="J875">
        <v>1920</v>
      </c>
      <c r="K875">
        <v>1080</v>
      </c>
      <c r="L875" t="s">
        <v>27</v>
      </c>
      <c r="M875" t="s">
        <v>28</v>
      </c>
      <c r="N875" t="s">
        <v>27</v>
      </c>
      <c r="O875" t="s">
        <v>29</v>
      </c>
      <c r="P875">
        <v>2.4</v>
      </c>
      <c r="Q875" t="s">
        <v>75</v>
      </c>
      <c r="R875" t="str">
        <f>_xlfn.CONCAT(laptop[[#This Row],[CPU_company]]," ",laptop[[#This Row],[CPU_model]])</f>
        <v>Intel Core i3 7100U</v>
      </c>
      <c r="S875">
        <v>180</v>
      </c>
      <c r="T875">
        <v>0</v>
      </c>
      <c r="U875">
        <f>laptop[[#This Row],[PrimaryStorage]]+laptop[[#This Row],[SecondaryStorage]]</f>
        <v>180</v>
      </c>
      <c r="V875" t="s">
        <v>31</v>
      </c>
      <c r="W875" t="s">
        <v>27</v>
      </c>
      <c r="X875" t="str">
        <f>IF(laptop[[#This Row],[PrimaryStorageType]]=laptop[[#This Row],[SecondaryStorageType]],laptop[[#This Row],[PrimaryStorageType]],"SSD &amp; HDD")</f>
        <v>SSD &amp; HDD</v>
      </c>
      <c r="Y875" t="s">
        <v>42</v>
      </c>
      <c r="Z875" s="4" t="str">
        <f>_xlfn.CONCAT(laptop[[#This Row],[CPU_company]]," ",laptop[[#This Row],[GPU_model]])</f>
        <v>Intel HD Graphics 620</v>
      </c>
    </row>
    <row r="876" spans="1:26" x14ac:dyDescent="0.25">
      <c r="A876" t="s">
        <v>413</v>
      </c>
      <c r="B876" t="s">
        <v>620</v>
      </c>
      <c r="C876" t="s">
        <v>24</v>
      </c>
      <c r="D876">
        <v>15</v>
      </c>
      <c r="E876">
        <v>16</v>
      </c>
      <c r="F876" t="s">
        <v>48</v>
      </c>
      <c r="G876">
        <v>1.23</v>
      </c>
      <c r="H876" s="16">
        <v>1849</v>
      </c>
      <c r="I876" t="s">
        <v>40</v>
      </c>
      <c r="J876">
        <v>1920</v>
      </c>
      <c r="K876">
        <v>1080</v>
      </c>
      <c r="L876" t="s">
        <v>27</v>
      </c>
      <c r="M876" t="s">
        <v>27</v>
      </c>
      <c r="N876" t="s">
        <v>27</v>
      </c>
      <c r="O876" t="s">
        <v>29</v>
      </c>
      <c r="P876">
        <v>2.7</v>
      </c>
      <c r="Q876" t="s">
        <v>71</v>
      </c>
      <c r="R876" t="str">
        <f>_xlfn.CONCAT(laptop[[#This Row],[CPU_company]]," ",laptop[[#This Row],[CPU_model]])</f>
        <v>Intel Core i7 7500U</v>
      </c>
      <c r="S876">
        <v>256</v>
      </c>
      <c r="T876">
        <v>0</v>
      </c>
      <c r="U876">
        <f>laptop[[#This Row],[PrimaryStorage]]+laptop[[#This Row],[SecondaryStorage]]</f>
        <v>256</v>
      </c>
      <c r="V876" t="s">
        <v>31</v>
      </c>
      <c r="W876" t="s">
        <v>27</v>
      </c>
      <c r="X876" t="str">
        <f>IF(laptop[[#This Row],[PrimaryStorageType]]=laptop[[#This Row],[SecondaryStorageType]],laptop[[#This Row],[PrimaryStorageType]],"SSD &amp; HDD")</f>
        <v>SSD &amp; HDD</v>
      </c>
      <c r="Y876" t="s">
        <v>76</v>
      </c>
      <c r="Z876" s="4" t="str">
        <f>_xlfn.CONCAT(laptop[[#This Row],[CPU_company]]," ",laptop[[#This Row],[GPU_model]])</f>
        <v>Intel GeForce 940MX</v>
      </c>
    </row>
    <row r="877" spans="1:26" x14ac:dyDescent="0.25">
      <c r="A877" t="s">
        <v>65</v>
      </c>
      <c r="B877" t="s">
        <v>633</v>
      </c>
      <c r="C877" t="s">
        <v>24</v>
      </c>
      <c r="D877">
        <v>12.5</v>
      </c>
      <c r="E877">
        <v>8</v>
      </c>
      <c r="F877" t="s">
        <v>48</v>
      </c>
      <c r="G877">
        <v>1.6</v>
      </c>
      <c r="H877" s="16">
        <v>1690</v>
      </c>
      <c r="I877" t="s">
        <v>40</v>
      </c>
      <c r="J877">
        <v>1920</v>
      </c>
      <c r="K877">
        <v>1080</v>
      </c>
      <c r="L877" t="s">
        <v>27</v>
      </c>
      <c r="M877" t="s">
        <v>27</v>
      </c>
      <c r="N877" t="s">
        <v>27</v>
      </c>
      <c r="O877" t="s">
        <v>29</v>
      </c>
      <c r="P877">
        <v>2.8</v>
      </c>
      <c r="Q877" t="s">
        <v>335</v>
      </c>
      <c r="R877" t="str">
        <f>_xlfn.CONCAT(laptop[[#This Row],[CPU_company]]," ",laptop[[#This Row],[CPU_model]])</f>
        <v>Intel Core i7 7600U</v>
      </c>
      <c r="S877">
        <v>256</v>
      </c>
      <c r="T877">
        <v>0</v>
      </c>
      <c r="U877">
        <f>laptop[[#This Row],[PrimaryStorage]]+laptop[[#This Row],[SecondaryStorage]]</f>
        <v>256</v>
      </c>
      <c r="V877" t="s">
        <v>31</v>
      </c>
      <c r="W877" t="s">
        <v>27</v>
      </c>
      <c r="X877" t="str">
        <f>IF(laptop[[#This Row],[PrimaryStorageType]]=laptop[[#This Row],[SecondaryStorageType]],laptop[[#This Row],[PrimaryStorageType]],"SSD &amp; HDD")</f>
        <v>SSD &amp; HDD</v>
      </c>
      <c r="Y877" t="s">
        <v>42</v>
      </c>
      <c r="Z877" s="4" t="str">
        <f>_xlfn.CONCAT(laptop[[#This Row],[CPU_company]]," ",laptop[[#This Row],[GPU_model]])</f>
        <v>Intel HD Graphics 620</v>
      </c>
    </row>
    <row r="878" spans="1:26" x14ac:dyDescent="0.25">
      <c r="A878" t="s">
        <v>55</v>
      </c>
      <c r="B878" t="s">
        <v>692</v>
      </c>
      <c r="C878" t="s">
        <v>38</v>
      </c>
      <c r="D878">
        <v>15.6</v>
      </c>
      <c r="E878">
        <v>4</v>
      </c>
      <c r="F878" t="s">
        <v>111</v>
      </c>
      <c r="G878">
        <v>2</v>
      </c>
      <c r="H878" s="16">
        <v>398.99</v>
      </c>
      <c r="I878" t="s">
        <v>26</v>
      </c>
      <c r="J878">
        <v>1366</v>
      </c>
      <c r="K878">
        <v>768</v>
      </c>
      <c r="L878" t="s">
        <v>27</v>
      </c>
      <c r="M878" t="s">
        <v>27</v>
      </c>
      <c r="N878" t="s">
        <v>27</v>
      </c>
      <c r="O878" t="s">
        <v>29</v>
      </c>
      <c r="P878">
        <v>1.1000000000000001</v>
      </c>
      <c r="Q878" t="s">
        <v>130</v>
      </c>
      <c r="R878" t="str">
        <f>_xlfn.CONCAT(laptop[[#This Row],[CPU_company]]," ",laptop[[#This Row],[CPU_model]])</f>
        <v>Intel Pentium Quad Core N4200</v>
      </c>
      <c r="S878">
        <v>1024</v>
      </c>
      <c r="T878">
        <v>0</v>
      </c>
      <c r="U878">
        <f>laptop[[#This Row],[PrimaryStorage]]+laptop[[#This Row],[SecondaryStorage]]</f>
        <v>1024</v>
      </c>
      <c r="V878" t="s">
        <v>51</v>
      </c>
      <c r="W878" t="s">
        <v>27</v>
      </c>
      <c r="X878" t="str">
        <f>IF(laptop[[#This Row],[PrimaryStorageType]]=laptop[[#This Row],[SecondaryStorageType]],laptop[[#This Row],[PrimaryStorageType]],"SSD &amp; HDD")</f>
        <v>SSD &amp; HDD</v>
      </c>
      <c r="Y878" t="s">
        <v>237</v>
      </c>
      <c r="Z878" s="4" t="str">
        <f>_xlfn.CONCAT(laptop[[#This Row],[CPU_company]]," ",laptop[[#This Row],[GPU_model]])</f>
        <v>Intel HD Graphics 505</v>
      </c>
    </row>
    <row r="879" spans="1:26" x14ac:dyDescent="0.25">
      <c r="A879" t="s">
        <v>247</v>
      </c>
      <c r="B879" t="s">
        <v>248</v>
      </c>
      <c r="C879" t="s">
        <v>24</v>
      </c>
      <c r="D879">
        <v>13.3</v>
      </c>
      <c r="E879">
        <v>8</v>
      </c>
      <c r="F879" t="s">
        <v>48</v>
      </c>
      <c r="G879">
        <v>1.28</v>
      </c>
      <c r="H879" s="16">
        <v>935</v>
      </c>
      <c r="I879" t="s">
        <v>40</v>
      </c>
      <c r="J879">
        <v>1920</v>
      </c>
      <c r="K879">
        <v>1080</v>
      </c>
      <c r="L879" t="s">
        <v>27</v>
      </c>
      <c r="M879" t="s">
        <v>28</v>
      </c>
      <c r="N879" t="s">
        <v>27</v>
      </c>
      <c r="O879" t="s">
        <v>29</v>
      </c>
      <c r="P879">
        <v>2.2999999999999998</v>
      </c>
      <c r="Q879" t="s">
        <v>212</v>
      </c>
      <c r="R879" t="str">
        <f>_xlfn.CONCAT(laptop[[#This Row],[CPU_company]]," ",laptop[[#This Row],[CPU_model]])</f>
        <v>Intel Core i5 6200U</v>
      </c>
      <c r="S879">
        <v>256</v>
      </c>
      <c r="T879">
        <v>0</v>
      </c>
      <c r="U879">
        <f>laptop[[#This Row],[PrimaryStorage]]+laptop[[#This Row],[SecondaryStorage]]</f>
        <v>256</v>
      </c>
      <c r="V879" t="s">
        <v>31</v>
      </c>
      <c r="W879" t="s">
        <v>27</v>
      </c>
      <c r="X879" t="str">
        <f>IF(laptop[[#This Row],[PrimaryStorageType]]=laptop[[#This Row],[SecondaryStorageType]],laptop[[#This Row],[PrimaryStorageType]],"SSD &amp; HDD")</f>
        <v>SSD &amp; HDD</v>
      </c>
      <c r="Y879" t="s">
        <v>76</v>
      </c>
      <c r="Z879" s="4" t="str">
        <f>_xlfn.CONCAT(laptop[[#This Row],[CPU_company]]," ",laptop[[#This Row],[GPU_model]])</f>
        <v>Intel GeForce 940MX</v>
      </c>
    </row>
    <row r="880" spans="1:26" x14ac:dyDescent="0.25">
      <c r="A880" t="s">
        <v>65</v>
      </c>
      <c r="B880" t="s">
        <v>471</v>
      </c>
      <c r="C880" t="s">
        <v>38</v>
      </c>
      <c r="D880">
        <v>15.6</v>
      </c>
      <c r="E880">
        <v>4</v>
      </c>
      <c r="F880" t="s">
        <v>48</v>
      </c>
      <c r="G880">
        <v>2.1800000000000002</v>
      </c>
      <c r="H880" s="16">
        <v>912.5</v>
      </c>
      <c r="I880" t="s">
        <v>40</v>
      </c>
      <c r="J880">
        <v>1920</v>
      </c>
      <c r="K880">
        <v>1080</v>
      </c>
      <c r="L880" t="s">
        <v>27</v>
      </c>
      <c r="M880" t="s">
        <v>27</v>
      </c>
      <c r="N880" t="s">
        <v>27</v>
      </c>
      <c r="O880" t="s">
        <v>29</v>
      </c>
      <c r="P880">
        <v>2.5</v>
      </c>
      <c r="Q880" t="s">
        <v>41</v>
      </c>
      <c r="R880" t="str">
        <f>_xlfn.CONCAT(laptop[[#This Row],[CPU_company]]," ",laptop[[#This Row],[CPU_model]])</f>
        <v>Intel Core i5 7200U</v>
      </c>
      <c r="S880">
        <v>128</v>
      </c>
      <c r="T880">
        <v>1024</v>
      </c>
      <c r="U880">
        <f>laptop[[#This Row],[PrimaryStorage]]+laptop[[#This Row],[SecondaryStorage]]</f>
        <v>1152</v>
      </c>
      <c r="V880" t="s">
        <v>31</v>
      </c>
      <c r="W880" t="s">
        <v>51</v>
      </c>
      <c r="X880" t="str">
        <f>IF(laptop[[#This Row],[PrimaryStorageType]]=laptop[[#This Row],[SecondaryStorageType]],laptop[[#This Row],[PrimaryStorageType]],"SSD &amp; HDD")</f>
        <v>SSD &amp; HDD</v>
      </c>
      <c r="Y880" t="s">
        <v>76</v>
      </c>
      <c r="Z880" s="4" t="str">
        <f>_xlfn.CONCAT(laptop[[#This Row],[CPU_company]]," ",laptop[[#This Row],[GPU_model]])</f>
        <v>Intel GeForce 940MX</v>
      </c>
    </row>
    <row r="881" spans="1:26" x14ac:dyDescent="0.25">
      <c r="A881" t="s">
        <v>36</v>
      </c>
      <c r="B881" t="s">
        <v>114</v>
      </c>
      <c r="C881" t="s">
        <v>38</v>
      </c>
      <c r="D881">
        <v>15.6</v>
      </c>
      <c r="E881">
        <v>4</v>
      </c>
      <c r="F881" t="s">
        <v>48</v>
      </c>
      <c r="G881">
        <v>2.04</v>
      </c>
      <c r="H881" s="16">
        <v>839</v>
      </c>
      <c r="I881" t="s">
        <v>40</v>
      </c>
      <c r="J881">
        <v>1920</v>
      </c>
      <c r="K881">
        <v>1080</v>
      </c>
      <c r="L881" t="s">
        <v>27</v>
      </c>
      <c r="M881" t="s">
        <v>27</v>
      </c>
      <c r="N881" t="s">
        <v>27</v>
      </c>
      <c r="O881" t="s">
        <v>29</v>
      </c>
      <c r="P881">
        <v>2.5</v>
      </c>
      <c r="Q881" t="s">
        <v>41</v>
      </c>
      <c r="R881" t="str">
        <f>_xlfn.CONCAT(laptop[[#This Row],[CPU_company]]," ",laptop[[#This Row],[CPU_model]])</f>
        <v>Intel Core i5 7200U</v>
      </c>
      <c r="S881">
        <v>256</v>
      </c>
      <c r="T881">
        <v>0</v>
      </c>
      <c r="U881">
        <f>laptop[[#This Row],[PrimaryStorage]]+laptop[[#This Row],[SecondaryStorage]]</f>
        <v>256</v>
      </c>
      <c r="V881" t="s">
        <v>31</v>
      </c>
      <c r="W881" t="s">
        <v>27</v>
      </c>
      <c r="X881" t="str">
        <f>IF(laptop[[#This Row],[PrimaryStorageType]]=laptop[[#This Row],[SecondaryStorageType]],laptop[[#This Row],[PrimaryStorageType]],"SSD &amp; HDD")</f>
        <v>SSD &amp; HDD</v>
      </c>
      <c r="Y881" t="s">
        <v>42</v>
      </c>
      <c r="Z881" s="4" t="str">
        <f>_xlfn.CONCAT(laptop[[#This Row],[CPU_company]]," ",laptop[[#This Row],[GPU_model]])</f>
        <v>Intel HD Graphics 620</v>
      </c>
    </row>
    <row r="882" spans="1:26" x14ac:dyDescent="0.25">
      <c r="A882" t="s">
        <v>36</v>
      </c>
      <c r="B882" t="s">
        <v>334</v>
      </c>
      <c r="C882" t="s">
        <v>90</v>
      </c>
      <c r="D882">
        <v>13.3</v>
      </c>
      <c r="E882">
        <v>4</v>
      </c>
      <c r="F882" t="s">
        <v>48</v>
      </c>
      <c r="G882">
        <v>1.28</v>
      </c>
      <c r="H882" s="16">
        <v>1700</v>
      </c>
      <c r="I882" t="s">
        <v>40</v>
      </c>
      <c r="J882">
        <v>1920</v>
      </c>
      <c r="K882">
        <v>1080</v>
      </c>
      <c r="L882" t="s">
        <v>28</v>
      </c>
      <c r="M882" t="s">
        <v>27</v>
      </c>
      <c r="N882" t="s">
        <v>27</v>
      </c>
      <c r="O882" t="s">
        <v>29</v>
      </c>
      <c r="P882">
        <v>2.5</v>
      </c>
      <c r="Q882" t="s">
        <v>41</v>
      </c>
      <c r="R882" t="str">
        <f>_xlfn.CONCAT(laptop[[#This Row],[CPU_company]]," ",laptop[[#This Row],[CPU_model]])</f>
        <v>Intel Core i5 7200U</v>
      </c>
      <c r="S882">
        <v>256</v>
      </c>
      <c r="T882">
        <v>0</v>
      </c>
      <c r="U882">
        <f>laptop[[#This Row],[PrimaryStorage]]+laptop[[#This Row],[SecondaryStorage]]</f>
        <v>256</v>
      </c>
      <c r="V882" t="s">
        <v>31</v>
      </c>
      <c r="W882" t="s">
        <v>27</v>
      </c>
      <c r="X882" t="str">
        <f>IF(laptop[[#This Row],[PrimaryStorageType]]=laptop[[#This Row],[SecondaryStorageType]],laptop[[#This Row],[PrimaryStorageType]],"SSD &amp; HDD")</f>
        <v>SSD &amp; HDD</v>
      </c>
      <c r="Y882" t="s">
        <v>42</v>
      </c>
      <c r="Z882" s="4" t="str">
        <f>_xlfn.CONCAT(laptop[[#This Row],[CPU_company]]," ",laptop[[#This Row],[GPU_model]])</f>
        <v>Intel HD Graphics 620</v>
      </c>
    </row>
    <row r="883" spans="1:26" x14ac:dyDescent="0.25">
      <c r="A883" t="s">
        <v>36</v>
      </c>
      <c r="B883" t="s">
        <v>693</v>
      </c>
      <c r="C883" t="s">
        <v>90</v>
      </c>
      <c r="D883">
        <v>15.6</v>
      </c>
      <c r="E883">
        <v>4</v>
      </c>
      <c r="F883" t="s">
        <v>48</v>
      </c>
      <c r="G883">
        <v>2.2999999999999998</v>
      </c>
      <c r="H883" s="16">
        <v>684.8</v>
      </c>
      <c r="I883" t="s">
        <v>26</v>
      </c>
      <c r="J883">
        <v>1366</v>
      </c>
      <c r="K883">
        <v>768</v>
      </c>
      <c r="L883" t="s">
        <v>28</v>
      </c>
      <c r="M883" t="s">
        <v>27</v>
      </c>
      <c r="N883" t="s">
        <v>27</v>
      </c>
      <c r="O883" t="s">
        <v>29</v>
      </c>
      <c r="P883">
        <v>2.5</v>
      </c>
      <c r="Q883" t="s">
        <v>41</v>
      </c>
      <c r="R883" t="str">
        <f>_xlfn.CONCAT(laptop[[#This Row],[CPU_company]]," ",laptop[[#This Row],[CPU_model]])</f>
        <v>Intel Core i5 7200U</v>
      </c>
      <c r="S883">
        <v>500</v>
      </c>
      <c r="T883">
        <v>0</v>
      </c>
      <c r="U883">
        <f>laptop[[#This Row],[PrimaryStorage]]+laptop[[#This Row],[SecondaryStorage]]</f>
        <v>500</v>
      </c>
      <c r="V883" t="s">
        <v>51</v>
      </c>
      <c r="W883" t="s">
        <v>27</v>
      </c>
      <c r="X883" t="str">
        <f>IF(laptop[[#This Row],[PrimaryStorageType]]=laptop[[#This Row],[SecondaryStorageType]],laptop[[#This Row],[PrimaryStorageType]],"SSD &amp; HDD")</f>
        <v>SSD &amp; HDD</v>
      </c>
      <c r="Y883" t="s">
        <v>42</v>
      </c>
      <c r="Z883" s="4" t="str">
        <f>_xlfn.CONCAT(laptop[[#This Row],[CPU_company]]," ",laptop[[#This Row],[GPU_model]])</f>
        <v>Intel HD Graphics 620</v>
      </c>
    </row>
    <row r="884" spans="1:26" x14ac:dyDescent="0.25">
      <c r="A884" t="s">
        <v>55</v>
      </c>
      <c r="B884" t="s">
        <v>694</v>
      </c>
      <c r="C884" t="s">
        <v>38</v>
      </c>
      <c r="D884">
        <v>14.1</v>
      </c>
      <c r="E884">
        <v>4</v>
      </c>
      <c r="F884" t="s">
        <v>48</v>
      </c>
      <c r="G884">
        <v>1.65</v>
      </c>
      <c r="H884" s="16">
        <v>348</v>
      </c>
      <c r="I884" t="s">
        <v>26</v>
      </c>
      <c r="J884">
        <v>1366</v>
      </c>
      <c r="K884">
        <v>768</v>
      </c>
      <c r="L884" t="s">
        <v>27</v>
      </c>
      <c r="M884" t="s">
        <v>27</v>
      </c>
      <c r="N884" t="s">
        <v>27</v>
      </c>
      <c r="O884" t="s">
        <v>29</v>
      </c>
      <c r="P884">
        <v>1.1000000000000001</v>
      </c>
      <c r="Q884" t="s">
        <v>109</v>
      </c>
      <c r="R884" t="str">
        <f>_xlfn.CONCAT(laptop[[#This Row],[CPU_company]]," ",laptop[[#This Row],[CPU_model]])</f>
        <v>Intel Celeron Dual Core N3350</v>
      </c>
      <c r="S884">
        <v>32</v>
      </c>
      <c r="T884">
        <v>0</v>
      </c>
      <c r="U884">
        <f>laptop[[#This Row],[PrimaryStorage]]+laptop[[#This Row],[SecondaryStorage]]</f>
        <v>32</v>
      </c>
      <c r="V884" t="s">
        <v>34</v>
      </c>
      <c r="W884" t="s">
        <v>27</v>
      </c>
      <c r="X884" t="str">
        <f>IF(laptop[[#This Row],[PrimaryStorageType]]=laptop[[#This Row],[SecondaryStorageType]],laptop[[#This Row],[PrimaryStorageType]],"SSD &amp; HDD")</f>
        <v>SSD &amp; HDD</v>
      </c>
      <c r="Y884" t="s">
        <v>110</v>
      </c>
      <c r="Z884" s="4" t="str">
        <f>_xlfn.CONCAT(laptop[[#This Row],[CPU_company]]," ",laptop[[#This Row],[GPU_model]])</f>
        <v>Intel HD Graphics 500</v>
      </c>
    </row>
    <row r="885" spans="1:26" x14ac:dyDescent="0.25">
      <c r="A885" t="s">
        <v>73</v>
      </c>
      <c r="B885" t="s">
        <v>695</v>
      </c>
      <c r="C885" t="s">
        <v>38</v>
      </c>
      <c r="D885">
        <v>15.6</v>
      </c>
      <c r="E885">
        <v>8</v>
      </c>
      <c r="F885" t="s">
        <v>48</v>
      </c>
      <c r="G885">
        <v>2.2000000000000002</v>
      </c>
      <c r="H885" s="16">
        <v>669</v>
      </c>
      <c r="I885" t="s">
        <v>40</v>
      </c>
      <c r="J885">
        <v>1920</v>
      </c>
      <c r="K885">
        <v>1080</v>
      </c>
      <c r="L885" t="s">
        <v>27</v>
      </c>
      <c r="M885" t="s">
        <v>28</v>
      </c>
      <c r="N885" t="s">
        <v>27</v>
      </c>
      <c r="O885" t="s">
        <v>29</v>
      </c>
      <c r="P885">
        <v>2.5</v>
      </c>
      <c r="Q885" t="s">
        <v>274</v>
      </c>
      <c r="R885" t="str">
        <f>_xlfn.CONCAT(laptop[[#This Row],[CPU_company]]," ",laptop[[#This Row],[CPU_model]])</f>
        <v>Intel Core i7 6500U</v>
      </c>
      <c r="S885">
        <v>1024</v>
      </c>
      <c r="T885">
        <v>0</v>
      </c>
      <c r="U885">
        <f>laptop[[#This Row],[PrimaryStorage]]+laptop[[#This Row],[SecondaryStorage]]</f>
        <v>1024</v>
      </c>
      <c r="V885" t="s">
        <v>51</v>
      </c>
      <c r="W885" t="s">
        <v>27</v>
      </c>
      <c r="X885" t="str">
        <f>IF(laptop[[#This Row],[PrimaryStorageType]]=laptop[[#This Row],[SecondaryStorageType]],laptop[[#This Row],[PrimaryStorageType]],"SSD &amp; HDD")</f>
        <v>SSD &amp; HDD</v>
      </c>
      <c r="Y885" t="s">
        <v>76</v>
      </c>
      <c r="Z885" s="4" t="str">
        <f>_xlfn.CONCAT(laptop[[#This Row],[CPU_company]]," ",laptop[[#This Row],[GPU_model]])</f>
        <v>Intel GeForce 940MX</v>
      </c>
    </row>
    <row r="886" spans="1:26" x14ac:dyDescent="0.25">
      <c r="A886" t="s">
        <v>65</v>
      </c>
      <c r="B886" t="s">
        <v>361</v>
      </c>
      <c r="C886" t="s">
        <v>38</v>
      </c>
      <c r="D886">
        <v>15.6</v>
      </c>
      <c r="E886">
        <v>4</v>
      </c>
      <c r="F886" t="s">
        <v>48</v>
      </c>
      <c r="G886">
        <v>2.2000000000000002</v>
      </c>
      <c r="H886" s="16">
        <v>369</v>
      </c>
      <c r="I886" t="s">
        <v>26</v>
      </c>
      <c r="J886">
        <v>1366</v>
      </c>
      <c r="K886">
        <v>768</v>
      </c>
      <c r="L886" t="s">
        <v>27</v>
      </c>
      <c r="M886" t="s">
        <v>27</v>
      </c>
      <c r="N886" t="s">
        <v>27</v>
      </c>
      <c r="O886" t="s">
        <v>29</v>
      </c>
      <c r="P886">
        <v>1.6</v>
      </c>
      <c r="Q886" t="s">
        <v>346</v>
      </c>
      <c r="R886" t="str">
        <f>_xlfn.CONCAT(laptop[[#This Row],[CPU_company]]," ",laptop[[#This Row],[CPU_model]])</f>
        <v>Intel Pentium Quad Core N3710</v>
      </c>
      <c r="S886">
        <v>500</v>
      </c>
      <c r="T886">
        <v>0</v>
      </c>
      <c r="U886">
        <f>laptop[[#This Row],[PrimaryStorage]]+laptop[[#This Row],[SecondaryStorage]]</f>
        <v>500</v>
      </c>
      <c r="V886" t="s">
        <v>51</v>
      </c>
      <c r="W886" t="s">
        <v>27</v>
      </c>
      <c r="X886" t="str">
        <f>IF(laptop[[#This Row],[PrimaryStorageType]]=laptop[[#This Row],[SecondaryStorageType]],laptop[[#This Row],[PrimaryStorageType]],"SSD &amp; HDD")</f>
        <v>SSD &amp; HDD</v>
      </c>
      <c r="Y886" t="s">
        <v>102</v>
      </c>
      <c r="Z886" s="4" t="str">
        <f>_xlfn.CONCAT(laptop[[#This Row],[CPU_company]]," ",laptop[[#This Row],[GPU_model]])</f>
        <v>Intel HD Graphics</v>
      </c>
    </row>
    <row r="887" spans="1:26" x14ac:dyDescent="0.25">
      <c r="A887" t="s">
        <v>36</v>
      </c>
      <c r="B887" t="s">
        <v>334</v>
      </c>
      <c r="C887" t="s">
        <v>90</v>
      </c>
      <c r="D887">
        <v>13.3</v>
      </c>
      <c r="E887">
        <v>4</v>
      </c>
      <c r="F887" t="s">
        <v>48</v>
      </c>
      <c r="G887">
        <v>1.28</v>
      </c>
      <c r="H887" s="16">
        <v>1799</v>
      </c>
      <c r="I887" t="s">
        <v>40</v>
      </c>
      <c r="J887">
        <v>1920</v>
      </c>
      <c r="K887">
        <v>1080</v>
      </c>
      <c r="L887" t="s">
        <v>28</v>
      </c>
      <c r="M887" t="s">
        <v>27</v>
      </c>
      <c r="N887" t="s">
        <v>27</v>
      </c>
      <c r="O887" t="s">
        <v>29</v>
      </c>
      <c r="P887">
        <v>2.5</v>
      </c>
      <c r="Q887" t="s">
        <v>41</v>
      </c>
      <c r="R887" t="str">
        <f>_xlfn.CONCAT(laptop[[#This Row],[CPU_company]]," ",laptop[[#This Row],[CPU_model]])</f>
        <v>Intel Core i5 7200U</v>
      </c>
      <c r="S887">
        <v>256</v>
      </c>
      <c r="T887">
        <v>0</v>
      </c>
      <c r="U887">
        <f>laptop[[#This Row],[PrimaryStorage]]+laptop[[#This Row],[SecondaryStorage]]</f>
        <v>256</v>
      </c>
      <c r="V887" t="s">
        <v>31</v>
      </c>
      <c r="W887" t="s">
        <v>27</v>
      </c>
      <c r="X887" t="str">
        <f>IF(laptop[[#This Row],[PrimaryStorageType]]=laptop[[#This Row],[SecondaryStorageType]],laptop[[#This Row],[PrimaryStorageType]],"SSD &amp; HDD")</f>
        <v>SSD &amp; HDD</v>
      </c>
      <c r="Y887" t="s">
        <v>42</v>
      </c>
      <c r="Z887" s="4" t="str">
        <f>_xlfn.CONCAT(laptop[[#This Row],[CPU_company]]," ",laptop[[#This Row],[GPU_model]])</f>
        <v>Intel HD Graphics 620</v>
      </c>
    </row>
    <row r="888" spans="1:26" x14ac:dyDescent="0.25">
      <c r="A888" t="s">
        <v>65</v>
      </c>
      <c r="B888" t="s">
        <v>305</v>
      </c>
      <c r="C888" t="s">
        <v>38</v>
      </c>
      <c r="D888">
        <v>15.6</v>
      </c>
      <c r="E888">
        <v>4</v>
      </c>
      <c r="F888" t="s">
        <v>111</v>
      </c>
      <c r="G888">
        <v>2.1800000000000002</v>
      </c>
      <c r="H888" s="16">
        <v>455.7</v>
      </c>
      <c r="I888" t="s">
        <v>26</v>
      </c>
      <c r="J888">
        <v>1366</v>
      </c>
      <c r="K888">
        <v>768</v>
      </c>
      <c r="L888" t="s">
        <v>27</v>
      </c>
      <c r="M888" t="s">
        <v>27</v>
      </c>
      <c r="N888" t="s">
        <v>27</v>
      </c>
      <c r="O888" t="s">
        <v>29</v>
      </c>
      <c r="P888">
        <v>2</v>
      </c>
      <c r="Q888" t="s">
        <v>62</v>
      </c>
      <c r="R888" t="str">
        <f>_xlfn.CONCAT(laptop[[#This Row],[CPU_company]]," ",laptop[[#This Row],[CPU_model]])</f>
        <v>Intel Core i3 6006U</v>
      </c>
      <c r="S888">
        <v>1024</v>
      </c>
      <c r="T888">
        <v>0</v>
      </c>
      <c r="U888">
        <f>laptop[[#This Row],[PrimaryStorage]]+laptop[[#This Row],[SecondaryStorage]]</f>
        <v>1024</v>
      </c>
      <c r="V888" t="s">
        <v>51</v>
      </c>
      <c r="W888" t="s">
        <v>27</v>
      </c>
      <c r="X888" t="str">
        <f>IF(laptop[[#This Row],[PrimaryStorageType]]=laptop[[#This Row],[SecondaryStorageType]],laptop[[#This Row],[PrimaryStorageType]],"SSD &amp; HDD")</f>
        <v>SSD &amp; HDD</v>
      </c>
      <c r="Y888" t="s">
        <v>659</v>
      </c>
      <c r="Z888" s="4" t="str">
        <f>_xlfn.CONCAT(laptop[[#This Row],[CPU_company]]," ",laptop[[#This Row],[GPU_model]])</f>
        <v>Intel Radeon R5 M420X</v>
      </c>
    </row>
    <row r="889" spans="1:26" x14ac:dyDescent="0.25">
      <c r="A889" t="s">
        <v>55</v>
      </c>
      <c r="B889" t="s">
        <v>696</v>
      </c>
      <c r="C889" t="s">
        <v>83</v>
      </c>
      <c r="D889">
        <v>17.3</v>
      </c>
      <c r="E889">
        <v>12</v>
      </c>
      <c r="F889" t="s">
        <v>48</v>
      </c>
      <c r="G889">
        <v>2.2000000000000002</v>
      </c>
      <c r="H889" s="16">
        <v>1369.9</v>
      </c>
      <c r="I889" t="s">
        <v>40</v>
      </c>
      <c r="J889">
        <v>1920</v>
      </c>
      <c r="K889">
        <v>1080</v>
      </c>
      <c r="L889" t="s">
        <v>27</v>
      </c>
      <c r="M889" t="s">
        <v>27</v>
      </c>
      <c r="N889" t="s">
        <v>27</v>
      </c>
      <c r="O889" t="s">
        <v>29</v>
      </c>
      <c r="P889">
        <v>2.5</v>
      </c>
      <c r="Q889" t="s">
        <v>84</v>
      </c>
      <c r="R889" t="str">
        <f>_xlfn.CONCAT(laptop[[#This Row],[CPU_company]]," ",laptop[[#This Row],[CPU_model]])</f>
        <v>Intel Core i5 7300HQ</v>
      </c>
      <c r="S889">
        <v>128</v>
      </c>
      <c r="T889">
        <v>1024</v>
      </c>
      <c r="U889">
        <f>laptop[[#This Row],[PrimaryStorage]]+laptop[[#This Row],[SecondaryStorage]]</f>
        <v>1152</v>
      </c>
      <c r="V889" t="s">
        <v>31</v>
      </c>
      <c r="W889" t="s">
        <v>51</v>
      </c>
      <c r="X889" t="str">
        <f>IF(laptop[[#This Row],[PrimaryStorageType]]=laptop[[#This Row],[SecondaryStorageType]],laptop[[#This Row],[PrimaryStorageType]],"SSD &amp; HDD")</f>
        <v>SSD &amp; HDD</v>
      </c>
      <c r="Y889" t="s">
        <v>85</v>
      </c>
      <c r="Z889" s="4" t="str">
        <f>_xlfn.CONCAT(laptop[[#This Row],[CPU_company]]," ",laptop[[#This Row],[GPU_model]])</f>
        <v>Intel GeForce GTX 1050</v>
      </c>
    </row>
    <row r="890" spans="1:26" x14ac:dyDescent="0.25">
      <c r="A890" t="s">
        <v>46</v>
      </c>
      <c r="B890" t="s">
        <v>697</v>
      </c>
      <c r="C890" t="s">
        <v>79</v>
      </c>
      <c r="D890">
        <v>11.6</v>
      </c>
      <c r="E890">
        <v>4</v>
      </c>
      <c r="F890" t="s">
        <v>317</v>
      </c>
      <c r="G890">
        <v>1.25</v>
      </c>
      <c r="H890" s="16">
        <v>297</v>
      </c>
      <c r="I890" t="s">
        <v>26</v>
      </c>
      <c r="J890">
        <v>1366</v>
      </c>
      <c r="K890">
        <v>768</v>
      </c>
      <c r="L890" t="s">
        <v>27</v>
      </c>
      <c r="M890" t="s">
        <v>28</v>
      </c>
      <c r="N890" t="s">
        <v>27</v>
      </c>
      <c r="O890" t="s">
        <v>29</v>
      </c>
      <c r="P890">
        <v>1.6</v>
      </c>
      <c r="Q890" t="s">
        <v>151</v>
      </c>
      <c r="R890" t="str">
        <f>_xlfn.CONCAT(laptop[[#This Row],[CPU_company]]," ",laptop[[#This Row],[CPU_model]])</f>
        <v>Intel Celeron Dual Core N3060</v>
      </c>
      <c r="S890">
        <v>32</v>
      </c>
      <c r="T890">
        <v>0</v>
      </c>
      <c r="U890">
        <f>laptop[[#This Row],[PrimaryStorage]]+laptop[[#This Row],[SecondaryStorage]]</f>
        <v>32</v>
      </c>
      <c r="V890" t="s">
        <v>34</v>
      </c>
      <c r="W890" t="s">
        <v>27</v>
      </c>
      <c r="X890" t="str">
        <f>IF(laptop[[#This Row],[PrimaryStorageType]]=laptop[[#This Row],[SecondaryStorageType]],laptop[[#This Row],[PrimaryStorageType]],"SSD &amp; HDD")</f>
        <v>SSD &amp; HDD</v>
      </c>
      <c r="Y890" t="s">
        <v>81</v>
      </c>
      <c r="Z890" s="4" t="str">
        <f>_xlfn.CONCAT(laptop[[#This Row],[CPU_company]]," ",laptop[[#This Row],[GPU_model]])</f>
        <v>Intel HD Graphics 400</v>
      </c>
    </row>
    <row r="891" spans="1:26" x14ac:dyDescent="0.25">
      <c r="A891" t="s">
        <v>73</v>
      </c>
      <c r="B891" t="s">
        <v>372</v>
      </c>
      <c r="C891" t="s">
        <v>38</v>
      </c>
      <c r="D891">
        <v>17.3</v>
      </c>
      <c r="E891">
        <v>4</v>
      </c>
      <c r="F891" t="s">
        <v>48</v>
      </c>
      <c r="G891">
        <v>2.8</v>
      </c>
      <c r="H891" s="16">
        <v>379</v>
      </c>
      <c r="I891" t="s">
        <v>26</v>
      </c>
      <c r="J891">
        <v>1600</v>
      </c>
      <c r="K891">
        <v>900</v>
      </c>
      <c r="L891" t="s">
        <v>27</v>
      </c>
      <c r="M891" t="s">
        <v>27</v>
      </c>
      <c r="N891" t="s">
        <v>27</v>
      </c>
      <c r="O891" t="s">
        <v>49</v>
      </c>
      <c r="P891">
        <v>2.2000000000000002</v>
      </c>
      <c r="Q891" t="s">
        <v>698</v>
      </c>
      <c r="R891" t="str">
        <f>_xlfn.CONCAT(laptop[[#This Row],[CPU_company]]," ",laptop[[#This Row],[CPU_model]])</f>
        <v>AMD A4-Series 7210</v>
      </c>
      <c r="S891">
        <v>500</v>
      </c>
      <c r="T891">
        <v>0</v>
      </c>
      <c r="U891">
        <f>laptop[[#This Row],[PrimaryStorage]]+laptop[[#This Row],[SecondaryStorage]]</f>
        <v>500</v>
      </c>
      <c r="V891" t="s">
        <v>51</v>
      </c>
      <c r="W891" t="s">
        <v>27</v>
      </c>
      <c r="X891" t="str">
        <f>IF(laptop[[#This Row],[PrimaryStorageType]]=laptop[[#This Row],[SecondaryStorageType]],laptop[[#This Row],[PrimaryStorageType]],"SSD &amp; HDD")</f>
        <v>SSD &amp; HDD</v>
      </c>
      <c r="Y891" t="s">
        <v>699</v>
      </c>
      <c r="Z891" s="4" t="str">
        <f>_xlfn.CONCAT(laptop[[#This Row],[CPU_company]]," ",laptop[[#This Row],[GPU_model]])</f>
        <v>AMD Radeon R3</v>
      </c>
    </row>
    <row r="892" spans="1:26" x14ac:dyDescent="0.25">
      <c r="A892" t="s">
        <v>36</v>
      </c>
      <c r="B892" t="s">
        <v>700</v>
      </c>
      <c r="C892" t="s">
        <v>38</v>
      </c>
      <c r="D892">
        <v>14</v>
      </c>
      <c r="E892">
        <v>4</v>
      </c>
      <c r="F892" t="s">
        <v>48</v>
      </c>
      <c r="G892">
        <v>1.95</v>
      </c>
      <c r="H892" s="16">
        <v>1265</v>
      </c>
      <c r="I892" t="s">
        <v>40</v>
      </c>
      <c r="J892">
        <v>1920</v>
      </c>
      <c r="K892">
        <v>1080</v>
      </c>
      <c r="L892" t="s">
        <v>27</v>
      </c>
      <c r="M892" t="s">
        <v>27</v>
      </c>
      <c r="N892" t="s">
        <v>27</v>
      </c>
      <c r="O892" t="s">
        <v>29</v>
      </c>
      <c r="P892">
        <v>2.5</v>
      </c>
      <c r="Q892" t="s">
        <v>41</v>
      </c>
      <c r="R892" t="str">
        <f>_xlfn.CONCAT(laptop[[#This Row],[CPU_company]]," ",laptop[[#This Row],[CPU_model]])</f>
        <v>Intel Core i5 7200U</v>
      </c>
      <c r="S892">
        <v>128</v>
      </c>
      <c r="T892">
        <v>0</v>
      </c>
      <c r="U892">
        <f>laptop[[#This Row],[PrimaryStorage]]+laptop[[#This Row],[SecondaryStorage]]</f>
        <v>128</v>
      </c>
      <c r="V892" t="s">
        <v>31</v>
      </c>
      <c r="W892" t="s">
        <v>27</v>
      </c>
      <c r="X892" t="str">
        <f>IF(laptop[[#This Row],[PrimaryStorageType]]=laptop[[#This Row],[SecondaryStorageType]],laptop[[#This Row],[PrimaryStorageType]],"SSD &amp; HDD")</f>
        <v>SSD &amp; HDD</v>
      </c>
      <c r="Y892" t="s">
        <v>42</v>
      </c>
      <c r="Z892" s="4" t="str">
        <f>_xlfn.CONCAT(laptop[[#This Row],[CPU_company]]," ",laptop[[#This Row],[GPU_model]])</f>
        <v>Intel HD Graphics 620</v>
      </c>
    </row>
    <row r="893" spans="1:26" x14ac:dyDescent="0.25">
      <c r="A893" t="s">
        <v>36</v>
      </c>
      <c r="B893" t="s">
        <v>701</v>
      </c>
      <c r="C893" t="s">
        <v>90</v>
      </c>
      <c r="D893">
        <v>13.3</v>
      </c>
      <c r="E893">
        <v>16</v>
      </c>
      <c r="F893" t="s">
        <v>48</v>
      </c>
      <c r="G893">
        <v>1.42</v>
      </c>
      <c r="H893" s="16">
        <v>1399</v>
      </c>
      <c r="I893" t="s">
        <v>107</v>
      </c>
      <c r="J893">
        <v>3200</v>
      </c>
      <c r="K893">
        <v>1800</v>
      </c>
      <c r="L893" t="s">
        <v>28</v>
      </c>
      <c r="M893" t="s">
        <v>27</v>
      </c>
      <c r="N893" t="s">
        <v>27</v>
      </c>
      <c r="O893" t="s">
        <v>29</v>
      </c>
      <c r="P893">
        <v>2.7</v>
      </c>
      <c r="Q893" t="s">
        <v>71</v>
      </c>
      <c r="R893" t="str">
        <f>_xlfn.CONCAT(laptop[[#This Row],[CPU_company]]," ",laptop[[#This Row],[CPU_model]])</f>
        <v>Intel Core i7 7500U</v>
      </c>
      <c r="S893">
        <v>256</v>
      </c>
      <c r="T893">
        <v>0</v>
      </c>
      <c r="U893">
        <f>laptop[[#This Row],[PrimaryStorage]]+laptop[[#This Row],[SecondaryStorage]]</f>
        <v>256</v>
      </c>
      <c r="V893" t="s">
        <v>31</v>
      </c>
      <c r="W893" t="s">
        <v>27</v>
      </c>
      <c r="X893" t="str">
        <f>IF(laptop[[#This Row],[PrimaryStorageType]]=laptop[[#This Row],[SecondaryStorageType]],laptop[[#This Row],[PrimaryStorageType]],"SSD &amp; HDD")</f>
        <v>SSD &amp; HDD</v>
      </c>
      <c r="Y893" t="s">
        <v>42</v>
      </c>
      <c r="Z893" s="4" t="str">
        <f>_xlfn.CONCAT(laptop[[#This Row],[CPU_company]]," ",laptop[[#This Row],[GPU_model]])</f>
        <v>Intel HD Graphics 620</v>
      </c>
    </row>
    <row r="894" spans="1:26" x14ac:dyDescent="0.25">
      <c r="A894" t="s">
        <v>413</v>
      </c>
      <c r="B894" t="s">
        <v>620</v>
      </c>
      <c r="C894" t="s">
        <v>24</v>
      </c>
      <c r="D894">
        <v>15</v>
      </c>
      <c r="E894">
        <v>8</v>
      </c>
      <c r="F894" t="s">
        <v>48</v>
      </c>
      <c r="G894">
        <v>1.17</v>
      </c>
      <c r="H894" s="16">
        <v>1699</v>
      </c>
      <c r="I894" t="s">
        <v>40</v>
      </c>
      <c r="J894">
        <v>1920</v>
      </c>
      <c r="K894">
        <v>1080</v>
      </c>
      <c r="L894" t="s">
        <v>27</v>
      </c>
      <c r="M894" t="s">
        <v>27</v>
      </c>
      <c r="N894" t="s">
        <v>27</v>
      </c>
      <c r="O894" t="s">
        <v>29</v>
      </c>
      <c r="P894">
        <v>2.7</v>
      </c>
      <c r="Q894" t="s">
        <v>71</v>
      </c>
      <c r="R894" t="str">
        <f>_xlfn.CONCAT(laptop[[#This Row],[CPU_company]]," ",laptop[[#This Row],[CPU_model]])</f>
        <v>Intel Core i7 7500U</v>
      </c>
      <c r="S894">
        <v>256</v>
      </c>
      <c r="T894">
        <v>0</v>
      </c>
      <c r="U894">
        <f>laptop[[#This Row],[PrimaryStorage]]+laptop[[#This Row],[SecondaryStorage]]</f>
        <v>256</v>
      </c>
      <c r="V894" t="s">
        <v>31</v>
      </c>
      <c r="W894" t="s">
        <v>27</v>
      </c>
      <c r="X894" t="str">
        <f>IF(laptop[[#This Row],[PrimaryStorageType]]=laptop[[#This Row],[SecondaryStorageType]],laptop[[#This Row],[PrimaryStorageType]],"SSD &amp; HDD")</f>
        <v>SSD &amp; HDD</v>
      </c>
      <c r="Y894" t="s">
        <v>42</v>
      </c>
      <c r="Z894" s="4" t="str">
        <f>_xlfn.CONCAT(laptop[[#This Row],[CPU_company]]," ",laptop[[#This Row],[GPU_model]])</f>
        <v>Intel HD Graphics 620</v>
      </c>
    </row>
    <row r="895" spans="1:26" x14ac:dyDescent="0.25">
      <c r="A895" t="s">
        <v>73</v>
      </c>
      <c r="B895" t="s">
        <v>424</v>
      </c>
      <c r="C895" t="s">
        <v>24</v>
      </c>
      <c r="D895">
        <v>14</v>
      </c>
      <c r="E895">
        <v>8</v>
      </c>
      <c r="F895" t="s">
        <v>48</v>
      </c>
      <c r="G895">
        <v>1.32</v>
      </c>
      <c r="H895" s="16">
        <v>1799</v>
      </c>
      <c r="I895" t="s">
        <v>40</v>
      </c>
      <c r="J895">
        <v>1920</v>
      </c>
      <c r="K895">
        <v>1080</v>
      </c>
      <c r="L895" t="s">
        <v>27</v>
      </c>
      <c r="M895" t="s">
        <v>28</v>
      </c>
      <c r="N895" t="s">
        <v>27</v>
      </c>
      <c r="O895" t="s">
        <v>29</v>
      </c>
      <c r="P895">
        <v>2.5</v>
      </c>
      <c r="Q895" t="s">
        <v>41</v>
      </c>
      <c r="R895" t="str">
        <f>_xlfn.CONCAT(laptop[[#This Row],[CPU_company]]," ",laptop[[#This Row],[CPU_model]])</f>
        <v>Intel Core i5 7200U</v>
      </c>
      <c r="S895">
        <v>256</v>
      </c>
      <c r="T895">
        <v>0</v>
      </c>
      <c r="U895">
        <f>laptop[[#This Row],[PrimaryStorage]]+laptop[[#This Row],[SecondaryStorage]]</f>
        <v>256</v>
      </c>
      <c r="V895" t="s">
        <v>31</v>
      </c>
      <c r="W895" t="s">
        <v>27</v>
      </c>
      <c r="X895" t="str">
        <f>IF(laptop[[#This Row],[PrimaryStorageType]]=laptop[[#This Row],[SecondaryStorageType]],laptop[[#This Row],[PrimaryStorageType]],"SSD &amp; HDD")</f>
        <v>SSD &amp; HDD</v>
      </c>
      <c r="Y895" t="s">
        <v>42</v>
      </c>
      <c r="Z895" s="4" t="str">
        <f>_xlfn.CONCAT(laptop[[#This Row],[CPU_company]]," ",laptop[[#This Row],[GPU_model]])</f>
        <v>Intel HD Graphics 620</v>
      </c>
    </row>
    <row r="896" spans="1:26" x14ac:dyDescent="0.25">
      <c r="A896" t="s">
        <v>141</v>
      </c>
      <c r="B896" t="s">
        <v>702</v>
      </c>
      <c r="C896" t="s">
        <v>83</v>
      </c>
      <c r="D896">
        <v>17.3</v>
      </c>
      <c r="E896">
        <v>16</v>
      </c>
      <c r="F896" t="s">
        <v>48</v>
      </c>
      <c r="G896">
        <v>2.4300000000000002</v>
      </c>
      <c r="H896" s="16">
        <v>2649</v>
      </c>
      <c r="I896" t="s">
        <v>215</v>
      </c>
      <c r="J896">
        <v>3840</v>
      </c>
      <c r="K896">
        <v>2160</v>
      </c>
      <c r="L896" t="s">
        <v>27</v>
      </c>
      <c r="M896" t="s">
        <v>28</v>
      </c>
      <c r="N896" t="s">
        <v>27</v>
      </c>
      <c r="O896" t="s">
        <v>29</v>
      </c>
      <c r="P896">
        <v>2.6</v>
      </c>
      <c r="Q896" t="s">
        <v>447</v>
      </c>
      <c r="R896" t="str">
        <f>_xlfn.CONCAT(laptop[[#This Row],[CPU_company]]," ",laptop[[#This Row],[CPU_model]])</f>
        <v>Intel Core i7 6700HQ</v>
      </c>
      <c r="S896">
        <v>512</v>
      </c>
      <c r="T896">
        <v>2048</v>
      </c>
      <c r="U896">
        <f>laptop[[#This Row],[PrimaryStorage]]+laptop[[#This Row],[SecondaryStorage]]</f>
        <v>2560</v>
      </c>
      <c r="V896" t="s">
        <v>31</v>
      </c>
      <c r="W896" t="s">
        <v>51</v>
      </c>
      <c r="X896" t="str">
        <f>IF(laptop[[#This Row],[PrimaryStorageType]]=laptop[[#This Row],[SecondaryStorageType]],laptop[[#This Row],[PrimaryStorageType]],"SSD &amp; HDD")</f>
        <v>SSD &amp; HDD</v>
      </c>
      <c r="Y896" t="s">
        <v>119</v>
      </c>
      <c r="Z896" s="4" t="str">
        <f>_xlfn.CONCAT(laptop[[#This Row],[CPU_company]]," ",laptop[[#This Row],[GPU_model]])</f>
        <v>Intel GeForce GTX 1060</v>
      </c>
    </row>
    <row r="897" spans="1:26" x14ac:dyDescent="0.25">
      <c r="A897" t="s">
        <v>210</v>
      </c>
      <c r="B897" t="s">
        <v>703</v>
      </c>
      <c r="C897" t="s">
        <v>38</v>
      </c>
      <c r="D897">
        <v>13.3</v>
      </c>
      <c r="E897">
        <v>8</v>
      </c>
      <c r="F897" t="s">
        <v>48</v>
      </c>
      <c r="G897">
        <v>1.05</v>
      </c>
      <c r="H897" s="16">
        <v>1475</v>
      </c>
      <c r="I897" t="s">
        <v>40</v>
      </c>
      <c r="J897">
        <v>1920</v>
      </c>
      <c r="K897">
        <v>1080</v>
      </c>
      <c r="L897" t="s">
        <v>27</v>
      </c>
      <c r="M897" t="s">
        <v>27</v>
      </c>
      <c r="N897" t="s">
        <v>27</v>
      </c>
      <c r="O897" t="s">
        <v>29</v>
      </c>
      <c r="P897">
        <v>2.5</v>
      </c>
      <c r="Q897" t="s">
        <v>41</v>
      </c>
      <c r="R897" t="str">
        <f>_xlfn.CONCAT(laptop[[#This Row],[CPU_company]]," ",laptop[[#This Row],[CPU_model]])</f>
        <v>Intel Core i5 7200U</v>
      </c>
      <c r="S897">
        <v>256</v>
      </c>
      <c r="T897">
        <v>0</v>
      </c>
      <c r="U897">
        <f>laptop[[#This Row],[PrimaryStorage]]+laptop[[#This Row],[SecondaryStorage]]</f>
        <v>256</v>
      </c>
      <c r="V897" t="s">
        <v>31</v>
      </c>
      <c r="W897" t="s">
        <v>27</v>
      </c>
      <c r="X897" t="str">
        <f>IF(laptop[[#This Row],[PrimaryStorageType]]=laptop[[#This Row],[SecondaryStorageType]],laptop[[#This Row],[PrimaryStorageType]],"SSD &amp; HDD")</f>
        <v>SSD &amp; HDD</v>
      </c>
      <c r="Y897" t="s">
        <v>42</v>
      </c>
      <c r="Z897" s="4" t="str">
        <f>_xlfn.CONCAT(laptop[[#This Row],[CPU_company]]," ",laptop[[#This Row],[GPU_model]])</f>
        <v>Intel HD Graphics 620</v>
      </c>
    </row>
    <row r="898" spans="1:26" x14ac:dyDescent="0.25">
      <c r="A898" t="s">
        <v>65</v>
      </c>
      <c r="B898" t="s">
        <v>222</v>
      </c>
      <c r="C898" t="s">
        <v>83</v>
      </c>
      <c r="D898">
        <v>15.6</v>
      </c>
      <c r="E898">
        <v>8</v>
      </c>
      <c r="F898" t="s">
        <v>111</v>
      </c>
      <c r="G898">
        <v>2.62</v>
      </c>
      <c r="H898" s="16">
        <v>929</v>
      </c>
      <c r="I898" t="s">
        <v>40</v>
      </c>
      <c r="J898">
        <v>1920</v>
      </c>
      <c r="K898">
        <v>1080</v>
      </c>
      <c r="L898" t="s">
        <v>27</v>
      </c>
      <c r="M898" t="s">
        <v>27</v>
      </c>
      <c r="N898" t="s">
        <v>27</v>
      </c>
      <c r="O898" t="s">
        <v>29</v>
      </c>
      <c r="P898">
        <v>2.8</v>
      </c>
      <c r="Q898" t="s">
        <v>118</v>
      </c>
      <c r="R898" t="str">
        <f>_xlfn.CONCAT(laptop[[#This Row],[CPU_company]]," ",laptop[[#This Row],[CPU_model]])</f>
        <v>Intel Core i7 7700HQ</v>
      </c>
      <c r="S898">
        <v>1024</v>
      </c>
      <c r="T898">
        <v>0</v>
      </c>
      <c r="U898">
        <f>laptop[[#This Row],[PrimaryStorage]]+laptop[[#This Row],[SecondaryStorage]]</f>
        <v>1024</v>
      </c>
      <c r="V898" t="s">
        <v>51</v>
      </c>
      <c r="W898" t="s">
        <v>27</v>
      </c>
      <c r="X898" t="str">
        <f>IF(laptop[[#This Row],[PrimaryStorageType]]=laptop[[#This Row],[SecondaryStorageType]],laptop[[#This Row],[PrimaryStorageType]],"SSD &amp; HDD")</f>
        <v>SSD &amp; HDD</v>
      </c>
      <c r="Y898" t="s">
        <v>704</v>
      </c>
      <c r="Z898" s="4" t="str">
        <f>_xlfn.CONCAT(laptop[[#This Row],[CPU_company]]," ",laptop[[#This Row],[GPU_model]])</f>
        <v>Intel GeForce GTX 1050Ti</v>
      </c>
    </row>
    <row r="899" spans="1:26" x14ac:dyDescent="0.25">
      <c r="A899" t="s">
        <v>36</v>
      </c>
      <c r="B899" t="s">
        <v>114</v>
      </c>
      <c r="C899" t="s">
        <v>38</v>
      </c>
      <c r="D899">
        <v>15.6</v>
      </c>
      <c r="E899">
        <v>8</v>
      </c>
      <c r="F899" t="s">
        <v>48</v>
      </c>
      <c r="G899">
        <v>2.04</v>
      </c>
      <c r="H899" s="16">
        <v>900</v>
      </c>
      <c r="I899" t="s">
        <v>40</v>
      </c>
      <c r="J899">
        <v>1920</v>
      </c>
      <c r="K899">
        <v>1080</v>
      </c>
      <c r="L899" t="s">
        <v>27</v>
      </c>
      <c r="M899" t="s">
        <v>27</v>
      </c>
      <c r="N899" t="s">
        <v>27</v>
      </c>
      <c r="O899" t="s">
        <v>29</v>
      </c>
      <c r="P899">
        <v>2.7</v>
      </c>
      <c r="Q899" t="s">
        <v>71</v>
      </c>
      <c r="R899" t="str">
        <f>_xlfn.CONCAT(laptop[[#This Row],[CPU_company]]," ",laptop[[#This Row],[CPU_model]])</f>
        <v>Intel Core i7 7500U</v>
      </c>
      <c r="S899">
        <v>1024</v>
      </c>
      <c r="T899">
        <v>0</v>
      </c>
      <c r="U899">
        <f>laptop[[#This Row],[PrimaryStorage]]+laptop[[#This Row],[SecondaryStorage]]</f>
        <v>1024</v>
      </c>
      <c r="V899" t="s">
        <v>51</v>
      </c>
      <c r="W899" t="s">
        <v>27</v>
      </c>
      <c r="X899" t="str">
        <f>IF(laptop[[#This Row],[PrimaryStorageType]]=laptop[[#This Row],[SecondaryStorageType]],laptop[[#This Row],[PrimaryStorageType]],"SSD &amp; HDD")</f>
        <v>SSD &amp; HDD</v>
      </c>
      <c r="Y899" t="s">
        <v>98</v>
      </c>
      <c r="Z899" s="4" t="str">
        <f>_xlfn.CONCAT(laptop[[#This Row],[CPU_company]]," ",laptop[[#This Row],[GPU_model]])</f>
        <v>Intel GeForce 930MX</v>
      </c>
    </row>
    <row r="900" spans="1:26" x14ac:dyDescent="0.25">
      <c r="A900" t="s">
        <v>65</v>
      </c>
      <c r="B900" t="s">
        <v>305</v>
      </c>
      <c r="C900" t="s">
        <v>38</v>
      </c>
      <c r="D900">
        <v>15.6</v>
      </c>
      <c r="E900">
        <v>4</v>
      </c>
      <c r="F900" t="s">
        <v>48</v>
      </c>
      <c r="G900">
        <v>2.1800000000000002</v>
      </c>
      <c r="H900" s="16">
        <v>614</v>
      </c>
      <c r="I900" t="s">
        <v>26</v>
      </c>
      <c r="J900">
        <v>1366</v>
      </c>
      <c r="K900">
        <v>768</v>
      </c>
      <c r="L900" t="s">
        <v>27</v>
      </c>
      <c r="M900" t="s">
        <v>27</v>
      </c>
      <c r="N900" t="s">
        <v>27</v>
      </c>
      <c r="O900" t="s">
        <v>29</v>
      </c>
      <c r="P900">
        <v>2</v>
      </c>
      <c r="Q900" t="s">
        <v>62</v>
      </c>
      <c r="R900" t="str">
        <f>_xlfn.CONCAT(laptop[[#This Row],[CPU_company]]," ",laptop[[#This Row],[CPU_model]])</f>
        <v>Intel Core i3 6006U</v>
      </c>
      <c r="S900">
        <v>1024</v>
      </c>
      <c r="T900">
        <v>0</v>
      </c>
      <c r="U900">
        <f>laptop[[#This Row],[PrimaryStorage]]+laptop[[#This Row],[SecondaryStorage]]</f>
        <v>1024</v>
      </c>
      <c r="V900" t="s">
        <v>51</v>
      </c>
      <c r="W900" t="s">
        <v>27</v>
      </c>
      <c r="X900" t="str">
        <f>IF(laptop[[#This Row],[PrimaryStorageType]]=laptop[[#This Row],[SecondaryStorageType]],laptop[[#This Row],[PrimaryStorageType]],"SSD &amp; HDD")</f>
        <v>SSD &amp; HDD</v>
      </c>
      <c r="Y900" t="s">
        <v>659</v>
      </c>
      <c r="Z900" s="4" t="str">
        <f>_xlfn.CONCAT(laptop[[#This Row],[CPU_company]]," ",laptop[[#This Row],[GPU_model]])</f>
        <v>Intel Radeon R5 M420X</v>
      </c>
    </row>
    <row r="901" spans="1:26" x14ac:dyDescent="0.25">
      <c r="A901" t="s">
        <v>65</v>
      </c>
      <c r="B901" t="s">
        <v>481</v>
      </c>
      <c r="C901" t="s">
        <v>38</v>
      </c>
      <c r="D901">
        <v>15.6</v>
      </c>
      <c r="E901">
        <v>8</v>
      </c>
      <c r="F901" t="s">
        <v>48</v>
      </c>
      <c r="G901">
        <v>1.9</v>
      </c>
      <c r="H901" s="16">
        <v>935</v>
      </c>
      <c r="I901" t="s">
        <v>40</v>
      </c>
      <c r="J901">
        <v>1920</v>
      </c>
      <c r="K901">
        <v>1080</v>
      </c>
      <c r="L901" t="s">
        <v>27</v>
      </c>
      <c r="M901" t="s">
        <v>27</v>
      </c>
      <c r="N901" t="s">
        <v>27</v>
      </c>
      <c r="O901" t="s">
        <v>29</v>
      </c>
      <c r="P901">
        <v>2.6</v>
      </c>
      <c r="Q901" t="s">
        <v>358</v>
      </c>
      <c r="R901" t="str">
        <f>_xlfn.CONCAT(laptop[[#This Row],[CPU_company]]," ",laptop[[#This Row],[CPU_model]])</f>
        <v>Intel Core i5 7300U</v>
      </c>
      <c r="S901">
        <v>500</v>
      </c>
      <c r="T901">
        <v>0</v>
      </c>
      <c r="U901">
        <f>laptop[[#This Row],[PrimaryStorage]]+laptop[[#This Row],[SecondaryStorage]]</f>
        <v>500</v>
      </c>
      <c r="V901" t="s">
        <v>51</v>
      </c>
      <c r="W901" t="s">
        <v>27</v>
      </c>
      <c r="X901" t="str">
        <f>IF(laptop[[#This Row],[PrimaryStorageType]]=laptop[[#This Row],[SecondaryStorageType]],laptop[[#This Row],[PrimaryStorageType]],"SSD &amp; HDD")</f>
        <v>SSD &amp; HDD</v>
      </c>
      <c r="Y901" t="s">
        <v>42</v>
      </c>
      <c r="Z901" s="4" t="str">
        <f>_xlfn.CONCAT(laptop[[#This Row],[CPU_company]]," ",laptop[[#This Row],[GPU_model]])</f>
        <v>Intel HD Graphics 620</v>
      </c>
    </row>
    <row r="902" spans="1:26" x14ac:dyDescent="0.25">
      <c r="A902" t="s">
        <v>65</v>
      </c>
      <c r="B902" t="s">
        <v>77</v>
      </c>
      <c r="C902" t="s">
        <v>90</v>
      </c>
      <c r="D902">
        <v>13.3</v>
      </c>
      <c r="E902">
        <v>8</v>
      </c>
      <c r="F902" t="s">
        <v>48</v>
      </c>
      <c r="G902">
        <v>1.24</v>
      </c>
      <c r="H902" s="16">
        <v>2013.1</v>
      </c>
      <c r="I902" t="s">
        <v>107</v>
      </c>
      <c r="J902">
        <v>3200</v>
      </c>
      <c r="K902">
        <v>1800</v>
      </c>
      <c r="L902" t="s">
        <v>28</v>
      </c>
      <c r="M902" t="s">
        <v>27</v>
      </c>
      <c r="N902" t="s">
        <v>27</v>
      </c>
      <c r="O902" t="s">
        <v>29</v>
      </c>
      <c r="P902">
        <v>1.3</v>
      </c>
      <c r="Q902" t="s">
        <v>423</v>
      </c>
      <c r="R902" t="str">
        <f>_xlfn.CONCAT(laptop[[#This Row],[CPU_company]]," ",laptop[[#This Row],[CPU_model]])</f>
        <v>Intel Core i7 7Y75</v>
      </c>
      <c r="S902">
        <v>512</v>
      </c>
      <c r="T902">
        <v>0</v>
      </c>
      <c r="U902">
        <f>laptop[[#This Row],[PrimaryStorage]]+laptop[[#This Row],[SecondaryStorage]]</f>
        <v>512</v>
      </c>
      <c r="V902" t="s">
        <v>31</v>
      </c>
      <c r="W902" t="s">
        <v>27</v>
      </c>
      <c r="X902" t="str">
        <f>IF(laptop[[#This Row],[PrimaryStorageType]]=laptop[[#This Row],[SecondaryStorageType]],laptop[[#This Row],[PrimaryStorageType]],"SSD &amp; HDD")</f>
        <v>SSD &amp; HDD</v>
      </c>
      <c r="Y902" t="s">
        <v>70</v>
      </c>
      <c r="Z902" s="4" t="str">
        <f>_xlfn.CONCAT(laptop[[#This Row],[CPU_company]]," ",laptop[[#This Row],[GPU_model]])</f>
        <v>Intel HD Graphics 615</v>
      </c>
    </row>
    <row r="903" spans="1:26" x14ac:dyDescent="0.25">
      <c r="A903" t="s">
        <v>55</v>
      </c>
      <c r="B903" t="s">
        <v>705</v>
      </c>
      <c r="C903" t="s">
        <v>83</v>
      </c>
      <c r="D903">
        <v>17.3</v>
      </c>
      <c r="E903">
        <v>32</v>
      </c>
      <c r="F903" t="s">
        <v>48</v>
      </c>
      <c r="G903">
        <v>3.58</v>
      </c>
      <c r="H903" s="16">
        <v>1279</v>
      </c>
      <c r="I903" t="s">
        <v>40</v>
      </c>
      <c r="J903">
        <v>1920</v>
      </c>
      <c r="K903">
        <v>1080</v>
      </c>
      <c r="L903" t="s">
        <v>27</v>
      </c>
      <c r="M903" t="s">
        <v>28</v>
      </c>
      <c r="N903" t="s">
        <v>27</v>
      </c>
      <c r="O903" t="s">
        <v>29</v>
      </c>
      <c r="P903">
        <v>2.7</v>
      </c>
      <c r="Q903" t="s">
        <v>514</v>
      </c>
      <c r="R903" t="str">
        <f>_xlfn.CONCAT(laptop[[#This Row],[CPU_company]]," ",laptop[[#This Row],[CPU_model]])</f>
        <v>Intel Core i7 6820HK</v>
      </c>
      <c r="S903">
        <v>256</v>
      </c>
      <c r="T903">
        <v>256</v>
      </c>
      <c r="U903">
        <f>laptop[[#This Row],[PrimaryStorage]]+laptop[[#This Row],[SecondaryStorage]]</f>
        <v>512</v>
      </c>
      <c r="V903" t="s">
        <v>31</v>
      </c>
      <c r="W903" t="s">
        <v>31</v>
      </c>
      <c r="X903" t="str">
        <f>IF(laptop[[#This Row],[PrimaryStorageType]]=laptop[[#This Row],[SecondaryStorageType]],laptop[[#This Row],[PrimaryStorageType]],"SSD &amp; HDD")</f>
        <v>SSD</v>
      </c>
      <c r="Y903" t="s">
        <v>297</v>
      </c>
      <c r="Z903" s="4" t="str">
        <f>_xlfn.CONCAT(laptop[[#This Row],[CPU_company]]," ",laptop[[#This Row],[GPU_model]])</f>
        <v>Intel GeForce GTX 980M</v>
      </c>
    </row>
    <row r="904" spans="1:26" x14ac:dyDescent="0.25">
      <c r="A904" t="s">
        <v>65</v>
      </c>
      <c r="B904" t="s">
        <v>77</v>
      </c>
      <c r="C904" t="s">
        <v>90</v>
      </c>
      <c r="D904">
        <v>13.3</v>
      </c>
      <c r="E904">
        <v>16</v>
      </c>
      <c r="F904" t="s">
        <v>48</v>
      </c>
      <c r="G904">
        <v>1.22</v>
      </c>
      <c r="H904" s="16">
        <v>1649</v>
      </c>
      <c r="I904" t="s">
        <v>40</v>
      </c>
      <c r="J904">
        <v>1920</v>
      </c>
      <c r="K904">
        <v>1080</v>
      </c>
      <c r="L904" t="s">
        <v>28</v>
      </c>
      <c r="M904" t="s">
        <v>27</v>
      </c>
      <c r="N904" t="s">
        <v>27</v>
      </c>
      <c r="O904" t="s">
        <v>29</v>
      </c>
      <c r="P904">
        <v>1.3</v>
      </c>
      <c r="Q904" t="s">
        <v>423</v>
      </c>
      <c r="R904" t="str">
        <f>_xlfn.CONCAT(laptop[[#This Row],[CPU_company]]," ",laptop[[#This Row],[CPU_model]])</f>
        <v>Intel Core i7 7Y75</v>
      </c>
      <c r="S904">
        <v>256</v>
      </c>
      <c r="T904">
        <v>0</v>
      </c>
      <c r="U904">
        <f>laptop[[#This Row],[PrimaryStorage]]+laptop[[#This Row],[SecondaryStorage]]</f>
        <v>256</v>
      </c>
      <c r="V904" t="s">
        <v>31</v>
      </c>
      <c r="W904" t="s">
        <v>27</v>
      </c>
      <c r="X904" t="str">
        <f>IF(laptop[[#This Row],[PrimaryStorageType]]=laptop[[#This Row],[SecondaryStorageType]],laptop[[#This Row],[PrimaryStorageType]],"SSD &amp; HDD")</f>
        <v>SSD &amp; HDD</v>
      </c>
      <c r="Y904" t="s">
        <v>70</v>
      </c>
      <c r="Z904" s="4" t="str">
        <f>_xlfn.CONCAT(laptop[[#This Row],[CPU_company]]," ",laptop[[#This Row],[GPU_model]])</f>
        <v>Intel HD Graphics 615</v>
      </c>
    </row>
    <row r="905" spans="1:26" x14ac:dyDescent="0.25">
      <c r="A905" t="s">
        <v>73</v>
      </c>
      <c r="B905" t="s">
        <v>308</v>
      </c>
      <c r="C905" t="s">
        <v>24</v>
      </c>
      <c r="D905">
        <v>14</v>
      </c>
      <c r="E905">
        <v>8</v>
      </c>
      <c r="F905" t="s">
        <v>48</v>
      </c>
      <c r="G905">
        <v>1.1299999999999999</v>
      </c>
      <c r="H905" s="16">
        <v>2049</v>
      </c>
      <c r="I905" t="s">
        <v>40</v>
      </c>
      <c r="J905">
        <v>1920</v>
      </c>
      <c r="K905">
        <v>1080</v>
      </c>
      <c r="L905" t="s">
        <v>27</v>
      </c>
      <c r="M905" t="s">
        <v>28</v>
      </c>
      <c r="N905" t="s">
        <v>27</v>
      </c>
      <c r="O905" t="s">
        <v>29</v>
      </c>
      <c r="P905">
        <v>2.7</v>
      </c>
      <c r="Q905" t="s">
        <v>71</v>
      </c>
      <c r="R905" t="str">
        <f>_xlfn.CONCAT(laptop[[#This Row],[CPU_company]]," ",laptop[[#This Row],[CPU_model]])</f>
        <v>Intel Core i7 7500U</v>
      </c>
      <c r="S905">
        <v>256</v>
      </c>
      <c r="T905">
        <v>0</v>
      </c>
      <c r="U905">
        <f>laptop[[#This Row],[PrimaryStorage]]+laptop[[#This Row],[SecondaryStorage]]</f>
        <v>256</v>
      </c>
      <c r="V905" t="s">
        <v>34</v>
      </c>
      <c r="W905" t="s">
        <v>27</v>
      </c>
      <c r="X905" t="str">
        <f>IF(laptop[[#This Row],[PrimaryStorageType]]=laptop[[#This Row],[SecondaryStorageType]],laptop[[#This Row],[PrimaryStorageType]],"SSD &amp; HDD")</f>
        <v>SSD &amp; HDD</v>
      </c>
      <c r="Y905" t="s">
        <v>42</v>
      </c>
      <c r="Z905" s="4" t="str">
        <f>_xlfn.CONCAT(laptop[[#This Row],[CPU_company]]," ",laptop[[#This Row],[GPU_model]])</f>
        <v>Intel HD Graphics 620</v>
      </c>
    </row>
    <row r="906" spans="1:26" x14ac:dyDescent="0.25">
      <c r="A906" t="s">
        <v>73</v>
      </c>
      <c r="B906" t="s">
        <v>493</v>
      </c>
      <c r="C906" t="s">
        <v>38</v>
      </c>
      <c r="D906">
        <v>15.6</v>
      </c>
      <c r="E906">
        <v>8</v>
      </c>
      <c r="F906" t="s">
        <v>48</v>
      </c>
      <c r="G906">
        <v>1.95</v>
      </c>
      <c r="H906" s="16">
        <v>1962.99</v>
      </c>
      <c r="I906" t="s">
        <v>40</v>
      </c>
      <c r="J906">
        <v>1920</v>
      </c>
      <c r="K906">
        <v>1080</v>
      </c>
      <c r="L906" t="s">
        <v>27</v>
      </c>
      <c r="M906" t="s">
        <v>28</v>
      </c>
      <c r="N906" t="s">
        <v>27</v>
      </c>
      <c r="O906" t="s">
        <v>29</v>
      </c>
      <c r="P906">
        <v>2.5</v>
      </c>
      <c r="Q906" t="s">
        <v>41</v>
      </c>
      <c r="R906" t="str">
        <f>_xlfn.CONCAT(laptop[[#This Row],[CPU_company]]," ",laptop[[#This Row],[CPU_model]])</f>
        <v>Intel Core i5 7200U</v>
      </c>
      <c r="S906">
        <v>512</v>
      </c>
      <c r="T906">
        <v>0</v>
      </c>
      <c r="U906">
        <f>laptop[[#This Row],[PrimaryStorage]]+laptop[[#This Row],[SecondaryStorage]]</f>
        <v>512</v>
      </c>
      <c r="V906" t="s">
        <v>31</v>
      </c>
      <c r="W906" t="s">
        <v>27</v>
      </c>
      <c r="X906" t="str">
        <f>IF(laptop[[#This Row],[PrimaryStorageType]]=laptop[[#This Row],[SecondaryStorageType]],laptop[[#This Row],[PrimaryStorageType]],"SSD &amp; HDD")</f>
        <v>SSD &amp; HDD</v>
      </c>
      <c r="Y906" t="s">
        <v>42</v>
      </c>
      <c r="Z906" s="4" t="str">
        <f>_xlfn.CONCAT(laptop[[#This Row],[CPU_company]]," ",laptop[[#This Row],[GPU_model]])</f>
        <v>Intel HD Graphics 620</v>
      </c>
    </row>
    <row r="907" spans="1:26" x14ac:dyDescent="0.25">
      <c r="A907" t="s">
        <v>575</v>
      </c>
      <c r="B907" t="s">
        <v>706</v>
      </c>
      <c r="C907" t="s">
        <v>24</v>
      </c>
      <c r="D907">
        <v>15.6</v>
      </c>
      <c r="E907">
        <v>16</v>
      </c>
      <c r="F907" t="s">
        <v>48</v>
      </c>
      <c r="G907">
        <v>1.08</v>
      </c>
      <c r="H907" s="16">
        <v>2099</v>
      </c>
      <c r="I907" t="s">
        <v>40</v>
      </c>
      <c r="J907">
        <v>1920</v>
      </c>
      <c r="K907">
        <v>1080</v>
      </c>
      <c r="L907" t="s">
        <v>28</v>
      </c>
      <c r="M907" t="s">
        <v>28</v>
      </c>
      <c r="N907" t="s">
        <v>27</v>
      </c>
      <c r="O907" t="s">
        <v>29</v>
      </c>
      <c r="P907">
        <v>2.7</v>
      </c>
      <c r="Q907" t="s">
        <v>71</v>
      </c>
      <c r="R907" t="str">
        <f>_xlfn.CONCAT(laptop[[#This Row],[CPU_company]]," ",laptop[[#This Row],[CPU_model]])</f>
        <v>Intel Core i7 7500U</v>
      </c>
      <c r="S907">
        <v>512</v>
      </c>
      <c r="T907">
        <v>0</v>
      </c>
      <c r="U907">
        <f>laptop[[#This Row],[PrimaryStorage]]+laptop[[#This Row],[SecondaryStorage]]</f>
        <v>512</v>
      </c>
      <c r="V907" t="s">
        <v>31</v>
      </c>
      <c r="W907" t="s">
        <v>27</v>
      </c>
      <c r="X907" t="str">
        <f>IF(laptop[[#This Row],[PrimaryStorageType]]=laptop[[#This Row],[SecondaryStorageType]],laptop[[#This Row],[PrimaryStorageType]],"SSD &amp; HDD")</f>
        <v>SSD &amp; HDD</v>
      </c>
      <c r="Y907" t="s">
        <v>42</v>
      </c>
      <c r="Z907" s="4" t="str">
        <f>_xlfn.CONCAT(laptop[[#This Row],[CPU_company]]," ",laptop[[#This Row],[GPU_model]])</f>
        <v>Intel HD Graphics 620</v>
      </c>
    </row>
    <row r="908" spans="1:26" x14ac:dyDescent="0.25">
      <c r="A908" t="s">
        <v>36</v>
      </c>
      <c r="B908" t="s">
        <v>353</v>
      </c>
      <c r="C908" t="s">
        <v>79</v>
      </c>
      <c r="D908">
        <v>12.5</v>
      </c>
      <c r="E908">
        <v>8</v>
      </c>
      <c r="F908" t="s">
        <v>48</v>
      </c>
      <c r="G908">
        <v>1.26</v>
      </c>
      <c r="H908" s="16">
        <v>1483</v>
      </c>
      <c r="I908" t="s">
        <v>40</v>
      </c>
      <c r="J908">
        <v>1920</v>
      </c>
      <c r="K908">
        <v>1080</v>
      </c>
      <c r="L908" t="s">
        <v>27</v>
      </c>
      <c r="M908" t="s">
        <v>27</v>
      </c>
      <c r="N908" t="s">
        <v>27</v>
      </c>
      <c r="O908" t="s">
        <v>29</v>
      </c>
      <c r="P908">
        <v>2.7</v>
      </c>
      <c r="Q908" t="s">
        <v>71</v>
      </c>
      <c r="R908" t="str">
        <f>_xlfn.CONCAT(laptop[[#This Row],[CPU_company]]," ",laptop[[#This Row],[CPU_model]])</f>
        <v>Intel Core i7 7500U</v>
      </c>
      <c r="S908">
        <v>512</v>
      </c>
      <c r="T908">
        <v>0</v>
      </c>
      <c r="U908">
        <f>laptop[[#This Row],[PrimaryStorage]]+laptop[[#This Row],[SecondaryStorage]]</f>
        <v>512</v>
      </c>
      <c r="V908" t="s">
        <v>31</v>
      </c>
      <c r="W908" t="s">
        <v>27</v>
      </c>
      <c r="X908" t="str">
        <f>IF(laptop[[#This Row],[PrimaryStorageType]]=laptop[[#This Row],[SecondaryStorageType]],laptop[[#This Row],[PrimaryStorageType]],"SSD &amp; HDD")</f>
        <v>SSD &amp; HDD</v>
      </c>
      <c r="Y908" t="s">
        <v>42</v>
      </c>
      <c r="Z908" s="4" t="str">
        <f>_xlfn.CONCAT(laptop[[#This Row],[CPU_company]]," ",laptop[[#This Row],[GPU_model]])</f>
        <v>Intel HD Graphics 620</v>
      </c>
    </row>
    <row r="909" spans="1:26" x14ac:dyDescent="0.25">
      <c r="A909" t="s">
        <v>46</v>
      </c>
      <c r="B909" t="s">
        <v>707</v>
      </c>
      <c r="C909" t="s">
        <v>38</v>
      </c>
      <c r="D909">
        <v>15.6</v>
      </c>
      <c r="E909">
        <v>4</v>
      </c>
      <c r="F909" t="s">
        <v>317</v>
      </c>
      <c r="G909">
        <v>2.2000000000000002</v>
      </c>
      <c r="H909" s="16">
        <v>359</v>
      </c>
      <c r="I909" t="s">
        <v>40</v>
      </c>
      <c r="J909">
        <v>1920</v>
      </c>
      <c r="K909">
        <v>1080</v>
      </c>
      <c r="L909" t="s">
        <v>27</v>
      </c>
      <c r="M909" t="s">
        <v>28</v>
      </c>
      <c r="N909" t="s">
        <v>27</v>
      </c>
      <c r="O909" t="s">
        <v>29</v>
      </c>
      <c r="P909">
        <v>1.5</v>
      </c>
      <c r="Q909" t="s">
        <v>318</v>
      </c>
      <c r="R909" t="str">
        <f>_xlfn.CONCAT(laptop[[#This Row],[CPU_company]]," ",laptop[[#This Row],[CPU_model]])</f>
        <v>Intel Celeron Dual Core 3205U</v>
      </c>
      <c r="S909">
        <v>16</v>
      </c>
      <c r="T909">
        <v>0</v>
      </c>
      <c r="U909">
        <f>laptop[[#This Row],[PrimaryStorage]]+laptop[[#This Row],[SecondaryStorage]]</f>
        <v>16</v>
      </c>
      <c r="V909" t="s">
        <v>34</v>
      </c>
      <c r="W909" t="s">
        <v>27</v>
      </c>
      <c r="X909" t="str">
        <f>IF(laptop[[#This Row],[PrimaryStorageType]]=laptop[[#This Row],[SecondaryStorageType]],laptop[[#This Row],[PrimaryStorageType]],"SSD &amp; HDD")</f>
        <v>SSD &amp; HDD</v>
      </c>
      <c r="Y909" t="s">
        <v>102</v>
      </c>
      <c r="Z909" s="4" t="str">
        <f>_xlfn.CONCAT(laptop[[#This Row],[CPU_company]]," ",laptop[[#This Row],[GPU_model]])</f>
        <v>Intel HD Graphics</v>
      </c>
    </row>
    <row r="910" spans="1:26" x14ac:dyDescent="0.25">
      <c r="A910" t="s">
        <v>73</v>
      </c>
      <c r="B910" t="s">
        <v>559</v>
      </c>
      <c r="C910" t="s">
        <v>38</v>
      </c>
      <c r="D910">
        <v>15.6</v>
      </c>
      <c r="E910">
        <v>8</v>
      </c>
      <c r="F910" t="s">
        <v>48</v>
      </c>
      <c r="G910">
        <v>2.6</v>
      </c>
      <c r="H910" s="16">
        <v>789</v>
      </c>
      <c r="I910" t="s">
        <v>40</v>
      </c>
      <c r="J910">
        <v>1920</v>
      </c>
      <c r="K910">
        <v>1080</v>
      </c>
      <c r="L910" t="s">
        <v>27</v>
      </c>
      <c r="M910" t="s">
        <v>28</v>
      </c>
      <c r="N910" t="s">
        <v>27</v>
      </c>
      <c r="O910" t="s">
        <v>29</v>
      </c>
      <c r="P910">
        <v>2.2999999999999998</v>
      </c>
      <c r="Q910" t="s">
        <v>601</v>
      </c>
      <c r="R910" t="str">
        <f>_xlfn.CONCAT(laptop[[#This Row],[CPU_company]]," ",laptop[[#This Row],[CPU_model]])</f>
        <v>Intel Core i5 6300HQ</v>
      </c>
      <c r="S910">
        <v>128</v>
      </c>
      <c r="T910">
        <v>1024</v>
      </c>
      <c r="U910">
        <f>laptop[[#This Row],[PrimaryStorage]]+laptop[[#This Row],[SecondaryStorage]]</f>
        <v>1152</v>
      </c>
      <c r="V910" t="s">
        <v>31</v>
      </c>
      <c r="W910" t="s">
        <v>51</v>
      </c>
      <c r="X910" t="str">
        <f>IF(laptop[[#This Row],[PrimaryStorageType]]=laptop[[#This Row],[SecondaryStorageType]],laptop[[#This Row],[PrimaryStorageType]],"SSD &amp; HDD")</f>
        <v>SSD &amp; HDD</v>
      </c>
      <c r="Y910" t="s">
        <v>483</v>
      </c>
      <c r="Z910" s="4" t="str">
        <f>_xlfn.CONCAT(laptop[[#This Row],[CPU_company]]," ",laptop[[#This Row],[GPU_model]])</f>
        <v>Intel GeForce GTX 960M</v>
      </c>
    </row>
    <row r="911" spans="1:26" x14ac:dyDescent="0.25">
      <c r="A911" t="s">
        <v>575</v>
      </c>
      <c r="B911" t="s">
        <v>708</v>
      </c>
      <c r="C911" t="s">
        <v>24</v>
      </c>
      <c r="D911">
        <v>14</v>
      </c>
      <c r="E911">
        <v>8</v>
      </c>
      <c r="F911" t="s">
        <v>48</v>
      </c>
      <c r="G911">
        <v>0.98</v>
      </c>
      <c r="H911" s="16">
        <v>1899</v>
      </c>
      <c r="I911" t="s">
        <v>40</v>
      </c>
      <c r="J911">
        <v>1920</v>
      </c>
      <c r="K911">
        <v>1080</v>
      </c>
      <c r="L911" t="s">
        <v>28</v>
      </c>
      <c r="M911" t="s">
        <v>28</v>
      </c>
      <c r="N911" t="s">
        <v>27</v>
      </c>
      <c r="O911" t="s">
        <v>29</v>
      </c>
      <c r="P911">
        <v>2.7</v>
      </c>
      <c r="Q911" t="s">
        <v>71</v>
      </c>
      <c r="R911" t="str">
        <f>_xlfn.CONCAT(laptop[[#This Row],[CPU_company]]," ",laptop[[#This Row],[CPU_model]])</f>
        <v>Intel Core i7 7500U</v>
      </c>
      <c r="S911">
        <v>512</v>
      </c>
      <c r="T911">
        <v>0</v>
      </c>
      <c r="U911">
        <f>laptop[[#This Row],[PrimaryStorage]]+laptop[[#This Row],[SecondaryStorage]]</f>
        <v>512</v>
      </c>
      <c r="V911" t="s">
        <v>31</v>
      </c>
      <c r="W911" t="s">
        <v>27</v>
      </c>
      <c r="X911" t="str">
        <f>IF(laptop[[#This Row],[PrimaryStorageType]]=laptop[[#This Row],[SecondaryStorageType]],laptop[[#This Row],[PrimaryStorageType]],"SSD &amp; HDD")</f>
        <v>SSD &amp; HDD</v>
      </c>
      <c r="Y911" t="s">
        <v>42</v>
      </c>
      <c r="Z911" s="4" t="str">
        <f>_xlfn.CONCAT(laptop[[#This Row],[CPU_company]]," ",laptop[[#This Row],[GPU_model]])</f>
        <v>Intel HD Graphics 620</v>
      </c>
    </row>
    <row r="912" spans="1:26" x14ac:dyDescent="0.25">
      <c r="A912" t="s">
        <v>65</v>
      </c>
      <c r="B912" t="s">
        <v>409</v>
      </c>
      <c r="C912" t="s">
        <v>38</v>
      </c>
      <c r="D912">
        <v>14</v>
      </c>
      <c r="E912">
        <v>8</v>
      </c>
      <c r="F912" t="s">
        <v>48</v>
      </c>
      <c r="G912">
        <v>1.6</v>
      </c>
      <c r="H912" s="16">
        <v>1205</v>
      </c>
      <c r="I912" t="s">
        <v>40</v>
      </c>
      <c r="J912">
        <v>1920</v>
      </c>
      <c r="K912">
        <v>1080</v>
      </c>
      <c r="L912" t="s">
        <v>27</v>
      </c>
      <c r="M912" t="s">
        <v>27</v>
      </c>
      <c r="N912" t="s">
        <v>27</v>
      </c>
      <c r="O912" t="s">
        <v>29</v>
      </c>
      <c r="P912">
        <v>2.8</v>
      </c>
      <c r="Q912" t="s">
        <v>428</v>
      </c>
      <c r="R912" t="str">
        <f>_xlfn.CONCAT(laptop[[#This Row],[CPU_company]]," ",laptop[[#This Row],[CPU_model]])</f>
        <v>Intel Core i5 7440HQ</v>
      </c>
      <c r="S912">
        <v>256</v>
      </c>
      <c r="T912">
        <v>0</v>
      </c>
      <c r="U912">
        <f>laptop[[#This Row],[PrimaryStorage]]+laptop[[#This Row],[SecondaryStorage]]</f>
        <v>256</v>
      </c>
      <c r="V912" t="s">
        <v>31</v>
      </c>
      <c r="W912" t="s">
        <v>27</v>
      </c>
      <c r="X912" t="str">
        <f>IF(laptop[[#This Row],[PrimaryStorageType]]=laptop[[#This Row],[SecondaryStorageType]],laptop[[#This Row],[PrimaryStorageType]],"SSD &amp; HDD")</f>
        <v>SSD &amp; HDD</v>
      </c>
      <c r="Y912" t="s">
        <v>42</v>
      </c>
      <c r="Z912" s="4" t="str">
        <f>_xlfn.CONCAT(laptop[[#This Row],[CPU_company]]," ",laptop[[#This Row],[GPU_model]])</f>
        <v>Intel HD Graphics 620</v>
      </c>
    </row>
    <row r="913" spans="1:26" x14ac:dyDescent="0.25">
      <c r="A913" t="s">
        <v>36</v>
      </c>
      <c r="B913" t="s">
        <v>709</v>
      </c>
      <c r="C913" t="s">
        <v>24</v>
      </c>
      <c r="D913">
        <v>12.5</v>
      </c>
      <c r="E913">
        <v>8</v>
      </c>
      <c r="F913" t="s">
        <v>48</v>
      </c>
      <c r="G913">
        <v>1.0900000000000001</v>
      </c>
      <c r="H913" s="16">
        <v>3100</v>
      </c>
      <c r="I913" t="s">
        <v>215</v>
      </c>
      <c r="J913">
        <v>3840</v>
      </c>
      <c r="K913">
        <v>2160</v>
      </c>
      <c r="L913" t="s">
        <v>28</v>
      </c>
      <c r="M913" t="s">
        <v>27</v>
      </c>
      <c r="N913" t="s">
        <v>27</v>
      </c>
      <c r="O913" t="s">
        <v>29</v>
      </c>
      <c r="P913">
        <v>1.2</v>
      </c>
      <c r="Q913" t="s">
        <v>216</v>
      </c>
      <c r="R913" t="str">
        <f>_xlfn.CONCAT(laptop[[#This Row],[CPU_company]]," ",laptop[[#This Row],[CPU_model]])</f>
        <v>Intel Core M 6Y75</v>
      </c>
      <c r="S913">
        <v>240</v>
      </c>
      <c r="T913">
        <v>0</v>
      </c>
      <c r="U913">
        <f>laptop[[#This Row],[PrimaryStorage]]+laptop[[#This Row],[SecondaryStorage]]</f>
        <v>240</v>
      </c>
      <c r="V913" t="s">
        <v>31</v>
      </c>
      <c r="W913" t="s">
        <v>27</v>
      </c>
      <c r="X913" t="str">
        <f>IF(laptop[[#This Row],[PrimaryStorageType]]=laptop[[#This Row],[SecondaryStorageType]],laptop[[#This Row],[PrimaryStorageType]],"SSD &amp; HDD")</f>
        <v>SSD &amp; HDD</v>
      </c>
      <c r="Y913" t="s">
        <v>217</v>
      </c>
      <c r="Z913" s="4" t="str">
        <f>_xlfn.CONCAT(laptop[[#This Row],[CPU_company]]," ",laptop[[#This Row],[GPU_model]])</f>
        <v>Intel HD Graphics 515</v>
      </c>
    </row>
    <row r="914" spans="1:26" x14ac:dyDescent="0.25">
      <c r="A914" t="s">
        <v>73</v>
      </c>
      <c r="B914" t="s">
        <v>710</v>
      </c>
      <c r="C914" t="s">
        <v>38</v>
      </c>
      <c r="D914">
        <v>15.6</v>
      </c>
      <c r="E914">
        <v>6</v>
      </c>
      <c r="F914" t="s">
        <v>48</v>
      </c>
      <c r="G914">
        <v>2.2000000000000002</v>
      </c>
      <c r="H914" s="16">
        <v>789</v>
      </c>
      <c r="I914" t="s">
        <v>40</v>
      </c>
      <c r="J914">
        <v>1920</v>
      </c>
      <c r="K914">
        <v>1080</v>
      </c>
      <c r="L914" t="s">
        <v>27</v>
      </c>
      <c r="M914" t="s">
        <v>27</v>
      </c>
      <c r="N914" t="s">
        <v>27</v>
      </c>
      <c r="O914" t="s">
        <v>29</v>
      </c>
      <c r="P914">
        <v>2.7</v>
      </c>
      <c r="Q914" t="s">
        <v>71</v>
      </c>
      <c r="R914" t="str">
        <f>_xlfn.CONCAT(laptop[[#This Row],[CPU_company]]," ",laptop[[#This Row],[CPU_model]])</f>
        <v>Intel Core i7 7500U</v>
      </c>
      <c r="S914">
        <v>256</v>
      </c>
      <c r="T914">
        <v>0</v>
      </c>
      <c r="U914">
        <f>laptop[[#This Row],[PrimaryStorage]]+laptop[[#This Row],[SecondaryStorage]]</f>
        <v>256</v>
      </c>
      <c r="V914" t="s">
        <v>31</v>
      </c>
      <c r="W914" t="s">
        <v>27</v>
      </c>
      <c r="X914" t="str">
        <f>IF(laptop[[#This Row],[PrimaryStorageType]]=laptop[[#This Row],[SecondaryStorageType]],laptop[[#This Row],[PrimaryStorageType]],"SSD &amp; HDD")</f>
        <v>SSD &amp; HDD</v>
      </c>
      <c r="Y914" t="s">
        <v>76</v>
      </c>
      <c r="Z914" s="4" t="str">
        <f>_xlfn.CONCAT(laptop[[#This Row],[CPU_company]]," ",laptop[[#This Row],[GPU_model]])</f>
        <v>Intel GeForce 940MX</v>
      </c>
    </row>
    <row r="915" spans="1:26" x14ac:dyDescent="0.25">
      <c r="A915" t="s">
        <v>36</v>
      </c>
      <c r="B915" t="s">
        <v>114</v>
      </c>
      <c r="C915" t="s">
        <v>38</v>
      </c>
      <c r="D915">
        <v>15.6</v>
      </c>
      <c r="E915">
        <v>8</v>
      </c>
      <c r="F915" t="s">
        <v>48</v>
      </c>
      <c r="G915">
        <v>2.04</v>
      </c>
      <c r="H915" s="16">
        <v>1018.99</v>
      </c>
      <c r="I915" t="s">
        <v>40</v>
      </c>
      <c r="J915">
        <v>1920</v>
      </c>
      <c r="K915">
        <v>1080</v>
      </c>
      <c r="L915" t="s">
        <v>27</v>
      </c>
      <c r="M915" t="s">
        <v>27</v>
      </c>
      <c r="N915" t="s">
        <v>27</v>
      </c>
      <c r="O915" t="s">
        <v>29</v>
      </c>
      <c r="P915">
        <v>2.7</v>
      </c>
      <c r="Q915" t="s">
        <v>71</v>
      </c>
      <c r="R915" t="str">
        <f>_xlfn.CONCAT(laptop[[#This Row],[CPU_company]]," ",laptop[[#This Row],[CPU_model]])</f>
        <v>Intel Core i7 7500U</v>
      </c>
      <c r="S915">
        <v>256</v>
      </c>
      <c r="T915">
        <v>0</v>
      </c>
      <c r="U915">
        <f>laptop[[#This Row],[PrimaryStorage]]+laptop[[#This Row],[SecondaryStorage]]</f>
        <v>256</v>
      </c>
      <c r="V915" t="s">
        <v>31</v>
      </c>
      <c r="W915" t="s">
        <v>27</v>
      </c>
      <c r="X915" t="str">
        <f>IF(laptop[[#This Row],[PrimaryStorageType]]=laptop[[#This Row],[SecondaryStorageType]],laptop[[#This Row],[PrimaryStorageType]],"SSD &amp; HDD")</f>
        <v>SSD &amp; HDD</v>
      </c>
      <c r="Y915" t="s">
        <v>98</v>
      </c>
      <c r="Z915" s="4" t="str">
        <f>_xlfn.CONCAT(laptop[[#This Row],[CPU_company]]," ",laptop[[#This Row],[GPU_model]])</f>
        <v>Intel GeForce 930MX</v>
      </c>
    </row>
    <row r="916" spans="1:26" x14ac:dyDescent="0.25">
      <c r="A916" t="s">
        <v>46</v>
      </c>
      <c r="B916" t="s">
        <v>352</v>
      </c>
      <c r="C916" t="s">
        <v>38</v>
      </c>
      <c r="D916">
        <v>15.6</v>
      </c>
      <c r="E916">
        <v>4</v>
      </c>
      <c r="F916" t="s">
        <v>48</v>
      </c>
      <c r="G916">
        <v>2.4</v>
      </c>
      <c r="H916" s="16">
        <v>499</v>
      </c>
      <c r="I916" t="s">
        <v>40</v>
      </c>
      <c r="J916">
        <v>1920</v>
      </c>
      <c r="K916">
        <v>1080</v>
      </c>
      <c r="L916" t="s">
        <v>27</v>
      </c>
      <c r="M916" t="s">
        <v>27</v>
      </c>
      <c r="N916" t="s">
        <v>27</v>
      </c>
      <c r="O916" t="s">
        <v>29</v>
      </c>
      <c r="P916">
        <v>2.4</v>
      </c>
      <c r="Q916" t="s">
        <v>75</v>
      </c>
      <c r="R916" t="str">
        <f>_xlfn.CONCAT(laptop[[#This Row],[CPU_company]]," ",laptop[[#This Row],[CPU_model]])</f>
        <v>Intel Core i3 7100U</v>
      </c>
      <c r="S916">
        <v>1024</v>
      </c>
      <c r="T916">
        <v>0</v>
      </c>
      <c r="U916">
        <f>laptop[[#This Row],[PrimaryStorage]]+laptop[[#This Row],[SecondaryStorage]]</f>
        <v>1024</v>
      </c>
      <c r="V916" t="s">
        <v>51</v>
      </c>
      <c r="W916" t="s">
        <v>27</v>
      </c>
      <c r="X916" t="str">
        <f>IF(laptop[[#This Row],[PrimaryStorageType]]=laptop[[#This Row],[SecondaryStorageType]],laptop[[#This Row],[PrimaryStorageType]],"SSD &amp; HDD")</f>
        <v>SSD &amp; HDD</v>
      </c>
      <c r="Y916" t="s">
        <v>42</v>
      </c>
      <c r="Z916" s="4" t="str">
        <f>_xlfn.CONCAT(laptop[[#This Row],[CPU_company]]," ",laptop[[#This Row],[GPU_model]])</f>
        <v>Intel HD Graphics 620</v>
      </c>
    </row>
    <row r="917" spans="1:26" x14ac:dyDescent="0.25">
      <c r="A917" t="s">
        <v>73</v>
      </c>
      <c r="B917" t="s">
        <v>341</v>
      </c>
      <c r="C917" t="s">
        <v>38</v>
      </c>
      <c r="D917">
        <v>13.3</v>
      </c>
      <c r="E917">
        <v>4</v>
      </c>
      <c r="F917" t="s">
        <v>48</v>
      </c>
      <c r="G917">
        <v>1.44</v>
      </c>
      <c r="H917" s="16">
        <v>881</v>
      </c>
      <c r="I917" t="s">
        <v>40</v>
      </c>
      <c r="J917">
        <v>1920</v>
      </c>
      <c r="K917">
        <v>1080</v>
      </c>
      <c r="L917" t="s">
        <v>27</v>
      </c>
      <c r="M917" t="s">
        <v>27</v>
      </c>
      <c r="N917" t="s">
        <v>27</v>
      </c>
      <c r="O917" t="s">
        <v>29</v>
      </c>
      <c r="P917">
        <v>2.5</v>
      </c>
      <c r="Q917" t="s">
        <v>41</v>
      </c>
      <c r="R917" t="str">
        <f>_xlfn.CONCAT(laptop[[#This Row],[CPU_company]]," ",laptop[[#This Row],[CPU_model]])</f>
        <v>Intel Core i5 7200U</v>
      </c>
      <c r="S917">
        <v>128</v>
      </c>
      <c r="T917">
        <v>0</v>
      </c>
      <c r="U917">
        <f>laptop[[#This Row],[PrimaryStorage]]+laptop[[#This Row],[SecondaryStorage]]</f>
        <v>128</v>
      </c>
      <c r="V917" t="s">
        <v>31</v>
      </c>
      <c r="W917" t="s">
        <v>27</v>
      </c>
      <c r="X917" t="str">
        <f>IF(laptop[[#This Row],[PrimaryStorageType]]=laptop[[#This Row],[SecondaryStorageType]],laptop[[#This Row],[PrimaryStorageType]],"SSD &amp; HDD")</f>
        <v>SSD &amp; HDD</v>
      </c>
      <c r="Y917" t="s">
        <v>42</v>
      </c>
      <c r="Z917" s="4" t="str">
        <f>_xlfn.CONCAT(laptop[[#This Row],[CPU_company]]," ",laptop[[#This Row],[GPU_model]])</f>
        <v>Intel HD Graphics 620</v>
      </c>
    </row>
    <row r="918" spans="1:26" x14ac:dyDescent="0.25">
      <c r="A918" t="s">
        <v>36</v>
      </c>
      <c r="B918" t="s">
        <v>174</v>
      </c>
      <c r="C918" t="s">
        <v>38</v>
      </c>
      <c r="D918">
        <v>13.3</v>
      </c>
      <c r="E918">
        <v>8</v>
      </c>
      <c r="F918" t="s">
        <v>48</v>
      </c>
      <c r="G918">
        <v>1.49</v>
      </c>
      <c r="H918" s="16">
        <v>960</v>
      </c>
      <c r="I918" t="s">
        <v>40</v>
      </c>
      <c r="J918">
        <v>1920</v>
      </c>
      <c r="K918">
        <v>1080</v>
      </c>
      <c r="L918" t="s">
        <v>27</v>
      </c>
      <c r="M918" t="s">
        <v>27</v>
      </c>
      <c r="N918" t="s">
        <v>27</v>
      </c>
      <c r="O918" t="s">
        <v>29</v>
      </c>
      <c r="P918">
        <v>2.5</v>
      </c>
      <c r="Q918" t="s">
        <v>41</v>
      </c>
      <c r="R918" t="str">
        <f>_xlfn.CONCAT(laptop[[#This Row],[CPU_company]]," ",laptop[[#This Row],[CPU_model]])</f>
        <v>Intel Core i5 7200U</v>
      </c>
      <c r="S918">
        <v>256</v>
      </c>
      <c r="T918">
        <v>0</v>
      </c>
      <c r="U918">
        <f>laptop[[#This Row],[PrimaryStorage]]+laptop[[#This Row],[SecondaryStorage]]</f>
        <v>256</v>
      </c>
      <c r="V918" t="s">
        <v>31</v>
      </c>
      <c r="W918" t="s">
        <v>27</v>
      </c>
      <c r="X918" t="str">
        <f>IF(laptop[[#This Row],[PrimaryStorageType]]=laptop[[#This Row],[SecondaryStorageType]],laptop[[#This Row],[PrimaryStorageType]],"SSD &amp; HDD")</f>
        <v>SSD &amp; HDD</v>
      </c>
      <c r="Y918" t="s">
        <v>42</v>
      </c>
      <c r="Z918" s="4" t="str">
        <f>_xlfn.CONCAT(laptop[[#This Row],[CPU_company]]," ",laptop[[#This Row],[GPU_model]])</f>
        <v>Intel HD Graphics 620</v>
      </c>
    </row>
    <row r="919" spans="1:26" x14ac:dyDescent="0.25">
      <c r="A919" t="s">
        <v>141</v>
      </c>
      <c r="B919" t="s">
        <v>711</v>
      </c>
      <c r="C919" t="s">
        <v>83</v>
      </c>
      <c r="D919">
        <v>17.3</v>
      </c>
      <c r="E919">
        <v>16</v>
      </c>
      <c r="F919" t="s">
        <v>48</v>
      </c>
      <c r="G919">
        <v>2.7</v>
      </c>
      <c r="H919" s="16">
        <v>1599</v>
      </c>
      <c r="I919" t="s">
        <v>40</v>
      </c>
      <c r="J919">
        <v>1920</v>
      </c>
      <c r="K919">
        <v>1080</v>
      </c>
      <c r="L919" t="s">
        <v>27</v>
      </c>
      <c r="M919" t="s">
        <v>27</v>
      </c>
      <c r="N919" t="s">
        <v>27</v>
      </c>
      <c r="O919" t="s">
        <v>29</v>
      </c>
      <c r="P919">
        <v>2.8</v>
      </c>
      <c r="Q919" t="s">
        <v>118</v>
      </c>
      <c r="R919" t="str">
        <f>_xlfn.CONCAT(laptop[[#This Row],[CPU_company]]," ",laptop[[#This Row],[CPU_model]])</f>
        <v>Intel Core i7 7700HQ</v>
      </c>
      <c r="S919">
        <v>256</v>
      </c>
      <c r="T919">
        <v>1024</v>
      </c>
      <c r="U919">
        <f>laptop[[#This Row],[PrimaryStorage]]+laptop[[#This Row],[SecondaryStorage]]</f>
        <v>1280</v>
      </c>
      <c r="V919" t="s">
        <v>31</v>
      </c>
      <c r="W919" t="s">
        <v>51</v>
      </c>
      <c r="X919" t="str">
        <f>IF(laptop[[#This Row],[PrimaryStorageType]]=laptop[[#This Row],[SecondaryStorageType]],laptop[[#This Row],[PrimaryStorageType]],"SSD &amp; HDD")</f>
        <v>SSD &amp; HDD</v>
      </c>
      <c r="Y919" t="s">
        <v>149</v>
      </c>
      <c r="Z919" s="4" t="str">
        <f>_xlfn.CONCAT(laptop[[#This Row],[CPU_company]]," ",laptop[[#This Row],[GPU_model]])</f>
        <v>Intel GeForce GTX 1050 Ti</v>
      </c>
    </row>
    <row r="920" spans="1:26" x14ac:dyDescent="0.25">
      <c r="A920" t="s">
        <v>65</v>
      </c>
      <c r="B920" t="s">
        <v>222</v>
      </c>
      <c r="C920" t="s">
        <v>83</v>
      </c>
      <c r="D920">
        <v>15.6</v>
      </c>
      <c r="E920">
        <v>16</v>
      </c>
      <c r="F920" t="s">
        <v>48</v>
      </c>
      <c r="G920">
        <v>2.6</v>
      </c>
      <c r="H920" s="16">
        <v>1349</v>
      </c>
      <c r="I920" t="s">
        <v>40</v>
      </c>
      <c r="J920">
        <v>1920</v>
      </c>
      <c r="K920">
        <v>1080</v>
      </c>
      <c r="L920" t="s">
        <v>27</v>
      </c>
      <c r="M920" t="s">
        <v>27</v>
      </c>
      <c r="N920" t="s">
        <v>27</v>
      </c>
      <c r="O920" t="s">
        <v>29</v>
      </c>
      <c r="P920">
        <v>2.8</v>
      </c>
      <c r="Q920" t="s">
        <v>118</v>
      </c>
      <c r="R920" t="str">
        <f>_xlfn.CONCAT(laptop[[#This Row],[CPU_company]]," ",laptop[[#This Row],[CPU_model]])</f>
        <v>Intel Core i7 7700HQ</v>
      </c>
      <c r="S920">
        <v>128</v>
      </c>
      <c r="T920">
        <v>1024</v>
      </c>
      <c r="U920">
        <f>laptop[[#This Row],[PrimaryStorage]]+laptop[[#This Row],[SecondaryStorage]]</f>
        <v>1152</v>
      </c>
      <c r="V920" t="s">
        <v>31</v>
      </c>
      <c r="W920" t="s">
        <v>51</v>
      </c>
      <c r="X920" t="str">
        <f>IF(laptop[[#This Row],[PrimaryStorageType]]=laptop[[#This Row],[SecondaryStorageType]],laptop[[#This Row],[PrimaryStorageType]],"SSD &amp; HDD")</f>
        <v>SSD &amp; HDD</v>
      </c>
      <c r="Y920" t="s">
        <v>149</v>
      </c>
      <c r="Z920" s="4" t="str">
        <f>_xlfn.CONCAT(laptop[[#This Row],[CPU_company]]," ",laptop[[#This Row],[GPU_model]])</f>
        <v>Intel GeForce GTX 1050 Ti</v>
      </c>
    </row>
    <row r="921" spans="1:26" x14ac:dyDescent="0.25">
      <c r="A921" t="s">
        <v>141</v>
      </c>
      <c r="B921" t="s">
        <v>671</v>
      </c>
      <c r="C921" t="s">
        <v>83</v>
      </c>
      <c r="D921">
        <v>15.6</v>
      </c>
      <c r="E921">
        <v>8</v>
      </c>
      <c r="F921" t="s">
        <v>48</v>
      </c>
      <c r="G921">
        <v>2.2000000000000002</v>
      </c>
      <c r="H921" s="16">
        <v>1119.9100000000001</v>
      </c>
      <c r="I921" t="s">
        <v>40</v>
      </c>
      <c r="J921">
        <v>1920</v>
      </c>
      <c r="K921">
        <v>1080</v>
      </c>
      <c r="L921" t="s">
        <v>27</v>
      </c>
      <c r="M921" t="s">
        <v>27</v>
      </c>
      <c r="N921" t="s">
        <v>27</v>
      </c>
      <c r="O921" t="s">
        <v>29</v>
      </c>
      <c r="P921">
        <v>2.5</v>
      </c>
      <c r="Q921" t="s">
        <v>84</v>
      </c>
      <c r="R921" t="str">
        <f>_xlfn.CONCAT(laptop[[#This Row],[CPU_company]]," ",laptop[[#This Row],[CPU_model]])</f>
        <v>Intel Core i5 7300HQ</v>
      </c>
      <c r="S921">
        <v>128</v>
      </c>
      <c r="T921">
        <v>1024</v>
      </c>
      <c r="U921">
        <f>laptop[[#This Row],[PrimaryStorage]]+laptop[[#This Row],[SecondaryStorage]]</f>
        <v>1152</v>
      </c>
      <c r="V921" t="s">
        <v>31</v>
      </c>
      <c r="W921" t="s">
        <v>51</v>
      </c>
      <c r="X921" t="str">
        <f>IF(laptop[[#This Row],[PrimaryStorageType]]=laptop[[#This Row],[SecondaryStorageType]],laptop[[#This Row],[PrimaryStorageType]],"SSD &amp; HDD")</f>
        <v>SSD &amp; HDD</v>
      </c>
      <c r="Y921" t="s">
        <v>85</v>
      </c>
      <c r="Z921" s="4" t="str">
        <f>_xlfn.CONCAT(laptop[[#This Row],[CPU_company]]," ",laptop[[#This Row],[GPU_model]])</f>
        <v>Intel GeForce GTX 1050</v>
      </c>
    </row>
    <row r="922" spans="1:26" x14ac:dyDescent="0.25">
      <c r="A922" t="s">
        <v>65</v>
      </c>
      <c r="B922" t="s">
        <v>305</v>
      </c>
      <c r="C922" t="s">
        <v>38</v>
      </c>
      <c r="D922">
        <v>15.6</v>
      </c>
      <c r="E922">
        <v>4</v>
      </c>
      <c r="F922" t="s">
        <v>48</v>
      </c>
      <c r="G922">
        <v>2.1800000000000002</v>
      </c>
      <c r="H922" s="16">
        <v>684.99</v>
      </c>
      <c r="I922" t="s">
        <v>26</v>
      </c>
      <c r="J922">
        <v>1366</v>
      </c>
      <c r="K922">
        <v>768</v>
      </c>
      <c r="L922" t="s">
        <v>27</v>
      </c>
      <c r="M922" t="s">
        <v>27</v>
      </c>
      <c r="N922" t="s">
        <v>27</v>
      </c>
      <c r="O922" t="s">
        <v>29</v>
      </c>
      <c r="P922">
        <v>2.5</v>
      </c>
      <c r="Q922" t="s">
        <v>41</v>
      </c>
      <c r="R922" t="str">
        <f>_xlfn.CONCAT(laptop[[#This Row],[CPU_company]]," ",laptop[[#This Row],[CPU_model]])</f>
        <v>Intel Core i5 7200U</v>
      </c>
      <c r="S922">
        <v>1024</v>
      </c>
      <c r="T922">
        <v>0</v>
      </c>
      <c r="U922">
        <f>laptop[[#This Row],[PrimaryStorage]]+laptop[[#This Row],[SecondaryStorage]]</f>
        <v>1024</v>
      </c>
      <c r="V922" t="s">
        <v>51</v>
      </c>
      <c r="W922" t="s">
        <v>27</v>
      </c>
      <c r="X922" t="str">
        <f>IF(laptop[[#This Row],[PrimaryStorageType]]=laptop[[#This Row],[SecondaryStorageType]],laptop[[#This Row],[PrimaryStorageType]],"SSD &amp; HDD")</f>
        <v>SSD &amp; HDD</v>
      </c>
      <c r="Y922" t="s">
        <v>233</v>
      </c>
      <c r="Z922" s="4" t="str">
        <f>_xlfn.CONCAT(laptop[[#This Row],[CPU_company]]," ",laptop[[#This Row],[GPU_model]])</f>
        <v>Intel Radeon R5 M420</v>
      </c>
    </row>
    <row r="923" spans="1:26" x14ac:dyDescent="0.25">
      <c r="A923" t="s">
        <v>36</v>
      </c>
      <c r="B923" t="s">
        <v>527</v>
      </c>
      <c r="C923" t="s">
        <v>24</v>
      </c>
      <c r="D923">
        <v>15.6</v>
      </c>
      <c r="E923">
        <v>8</v>
      </c>
      <c r="F923" t="s">
        <v>48</v>
      </c>
      <c r="G923">
        <v>1.84</v>
      </c>
      <c r="H923" s="16">
        <v>1296.99</v>
      </c>
      <c r="I923" t="s">
        <v>40</v>
      </c>
      <c r="J923">
        <v>1920</v>
      </c>
      <c r="K923">
        <v>1080</v>
      </c>
      <c r="L923" t="s">
        <v>27</v>
      </c>
      <c r="M923" t="s">
        <v>27</v>
      </c>
      <c r="N923" t="s">
        <v>27</v>
      </c>
      <c r="O923" t="s">
        <v>29</v>
      </c>
      <c r="P923">
        <v>2.5</v>
      </c>
      <c r="Q923" t="s">
        <v>274</v>
      </c>
      <c r="R923" t="str">
        <f>_xlfn.CONCAT(laptop[[#This Row],[CPU_company]]," ",laptop[[#This Row],[CPU_model]])</f>
        <v>Intel Core i7 6500U</v>
      </c>
      <c r="S923">
        <v>256</v>
      </c>
      <c r="T923">
        <v>0</v>
      </c>
      <c r="U923">
        <f>laptop[[#This Row],[PrimaryStorage]]+laptop[[#This Row],[SecondaryStorage]]</f>
        <v>256</v>
      </c>
      <c r="V923" t="s">
        <v>31</v>
      </c>
      <c r="W923" t="s">
        <v>27</v>
      </c>
      <c r="X923" t="str">
        <f>IF(laptop[[#This Row],[PrimaryStorageType]]=laptop[[#This Row],[SecondaryStorageType]],laptop[[#This Row],[PrimaryStorageType]],"SSD &amp; HDD")</f>
        <v>SSD &amp; HDD</v>
      </c>
      <c r="Y923" t="s">
        <v>712</v>
      </c>
      <c r="Z923" s="4" t="str">
        <f>_xlfn.CONCAT(laptop[[#This Row],[CPU_company]]," ",laptop[[#This Row],[GPU_model]])</f>
        <v>Intel Radeon R7 M365X</v>
      </c>
    </row>
    <row r="924" spans="1:26" x14ac:dyDescent="0.25">
      <c r="A924" t="s">
        <v>36</v>
      </c>
      <c r="B924" t="s">
        <v>713</v>
      </c>
      <c r="C924" t="s">
        <v>24</v>
      </c>
      <c r="D924">
        <v>13.3</v>
      </c>
      <c r="E924">
        <v>8</v>
      </c>
      <c r="F924" t="s">
        <v>48</v>
      </c>
      <c r="G924">
        <v>1.39</v>
      </c>
      <c r="H924" s="16">
        <v>1149</v>
      </c>
      <c r="I924" t="s">
        <v>107</v>
      </c>
      <c r="J924">
        <v>3200</v>
      </c>
      <c r="K924">
        <v>1800</v>
      </c>
      <c r="L924" t="s">
        <v>28</v>
      </c>
      <c r="M924" t="s">
        <v>27</v>
      </c>
      <c r="N924" t="s">
        <v>27</v>
      </c>
      <c r="O924" t="s">
        <v>29</v>
      </c>
      <c r="P924">
        <v>2.7</v>
      </c>
      <c r="Q924" t="s">
        <v>71</v>
      </c>
      <c r="R924" t="str">
        <f>_xlfn.CONCAT(laptop[[#This Row],[CPU_company]]," ",laptop[[#This Row],[CPU_model]])</f>
        <v>Intel Core i7 7500U</v>
      </c>
      <c r="S924">
        <v>256</v>
      </c>
      <c r="T924">
        <v>0</v>
      </c>
      <c r="U924">
        <f>laptop[[#This Row],[PrimaryStorage]]+laptop[[#This Row],[SecondaryStorage]]</f>
        <v>256</v>
      </c>
      <c r="V924" t="s">
        <v>31</v>
      </c>
      <c r="W924" t="s">
        <v>27</v>
      </c>
      <c r="X924" t="str">
        <f>IF(laptop[[#This Row],[PrimaryStorageType]]=laptop[[#This Row],[SecondaryStorageType]],laptop[[#This Row],[PrimaryStorageType]],"SSD &amp; HDD")</f>
        <v>SSD &amp; HDD</v>
      </c>
      <c r="Y924" t="s">
        <v>42</v>
      </c>
      <c r="Z924" s="4" t="str">
        <f>_xlfn.CONCAT(laptop[[#This Row],[CPU_company]]," ",laptop[[#This Row],[GPU_model]])</f>
        <v>Intel HD Graphics 620</v>
      </c>
    </row>
    <row r="925" spans="1:26" x14ac:dyDescent="0.25">
      <c r="A925" t="s">
        <v>210</v>
      </c>
      <c r="B925" t="s">
        <v>714</v>
      </c>
      <c r="C925" t="s">
        <v>38</v>
      </c>
      <c r="D925">
        <v>15.6</v>
      </c>
      <c r="E925">
        <v>16</v>
      </c>
      <c r="F925" t="s">
        <v>48</v>
      </c>
      <c r="G925">
        <v>2.4</v>
      </c>
      <c r="H925" s="16">
        <v>1975</v>
      </c>
      <c r="I925" t="s">
        <v>40</v>
      </c>
      <c r="J925">
        <v>1920</v>
      </c>
      <c r="K925">
        <v>1080</v>
      </c>
      <c r="L925" t="s">
        <v>27</v>
      </c>
      <c r="M925" t="s">
        <v>28</v>
      </c>
      <c r="N925" t="s">
        <v>27</v>
      </c>
      <c r="O925" t="s">
        <v>29</v>
      </c>
      <c r="P925">
        <v>2.6</v>
      </c>
      <c r="Q925" t="s">
        <v>309</v>
      </c>
      <c r="R925" t="str">
        <f>_xlfn.CONCAT(laptop[[#This Row],[CPU_company]]," ",laptop[[#This Row],[CPU_model]])</f>
        <v>Intel Core i7 6600U</v>
      </c>
      <c r="S925">
        <v>256</v>
      </c>
      <c r="T925">
        <v>0</v>
      </c>
      <c r="U925">
        <f>laptop[[#This Row],[PrimaryStorage]]+laptop[[#This Row],[SecondaryStorage]]</f>
        <v>256</v>
      </c>
      <c r="V925" t="s">
        <v>31</v>
      </c>
      <c r="W925" t="s">
        <v>27</v>
      </c>
      <c r="X925" t="str">
        <f>IF(laptop[[#This Row],[PrimaryStorageType]]=laptop[[#This Row],[SecondaryStorageType]],laptop[[#This Row],[PrimaryStorageType]],"SSD &amp; HDD")</f>
        <v>SSD &amp; HDD</v>
      </c>
      <c r="Y925" t="s">
        <v>310</v>
      </c>
      <c r="Z925" s="4" t="str">
        <f>_xlfn.CONCAT(laptop[[#This Row],[CPU_company]]," ",laptop[[#This Row],[GPU_model]])</f>
        <v>Intel GeForce 930M</v>
      </c>
    </row>
    <row r="926" spans="1:26" x14ac:dyDescent="0.25">
      <c r="A926" t="s">
        <v>73</v>
      </c>
      <c r="B926" t="s">
        <v>190</v>
      </c>
      <c r="C926" t="s">
        <v>90</v>
      </c>
      <c r="D926">
        <v>13.3</v>
      </c>
      <c r="E926">
        <v>8</v>
      </c>
      <c r="F926" t="s">
        <v>48</v>
      </c>
      <c r="G926">
        <v>1.37</v>
      </c>
      <c r="H926" s="16">
        <v>1825</v>
      </c>
      <c r="I926" t="s">
        <v>40</v>
      </c>
      <c r="J926">
        <v>1920</v>
      </c>
      <c r="K926">
        <v>1080</v>
      </c>
      <c r="L926" t="s">
        <v>28</v>
      </c>
      <c r="M926" t="s">
        <v>28</v>
      </c>
      <c r="N926" t="s">
        <v>27</v>
      </c>
      <c r="O926" t="s">
        <v>29</v>
      </c>
      <c r="P926">
        <v>2.5</v>
      </c>
      <c r="Q926" t="s">
        <v>41</v>
      </c>
      <c r="R926" t="str">
        <f>_xlfn.CONCAT(laptop[[#This Row],[CPU_company]]," ",laptop[[#This Row],[CPU_model]])</f>
        <v>Intel Core i5 7200U</v>
      </c>
      <c r="S926">
        <v>512</v>
      </c>
      <c r="T926">
        <v>0</v>
      </c>
      <c r="U926">
        <f>laptop[[#This Row],[PrimaryStorage]]+laptop[[#This Row],[SecondaryStorage]]</f>
        <v>512</v>
      </c>
      <c r="V926" t="s">
        <v>31</v>
      </c>
      <c r="W926" t="s">
        <v>27</v>
      </c>
      <c r="X926" t="str">
        <f>IF(laptop[[#This Row],[PrimaryStorageType]]=laptop[[#This Row],[SecondaryStorageType]],laptop[[#This Row],[PrimaryStorageType]],"SSD &amp; HDD")</f>
        <v>SSD &amp; HDD</v>
      </c>
      <c r="Y926" t="s">
        <v>42</v>
      </c>
      <c r="Z926" s="4" t="str">
        <f>_xlfn.CONCAT(laptop[[#This Row],[CPU_company]]," ",laptop[[#This Row],[GPU_model]])</f>
        <v>Intel HD Graphics 620</v>
      </c>
    </row>
    <row r="927" spans="1:26" x14ac:dyDescent="0.25">
      <c r="A927" t="s">
        <v>65</v>
      </c>
      <c r="B927" t="s">
        <v>566</v>
      </c>
      <c r="C927" t="s">
        <v>38</v>
      </c>
      <c r="D927">
        <v>15.6</v>
      </c>
      <c r="E927">
        <v>4</v>
      </c>
      <c r="F927" t="s">
        <v>48</v>
      </c>
      <c r="G927">
        <v>1.95</v>
      </c>
      <c r="H927" s="16">
        <v>729.9</v>
      </c>
      <c r="I927" t="s">
        <v>26</v>
      </c>
      <c r="J927">
        <v>1366</v>
      </c>
      <c r="K927">
        <v>768</v>
      </c>
      <c r="L927" t="s">
        <v>27</v>
      </c>
      <c r="M927" t="s">
        <v>27</v>
      </c>
      <c r="N927" t="s">
        <v>27</v>
      </c>
      <c r="O927" t="s">
        <v>29</v>
      </c>
      <c r="P927">
        <v>2.2999999999999998</v>
      </c>
      <c r="Q927" t="s">
        <v>212</v>
      </c>
      <c r="R927" t="str">
        <f>_xlfn.CONCAT(laptop[[#This Row],[CPU_company]]," ",laptop[[#This Row],[CPU_model]])</f>
        <v>Intel Core i5 6200U</v>
      </c>
      <c r="S927">
        <v>500</v>
      </c>
      <c r="T927">
        <v>0</v>
      </c>
      <c r="U927">
        <f>laptop[[#This Row],[PrimaryStorage]]+laptop[[#This Row],[SecondaryStorage]]</f>
        <v>500</v>
      </c>
      <c r="V927" t="s">
        <v>51</v>
      </c>
      <c r="W927" t="s">
        <v>27</v>
      </c>
      <c r="X927" t="str">
        <f>IF(laptop[[#This Row],[PrimaryStorageType]]=laptop[[#This Row],[SecondaryStorageType]],laptop[[#This Row],[PrimaryStorageType]],"SSD &amp; HDD")</f>
        <v>SSD &amp; HDD</v>
      </c>
      <c r="Y927" t="s">
        <v>63</v>
      </c>
      <c r="Z927" s="4" t="str">
        <f>_xlfn.CONCAT(laptop[[#This Row],[CPU_company]]," ",laptop[[#This Row],[GPU_model]])</f>
        <v>Intel HD Graphics 520</v>
      </c>
    </row>
    <row r="928" spans="1:26" x14ac:dyDescent="0.25">
      <c r="A928" t="s">
        <v>73</v>
      </c>
      <c r="B928" t="s">
        <v>454</v>
      </c>
      <c r="C928" t="s">
        <v>24</v>
      </c>
      <c r="D928">
        <v>12.5</v>
      </c>
      <c r="E928">
        <v>8</v>
      </c>
      <c r="F928" t="s">
        <v>48</v>
      </c>
      <c r="G928">
        <v>1.36</v>
      </c>
      <c r="H928" s="16">
        <v>1650</v>
      </c>
      <c r="I928" t="s">
        <v>40</v>
      </c>
      <c r="J928">
        <v>1920</v>
      </c>
      <c r="K928">
        <v>1080</v>
      </c>
      <c r="L928" t="s">
        <v>27</v>
      </c>
      <c r="M928" t="s">
        <v>28</v>
      </c>
      <c r="N928" t="s">
        <v>27</v>
      </c>
      <c r="O928" t="s">
        <v>29</v>
      </c>
      <c r="P928">
        <v>2.7</v>
      </c>
      <c r="Q928" t="s">
        <v>71</v>
      </c>
      <c r="R928" t="str">
        <f>_xlfn.CONCAT(laptop[[#This Row],[CPU_company]]," ",laptop[[#This Row],[CPU_model]])</f>
        <v>Intel Core i7 7500U</v>
      </c>
      <c r="S928">
        <v>256</v>
      </c>
      <c r="T928">
        <v>0</v>
      </c>
      <c r="U928">
        <f>laptop[[#This Row],[PrimaryStorage]]+laptop[[#This Row],[SecondaryStorage]]</f>
        <v>256</v>
      </c>
      <c r="V928" t="s">
        <v>31</v>
      </c>
      <c r="W928" t="s">
        <v>27</v>
      </c>
      <c r="X928" t="str">
        <f>IF(laptop[[#This Row],[PrimaryStorageType]]=laptop[[#This Row],[SecondaryStorageType]],laptop[[#This Row],[PrimaryStorageType]],"SSD &amp; HDD")</f>
        <v>SSD &amp; HDD</v>
      </c>
      <c r="Y928" t="s">
        <v>42</v>
      </c>
      <c r="Z928" s="4" t="str">
        <f>_xlfn.CONCAT(laptop[[#This Row],[CPU_company]]," ",laptop[[#This Row],[GPU_model]])</f>
        <v>Intel HD Graphics 620</v>
      </c>
    </row>
    <row r="929" spans="1:26" x14ac:dyDescent="0.25">
      <c r="A929" t="s">
        <v>36</v>
      </c>
      <c r="B929" t="s">
        <v>715</v>
      </c>
      <c r="C929" t="s">
        <v>38</v>
      </c>
      <c r="D929">
        <v>15.6</v>
      </c>
      <c r="E929">
        <v>8</v>
      </c>
      <c r="F929" t="s">
        <v>48</v>
      </c>
      <c r="G929">
        <v>2.31</v>
      </c>
      <c r="H929" s="16">
        <v>1165</v>
      </c>
      <c r="I929" t="s">
        <v>40</v>
      </c>
      <c r="J929">
        <v>1920</v>
      </c>
      <c r="K929">
        <v>1080</v>
      </c>
      <c r="L929" t="s">
        <v>27</v>
      </c>
      <c r="M929" t="s">
        <v>27</v>
      </c>
      <c r="N929" t="s">
        <v>27</v>
      </c>
      <c r="O929" t="s">
        <v>29</v>
      </c>
      <c r="P929">
        <v>2.2999999999999998</v>
      </c>
      <c r="Q929" t="s">
        <v>212</v>
      </c>
      <c r="R929" t="str">
        <f>_xlfn.CONCAT(laptop[[#This Row],[CPU_company]]," ",laptop[[#This Row],[CPU_model]])</f>
        <v>Intel Core i5 6200U</v>
      </c>
      <c r="S929">
        <v>256</v>
      </c>
      <c r="T929">
        <v>0</v>
      </c>
      <c r="U929">
        <f>laptop[[#This Row],[PrimaryStorage]]+laptop[[#This Row],[SecondaryStorage]]</f>
        <v>256</v>
      </c>
      <c r="V929" t="s">
        <v>31</v>
      </c>
      <c r="W929" t="s">
        <v>27</v>
      </c>
      <c r="X929" t="str">
        <f>IF(laptop[[#This Row],[PrimaryStorageType]]=laptop[[#This Row],[SecondaryStorageType]],laptop[[#This Row],[PrimaryStorageType]],"SSD &amp; HDD")</f>
        <v>SSD &amp; HDD</v>
      </c>
      <c r="Y929" t="s">
        <v>63</v>
      </c>
      <c r="Z929" s="4" t="str">
        <f>_xlfn.CONCAT(laptop[[#This Row],[CPU_company]]," ",laptop[[#This Row],[GPU_model]])</f>
        <v>Intel HD Graphics 520</v>
      </c>
    </row>
    <row r="930" spans="1:26" x14ac:dyDescent="0.25">
      <c r="A930" t="s">
        <v>65</v>
      </c>
      <c r="B930" t="s">
        <v>305</v>
      </c>
      <c r="C930" t="s">
        <v>38</v>
      </c>
      <c r="D930">
        <v>15.6</v>
      </c>
      <c r="E930">
        <v>4</v>
      </c>
      <c r="F930" t="s">
        <v>48</v>
      </c>
      <c r="G930">
        <v>2.1800000000000002</v>
      </c>
      <c r="H930" s="16">
        <v>708.06</v>
      </c>
      <c r="I930" t="s">
        <v>26</v>
      </c>
      <c r="J930">
        <v>1366</v>
      </c>
      <c r="K930">
        <v>768</v>
      </c>
      <c r="L930" t="s">
        <v>27</v>
      </c>
      <c r="M930" t="s">
        <v>27</v>
      </c>
      <c r="N930" t="s">
        <v>27</v>
      </c>
      <c r="O930" t="s">
        <v>29</v>
      </c>
      <c r="P930">
        <v>2.5</v>
      </c>
      <c r="Q930" t="s">
        <v>41</v>
      </c>
      <c r="R930" t="str">
        <f>_xlfn.CONCAT(laptop[[#This Row],[CPU_company]]," ",laptop[[#This Row],[CPU_model]])</f>
        <v>Intel Core i5 7200U</v>
      </c>
      <c r="S930">
        <v>1024</v>
      </c>
      <c r="T930">
        <v>0</v>
      </c>
      <c r="U930">
        <f>laptop[[#This Row],[PrimaryStorage]]+laptop[[#This Row],[SecondaryStorage]]</f>
        <v>1024</v>
      </c>
      <c r="V930" t="s">
        <v>51</v>
      </c>
      <c r="W930" t="s">
        <v>27</v>
      </c>
      <c r="X930" t="str">
        <f>IF(laptop[[#This Row],[PrimaryStorageType]]=laptop[[#This Row],[SecondaryStorageType]],laptop[[#This Row],[PrimaryStorageType]],"SSD &amp; HDD")</f>
        <v>SSD &amp; HDD</v>
      </c>
      <c r="Y930" t="s">
        <v>42</v>
      </c>
      <c r="Z930" s="4" t="str">
        <f>_xlfn.CONCAT(laptop[[#This Row],[CPU_company]]," ",laptop[[#This Row],[GPU_model]])</f>
        <v>Intel HD Graphics 620</v>
      </c>
    </row>
    <row r="931" spans="1:26" x14ac:dyDescent="0.25">
      <c r="A931" t="s">
        <v>36</v>
      </c>
      <c r="B931" t="s">
        <v>344</v>
      </c>
      <c r="C931" t="s">
        <v>38</v>
      </c>
      <c r="D931">
        <v>14</v>
      </c>
      <c r="E931">
        <v>4</v>
      </c>
      <c r="F931" t="s">
        <v>48</v>
      </c>
      <c r="G931">
        <v>1.95</v>
      </c>
      <c r="H931" s="16">
        <v>1149</v>
      </c>
      <c r="I931" t="s">
        <v>26</v>
      </c>
      <c r="J931">
        <v>1366</v>
      </c>
      <c r="K931">
        <v>768</v>
      </c>
      <c r="L931" t="s">
        <v>27</v>
      </c>
      <c r="M931" t="s">
        <v>27</v>
      </c>
      <c r="N931" t="s">
        <v>27</v>
      </c>
      <c r="O931" t="s">
        <v>29</v>
      </c>
      <c r="P931">
        <v>2.2999999999999998</v>
      </c>
      <c r="Q931" t="s">
        <v>212</v>
      </c>
      <c r="R931" t="str">
        <f>_xlfn.CONCAT(laptop[[#This Row],[CPU_company]]," ",laptop[[#This Row],[CPU_model]])</f>
        <v>Intel Core i5 6200U</v>
      </c>
      <c r="S931">
        <v>500</v>
      </c>
      <c r="T931">
        <v>0</v>
      </c>
      <c r="U931">
        <f>laptop[[#This Row],[PrimaryStorage]]+laptop[[#This Row],[SecondaryStorage]]</f>
        <v>500</v>
      </c>
      <c r="V931" t="s">
        <v>51</v>
      </c>
      <c r="W931" t="s">
        <v>27</v>
      </c>
      <c r="X931" t="str">
        <f>IF(laptop[[#This Row],[PrimaryStorageType]]=laptop[[#This Row],[SecondaryStorageType]],laptop[[#This Row],[PrimaryStorageType]],"SSD &amp; HDD")</f>
        <v>SSD &amp; HDD</v>
      </c>
      <c r="Y931" t="s">
        <v>63</v>
      </c>
      <c r="Z931" s="4" t="str">
        <f>_xlfn.CONCAT(laptop[[#This Row],[CPU_company]]," ",laptop[[#This Row],[GPU_model]])</f>
        <v>Intel HD Graphics 520</v>
      </c>
    </row>
    <row r="932" spans="1:26" x14ac:dyDescent="0.25">
      <c r="A932" t="s">
        <v>73</v>
      </c>
      <c r="B932" t="s">
        <v>333</v>
      </c>
      <c r="C932" t="s">
        <v>38</v>
      </c>
      <c r="D932">
        <v>15.6</v>
      </c>
      <c r="E932">
        <v>4</v>
      </c>
      <c r="F932" t="s">
        <v>48</v>
      </c>
      <c r="G932">
        <v>2.2000000000000002</v>
      </c>
      <c r="H932" s="16">
        <v>309</v>
      </c>
      <c r="I932" t="s">
        <v>26</v>
      </c>
      <c r="J932">
        <v>1366</v>
      </c>
      <c r="K932">
        <v>768</v>
      </c>
      <c r="L932" t="s">
        <v>27</v>
      </c>
      <c r="M932" t="s">
        <v>27</v>
      </c>
      <c r="N932" t="s">
        <v>27</v>
      </c>
      <c r="O932" t="s">
        <v>29</v>
      </c>
      <c r="P932">
        <v>1.1000000000000001</v>
      </c>
      <c r="Q932" t="s">
        <v>130</v>
      </c>
      <c r="R932" t="str">
        <f>_xlfn.CONCAT(laptop[[#This Row],[CPU_company]]," ",laptop[[#This Row],[CPU_model]])</f>
        <v>Intel Pentium Quad Core N4200</v>
      </c>
      <c r="S932">
        <v>1024</v>
      </c>
      <c r="T932">
        <v>0</v>
      </c>
      <c r="U932">
        <f>laptop[[#This Row],[PrimaryStorage]]+laptop[[#This Row],[SecondaryStorage]]</f>
        <v>1024</v>
      </c>
      <c r="V932" t="s">
        <v>51</v>
      </c>
      <c r="W932" t="s">
        <v>27</v>
      </c>
      <c r="X932" t="str">
        <f>IF(laptop[[#This Row],[PrimaryStorageType]]=laptop[[#This Row],[SecondaryStorageType]],laptop[[#This Row],[PrimaryStorageType]],"SSD &amp; HDD")</f>
        <v>SSD &amp; HDD</v>
      </c>
      <c r="Y932" t="s">
        <v>237</v>
      </c>
      <c r="Z932" s="4" t="str">
        <f>_xlfn.CONCAT(laptop[[#This Row],[CPU_company]]," ",laptop[[#This Row],[GPU_model]])</f>
        <v>Intel HD Graphics 505</v>
      </c>
    </row>
    <row r="933" spans="1:26" x14ac:dyDescent="0.25">
      <c r="A933" t="s">
        <v>36</v>
      </c>
      <c r="B933" t="s">
        <v>639</v>
      </c>
      <c r="C933" t="s">
        <v>24</v>
      </c>
      <c r="D933">
        <v>12.5</v>
      </c>
      <c r="E933">
        <v>4</v>
      </c>
      <c r="F933" t="s">
        <v>48</v>
      </c>
      <c r="G933">
        <v>1.26</v>
      </c>
      <c r="H933" s="16">
        <v>1579</v>
      </c>
      <c r="I933" t="s">
        <v>40</v>
      </c>
      <c r="J933">
        <v>1920</v>
      </c>
      <c r="K933">
        <v>1080</v>
      </c>
      <c r="L933" t="s">
        <v>27</v>
      </c>
      <c r="M933" t="s">
        <v>27</v>
      </c>
      <c r="N933" t="s">
        <v>27</v>
      </c>
      <c r="O933" t="s">
        <v>29</v>
      </c>
      <c r="P933">
        <v>2.2999999999999998</v>
      </c>
      <c r="Q933" t="s">
        <v>212</v>
      </c>
      <c r="R933" t="str">
        <f>_xlfn.CONCAT(laptop[[#This Row],[CPU_company]]," ",laptop[[#This Row],[CPU_model]])</f>
        <v>Intel Core i5 6200U</v>
      </c>
      <c r="S933">
        <v>500</v>
      </c>
      <c r="T933">
        <v>0</v>
      </c>
      <c r="U933">
        <f>laptop[[#This Row],[PrimaryStorage]]+laptop[[#This Row],[SecondaryStorage]]</f>
        <v>500</v>
      </c>
      <c r="V933" t="s">
        <v>51</v>
      </c>
      <c r="W933" t="s">
        <v>27</v>
      </c>
      <c r="X933" t="str">
        <f>IF(laptop[[#This Row],[PrimaryStorageType]]=laptop[[#This Row],[SecondaryStorageType]],laptop[[#This Row],[PrimaryStorageType]],"SSD &amp; HDD")</f>
        <v>SSD &amp; HDD</v>
      </c>
      <c r="Y933" t="s">
        <v>63</v>
      </c>
      <c r="Z933" s="4" t="str">
        <f>_xlfn.CONCAT(laptop[[#This Row],[CPU_company]]," ",laptop[[#This Row],[GPU_model]])</f>
        <v>Intel HD Graphics 520</v>
      </c>
    </row>
    <row r="934" spans="1:26" x14ac:dyDescent="0.25">
      <c r="A934" t="s">
        <v>36</v>
      </c>
      <c r="B934" t="s">
        <v>37</v>
      </c>
      <c r="C934" t="s">
        <v>38</v>
      </c>
      <c r="D934">
        <v>15.6</v>
      </c>
      <c r="E934">
        <v>4</v>
      </c>
      <c r="F934" t="s">
        <v>39</v>
      </c>
      <c r="G934">
        <v>1.86</v>
      </c>
      <c r="H934" s="16">
        <v>288.89999999999998</v>
      </c>
      <c r="I934" t="s">
        <v>26</v>
      </c>
      <c r="J934">
        <v>1366</v>
      </c>
      <c r="K934">
        <v>768</v>
      </c>
      <c r="L934" t="s">
        <v>27</v>
      </c>
      <c r="M934" t="s">
        <v>27</v>
      </c>
      <c r="N934" t="s">
        <v>27</v>
      </c>
      <c r="O934" t="s">
        <v>29</v>
      </c>
      <c r="P934">
        <v>1.6</v>
      </c>
      <c r="Q934" t="s">
        <v>151</v>
      </c>
      <c r="R934" t="str">
        <f>_xlfn.CONCAT(laptop[[#This Row],[CPU_company]]," ",laptop[[#This Row],[CPU_model]])</f>
        <v>Intel Celeron Dual Core N3060</v>
      </c>
      <c r="S934">
        <v>1024</v>
      </c>
      <c r="T934">
        <v>0</v>
      </c>
      <c r="U934">
        <f>laptop[[#This Row],[PrimaryStorage]]+laptop[[#This Row],[SecondaryStorage]]</f>
        <v>1024</v>
      </c>
      <c r="V934" t="s">
        <v>51</v>
      </c>
      <c r="W934" t="s">
        <v>27</v>
      </c>
      <c r="X934" t="str">
        <f>IF(laptop[[#This Row],[PrimaryStorageType]]=laptop[[#This Row],[SecondaryStorageType]],laptop[[#This Row],[PrimaryStorageType]],"SSD &amp; HDD")</f>
        <v>SSD &amp; HDD</v>
      </c>
      <c r="Y934" t="s">
        <v>81</v>
      </c>
      <c r="Z934" s="4" t="str">
        <f>_xlfn.CONCAT(laptop[[#This Row],[CPU_company]]," ",laptop[[#This Row],[GPU_model]])</f>
        <v>Intel HD Graphics 400</v>
      </c>
    </row>
    <row r="935" spans="1:26" x14ac:dyDescent="0.25">
      <c r="A935" t="s">
        <v>73</v>
      </c>
      <c r="B935" t="s">
        <v>628</v>
      </c>
      <c r="C935" t="s">
        <v>90</v>
      </c>
      <c r="D935">
        <v>13.3</v>
      </c>
      <c r="E935">
        <v>16</v>
      </c>
      <c r="F935" t="s">
        <v>48</v>
      </c>
      <c r="G935">
        <v>1.3</v>
      </c>
      <c r="H935" s="16">
        <v>1799</v>
      </c>
      <c r="I935" t="s">
        <v>107</v>
      </c>
      <c r="J935">
        <v>3200</v>
      </c>
      <c r="K935">
        <v>1800</v>
      </c>
      <c r="L935" t="s">
        <v>28</v>
      </c>
      <c r="M935" t="s">
        <v>28</v>
      </c>
      <c r="N935" t="s">
        <v>27</v>
      </c>
      <c r="O935" t="s">
        <v>29</v>
      </c>
      <c r="P935">
        <v>2.2000000000000002</v>
      </c>
      <c r="Q935" t="s">
        <v>716</v>
      </c>
      <c r="R935" t="str">
        <f>_xlfn.CONCAT(laptop[[#This Row],[CPU_company]]," ",laptop[[#This Row],[CPU_model]])</f>
        <v>Intel Core i7 6560U</v>
      </c>
      <c r="S935">
        <v>1024</v>
      </c>
      <c r="T935">
        <v>0</v>
      </c>
      <c r="U935">
        <f>laptop[[#This Row],[PrimaryStorage]]+laptop[[#This Row],[SecondaryStorage]]</f>
        <v>1024</v>
      </c>
      <c r="V935" t="s">
        <v>31</v>
      </c>
      <c r="W935" t="s">
        <v>27</v>
      </c>
      <c r="X935" t="str">
        <f>IF(laptop[[#This Row],[PrimaryStorageType]]=laptop[[#This Row],[SecondaryStorageType]],laptop[[#This Row],[PrimaryStorageType]],"SSD &amp; HDD")</f>
        <v>SSD &amp; HDD</v>
      </c>
      <c r="Y935" t="s">
        <v>124</v>
      </c>
      <c r="Z935" s="4" t="str">
        <f>_xlfn.CONCAT(laptop[[#This Row],[CPU_company]]," ",laptop[[#This Row],[GPU_model]])</f>
        <v>Intel Iris Graphics 540</v>
      </c>
    </row>
    <row r="936" spans="1:26" x14ac:dyDescent="0.25">
      <c r="A936" t="s">
        <v>210</v>
      </c>
      <c r="B936" t="s">
        <v>717</v>
      </c>
      <c r="C936" t="s">
        <v>38</v>
      </c>
      <c r="D936">
        <v>14</v>
      </c>
      <c r="E936">
        <v>4</v>
      </c>
      <c r="F936" t="s">
        <v>48</v>
      </c>
      <c r="G936">
        <v>1.47</v>
      </c>
      <c r="H936" s="16">
        <v>1105</v>
      </c>
      <c r="I936" t="s">
        <v>40</v>
      </c>
      <c r="J936">
        <v>1920</v>
      </c>
      <c r="K936">
        <v>1080</v>
      </c>
      <c r="L936" t="s">
        <v>27</v>
      </c>
      <c r="M936" t="s">
        <v>28</v>
      </c>
      <c r="N936" t="s">
        <v>27</v>
      </c>
      <c r="O936" t="s">
        <v>29</v>
      </c>
      <c r="P936">
        <v>2.2999999999999998</v>
      </c>
      <c r="Q936" t="s">
        <v>212</v>
      </c>
      <c r="R936" t="str">
        <f>_xlfn.CONCAT(laptop[[#This Row],[CPU_company]]," ",laptop[[#This Row],[CPU_model]])</f>
        <v>Intel Core i5 6200U</v>
      </c>
      <c r="S936">
        <v>128</v>
      </c>
      <c r="T936">
        <v>0</v>
      </c>
      <c r="U936">
        <f>laptop[[#This Row],[PrimaryStorage]]+laptop[[#This Row],[SecondaryStorage]]</f>
        <v>128</v>
      </c>
      <c r="V936" t="s">
        <v>31</v>
      </c>
      <c r="W936" t="s">
        <v>27</v>
      </c>
      <c r="X936" t="str">
        <f>IF(laptop[[#This Row],[PrimaryStorageType]]=laptop[[#This Row],[SecondaryStorageType]],laptop[[#This Row],[PrimaryStorageType]],"SSD &amp; HDD")</f>
        <v>SSD &amp; HDD</v>
      </c>
      <c r="Y936" t="s">
        <v>63</v>
      </c>
      <c r="Z936" s="4" t="str">
        <f>_xlfn.CONCAT(laptop[[#This Row],[CPU_company]]," ",laptop[[#This Row],[GPU_model]])</f>
        <v>Intel HD Graphics 520</v>
      </c>
    </row>
    <row r="937" spans="1:26" x14ac:dyDescent="0.25">
      <c r="A937" t="s">
        <v>36</v>
      </c>
      <c r="B937" t="s">
        <v>639</v>
      </c>
      <c r="C937" t="s">
        <v>79</v>
      </c>
      <c r="D937">
        <v>12.5</v>
      </c>
      <c r="E937">
        <v>8</v>
      </c>
      <c r="F937" t="s">
        <v>48</v>
      </c>
      <c r="G937">
        <v>1.26</v>
      </c>
      <c r="H937" s="16">
        <v>1669</v>
      </c>
      <c r="I937" t="s">
        <v>40</v>
      </c>
      <c r="J937">
        <v>1920</v>
      </c>
      <c r="K937">
        <v>1080</v>
      </c>
      <c r="L937" t="s">
        <v>27</v>
      </c>
      <c r="M937" t="s">
        <v>27</v>
      </c>
      <c r="N937" t="s">
        <v>27</v>
      </c>
      <c r="O937" t="s">
        <v>29</v>
      </c>
      <c r="P937">
        <v>2.2999999999999998</v>
      </c>
      <c r="Q937" t="s">
        <v>212</v>
      </c>
      <c r="R937" t="str">
        <f>_xlfn.CONCAT(laptop[[#This Row],[CPU_company]]," ",laptop[[#This Row],[CPU_model]])</f>
        <v>Intel Core i5 6200U</v>
      </c>
      <c r="S937">
        <v>256</v>
      </c>
      <c r="T937">
        <v>0</v>
      </c>
      <c r="U937">
        <f>laptop[[#This Row],[PrimaryStorage]]+laptop[[#This Row],[SecondaryStorage]]</f>
        <v>256</v>
      </c>
      <c r="V937" t="s">
        <v>31</v>
      </c>
      <c r="W937" t="s">
        <v>27</v>
      </c>
      <c r="X937" t="str">
        <f>IF(laptop[[#This Row],[PrimaryStorageType]]=laptop[[#This Row],[SecondaryStorageType]],laptop[[#This Row],[PrimaryStorageType]],"SSD &amp; HDD")</f>
        <v>SSD &amp; HDD</v>
      </c>
      <c r="Y937" t="s">
        <v>63</v>
      </c>
      <c r="Z937" s="4" t="str">
        <f>_xlfn.CONCAT(laptop[[#This Row],[CPU_company]]," ",laptop[[#This Row],[GPU_model]])</f>
        <v>Intel HD Graphics 520</v>
      </c>
    </row>
    <row r="938" spans="1:26" x14ac:dyDescent="0.25">
      <c r="A938" t="s">
        <v>65</v>
      </c>
      <c r="B938" t="s">
        <v>305</v>
      </c>
      <c r="C938" t="s">
        <v>38</v>
      </c>
      <c r="D938">
        <v>15.6</v>
      </c>
      <c r="E938">
        <v>4</v>
      </c>
      <c r="F938" t="s">
        <v>48</v>
      </c>
      <c r="G938">
        <v>2.1800000000000002</v>
      </c>
      <c r="H938" s="16">
        <v>558.6</v>
      </c>
      <c r="I938" t="s">
        <v>26</v>
      </c>
      <c r="J938">
        <v>1366</v>
      </c>
      <c r="K938">
        <v>768</v>
      </c>
      <c r="L938" t="s">
        <v>27</v>
      </c>
      <c r="M938" t="s">
        <v>27</v>
      </c>
      <c r="N938" t="s">
        <v>27</v>
      </c>
      <c r="O938" t="s">
        <v>29</v>
      </c>
      <c r="P938">
        <v>2</v>
      </c>
      <c r="Q938" t="s">
        <v>62</v>
      </c>
      <c r="R938" t="str">
        <f>_xlfn.CONCAT(laptop[[#This Row],[CPU_company]]," ",laptop[[#This Row],[CPU_model]])</f>
        <v>Intel Core i3 6006U</v>
      </c>
      <c r="S938">
        <v>1024</v>
      </c>
      <c r="T938">
        <v>0</v>
      </c>
      <c r="U938">
        <f>laptop[[#This Row],[PrimaryStorage]]+laptop[[#This Row],[SecondaryStorage]]</f>
        <v>1024</v>
      </c>
      <c r="V938" t="s">
        <v>51</v>
      </c>
      <c r="W938" t="s">
        <v>27</v>
      </c>
      <c r="X938" t="str">
        <f>IF(laptop[[#This Row],[PrimaryStorageType]]=laptop[[#This Row],[SecondaryStorageType]],laptop[[#This Row],[PrimaryStorageType]],"SSD &amp; HDD")</f>
        <v>SSD &amp; HDD</v>
      </c>
      <c r="Y938" t="s">
        <v>63</v>
      </c>
      <c r="Z938" s="4" t="str">
        <f>_xlfn.CONCAT(laptop[[#This Row],[CPU_company]]," ",laptop[[#This Row],[GPU_model]])</f>
        <v>Intel HD Graphics 520</v>
      </c>
    </row>
    <row r="939" spans="1:26" x14ac:dyDescent="0.25">
      <c r="A939" t="s">
        <v>141</v>
      </c>
      <c r="B939" t="s">
        <v>718</v>
      </c>
      <c r="C939" t="s">
        <v>83</v>
      </c>
      <c r="D939">
        <v>15.6</v>
      </c>
      <c r="E939">
        <v>8</v>
      </c>
      <c r="F939" t="s">
        <v>48</v>
      </c>
      <c r="G939">
        <v>2.2000000000000002</v>
      </c>
      <c r="H939" s="16">
        <v>1199</v>
      </c>
      <c r="I939" t="s">
        <v>40</v>
      </c>
      <c r="J939">
        <v>1920</v>
      </c>
      <c r="K939">
        <v>1080</v>
      </c>
      <c r="L939" t="s">
        <v>27</v>
      </c>
      <c r="M939" t="s">
        <v>27</v>
      </c>
      <c r="N939" t="s">
        <v>27</v>
      </c>
      <c r="O939" t="s">
        <v>29</v>
      </c>
      <c r="P939">
        <v>2.8</v>
      </c>
      <c r="Q939" t="s">
        <v>118</v>
      </c>
      <c r="R939" t="str">
        <f>_xlfn.CONCAT(laptop[[#This Row],[CPU_company]]," ",laptop[[#This Row],[CPU_model]])</f>
        <v>Intel Core i7 7700HQ</v>
      </c>
      <c r="S939">
        <v>128</v>
      </c>
      <c r="T939">
        <v>1024</v>
      </c>
      <c r="U939">
        <f>laptop[[#This Row],[PrimaryStorage]]+laptop[[#This Row],[SecondaryStorage]]</f>
        <v>1152</v>
      </c>
      <c r="V939" t="s">
        <v>31</v>
      </c>
      <c r="W939" t="s">
        <v>51</v>
      </c>
      <c r="X939" t="str">
        <f>IF(laptop[[#This Row],[PrimaryStorageType]]=laptop[[#This Row],[SecondaryStorageType]],laptop[[#This Row],[PrimaryStorageType]],"SSD &amp; HDD")</f>
        <v>SSD &amp; HDD</v>
      </c>
      <c r="Y939" t="s">
        <v>85</v>
      </c>
      <c r="Z939" s="4" t="str">
        <f>_xlfn.CONCAT(laptop[[#This Row],[CPU_company]]," ",laptop[[#This Row],[GPU_model]])</f>
        <v>Intel GeForce GTX 1050</v>
      </c>
    </row>
    <row r="940" spans="1:26" x14ac:dyDescent="0.25">
      <c r="A940" t="s">
        <v>65</v>
      </c>
      <c r="B940" t="s">
        <v>367</v>
      </c>
      <c r="C940" t="s">
        <v>24</v>
      </c>
      <c r="D940">
        <v>14</v>
      </c>
      <c r="E940">
        <v>8</v>
      </c>
      <c r="F940" t="s">
        <v>48</v>
      </c>
      <c r="G940">
        <v>1.36</v>
      </c>
      <c r="H940" s="16">
        <v>1639</v>
      </c>
      <c r="I940" t="s">
        <v>40</v>
      </c>
      <c r="J940">
        <v>1920</v>
      </c>
      <c r="K940">
        <v>1080</v>
      </c>
      <c r="L940" t="s">
        <v>27</v>
      </c>
      <c r="M940" t="s">
        <v>27</v>
      </c>
      <c r="N940" t="s">
        <v>27</v>
      </c>
      <c r="O940" t="s">
        <v>29</v>
      </c>
      <c r="P940">
        <v>2.5</v>
      </c>
      <c r="Q940" t="s">
        <v>41</v>
      </c>
      <c r="R940" t="str">
        <f>_xlfn.CONCAT(laptop[[#This Row],[CPU_company]]," ",laptop[[#This Row],[CPU_model]])</f>
        <v>Intel Core i5 7200U</v>
      </c>
      <c r="S940">
        <v>256</v>
      </c>
      <c r="T940">
        <v>0</v>
      </c>
      <c r="U940">
        <f>laptop[[#This Row],[PrimaryStorage]]+laptop[[#This Row],[SecondaryStorage]]</f>
        <v>256</v>
      </c>
      <c r="V940" t="s">
        <v>31</v>
      </c>
      <c r="W940" t="s">
        <v>27</v>
      </c>
      <c r="X940" t="str">
        <f>IF(laptop[[#This Row],[PrimaryStorageType]]=laptop[[#This Row],[SecondaryStorageType]],laptop[[#This Row],[PrimaryStorageType]],"SSD &amp; HDD")</f>
        <v>SSD &amp; HDD</v>
      </c>
      <c r="Y940" t="s">
        <v>42</v>
      </c>
      <c r="Z940" s="4" t="str">
        <f>_xlfn.CONCAT(laptop[[#This Row],[CPU_company]]," ",laptop[[#This Row],[GPU_model]])</f>
        <v>Intel HD Graphics 620</v>
      </c>
    </row>
    <row r="941" spans="1:26" x14ac:dyDescent="0.25">
      <c r="A941" t="s">
        <v>65</v>
      </c>
      <c r="B941" t="s">
        <v>275</v>
      </c>
      <c r="C941" t="s">
        <v>83</v>
      </c>
      <c r="D941">
        <v>17.3</v>
      </c>
      <c r="E941">
        <v>16</v>
      </c>
      <c r="F941" t="s">
        <v>48</v>
      </c>
      <c r="G941">
        <v>4.3600000000000003</v>
      </c>
      <c r="H941" s="16">
        <v>2758</v>
      </c>
      <c r="I941" t="s">
        <v>26</v>
      </c>
      <c r="J941">
        <v>2560</v>
      </c>
      <c r="K941">
        <v>1440</v>
      </c>
      <c r="L941" t="s">
        <v>27</v>
      </c>
      <c r="M941" t="s">
        <v>27</v>
      </c>
      <c r="N941" t="s">
        <v>27</v>
      </c>
      <c r="O941" t="s">
        <v>29</v>
      </c>
      <c r="P941">
        <v>2.7</v>
      </c>
      <c r="Q941" t="s">
        <v>514</v>
      </c>
      <c r="R941" t="str">
        <f>_xlfn.CONCAT(laptop[[#This Row],[CPU_company]]," ",laptop[[#This Row],[CPU_model]])</f>
        <v>Intel Core i7 6820HK</v>
      </c>
      <c r="S941">
        <v>512</v>
      </c>
      <c r="T941">
        <v>1024</v>
      </c>
      <c r="U941">
        <f>laptop[[#This Row],[PrimaryStorage]]+laptop[[#This Row],[SecondaryStorage]]</f>
        <v>1536</v>
      </c>
      <c r="V941" t="s">
        <v>31</v>
      </c>
      <c r="W941" t="s">
        <v>51</v>
      </c>
      <c r="X941" t="str">
        <f>IF(laptop[[#This Row],[PrimaryStorageType]]=laptop[[#This Row],[SecondaryStorageType]],laptop[[#This Row],[PrimaryStorageType]],"SSD &amp; HDD")</f>
        <v>SSD &amp; HDD</v>
      </c>
      <c r="Y941" t="s">
        <v>259</v>
      </c>
      <c r="Z941" s="4" t="str">
        <f>_xlfn.CONCAT(laptop[[#This Row],[CPU_company]]," ",laptop[[#This Row],[GPU_model]])</f>
        <v>Intel GeForce GTX 1080</v>
      </c>
    </row>
    <row r="942" spans="1:26" x14ac:dyDescent="0.25">
      <c r="A942" t="s">
        <v>36</v>
      </c>
      <c r="B942" t="s">
        <v>719</v>
      </c>
      <c r="C942" t="s">
        <v>83</v>
      </c>
      <c r="D942">
        <v>17.3</v>
      </c>
      <c r="E942">
        <v>8</v>
      </c>
      <c r="F942" t="s">
        <v>48</v>
      </c>
      <c r="G942">
        <v>2.75</v>
      </c>
      <c r="H942" s="16">
        <v>1399</v>
      </c>
      <c r="I942" t="s">
        <v>40</v>
      </c>
      <c r="J942">
        <v>1920</v>
      </c>
      <c r="K942">
        <v>1080</v>
      </c>
      <c r="L942" t="s">
        <v>27</v>
      </c>
      <c r="M942" t="s">
        <v>28</v>
      </c>
      <c r="N942" t="s">
        <v>27</v>
      </c>
      <c r="O942" t="s">
        <v>29</v>
      </c>
      <c r="P942">
        <v>2.2999999999999998</v>
      </c>
      <c r="Q942" t="s">
        <v>601</v>
      </c>
      <c r="R942" t="str">
        <f>_xlfn.CONCAT(laptop[[#This Row],[CPU_company]]," ",laptop[[#This Row],[CPU_model]])</f>
        <v>Intel Core i5 6300HQ</v>
      </c>
      <c r="S942">
        <v>128</v>
      </c>
      <c r="T942">
        <v>1024</v>
      </c>
      <c r="U942">
        <f>laptop[[#This Row],[PrimaryStorage]]+laptop[[#This Row],[SecondaryStorage]]</f>
        <v>1152</v>
      </c>
      <c r="V942" t="s">
        <v>31</v>
      </c>
      <c r="W942" t="s">
        <v>51</v>
      </c>
      <c r="X942" t="str">
        <f>IF(laptop[[#This Row],[PrimaryStorageType]]=laptop[[#This Row],[SecondaryStorageType]],laptop[[#This Row],[PrimaryStorageType]],"SSD &amp; HDD")</f>
        <v>SSD &amp; HDD</v>
      </c>
      <c r="Y942" t="s">
        <v>460</v>
      </c>
      <c r="Z942" s="4" t="str">
        <f>_xlfn.CONCAT(laptop[[#This Row],[CPU_company]]," ",laptop[[#This Row],[GPU_model]])</f>
        <v>Intel GeForce GTX 965M</v>
      </c>
    </row>
    <row r="943" spans="1:26" x14ac:dyDescent="0.25">
      <c r="A943" t="s">
        <v>55</v>
      </c>
      <c r="B943" t="s">
        <v>720</v>
      </c>
      <c r="C943" t="s">
        <v>38</v>
      </c>
      <c r="D943">
        <v>17.3</v>
      </c>
      <c r="E943">
        <v>4</v>
      </c>
      <c r="F943" t="s">
        <v>48</v>
      </c>
      <c r="G943">
        <v>2.8</v>
      </c>
      <c r="H943" s="16">
        <v>530</v>
      </c>
      <c r="I943" t="s">
        <v>26</v>
      </c>
      <c r="J943">
        <v>1600</v>
      </c>
      <c r="K943">
        <v>900</v>
      </c>
      <c r="L943" t="s">
        <v>27</v>
      </c>
      <c r="M943" t="s">
        <v>27</v>
      </c>
      <c r="N943" t="s">
        <v>27</v>
      </c>
      <c r="O943" t="s">
        <v>29</v>
      </c>
      <c r="P943">
        <v>1.6</v>
      </c>
      <c r="Q943" t="s">
        <v>346</v>
      </c>
      <c r="R943" t="str">
        <f>_xlfn.CONCAT(laptop[[#This Row],[CPU_company]]," ",laptop[[#This Row],[CPU_model]])</f>
        <v>Intel Pentium Quad Core N3710</v>
      </c>
      <c r="S943">
        <v>1024</v>
      </c>
      <c r="T943">
        <v>0</v>
      </c>
      <c r="U943">
        <f>laptop[[#This Row],[PrimaryStorage]]+laptop[[#This Row],[SecondaryStorage]]</f>
        <v>1024</v>
      </c>
      <c r="V943" t="s">
        <v>51</v>
      </c>
      <c r="W943" t="s">
        <v>27</v>
      </c>
      <c r="X943" t="str">
        <f>IF(laptop[[#This Row],[PrimaryStorageType]]=laptop[[#This Row],[SecondaryStorageType]],laptop[[#This Row],[PrimaryStorageType]],"SSD &amp; HDD")</f>
        <v>SSD &amp; HDD</v>
      </c>
      <c r="Y943" t="s">
        <v>131</v>
      </c>
      <c r="Z943" s="4" t="str">
        <f>_xlfn.CONCAT(laptop[[#This Row],[CPU_company]]," ",laptop[[#This Row],[GPU_model]])</f>
        <v>Intel GeForce 920MX</v>
      </c>
    </row>
    <row r="944" spans="1:26" x14ac:dyDescent="0.25">
      <c r="A944" t="s">
        <v>46</v>
      </c>
      <c r="B944" t="s">
        <v>721</v>
      </c>
      <c r="C944" t="s">
        <v>38</v>
      </c>
      <c r="D944">
        <v>15.6</v>
      </c>
      <c r="E944">
        <v>4</v>
      </c>
      <c r="F944" t="s">
        <v>48</v>
      </c>
      <c r="G944">
        <v>2.23</v>
      </c>
      <c r="H944" s="16">
        <v>619</v>
      </c>
      <c r="I944" t="s">
        <v>26</v>
      </c>
      <c r="J944">
        <v>1366</v>
      </c>
      <c r="K944">
        <v>768</v>
      </c>
      <c r="L944" t="s">
        <v>27</v>
      </c>
      <c r="M944" t="s">
        <v>27</v>
      </c>
      <c r="N944" t="s">
        <v>27</v>
      </c>
      <c r="O944" t="s">
        <v>29</v>
      </c>
      <c r="P944">
        <v>2.5</v>
      </c>
      <c r="Q944" t="s">
        <v>41</v>
      </c>
      <c r="R944" t="str">
        <f>_xlfn.CONCAT(laptop[[#This Row],[CPU_company]]," ",laptop[[#This Row],[CPU_model]])</f>
        <v>Intel Core i5 7200U</v>
      </c>
      <c r="S944">
        <v>500</v>
      </c>
      <c r="T944">
        <v>0</v>
      </c>
      <c r="U944">
        <f>laptop[[#This Row],[PrimaryStorage]]+laptop[[#This Row],[SecondaryStorage]]</f>
        <v>500</v>
      </c>
      <c r="V944" t="s">
        <v>51</v>
      </c>
      <c r="W944" t="s">
        <v>27</v>
      </c>
      <c r="X944" t="str">
        <f>IF(laptop[[#This Row],[PrimaryStorageType]]=laptop[[#This Row],[SecondaryStorageType]],laptop[[#This Row],[PrimaryStorageType]],"SSD &amp; HDD")</f>
        <v>SSD &amp; HDD</v>
      </c>
      <c r="Y944" t="s">
        <v>42</v>
      </c>
      <c r="Z944" s="4" t="str">
        <f>_xlfn.CONCAT(laptop[[#This Row],[CPU_company]]," ",laptop[[#This Row],[GPU_model]])</f>
        <v>Intel HD Graphics 620</v>
      </c>
    </row>
    <row r="945" spans="1:26" x14ac:dyDescent="0.25">
      <c r="A945" t="s">
        <v>210</v>
      </c>
      <c r="B945" t="s">
        <v>722</v>
      </c>
      <c r="C945" t="s">
        <v>38</v>
      </c>
      <c r="D945">
        <v>15.6</v>
      </c>
      <c r="E945">
        <v>8</v>
      </c>
      <c r="F945" t="s">
        <v>48</v>
      </c>
      <c r="G945">
        <v>2.2000000000000002</v>
      </c>
      <c r="H945" s="16">
        <v>1119</v>
      </c>
      <c r="I945" t="s">
        <v>26</v>
      </c>
      <c r="J945">
        <v>1366</v>
      </c>
      <c r="K945">
        <v>768</v>
      </c>
      <c r="L945" t="s">
        <v>27</v>
      </c>
      <c r="M945" t="s">
        <v>27</v>
      </c>
      <c r="N945" t="s">
        <v>27</v>
      </c>
      <c r="O945" t="s">
        <v>29</v>
      </c>
      <c r="P945">
        <v>2.2999999999999998</v>
      </c>
      <c r="Q945" t="s">
        <v>212</v>
      </c>
      <c r="R945" t="str">
        <f>_xlfn.CONCAT(laptop[[#This Row],[CPU_company]]," ",laptop[[#This Row],[CPU_model]])</f>
        <v>Intel Core i5 6200U</v>
      </c>
      <c r="S945">
        <v>256</v>
      </c>
      <c r="T945">
        <v>0</v>
      </c>
      <c r="U945">
        <f>laptop[[#This Row],[PrimaryStorage]]+laptop[[#This Row],[SecondaryStorage]]</f>
        <v>256</v>
      </c>
      <c r="V945" t="s">
        <v>31</v>
      </c>
      <c r="W945" t="s">
        <v>27</v>
      </c>
      <c r="X945" t="str">
        <f>IF(laptop[[#This Row],[PrimaryStorageType]]=laptop[[#This Row],[SecondaryStorageType]],laptop[[#This Row],[PrimaryStorageType]],"SSD &amp; HDD")</f>
        <v>SSD &amp; HDD</v>
      </c>
      <c r="Y945" t="s">
        <v>63</v>
      </c>
      <c r="Z945" s="4" t="str">
        <f>_xlfn.CONCAT(laptop[[#This Row],[CPU_company]]," ",laptop[[#This Row],[GPU_model]])</f>
        <v>Intel HD Graphics 520</v>
      </c>
    </row>
    <row r="946" spans="1:26" x14ac:dyDescent="0.25">
      <c r="A946" t="s">
        <v>73</v>
      </c>
      <c r="B946" t="s">
        <v>723</v>
      </c>
      <c r="C946" t="s">
        <v>90</v>
      </c>
      <c r="D946">
        <v>11.3</v>
      </c>
      <c r="E946">
        <v>8</v>
      </c>
      <c r="F946" t="s">
        <v>48</v>
      </c>
      <c r="G946">
        <v>1.1000000000000001</v>
      </c>
      <c r="H946" s="16">
        <v>1299</v>
      </c>
      <c r="I946" t="s">
        <v>40</v>
      </c>
      <c r="J946">
        <v>1920</v>
      </c>
      <c r="K946">
        <v>1080</v>
      </c>
      <c r="L946" t="s">
        <v>28</v>
      </c>
      <c r="M946" t="s">
        <v>28</v>
      </c>
      <c r="N946" t="s">
        <v>27</v>
      </c>
      <c r="O946" t="s">
        <v>29</v>
      </c>
      <c r="P946">
        <v>1.2</v>
      </c>
      <c r="Q946" t="s">
        <v>724</v>
      </c>
      <c r="R946" t="str">
        <f>_xlfn.CONCAT(laptop[[#This Row],[CPU_company]]," ",laptop[[#This Row],[CPU_model]])</f>
        <v>Intel Core M m7-6Y75</v>
      </c>
      <c r="S946">
        <v>256</v>
      </c>
      <c r="T946">
        <v>0</v>
      </c>
      <c r="U946">
        <f>laptop[[#This Row],[PrimaryStorage]]+laptop[[#This Row],[SecondaryStorage]]</f>
        <v>256</v>
      </c>
      <c r="V946" t="s">
        <v>31</v>
      </c>
      <c r="W946" t="s">
        <v>27</v>
      </c>
      <c r="X946" t="str">
        <f>IF(laptop[[#This Row],[PrimaryStorageType]]=laptop[[#This Row],[SecondaryStorageType]],laptop[[#This Row],[PrimaryStorageType]],"SSD &amp; HDD")</f>
        <v>SSD &amp; HDD</v>
      </c>
      <c r="Y946" t="s">
        <v>217</v>
      </c>
      <c r="Z946" s="4" t="str">
        <f>_xlfn.CONCAT(laptop[[#This Row],[CPU_company]]," ",laptop[[#This Row],[GPU_model]])</f>
        <v>Intel HD Graphics 515</v>
      </c>
    </row>
    <row r="947" spans="1:26" x14ac:dyDescent="0.25">
      <c r="A947" t="s">
        <v>73</v>
      </c>
      <c r="B947" t="s">
        <v>725</v>
      </c>
      <c r="C947" t="s">
        <v>83</v>
      </c>
      <c r="D947">
        <v>15.6</v>
      </c>
      <c r="E947">
        <v>16</v>
      </c>
      <c r="F947" t="s">
        <v>48</v>
      </c>
      <c r="G947">
        <v>2.5</v>
      </c>
      <c r="H947" s="16">
        <v>999</v>
      </c>
      <c r="I947" t="s">
        <v>40</v>
      </c>
      <c r="J947">
        <v>1920</v>
      </c>
      <c r="K947">
        <v>1080</v>
      </c>
      <c r="L947" t="s">
        <v>27</v>
      </c>
      <c r="M947" t="s">
        <v>28</v>
      </c>
      <c r="N947" t="s">
        <v>27</v>
      </c>
      <c r="O947" t="s">
        <v>49</v>
      </c>
      <c r="P947">
        <v>2.1</v>
      </c>
      <c r="Q947" t="s">
        <v>726</v>
      </c>
      <c r="R947" t="str">
        <f>_xlfn.CONCAT(laptop[[#This Row],[CPU_company]]," ",laptop[[#This Row],[CPU_model]])</f>
        <v>AMD FX 8800P</v>
      </c>
      <c r="S947">
        <v>512</v>
      </c>
      <c r="T947">
        <v>1024</v>
      </c>
      <c r="U947">
        <f>laptop[[#This Row],[PrimaryStorage]]+laptop[[#This Row],[SecondaryStorage]]</f>
        <v>1536</v>
      </c>
      <c r="V947" t="s">
        <v>31</v>
      </c>
      <c r="W947" t="s">
        <v>51</v>
      </c>
      <c r="X947" t="str">
        <f>IF(laptop[[#This Row],[PrimaryStorageType]]=laptop[[#This Row],[SecondaryStorageType]],laptop[[#This Row],[PrimaryStorageType]],"SSD &amp; HDD")</f>
        <v>SSD &amp; HDD</v>
      </c>
      <c r="Y947" t="s">
        <v>727</v>
      </c>
      <c r="Z947" s="4" t="str">
        <f>_xlfn.CONCAT(laptop[[#This Row],[CPU_company]]," ",laptop[[#This Row],[GPU_model]])</f>
        <v>AMD Radeon R9 M385</v>
      </c>
    </row>
    <row r="948" spans="1:26" x14ac:dyDescent="0.25">
      <c r="A948" t="s">
        <v>65</v>
      </c>
      <c r="B948" t="s">
        <v>633</v>
      </c>
      <c r="C948" t="s">
        <v>24</v>
      </c>
      <c r="D948">
        <v>12.5</v>
      </c>
      <c r="E948">
        <v>8</v>
      </c>
      <c r="F948" t="s">
        <v>48</v>
      </c>
      <c r="G948">
        <v>1.36</v>
      </c>
      <c r="H948" s="16">
        <v>1472.2</v>
      </c>
      <c r="I948" t="s">
        <v>40</v>
      </c>
      <c r="J948">
        <v>1920</v>
      </c>
      <c r="K948">
        <v>1080</v>
      </c>
      <c r="L948" t="s">
        <v>28</v>
      </c>
      <c r="M948" t="s">
        <v>27</v>
      </c>
      <c r="N948" t="s">
        <v>27</v>
      </c>
      <c r="O948" t="s">
        <v>29</v>
      </c>
      <c r="P948">
        <v>2.5</v>
      </c>
      <c r="Q948" t="s">
        <v>41</v>
      </c>
      <c r="R948" t="str">
        <f>_xlfn.CONCAT(laptop[[#This Row],[CPU_company]]," ",laptop[[#This Row],[CPU_model]])</f>
        <v>Intel Core i5 7200U</v>
      </c>
      <c r="S948">
        <v>256</v>
      </c>
      <c r="T948">
        <v>0</v>
      </c>
      <c r="U948">
        <f>laptop[[#This Row],[PrimaryStorage]]+laptop[[#This Row],[SecondaryStorage]]</f>
        <v>256</v>
      </c>
      <c r="V948" t="s">
        <v>31</v>
      </c>
      <c r="W948" t="s">
        <v>27</v>
      </c>
      <c r="X948" t="str">
        <f>IF(laptop[[#This Row],[PrimaryStorageType]]=laptop[[#This Row],[SecondaryStorageType]],laptop[[#This Row],[PrimaryStorageType]],"SSD &amp; HDD")</f>
        <v>SSD &amp; HDD</v>
      </c>
      <c r="Y948" t="s">
        <v>102</v>
      </c>
      <c r="Z948" s="4" t="str">
        <f>_xlfn.CONCAT(laptop[[#This Row],[CPU_company]]," ",laptop[[#This Row],[GPU_model]])</f>
        <v>Intel HD Graphics</v>
      </c>
    </row>
    <row r="949" spans="1:26" x14ac:dyDescent="0.25">
      <c r="A949" t="s">
        <v>73</v>
      </c>
      <c r="B949" t="s">
        <v>533</v>
      </c>
      <c r="C949" t="s">
        <v>38</v>
      </c>
      <c r="D949">
        <v>15.6</v>
      </c>
      <c r="E949">
        <v>8</v>
      </c>
      <c r="F949" t="s">
        <v>39</v>
      </c>
      <c r="G949">
        <v>2.2000000000000002</v>
      </c>
      <c r="H949" s="16">
        <v>685</v>
      </c>
      <c r="I949" t="s">
        <v>40</v>
      </c>
      <c r="J949">
        <v>1920</v>
      </c>
      <c r="K949">
        <v>1080</v>
      </c>
      <c r="L949" t="s">
        <v>27</v>
      </c>
      <c r="M949" t="s">
        <v>27</v>
      </c>
      <c r="N949" t="s">
        <v>27</v>
      </c>
      <c r="O949" t="s">
        <v>29</v>
      </c>
      <c r="P949">
        <v>2.7</v>
      </c>
      <c r="Q949" t="s">
        <v>71</v>
      </c>
      <c r="R949" t="str">
        <f>_xlfn.CONCAT(laptop[[#This Row],[CPU_company]]," ",laptop[[#This Row],[CPU_model]])</f>
        <v>Intel Core i7 7500U</v>
      </c>
      <c r="S949">
        <v>1024</v>
      </c>
      <c r="T949">
        <v>0</v>
      </c>
      <c r="U949">
        <f>laptop[[#This Row],[PrimaryStorage]]+laptop[[#This Row],[SecondaryStorage]]</f>
        <v>1024</v>
      </c>
      <c r="V949" t="s">
        <v>51</v>
      </c>
      <c r="W949" t="s">
        <v>27</v>
      </c>
      <c r="X949" t="str">
        <f>IF(laptop[[#This Row],[PrimaryStorageType]]=laptop[[#This Row],[SecondaryStorageType]],laptop[[#This Row],[PrimaryStorageType]],"SSD &amp; HDD")</f>
        <v>SSD &amp; HDD</v>
      </c>
      <c r="Y949" t="s">
        <v>131</v>
      </c>
      <c r="Z949" s="4" t="str">
        <f>_xlfn.CONCAT(laptop[[#This Row],[CPU_company]]," ",laptop[[#This Row],[GPU_model]])</f>
        <v>Intel GeForce 920MX</v>
      </c>
    </row>
    <row r="950" spans="1:26" x14ac:dyDescent="0.25">
      <c r="A950" t="s">
        <v>65</v>
      </c>
      <c r="B950" t="s">
        <v>728</v>
      </c>
      <c r="C950" t="s">
        <v>38</v>
      </c>
      <c r="D950">
        <v>17.3</v>
      </c>
      <c r="E950">
        <v>4</v>
      </c>
      <c r="F950" t="s">
        <v>48</v>
      </c>
      <c r="G950">
        <v>2.36</v>
      </c>
      <c r="H950" s="16">
        <v>659</v>
      </c>
      <c r="I950" t="s">
        <v>26</v>
      </c>
      <c r="J950">
        <v>1600</v>
      </c>
      <c r="K950">
        <v>900</v>
      </c>
      <c r="L950" t="s">
        <v>27</v>
      </c>
      <c r="M950" t="s">
        <v>27</v>
      </c>
      <c r="N950" t="s">
        <v>27</v>
      </c>
      <c r="O950" t="s">
        <v>29</v>
      </c>
      <c r="P950">
        <v>2</v>
      </c>
      <c r="Q950" t="s">
        <v>62</v>
      </c>
      <c r="R950" t="str">
        <f>_xlfn.CONCAT(laptop[[#This Row],[CPU_company]]," ",laptop[[#This Row],[CPU_model]])</f>
        <v>Intel Core i3 6006U</v>
      </c>
      <c r="S950">
        <v>1024</v>
      </c>
      <c r="T950">
        <v>0</v>
      </c>
      <c r="U950">
        <f>laptop[[#This Row],[PrimaryStorage]]+laptop[[#This Row],[SecondaryStorage]]</f>
        <v>1024</v>
      </c>
      <c r="V950" t="s">
        <v>51</v>
      </c>
      <c r="W950" t="s">
        <v>27</v>
      </c>
      <c r="X950" t="str">
        <f>IF(laptop[[#This Row],[PrimaryStorageType]]=laptop[[#This Row],[SecondaryStorageType]],laptop[[#This Row],[PrimaryStorageType]],"SSD &amp; HDD")</f>
        <v>SSD &amp; HDD</v>
      </c>
      <c r="Y950" t="s">
        <v>201</v>
      </c>
      <c r="Z950" s="4" t="str">
        <f>_xlfn.CONCAT(laptop[[#This Row],[CPU_company]]," ",laptop[[#This Row],[GPU_model]])</f>
        <v>Intel Radeon R7 M445</v>
      </c>
    </row>
    <row r="951" spans="1:26" x14ac:dyDescent="0.25">
      <c r="A951" t="s">
        <v>46</v>
      </c>
      <c r="B951" t="s">
        <v>587</v>
      </c>
      <c r="C951" t="s">
        <v>38</v>
      </c>
      <c r="D951">
        <v>14</v>
      </c>
      <c r="E951">
        <v>4</v>
      </c>
      <c r="F951" t="s">
        <v>317</v>
      </c>
      <c r="G951">
        <v>1.68</v>
      </c>
      <c r="H951" s="16">
        <v>349</v>
      </c>
      <c r="I951" t="s">
        <v>26</v>
      </c>
      <c r="J951">
        <v>1366</v>
      </c>
      <c r="K951">
        <v>768</v>
      </c>
      <c r="L951" t="s">
        <v>27</v>
      </c>
      <c r="M951" t="s">
        <v>27</v>
      </c>
      <c r="N951" t="s">
        <v>27</v>
      </c>
      <c r="O951" t="s">
        <v>29</v>
      </c>
      <c r="P951">
        <v>1.6</v>
      </c>
      <c r="Q951" t="s">
        <v>151</v>
      </c>
      <c r="R951" t="str">
        <f>_xlfn.CONCAT(laptop[[#This Row],[CPU_company]]," ",laptop[[#This Row],[CPU_model]])</f>
        <v>Intel Celeron Dual Core N3060</v>
      </c>
      <c r="S951">
        <v>32</v>
      </c>
      <c r="T951">
        <v>0</v>
      </c>
      <c r="U951">
        <f>laptop[[#This Row],[PrimaryStorage]]+laptop[[#This Row],[SecondaryStorage]]</f>
        <v>32</v>
      </c>
      <c r="V951" t="s">
        <v>34</v>
      </c>
      <c r="W951" t="s">
        <v>27</v>
      </c>
      <c r="X951" t="str">
        <f>IF(laptop[[#This Row],[PrimaryStorageType]]=laptop[[#This Row],[SecondaryStorageType]],laptop[[#This Row],[PrimaryStorageType]],"SSD &amp; HDD")</f>
        <v>SSD &amp; HDD</v>
      </c>
      <c r="Y951" t="s">
        <v>81</v>
      </c>
      <c r="Z951" s="4" t="str">
        <f>_xlfn.CONCAT(laptop[[#This Row],[CPU_company]]," ",laptop[[#This Row],[GPU_model]])</f>
        <v>Intel HD Graphics 400</v>
      </c>
    </row>
    <row r="952" spans="1:26" x14ac:dyDescent="0.25">
      <c r="A952" t="s">
        <v>36</v>
      </c>
      <c r="B952" t="s">
        <v>729</v>
      </c>
      <c r="C952" t="s">
        <v>265</v>
      </c>
      <c r="D952">
        <v>15.6</v>
      </c>
      <c r="E952">
        <v>8</v>
      </c>
      <c r="F952" t="s">
        <v>48</v>
      </c>
      <c r="G952">
        <v>2</v>
      </c>
      <c r="H952" s="16">
        <v>2249</v>
      </c>
      <c r="I952" t="s">
        <v>40</v>
      </c>
      <c r="J952">
        <v>1920</v>
      </c>
      <c r="K952">
        <v>1080</v>
      </c>
      <c r="L952" t="s">
        <v>27</v>
      </c>
      <c r="M952" t="s">
        <v>28</v>
      </c>
      <c r="N952" t="s">
        <v>27</v>
      </c>
      <c r="O952" t="s">
        <v>29</v>
      </c>
      <c r="P952">
        <v>2.7</v>
      </c>
      <c r="Q952" t="s">
        <v>388</v>
      </c>
      <c r="R952" t="str">
        <f>_xlfn.CONCAT(laptop[[#This Row],[CPU_company]]," ",laptop[[#This Row],[CPU_model]])</f>
        <v>Intel Core i7 6820HQ</v>
      </c>
      <c r="S952">
        <v>8</v>
      </c>
      <c r="T952">
        <v>0</v>
      </c>
      <c r="U952">
        <f>laptop[[#This Row],[PrimaryStorage]]+laptop[[#This Row],[SecondaryStorage]]</f>
        <v>8</v>
      </c>
      <c r="V952" t="s">
        <v>31</v>
      </c>
      <c r="W952" t="s">
        <v>27</v>
      </c>
      <c r="X952" t="str">
        <f>IF(laptop[[#This Row],[PrimaryStorageType]]=laptop[[#This Row],[SecondaryStorageType]],laptop[[#This Row],[PrimaryStorageType]],"SSD &amp; HDD")</f>
        <v>SSD &amp; HDD</v>
      </c>
      <c r="Y952" t="s">
        <v>632</v>
      </c>
      <c r="Z952" s="4" t="str">
        <f>_xlfn.CONCAT(laptop[[#This Row],[CPU_company]]," ",laptop[[#This Row],[GPU_model]])</f>
        <v>Intel Quadro M1000M</v>
      </c>
    </row>
    <row r="953" spans="1:26" x14ac:dyDescent="0.25">
      <c r="A953" t="s">
        <v>65</v>
      </c>
      <c r="B953" t="s">
        <v>367</v>
      </c>
      <c r="C953" t="s">
        <v>24</v>
      </c>
      <c r="D953">
        <v>14</v>
      </c>
      <c r="E953">
        <v>8</v>
      </c>
      <c r="F953" t="s">
        <v>48</v>
      </c>
      <c r="G953">
        <v>1.36</v>
      </c>
      <c r="H953" s="16">
        <v>1775</v>
      </c>
      <c r="I953" t="s">
        <v>40</v>
      </c>
      <c r="J953">
        <v>1920</v>
      </c>
      <c r="K953">
        <v>1080</v>
      </c>
      <c r="L953" t="s">
        <v>27</v>
      </c>
      <c r="M953" t="s">
        <v>27</v>
      </c>
      <c r="N953" t="s">
        <v>27</v>
      </c>
      <c r="O953" t="s">
        <v>29</v>
      </c>
      <c r="P953">
        <v>2.8</v>
      </c>
      <c r="Q953" t="s">
        <v>335</v>
      </c>
      <c r="R953" t="str">
        <f>_xlfn.CONCAT(laptop[[#This Row],[CPU_company]]," ",laptop[[#This Row],[CPU_model]])</f>
        <v>Intel Core i7 7600U</v>
      </c>
      <c r="S953">
        <v>256</v>
      </c>
      <c r="T953">
        <v>0</v>
      </c>
      <c r="U953">
        <f>laptop[[#This Row],[PrimaryStorage]]+laptop[[#This Row],[SecondaryStorage]]</f>
        <v>256</v>
      </c>
      <c r="V953" t="s">
        <v>31</v>
      </c>
      <c r="W953" t="s">
        <v>27</v>
      </c>
      <c r="X953" t="str">
        <f>IF(laptop[[#This Row],[PrimaryStorageType]]=laptop[[#This Row],[SecondaryStorageType]],laptop[[#This Row],[PrimaryStorageType]],"SSD &amp; HDD")</f>
        <v>SSD &amp; HDD</v>
      </c>
      <c r="Y953" t="s">
        <v>42</v>
      </c>
      <c r="Z953" s="4" t="str">
        <f>_xlfn.CONCAT(laptop[[#This Row],[CPU_company]]," ",laptop[[#This Row],[GPU_model]])</f>
        <v>Intel HD Graphics 620</v>
      </c>
    </row>
    <row r="954" spans="1:26" x14ac:dyDescent="0.25">
      <c r="A954" t="s">
        <v>210</v>
      </c>
      <c r="B954" t="s">
        <v>730</v>
      </c>
      <c r="C954" t="s">
        <v>38</v>
      </c>
      <c r="D954">
        <v>13.3</v>
      </c>
      <c r="E954">
        <v>8</v>
      </c>
      <c r="F954" t="s">
        <v>480</v>
      </c>
      <c r="G954">
        <v>1.2</v>
      </c>
      <c r="H954" s="16">
        <v>1460</v>
      </c>
      <c r="I954" t="s">
        <v>40</v>
      </c>
      <c r="J954">
        <v>1920</v>
      </c>
      <c r="K954">
        <v>1080</v>
      </c>
      <c r="L954" t="s">
        <v>27</v>
      </c>
      <c r="M954" t="s">
        <v>27</v>
      </c>
      <c r="N954" t="s">
        <v>27</v>
      </c>
      <c r="O954" t="s">
        <v>29</v>
      </c>
      <c r="P954">
        <v>2.2999999999999998</v>
      </c>
      <c r="Q954" t="s">
        <v>212</v>
      </c>
      <c r="R954" t="str">
        <f>_xlfn.CONCAT(laptop[[#This Row],[CPU_company]]," ",laptop[[#This Row],[CPU_model]])</f>
        <v>Intel Core i5 6200U</v>
      </c>
      <c r="S954">
        <v>256</v>
      </c>
      <c r="T954">
        <v>0</v>
      </c>
      <c r="U954">
        <f>laptop[[#This Row],[PrimaryStorage]]+laptop[[#This Row],[SecondaryStorage]]</f>
        <v>256</v>
      </c>
      <c r="V954" t="s">
        <v>31</v>
      </c>
      <c r="W954" t="s">
        <v>27</v>
      </c>
      <c r="X954" t="str">
        <f>IF(laptop[[#This Row],[PrimaryStorageType]]=laptop[[#This Row],[SecondaryStorageType]],laptop[[#This Row],[PrimaryStorageType]],"SSD &amp; HDD")</f>
        <v>SSD &amp; HDD</v>
      </c>
      <c r="Y954" t="s">
        <v>63</v>
      </c>
      <c r="Z954" s="4" t="str">
        <f>_xlfn.CONCAT(laptop[[#This Row],[CPU_company]]," ",laptop[[#This Row],[GPU_model]])</f>
        <v>Intel HD Graphics 520</v>
      </c>
    </row>
    <row r="955" spans="1:26" x14ac:dyDescent="0.25">
      <c r="A955" t="s">
        <v>55</v>
      </c>
      <c r="B955" t="s">
        <v>591</v>
      </c>
      <c r="C955" t="s">
        <v>90</v>
      </c>
      <c r="D955">
        <v>12.5</v>
      </c>
      <c r="E955">
        <v>8</v>
      </c>
      <c r="F955" t="s">
        <v>317</v>
      </c>
      <c r="G955">
        <v>1.2</v>
      </c>
      <c r="H955" s="16">
        <v>1159</v>
      </c>
      <c r="I955" t="s">
        <v>40</v>
      </c>
      <c r="J955">
        <v>1920</v>
      </c>
      <c r="K955">
        <v>1080</v>
      </c>
      <c r="L955" t="s">
        <v>27</v>
      </c>
      <c r="M955" t="s">
        <v>27</v>
      </c>
      <c r="N955" t="s">
        <v>27</v>
      </c>
      <c r="O955" t="s">
        <v>29</v>
      </c>
      <c r="P955">
        <v>1.2</v>
      </c>
      <c r="Q955" t="s">
        <v>731</v>
      </c>
      <c r="R955" t="str">
        <f>_xlfn.CONCAT(laptop[[#This Row],[CPU_company]]," ",laptop[[#This Row],[CPU_model]])</f>
        <v>Intel Core M M7-6Y75</v>
      </c>
      <c r="S955">
        <v>64</v>
      </c>
      <c r="T955">
        <v>0</v>
      </c>
      <c r="U955">
        <f>laptop[[#This Row],[PrimaryStorage]]+laptop[[#This Row],[SecondaryStorage]]</f>
        <v>64</v>
      </c>
      <c r="V955" t="s">
        <v>34</v>
      </c>
      <c r="W955" t="s">
        <v>27</v>
      </c>
      <c r="X955" t="str">
        <f>IF(laptop[[#This Row],[PrimaryStorageType]]=laptop[[#This Row],[SecondaryStorageType]],laptop[[#This Row],[PrimaryStorageType]],"SSD &amp; HDD")</f>
        <v>SSD &amp; HDD</v>
      </c>
      <c r="Y955" t="s">
        <v>217</v>
      </c>
      <c r="Z955" s="4" t="str">
        <f>_xlfn.CONCAT(laptop[[#This Row],[CPU_company]]," ",laptop[[#This Row],[GPU_model]])</f>
        <v>Intel HD Graphics 515</v>
      </c>
    </row>
    <row r="956" spans="1:26" x14ac:dyDescent="0.25">
      <c r="A956" t="s">
        <v>73</v>
      </c>
      <c r="B956" t="s">
        <v>626</v>
      </c>
      <c r="C956" t="s">
        <v>24</v>
      </c>
      <c r="D956">
        <v>14</v>
      </c>
      <c r="E956">
        <v>8</v>
      </c>
      <c r="F956" t="s">
        <v>48</v>
      </c>
      <c r="G956">
        <v>1.7</v>
      </c>
      <c r="H956" s="16">
        <v>1488.99</v>
      </c>
      <c r="I956" t="s">
        <v>40</v>
      </c>
      <c r="J956">
        <v>1920</v>
      </c>
      <c r="K956">
        <v>1080</v>
      </c>
      <c r="L956" t="s">
        <v>27</v>
      </c>
      <c r="M956" t="s">
        <v>28</v>
      </c>
      <c r="N956" t="s">
        <v>27</v>
      </c>
      <c r="O956" t="s">
        <v>29</v>
      </c>
      <c r="P956">
        <v>2.6</v>
      </c>
      <c r="Q956" t="s">
        <v>309</v>
      </c>
      <c r="R956" t="str">
        <f>_xlfn.CONCAT(laptop[[#This Row],[CPU_company]]," ",laptop[[#This Row],[CPU_model]])</f>
        <v>Intel Core i7 6600U</v>
      </c>
      <c r="S956">
        <v>256</v>
      </c>
      <c r="T956">
        <v>0</v>
      </c>
      <c r="U956">
        <f>laptop[[#This Row],[PrimaryStorage]]+laptop[[#This Row],[SecondaryStorage]]</f>
        <v>256</v>
      </c>
      <c r="V956" t="s">
        <v>31</v>
      </c>
      <c r="W956" t="s">
        <v>27</v>
      </c>
      <c r="X956" t="str">
        <f>IF(laptop[[#This Row],[PrimaryStorageType]]=laptop[[#This Row],[SecondaryStorageType]],laptop[[#This Row],[PrimaryStorageType]],"SSD &amp; HDD")</f>
        <v>SSD &amp; HDD</v>
      </c>
      <c r="Y956" t="s">
        <v>63</v>
      </c>
      <c r="Z956" s="4" t="str">
        <f>_xlfn.CONCAT(laptop[[#This Row],[CPU_company]]," ",laptop[[#This Row],[GPU_model]])</f>
        <v>Intel HD Graphics 520</v>
      </c>
    </row>
    <row r="957" spans="1:26" x14ac:dyDescent="0.25">
      <c r="A957" t="s">
        <v>65</v>
      </c>
      <c r="B957" t="s">
        <v>275</v>
      </c>
      <c r="C957" t="s">
        <v>83</v>
      </c>
      <c r="D957">
        <v>17.3</v>
      </c>
      <c r="E957">
        <v>16</v>
      </c>
      <c r="F957" t="s">
        <v>48</v>
      </c>
      <c r="G957">
        <v>4.3600000000000003</v>
      </c>
      <c r="H957" s="16">
        <v>3154</v>
      </c>
      <c r="I957" t="s">
        <v>215</v>
      </c>
      <c r="J957">
        <v>3840</v>
      </c>
      <c r="K957">
        <v>2160</v>
      </c>
      <c r="L957" t="s">
        <v>27</v>
      </c>
      <c r="M957" t="s">
        <v>28</v>
      </c>
      <c r="N957" t="s">
        <v>27</v>
      </c>
      <c r="O957" t="s">
        <v>29</v>
      </c>
      <c r="P957">
        <v>2.8</v>
      </c>
      <c r="Q957" t="s">
        <v>118</v>
      </c>
      <c r="R957" t="str">
        <f>_xlfn.CONCAT(laptop[[#This Row],[CPU_company]]," ",laptop[[#This Row],[CPU_model]])</f>
        <v>Intel Core i7 7700HQ</v>
      </c>
      <c r="S957">
        <v>512</v>
      </c>
      <c r="T957">
        <v>1024</v>
      </c>
      <c r="U957">
        <f>laptop[[#This Row],[PrimaryStorage]]+laptop[[#This Row],[SecondaryStorage]]</f>
        <v>1536</v>
      </c>
      <c r="V957" t="s">
        <v>31</v>
      </c>
      <c r="W957" t="s">
        <v>51</v>
      </c>
      <c r="X957" t="str">
        <f>IF(laptop[[#This Row],[PrimaryStorageType]]=laptop[[#This Row],[SecondaryStorageType]],laptop[[#This Row],[PrimaryStorageType]],"SSD &amp; HDD")</f>
        <v>SSD &amp; HDD</v>
      </c>
      <c r="Y957" t="s">
        <v>143</v>
      </c>
      <c r="Z957" s="4" t="str">
        <f>_xlfn.CONCAT(laptop[[#This Row],[CPU_company]]," ",laptop[[#This Row],[GPU_model]])</f>
        <v>Intel GeForce GTX 1070</v>
      </c>
    </row>
    <row r="958" spans="1:26" x14ac:dyDescent="0.25">
      <c r="A958" t="s">
        <v>65</v>
      </c>
      <c r="B958" t="s">
        <v>77</v>
      </c>
      <c r="C958" t="s">
        <v>90</v>
      </c>
      <c r="D958">
        <v>13.3</v>
      </c>
      <c r="E958">
        <v>8</v>
      </c>
      <c r="F958" t="s">
        <v>48</v>
      </c>
      <c r="G958">
        <v>1.24</v>
      </c>
      <c r="H958" s="16">
        <v>1899</v>
      </c>
      <c r="I958" t="s">
        <v>40</v>
      </c>
      <c r="J958">
        <v>1920</v>
      </c>
      <c r="K958">
        <v>1080</v>
      </c>
      <c r="L958" t="s">
        <v>28</v>
      </c>
      <c r="M958" t="s">
        <v>27</v>
      </c>
      <c r="N958" t="s">
        <v>27</v>
      </c>
      <c r="O958" t="s">
        <v>29</v>
      </c>
      <c r="P958">
        <v>1.2</v>
      </c>
      <c r="Q958" t="s">
        <v>251</v>
      </c>
      <c r="R958" t="str">
        <f>_xlfn.CONCAT(laptop[[#This Row],[CPU_company]]," ",laptop[[#This Row],[CPU_model]])</f>
        <v>Intel Core i5 7Y54</v>
      </c>
      <c r="S958">
        <v>256</v>
      </c>
      <c r="T958">
        <v>0</v>
      </c>
      <c r="U958">
        <f>laptop[[#This Row],[PrimaryStorage]]+laptop[[#This Row],[SecondaryStorage]]</f>
        <v>256</v>
      </c>
      <c r="V958" t="s">
        <v>31</v>
      </c>
      <c r="W958" t="s">
        <v>27</v>
      </c>
      <c r="X958" t="str">
        <f>IF(laptop[[#This Row],[PrimaryStorageType]]=laptop[[#This Row],[SecondaryStorageType]],laptop[[#This Row],[PrimaryStorageType]],"SSD &amp; HDD")</f>
        <v>SSD &amp; HDD</v>
      </c>
      <c r="Y958" t="s">
        <v>70</v>
      </c>
      <c r="Z958" s="4" t="str">
        <f>_xlfn.CONCAT(laptop[[#This Row],[CPU_company]]," ",laptop[[#This Row],[GPU_model]])</f>
        <v>Intel HD Graphics 615</v>
      </c>
    </row>
    <row r="959" spans="1:26" x14ac:dyDescent="0.25">
      <c r="A959" t="s">
        <v>36</v>
      </c>
      <c r="B959" t="s">
        <v>732</v>
      </c>
      <c r="C959" t="s">
        <v>90</v>
      </c>
      <c r="D959">
        <v>11.6</v>
      </c>
      <c r="E959">
        <v>4</v>
      </c>
      <c r="F959" t="s">
        <v>48</v>
      </c>
      <c r="G959">
        <v>1.45</v>
      </c>
      <c r="H959" s="16">
        <v>775</v>
      </c>
      <c r="I959" t="s">
        <v>26</v>
      </c>
      <c r="J959">
        <v>1366</v>
      </c>
      <c r="K959">
        <v>768</v>
      </c>
      <c r="L959" t="s">
        <v>28</v>
      </c>
      <c r="M959" t="s">
        <v>27</v>
      </c>
      <c r="N959" t="s">
        <v>27</v>
      </c>
      <c r="O959" t="s">
        <v>29</v>
      </c>
      <c r="P959">
        <v>1.1000000000000001</v>
      </c>
      <c r="Q959" t="s">
        <v>130</v>
      </c>
      <c r="R959" t="str">
        <f>_xlfn.CONCAT(laptop[[#This Row],[CPU_company]]," ",laptop[[#This Row],[CPU_model]])</f>
        <v>Intel Pentium Quad Core N4200</v>
      </c>
      <c r="S959">
        <v>256</v>
      </c>
      <c r="T959">
        <v>0</v>
      </c>
      <c r="U959">
        <f>laptop[[#This Row],[PrimaryStorage]]+laptop[[#This Row],[SecondaryStorage]]</f>
        <v>256</v>
      </c>
      <c r="V959" t="s">
        <v>31</v>
      </c>
      <c r="W959" t="s">
        <v>27</v>
      </c>
      <c r="X959" t="str">
        <f>IF(laptop[[#This Row],[PrimaryStorageType]]=laptop[[#This Row],[SecondaryStorageType]],laptop[[#This Row],[PrimaryStorageType]],"SSD &amp; HDD")</f>
        <v>SSD &amp; HDD</v>
      </c>
      <c r="Y959" t="s">
        <v>237</v>
      </c>
      <c r="Z959" s="4" t="str">
        <f>_xlfn.CONCAT(laptop[[#This Row],[CPU_company]]," ",laptop[[#This Row],[GPU_model]])</f>
        <v>Intel HD Graphics 505</v>
      </c>
    </row>
    <row r="960" spans="1:26" x14ac:dyDescent="0.25">
      <c r="A960" t="s">
        <v>65</v>
      </c>
      <c r="B960" t="s">
        <v>77</v>
      </c>
      <c r="C960" t="s">
        <v>24</v>
      </c>
      <c r="D960">
        <v>13.3</v>
      </c>
      <c r="E960">
        <v>8</v>
      </c>
      <c r="F960" t="s">
        <v>48</v>
      </c>
      <c r="G960">
        <v>1.3</v>
      </c>
      <c r="H960" s="16">
        <v>1268</v>
      </c>
      <c r="I960" t="s">
        <v>107</v>
      </c>
      <c r="J960">
        <v>3200</v>
      </c>
      <c r="K960">
        <v>1800</v>
      </c>
      <c r="L960" t="s">
        <v>27</v>
      </c>
      <c r="M960" t="s">
        <v>27</v>
      </c>
      <c r="N960" t="s">
        <v>27</v>
      </c>
      <c r="O960" t="s">
        <v>29</v>
      </c>
      <c r="P960">
        <v>2.5</v>
      </c>
      <c r="Q960" t="s">
        <v>274</v>
      </c>
      <c r="R960" t="str">
        <f>_xlfn.CONCAT(laptop[[#This Row],[CPU_company]]," ",laptop[[#This Row],[CPU_model]])</f>
        <v>Intel Core i7 6500U</v>
      </c>
      <c r="S960">
        <v>256</v>
      </c>
      <c r="T960">
        <v>0</v>
      </c>
      <c r="U960">
        <f>laptop[[#This Row],[PrimaryStorage]]+laptop[[#This Row],[SecondaryStorage]]</f>
        <v>256</v>
      </c>
      <c r="V960" t="s">
        <v>31</v>
      </c>
      <c r="W960" t="s">
        <v>27</v>
      </c>
      <c r="X960" t="str">
        <f>IF(laptop[[#This Row],[PrimaryStorageType]]=laptop[[#This Row],[SecondaryStorageType]],laptop[[#This Row],[PrimaryStorageType]],"SSD &amp; HDD")</f>
        <v>SSD &amp; HDD</v>
      </c>
      <c r="Y960" t="s">
        <v>63</v>
      </c>
      <c r="Z960" s="4" t="str">
        <f>_xlfn.CONCAT(laptop[[#This Row],[CPU_company]]," ",laptop[[#This Row],[GPU_model]])</f>
        <v>Intel HD Graphics 520</v>
      </c>
    </row>
    <row r="961" spans="1:26" x14ac:dyDescent="0.25">
      <c r="A961" t="s">
        <v>46</v>
      </c>
      <c r="B961" t="s">
        <v>733</v>
      </c>
      <c r="C961" t="s">
        <v>90</v>
      </c>
      <c r="D961">
        <v>11.6</v>
      </c>
      <c r="E961">
        <v>4</v>
      </c>
      <c r="F961" t="s">
        <v>317</v>
      </c>
      <c r="G961">
        <v>1.25</v>
      </c>
      <c r="H961" s="16">
        <v>389</v>
      </c>
      <c r="I961" t="s">
        <v>26</v>
      </c>
      <c r="J961">
        <v>1366</v>
      </c>
      <c r="K961">
        <v>768</v>
      </c>
      <c r="L961" t="s">
        <v>28</v>
      </c>
      <c r="M961" t="s">
        <v>28</v>
      </c>
      <c r="N961" t="s">
        <v>27</v>
      </c>
      <c r="O961" t="s">
        <v>29</v>
      </c>
      <c r="P961">
        <v>1.6</v>
      </c>
      <c r="Q961" t="s">
        <v>151</v>
      </c>
      <c r="R961" t="str">
        <f>_xlfn.CONCAT(laptop[[#This Row],[CPU_company]]," ",laptop[[#This Row],[CPU_model]])</f>
        <v>Intel Celeron Dual Core N3060</v>
      </c>
      <c r="S961">
        <v>32</v>
      </c>
      <c r="T961">
        <v>0</v>
      </c>
      <c r="U961">
        <f>laptop[[#This Row],[PrimaryStorage]]+laptop[[#This Row],[SecondaryStorage]]</f>
        <v>32</v>
      </c>
      <c r="V961" t="s">
        <v>34</v>
      </c>
      <c r="W961" t="s">
        <v>27</v>
      </c>
      <c r="X961" t="str">
        <f>IF(laptop[[#This Row],[PrimaryStorageType]]=laptop[[#This Row],[SecondaryStorageType]],laptop[[#This Row],[PrimaryStorageType]],"SSD &amp; HDD")</f>
        <v>SSD &amp; HDD</v>
      </c>
      <c r="Y961" t="s">
        <v>81</v>
      </c>
      <c r="Z961" s="4" t="str">
        <f>_xlfn.CONCAT(laptop[[#This Row],[CPU_company]]," ",laptop[[#This Row],[GPU_model]])</f>
        <v>Intel HD Graphics 400</v>
      </c>
    </row>
    <row r="962" spans="1:26" x14ac:dyDescent="0.25">
      <c r="A962" t="s">
        <v>210</v>
      </c>
      <c r="B962" t="s">
        <v>734</v>
      </c>
      <c r="C962" t="s">
        <v>38</v>
      </c>
      <c r="D962">
        <v>13.3</v>
      </c>
      <c r="E962">
        <v>8</v>
      </c>
      <c r="F962" t="s">
        <v>48</v>
      </c>
      <c r="G962">
        <v>1.2</v>
      </c>
      <c r="H962" s="16">
        <v>1535</v>
      </c>
      <c r="I962" t="s">
        <v>40</v>
      </c>
      <c r="J962">
        <v>1920</v>
      </c>
      <c r="K962">
        <v>1080</v>
      </c>
      <c r="L962" t="s">
        <v>27</v>
      </c>
      <c r="M962" t="s">
        <v>27</v>
      </c>
      <c r="N962" t="s">
        <v>27</v>
      </c>
      <c r="O962" t="s">
        <v>29</v>
      </c>
      <c r="P962">
        <v>2.4</v>
      </c>
      <c r="Q962" t="s">
        <v>562</v>
      </c>
      <c r="R962" t="str">
        <f>_xlfn.CONCAT(laptop[[#This Row],[CPU_company]]," ",laptop[[#This Row],[CPU_model]])</f>
        <v>Intel Core i5 6300U</v>
      </c>
      <c r="S962">
        <v>256</v>
      </c>
      <c r="T962">
        <v>0</v>
      </c>
      <c r="U962">
        <f>laptop[[#This Row],[PrimaryStorage]]+laptop[[#This Row],[SecondaryStorage]]</f>
        <v>256</v>
      </c>
      <c r="V962" t="s">
        <v>31</v>
      </c>
      <c r="W962" t="s">
        <v>27</v>
      </c>
      <c r="X962" t="str">
        <f>IF(laptop[[#This Row],[PrimaryStorageType]]=laptop[[#This Row],[SecondaryStorageType]],laptop[[#This Row],[PrimaryStorageType]],"SSD &amp; HDD")</f>
        <v>SSD &amp; HDD</v>
      </c>
      <c r="Y962" t="s">
        <v>63</v>
      </c>
      <c r="Z962" s="4" t="str">
        <f>_xlfn.CONCAT(laptop[[#This Row],[CPU_company]]," ",laptop[[#This Row],[GPU_model]])</f>
        <v>Intel HD Graphics 520</v>
      </c>
    </row>
    <row r="963" spans="1:26" x14ac:dyDescent="0.25">
      <c r="A963" t="s">
        <v>73</v>
      </c>
      <c r="B963" t="s">
        <v>426</v>
      </c>
      <c r="C963" t="s">
        <v>24</v>
      </c>
      <c r="D963">
        <v>12.5</v>
      </c>
      <c r="E963">
        <v>8</v>
      </c>
      <c r="F963" t="s">
        <v>48</v>
      </c>
      <c r="G963">
        <v>1.36</v>
      </c>
      <c r="H963" s="16">
        <v>1760</v>
      </c>
      <c r="I963" t="s">
        <v>40</v>
      </c>
      <c r="J963">
        <v>1920</v>
      </c>
      <c r="K963">
        <v>1080</v>
      </c>
      <c r="L963" t="s">
        <v>27</v>
      </c>
      <c r="M963" t="s">
        <v>28</v>
      </c>
      <c r="N963" t="s">
        <v>27</v>
      </c>
      <c r="O963" t="s">
        <v>29</v>
      </c>
      <c r="P963">
        <v>2.6</v>
      </c>
      <c r="Q963" t="s">
        <v>358</v>
      </c>
      <c r="R963" t="str">
        <f>_xlfn.CONCAT(laptop[[#This Row],[CPU_company]]," ",laptop[[#This Row],[CPU_model]])</f>
        <v>Intel Core i5 7300U</v>
      </c>
      <c r="S963">
        <v>256</v>
      </c>
      <c r="T963">
        <v>0</v>
      </c>
      <c r="U963">
        <f>laptop[[#This Row],[PrimaryStorage]]+laptop[[#This Row],[SecondaryStorage]]</f>
        <v>256</v>
      </c>
      <c r="V963" t="s">
        <v>31</v>
      </c>
      <c r="W963" t="s">
        <v>27</v>
      </c>
      <c r="X963" t="str">
        <f>IF(laptop[[#This Row],[PrimaryStorageType]]=laptop[[#This Row],[SecondaryStorageType]],laptop[[#This Row],[PrimaryStorageType]],"SSD &amp; HDD")</f>
        <v>SSD &amp; HDD</v>
      </c>
      <c r="Y963" t="s">
        <v>42</v>
      </c>
      <c r="Z963" s="4" t="str">
        <f>_xlfn.CONCAT(laptop[[#This Row],[CPU_company]]," ",laptop[[#This Row],[GPU_model]])</f>
        <v>Intel HD Graphics 620</v>
      </c>
    </row>
    <row r="964" spans="1:26" x14ac:dyDescent="0.25">
      <c r="A964" t="s">
        <v>46</v>
      </c>
      <c r="B964" t="s">
        <v>735</v>
      </c>
      <c r="C964" t="s">
        <v>38</v>
      </c>
      <c r="D964">
        <v>15.6</v>
      </c>
      <c r="E964">
        <v>12</v>
      </c>
      <c r="F964" t="s">
        <v>48</v>
      </c>
      <c r="G964">
        <v>2.4</v>
      </c>
      <c r="H964" s="16">
        <v>1009</v>
      </c>
      <c r="I964" t="s">
        <v>40</v>
      </c>
      <c r="J964">
        <v>1920</v>
      </c>
      <c r="K964">
        <v>1080</v>
      </c>
      <c r="L964" t="s">
        <v>27</v>
      </c>
      <c r="M964" t="s">
        <v>27</v>
      </c>
      <c r="N964" t="s">
        <v>27</v>
      </c>
      <c r="O964" t="s">
        <v>29</v>
      </c>
      <c r="P964">
        <v>2.5</v>
      </c>
      <c r="Q964" t="s">
        <v>41</v>
      </c>
      <c r="R964" t="str">
        <f>_xlfn.CONCAT(laptop[[#This Row],[CPU_company]]," ",laptop[[#This Row],[CPU_model]])</f>
        <v>Intel Core i5 7200U</v>
      </c>
      <c r="S964">
        <v>128</v>
      </c>
      <c r="T964">
        <v>1024</v>
      </c>
      <c r="U964">
        <f>laptop[[#This Row],[PrimaryStorage]]+laptop[[#This Row],[SecondaryStorage]]</f>
        <v>1152</v>
      </c>
      <c r="V964" t="s">
        <v>31</v>
      </c>
      <c r="W964" t="s">
        <v>51</v>
      </c>
      <c r="X964" t="str">
        <f>IF(laptop[[#This Row],[PrimaryStorageType]]=laptop[[#This Row],[SecondaryStorageType]],laptop[[#This Row],[PrimaryStorageType]],"SSD &amp; HDD")</f>
        <v>SSD &amp; HDD</v>
      </c>
      <c r="Y964" t="s">
        <v>279</v>
      </c>
      <c r="Z964" s="4" t="str">
        <f>_xlfn.CONCAT(laptop[[#This Row],[CPU_company]]," ",laptop[[#This Row],[GPU_model]])</f>
        <v>Intel GeForce GTX 950M</v>
      </c>
    </row>
    <row r="965" spans="1:26" x14ac:dyDescent="0.25">
      <c r="A965" t="s">
        <v>210</v>
      </c>
      <c r="B965" t="s">
        <v>736</v>
      </c>
      <c r="C965" t="s">
        <v>24</v>
      </c>
      <c r="D965">
        <v>12.5</v>
      </c>
      <c r="E965">
        <v>8</v>
      </c>
      <c r="F965" t="s">
        <v>48</v>
      </c>
      <c r="G965">
        <v>1.1000000000000001</v>
      </c>
      <c r="H965" s="16">
        <v>1790</v>
      </c>
      <c r="I965" t="s">
        <v>40</v>
      </c>
      <c r="J965">
        <v>1920</v>
      </c>
      <c r="K965">
        <v>1080</v>
      </c>
      <c r="L965" t="s">
        <v>28</v>
      </c>
      <c r="M965" t="s">
        <v>27</v>
      </c>
      <c r="N965" t="s">
        <v>27</v>
      </c>
      <c r="O965" t="s">
        <v>29</v>
      </c>
      <c r="P965">
        <v>2.7</v>
      </c>
      <c r="Q965" t="s">
        <v>71</v>
      </c>
      <c r="R965" t="str">
        <f>_xlfn.CONCAT(laptop[[#This Row],[CPU_company]]," ",laptop[[#This Row],[CPU_model]])</f>
        <v>Intel Core i7 7500U</v>
      </c>
      <c r="S965">
        <v>512</v>
      </c>
      <c r="T965">
        <v>0</v>
      </c>
      <c r="U965">
        <f>laptop[[#This Row],[PrimaryStorage]]+laptop[[#This Row],[SecondaryStorage]]</f>
        <v>512</v>
      </c>
      <c r="V965" t="s">
        <v>31</v>
      </c>
      <c r="W965" t="s">
        <v>27</v>
      </c>
      <c r="X965" t="str">
        <f>IF(laptop[[#This Row],[PrimaryStorageType]]=laptop[[#This Row],[SecondaryStorageType]],laptop[[#This Row],[PrimaryStorageType]],"SSD &amp; HDD")</f>
        <v>SSD &amp; HDD</v>
      </c>
      <c r="Y965" t="s">
        <v>42</v>
      </c>
      <c r="Z965" s="4" t="str">
        <f>_xlfn.CONCAT(laptop[[#This Row],[CPU_company]]," ",laptop[[#This Row],[GPU_model]])</f>
        <v>Intel HD Graphics 620</v>
      </c>
    </row>
    <row r="966" spans="1:26" x14ac:dyDescent="0.25">
      <c r="A966" t="s">
        <v>36</v>
      </c>
      <c r="B966" t="s">
        <v>114</v>
      </c>
      <c r="C966" t="s">
        <v>38</v>
      </c>
      <c r="D966">
        <v>15.6</v>
      </c>
      <c r="E966">
        <v>8</v>
      </c>
      <c r="F966" t="s">
        <v>48</v>
      </c>
      <c r="G966">
        <v>2.04</v>
      </c>
      <c r="H966" s="16">
        <v>846.5</v>
      </c>
      <c r="I966" t="s">
        <v>26</v>
      </c>
      <c r="J966">
        <v>1366</v>
      </c>
      <c r="K966">
        <v>768</v>
      </c>
      <c r="L966" t="s">
        <v>27</v>
      </c>
      <c r="M966" t="s">
        <v>27</v>
      </c>
      <c r="N966" t="s">
        <v>27</v>
      </c>
      <c r="O966" t="s">
        <v>29</v>
      </c>
      <c r="P966">
        <v>2.5</v>
      </c>
      <c r="Q966" t="s">
        <v>41</v>
      </c>
      <c r="R966" t="str">
        <f>_xlfn.CONCAT(laptop[[#This Row],[CPU_company]]," ",laptop[[#This Row],[CPU_model]])</f>
        <v>Intel Core i5 7200U</v>
      </c>
      <c r="S966">
        <v>1024</v>
      </c>
      <c r="T966">
        <v>0</v>
      </c>
      <c r="U966">
        <f>laptop[[#This Row],[PrimaryStorage]]+laptop[[#This Row],[SecondaryStorage]]</f>
        <v>1024</v>
      </c>
      <c r="V966" t="s">
        <v>51</v>
      </c>
      <c r="W966" t="s">
        <v>27</v>
      </c>
      <c r="X966" t="str">
        <f>IF(laptop[[#This Row],[PrimaryStorageType]]=laptop[[#This Row],[SecondaryStorageType]],laptop[[#This Row],[PrimaryStorageType]],"SSD &amp; HDD")</f>
        <v>SSD &amp; HDD</v>
      </c>
      <c r="Y966" t="s">
        <v>98</v>
      </c>
      <c r="Z966" s="4" t="str">
        <f>_xlfn.CONCAT(laptop[[#This Row],[CPU_company]]," ",laptop[[#This Row],[GPU_model]])</f>
        <v>Intel GeForce 930MX</v>
      </c>
    </row>
    <row r="967" spans="1:26" x14ac:dyDescent="0.25">
      <c r="A967" t="s">
        <v>65</v>
      </c>
      <c r="B967" t="s">
        <v>66</v>
      </c>
      <c r="C967" t="s">
        <v>38</v>
      </c>
      <c r="D967">
        <v>15.6</v>
      </c>
      <c r="E967">
        <v>4</v>
      </c>
      <c r="F967" t="s">
        <v>111</v>
      </c>
      <c r="G967">
        <v>2.25</v>
      </c>
      <c r="H967" s="16">
        <v>465.62</v>
      </c>
      <c r="I967" t="s">
        <v>26</v>
      </c>
      <c r="J967">
        <v>1366</v>
      </c>
      <c r="K967">
        <v>768</v>
      </c>
      <c r="L967" t="s">
        <v>27</v>
      </c>
      <c r="M967" t="s">
        <v>27</v>
      </c>
      <c r="N967" t="s">
        <v>27</v>
      </c>
      <c r="O967" t="s">
        <v>29</v>
      </c>
      <c r="P967">
        <v>2</v>
      </c>
      <c r="Q967" t="s">
        <v>62</v>
      </c>
      <c r="R967" t="str">
        <f>_xlfn.CONCAT(laptop[[#This Row],[CPU_company]]," ",laptop[[#This Row],[CPU_model]])</f>
        <v>Intel Core i3 6006U</v>
      </c>
      <c r="S967">
        <v>1024</v>
      </c>
      <c r="T967">
        <v>0</v>
      </c>
      <c r="U967">
        <f>laptop[[#This Row],[PrimaryStorage]]+laptop[[#This Row],[SecondaryStorage]]</f>
        <v>1024</v>
      </c>
      <c r="V967" t="s">
        <v>51</v>
      </c>
      <c r="W967" t="s">
        <v>27</v>
      </c>
      <c r="X967" t="str">
        <f>IF(laptop[[#This Row],[PrimaryStorageType]]=laptop[[#This Row],[SecondaryStorageType]],laptop[[#This Row],[PrimaryStorageType]],"SSD &amp; HDD")</f>
        <v>SSD &amp; HDD</v>
      </c>
      <c r="Y967" t="s">
        <v>67</v>
      </c>
      <c r="Z967" s="4" t="str">
        <f>_xlfn.CONCAT(laptop[[#This Row],[CPU_company]]," ",laptop[[#This Row],[GPU_model]])</f>
        <v>Intel Radeon R5 M430</v>
      </c>
    </row>
    <row r="968" spans="1:26" x14ac:dyDescent="0.25">
      <c r="A968" t="s">
        <v>65</v>
      </c>
      <c r="B968" t="s">
        <v>481</v>
      </c>
      <c r="C968" t="s">
        <v>38</v>
      </c>
      <c r="D968">
        <v>15.6</v>
      </c>
      <c r="E968">
        <v>4</v>
      </c>
      <c r="F968" t="s">
        <v>48</v>
      </c>
      <c r="G968">
        <v>1.9</v>
      </c>
      <c r="H968" s="16">
        <v>825</v>
      </c>
      <c r="I968" t="s">
        <v>26</v>
      </c>
      <c r="J968">
        <v>1366</v>
      </c>
      <c r="K968">
        <v>768</v>
      </c>
      <c r="L968" t="s">
        <v>27</v>
      </c>
      <c r="M968" t="s">
        <v>27</v>
      </c>
      <c r="N968" t="s">
        <v>27</v>
      </c>
      <c r="O968" t="s">
        <v>29</v>
      </c>
      <c r="P968">
        <v>2.5</v>
      </c>
      <c r="Q968" t="s">
        <v>41</v>
      </c>
      <c r="R968" t="str">
        <f>_xlfn.CONCAT(laptop[[#This Row],[CPU_company]]," ",laptop[[#This Row],[CPU_model]])</f>
        <v>Intel Core i5 7200U</v>
      </c>
      <c r="S968">
        <v>500</v>
      </c>
      <c r="T968">
        <v>0</v>
      </c>
      <c r="U968">
        <f>laptop[[#This Row],[PrimaryStorage]]+laptop[[#This Row],[SecondaryStorage]]</f>
        <v>500</v>
      </c>
      <c r="V968" t="s">
        <v>51</v>
      </c>
      <c r="W968" t="s">
        <v>27</v>
      </c>
      <c r="X968" t="str">
        <f>IF(laptop[[#This Row],[PrimaryStorageType]]=laptop[[#This Row],[SecondaryStorageType]],laptop[[#This Row],[PrimaryStorageType]],"SSD &amp; HDD")</f>
        <v>SSD &amp; HDD</v>
      </c>
      <c r="Y968" t="s">
        <v>42</v>
      </c>
      <c r="Z968" s="4" t="str">
        <f>_xlfn.CONCAT(laptop[[#This Row],[CPU_company]]," ",laptop[[#This Row],[GPU_model]])</f>
        <v>Intel HD Graphics 620</v>
      </c>
    </row>
    <row r="969" spans="1:26" x14ac:dyDescent="0.25">
      <c r="A969" t="s">
        <v>36</v>
      </c>
      <c r="B969" t="s">
        <v>114</v>
      </c>
      <c r="C969" t="s">
        <v>38</v>
      </c>
      <c r="D969">
        <v>15.6</v>
      </c>
      <c r="E969">
        <v>4</v>
      </c>
      <c r="F969" t="s">
        <v>48</v>
      </c>
      <c r="G969">
        <v>2.04</v>
      </c>
      <c r="H969" s="16">
        <v>685</v>
      </c>
      <c r="I969" t="s">
        <v>40</v>
      </c>
      <c r="J969">
        <v>1920</v>
      </c>
      <c r="K969">
        <v>1080</v>
      </c>
      <c r="L969" t="s">
        <v>27</v>
      </c>
      <c r="M969" t="s">
        <v>27</v>
      </c>
      <c r="N969" t="s">
        <v>27</v>
      </c>
      <c r="O969" t="s">
        <v>29</v>
      </c>
      <c r="P969">
        <v>2.4</v>
      </c>
      <c r="Q969" t="s">
        <v>75</v>
      </c>
      <c r="R969" t="str">
        <f>_xlfn.CONCAT(laptop[[#This Row],[CPU_company]]," ",laptop[[#This Row],[CPU_model]])</f>
        <v>Intel Core i3 7100U</v>
      </c>
      <c r="S969">
        <v>500</v>
      </c>
      <c r="T969">
        <v>0</v>
      </c>
      <c r="U969">
        <f>laptop[[#This Row],[PrimaryStorage]]+laptop[[#This Row],[SecondaryStorage]]</f>
        <v>500</v>
      </c>
      <c r="V969" t="s">
        <v>51</v>
      </c>
      <c r="W969" t="s">
        <v>27</v>
      </c>
      <c r="X969" t="str">
        <f>IF(laptop[[#This Row],[PrimaryStorageType]]=laptop[[#This Row],[SecondaryStorageType]],laptop[[#This Row],[PrimaryStorageType]],"SSD &amp; HDD")</f>
        <v>SSD &amp; HDD</v>
      </c>
      <c r="Y969" t="s">
        <v>42</v>
      </c>
      <c r="Z969" s="4" t="str">
        <f>_xlfn.CONCAT(laptop[[#This Row],[CPU_company]]," ",laptop[[#This Row],[GPU_model]])</f>
        <v>Intel HD Graphics 620</v>
      </c>
    </row>
    <row r="970" spans="1:26" x14ac:dyDescent="0.25">
      <c r="A970" t="s">
        <v>65</v>
      </c>
      <c r="B970" t="s">
        <v>275</v>
      </c>
      <c r="C970" t="s">
        <v>83</v>
      </c>
      <c r="D970">
        <v>17.3</v>
      </c>
      <c r="E970">
        <v>32</v>
      </c>
      <c r="F970" t="s">
        <v>48</v>
      </c>
      <c r="G970">
        <v>4.42</v>
      </c>
      <c r="H970" s="16">
        <v>3149</v>
      </c>
      <c r="I970" t="s">
        <v>40</v>
      </c>
      <c r="J970">
        <v>1920</v>
      </c>
      <c r="K970">
        <v>1080</v>
      </c>
      <c r="L970" t="s">
        <v>27</v>
      </c>
      <c r="M970" t="s">
        <v>28</v>
      </c>
      <c r="N970" t="s">
        <v>27</v>
      </c>
      <c r="O970" t="s">
        <v>29</v>
      </c>
      <c r="P970">
        <v>2.8</v>
      </c>
      <c r="Q970" t="s">
        <v>118</v>
      </c>
      <c r="R970" t="str">
        <f>_xlfn.CONCAT(laptop[[#This Row],[CPU_company]]," ",laptop[[#This Row],[CPU_model]])</f>
        <v>Intel Core i7 7700HQ</v>
      </c>
      <c r="S970">
        <v>256</v>
      </c>
      <c r="T970">
        <v>1024</v>
      </c>
      <c r="U970">
        <f>laptop[[#This Row],[PrimaryStorage]]+laptop[[#This Row],[SecondaryStorage]]</f>
        <v>1280</v>
      </c>
      <c r="V970" t="s">
        <v>31</v>
      </c>
      <c r="W970" t="s">
        <v>51</v>
      </c>
      <c r="X970" t="str">
        <f>IF(laptop[[#This Row],[PrimaryStorageType]]=laptop[[#This Row],[SecondaryStorageType]],laptop[[#This Row],[PrimaryStorageType]],"SSD &amp; HDD")</f>
        <v>SSD &amp; HDD</v>
      </c>
      <c r="Y970" t="s">
        <v>143</v>
      </c>
      <c r="Z970" s="4" t="str">
        <f>_xlfn.CONCAT(laptop[[#This Row],[CPU_company]]," ",laptop[[#This Row],[GPU_model]])</f>
        <v>Intel GeForce GTX 1070</v>
      </c>
    </row>
    <row r="971" spans="1:26" x14ac:dyDescent="0.25">
      <c r="A971" t="s">
        <v>73</v>
      </c>
      <c r="B971" t="s">
        <v>533</v>
      </c>
      <c r="C971" t="s">
        <v>38</v>
      </c>
      <c r="D971">
        <v>15.6</v>
      </c>
      <c r="E971">
        <v>6</v>
      </c>
      <c r="F971" t="s">
        <v>48</v>
      </c>
      <c r="G971">
        <v>2.4</v>
      </c>
      <c r="H971" s="16">
        <v>695</v>
      </c>
      <c r="I971" t="s">
        <v>40</v>
      </c>
      <c r="J971">
        <v>1920</v>
      </c>
      <c r="K971">
        <v>1080</v>
      </c>
      <c r="L971" t="s">
        <v>27</v>
      </c>
      <c r="M971" t="s">
        <v>27</v>
      </c>
      <c r="N971" t="s">
        <v>27</v>
      </c>
      <c r="O971" t="s">
        <v>29</v>
      </c>
      <c r="P971">
        <v>2.5</v>
      </c>
      <c r="Q971" t="s">
        <v>41</v>
      </c>
      <c r="R971" t="str">
        <f>_xlfn.CONCAT(laptop[[#This Row],[CPU_company]]," ",laptop[[#This Row],[CPU_model]])</f>
        <v>Intel Core i5 7200U</v>
      </c>
      <c r="S971">
        <v>256</v>
      </c>
      <c r="T971">
        <v>0</v>
      </c>
      <c r="U971">
        <f>laptop[[#This Row],[PrimaryStorage]]+laptop[[#This Row],[SecondaryStorage]]</f>
        <v>256</v>
      </c>
      <c r="V971" t="s">
        <v>31</v>
      </c>
      <c r="W971" t="s">
        <v>27</v>
      </c>
      <c r="X971" t="str">
        <f>IF(laptop[[#This Row],[PrimaryStorageType]]=laptop[[#This Row],[SecondaryStorageType]],laptop[[#This Row],[PrimaryStorageType]],"SSD &amp; HDD")</f>
        <v>SSD &amp; HDD</v>
      </c>
      <c r="Y971" t="s">
        <v>131</v>
      </c>
      <c r="Z971" s="4" t="str">
        <f>_xlfn.CONCAT(laptop[[#This Row],[CPU_company]]," ",laptop[[#This Row],[GPU_model]])</f>
        <v>Intel GeForce 920MX</v>
      </c>
    </row>
    <row r="972" spans="1:26" x14ac:dyDescent="0.25">
      <c r="A972" t="s">
        <v>65</v>
      </c>
      <c r="B972" t="s">
        <v>77</v>
      </c>
      <c r="C972" t="s">
        <v>90</v>
      </c>
      <c r="D972">
        <v>13.3</v>
      </c>
      <c r="E972">
        <v>16</v>
      </c>
      <c r="F972" t="s">
        <v>48</v>
      </c>
      <c r="G972">
        <v>1.22</v>
      </c>
      <c r="H972" s="16">
        <v>1899</v>
      </c>
      <c r="I972" t="s">
        <v>107</v>
      </c>
      <c r="J972">
        <v>3200</v>
      </c>
      <c r="K972">
        <v>1800</v>
      </c>
      <c r="L972" t="s">
        <v>28</v>
      </c>
      <c r="M972" t="s">
        <v>27</v>
      </c>
      <c r="N972" t="s">
        <v>27</v>
      </c>
      <c r="O972" t="s">
        <v>29</v>
      </c>
      <c r="P972">
        <v>1.3</v>
      </c>
      <c r="Q972" t="s">
        <v>423</v>
      </c>
      <c r="R972" t="str">
        <f>_xlfn.CONCAT(laptop[[#This Row],[CPU_company]]," ",laptop[[#This Row],[CPU_model]])</f>
        <v>Intel Core i7 7Y75</v>
      </c>
      <c r="S972">
        <v>512</v>
      </c>
      <c r="T972">
        <v>0</v>
      </c>
      <c r="U972">
        <f>laptop[[#This Row],[PrimaryStorage]]+laptop[[#This Row],[SecondaryStorage]]</f>
        <v>512</v>
      </c>
      <c r="V972" t="s">
        <v>31</v>
      </c>
      <c r="W972" t="s">
        <v>27</v>
      </c>
      <c r="X972" t="str">
        <f>IF(laptop[[#This Row],[PrimaryStorageType]]=laptop[[#This Row],[SecondaryStorageType]],laptop[[#This Row],[PrimaryStorageType]],"SSD &amp; HDD")</f>
        <v>SSD &amp; HDD</v>
      </c>
      <c r="Y972" t="s">
        <v>70</v>
      </c>
      <c r="Z972" s="4" t="str">
        <f>_xlfn.CONCAT(laptop[[#This Row],[CPU_company]]," ",laptop[[#This Row],[GPU_model]])</f>
        <v>Intel HD Graphics 615</v>
      </c>
    </row>
    <row r="973" spans="1:26" x14ac:dyDescent="0.25">
      <c r="A973" t="s">
        <v>65</v>
      </c>
      <c r="B973" t="s">
        <v>561</v>
      </c>
      <c r="C973" t="s">
        <v>24</v>
      </c>
      <c r="D973">
        <v>14</v>
      </c>
      <c r="E973">
        <v>8</v>
      </c>
      <c r="F973" t="s">
        <v>48</v>
      </c>
      <c r="G973">
        <v>1.5</v>
      </c>
      <c r="H973" s="16">
        <v>1962.98</v>
      </c>
      <c r="I973" t="s">
        <v>26</v>
      </c>
      <c r="J973">
        <v>2560</v>
      </c>
      <c r="K973">
        <v>1440</v>
      </c>
      <c r="L973" t="s">
        <v>28</v>
      </c>
      <c r="M973" t="s">
        <v>27</v>
      </c>
      <c r="N973" t="s">
        <v>27</v>
      </c>
      <c r="O973" t="s">
        <v>29</v>
      </c>
      <c r="P973">
        <v>2.6</v>
      </c>
      <c r="Q973" t="s">
        <v>309</v>
      </c>
      <c r="R973" t="str">
        <f>_xlfn.CONCAT(laptop[[#This Row],[CPU_company]]," ",laptop[[#This Row],[CPU_model]])</f>
        <v>Intel Core i7 6600U</v>
      </c>
      <c r="S973">
        <v>256</v>
      </c>
      <c r="T973">
        <v>0</v>
      </c>
      <c r="U973">
        <f>laptop[[#This Row],[PrimaryStorage]]+laptop[[#This Row],[SecondaryStorage]]</f>
        <v>256</v>
      </c>
      <c r="V973" t="s">
        <v>31</v>
      </c>
      <c r="W973" t="s">
        <v>27</v>
      </c>
      <c r="X973" t="str">
        <f>IF(laptop[[#This Row],[PrimaryStorageType]]=laptop[[#This Row],[SecondaryStorageType]],laptop[[#This Row],[PrimaryStorageType]],"SSD &amp; HDD")</f>
        <v>SSD &amp; HDD</v>
      </c>
      <c r="Y973" t="s">
        <v>63</v>
      </c>
      <c r="Z973" s="4" t="str">
        <f>_xlfn.CONCAT(laptop[[#This Row],[CPU_company]]," ",laptop[[#This Row],[GPU_model]])</f>
        <v>Intel HD Graphics 520</v>
      </c>
    </row>
    <row r="974" spans="1:26" x14ac:dyDescent="0.25">
      <c r="A974" t="s">
        <v>65</v>
      </c>
      <c r="B974" t="s">
        <v>275</v>
      </c>
      <c r="C974" t="s">
        <v>83</v>
      </c>
      <c r="D974">
        <v>17.3</v>
      </c>
      <c r="E974">
        <v>32</v>
      </c>
      <c r="F974" t="s">
        <v>48</v>
      </c>
      <c r="G974">
        <v>4.42</v>
      </c>
      <c r="H974" s="16">
        <v>2800</v>
      </c>
      <c r="I974" t="s">
        <v>40</v>
      </c>
      <c r="J974">
        <v>1920</v>
      </c>
      <c r="K974">
        <v>1080</v>
      </c>
      <c r="L974" t="s">
        <v>27</v>
      </c>
      <c r="M974" t="s">
        <v>27</v>
      </c>
      <c r="N974" t="s">
        <v>27</v>
      </c>
      <c r="O974" t="s">
        <v>29</v>
      </c>
      <c r="P974">
        <v>2.6</v>
      </c>
      <c r="Q974" t="s">
        <v>447</v>
      </c>
      <c r="R974" t="str">
        <f>_xlfn.CONCAT(laptop[[#This Row],[CPU_company]]," ",laptop[[#This Row],[CPU_model]])</f>
        <v>Intel Core i7 6700HQ</v>
      </c>
      <c r="S974">
        <v>256</v>
      </c>
      <c r="T974">
        <v>1024</v>
      </c>
      <c r="U974">
        <f>laptop[[#This Row],[PrimaryStorage]]+laptop[[#This Row],[SecondaryStorage]]</f>
        <v>1280</v>
      </c>
      <c r="V974" t="s">
        <v>31</v>
      </c>
      <c r="W974" t="s">
        <v>51</v>
      </c>
      <c r="X974" t="str">
        <f>IF(laptop[[#This Row],[PrimaryStorageType]]=laptop[[#This Row],[SecondaryStorageType]],laptop[[#This Row],[PrimaryStorageType]],"SSD &amp; HDD")</f>
        <v>SSD &amp; HDD</v>
      </c>
      <c r="Y974" t="s">
        <v>143</v>
      </c>
      <c r="Z974" s="4" t="str">
        <f>_xlfn.CONCAT(laptop[[#This Row],[CPU_company]]," ",laptop[[#This Row],[GPU_model]])</f>
        <v>Intel GeForce GTX 1070</v>
      </c>
    </row>
    <row r="975" spans="1:26" x14ac:dyDescent="0.25">
      <c r="A975" t="s">
        <v>210</v>
      </c>
      <c r="B975" t="s">
        <v>737</v>
      </c>
      <c r="C975" t="s">
        <v>38</v>
      </c>
      <c r="D975">
        <v>14</v>
      </c>
      <c r="E975">
        <v>8</v>
      </c>
      <c r="F975" t="s">
        <v>48</v>
      </c>
      <c r="G975">
        <v>1.95</v>
      </c>
      <c r="H975" s="16">
        <v>1180</v>
      </c>
      <c r="I975" t="s">
        <v>40</v>
      </c>
      <c r="J975">
        <v>1920</v>
      </c>
      <c r="K975">
        <v>1080</v>
      </c>
      <c r="L975" t="s">
        <v>27</v>
      </c>
      <c r="M975" t="s">
        <v>27</v>
      </c>
      <c r="N975" t="s">
        <v>27</v>
      </c>
      <c r="O975" t="s">
        <v>29</v>
      </c>
      <c r="P975">
        <v>2.2999999999999998</v>
      </c>
      <c r="Q975" t="s">
        <v>212</v>
      </c>
      <c r="R975" t="str">
        <f>_xlfn.CONCAT(laptop[[#This Row],[CPU_company]]," ",laptop[[#This Row],[CPU_model]])</f>
        <v>Intel Core i5 6200U</v>
      </c>
      <c r="S975">
        <v>256</v>
      </c>
      <c r="T975">
        <v>0</v>
      </c>
      <c r="U975">
        <f>laptop[[#This Row],[PrimaryStorage]]+laptop[[#This Row],[SecondaryStorage]]</f>
        <v>256</v>
      </c>
      <c r="V975" t="s">
        <v>31</v>
      </c>
      <c r="W975" t="s">
        <v>27</v>
      </c>
      <c r="X975" t="str">
        <f>IF(laptop[[#This Row],[PrimaryStorageType]]=laptop[[#This Row],[SecondaryStorageType]],laptop[[#This Row],[PrimaryStorageType]],"SSD &amp; HDD")</f>
        <v>SSD &amp; HDD</v>
      </c>
      <c r="Y975" t="s">
        <v>63</v>
      </c>
      <c r="Z975" s="4" t="str">
        <f>_xlfn.CONCAT(laptop[[#This Row],[CPU_company]]," ",laptop[[#This Row],[GPU_model]])</f>
        <v>Intel HD Graphics 520</v>
      </c>
    </row>
    <row r="976" spans="1:26" x14ac:dyDescent="0.25">
      <c r="A976" t="s">
        <v>55</v>
      </c>
      <c r="B976" t="s">
        <v>126</v>
      </c>
      <c r="C976" t="s">
        <v>83</v>
      </c>
      <c r="D976">
        <v>17.3</v>
      </c>
      <c r="E976">
        <v>16</v>
      </c>
      <c r="F976" t="s">
        <v>48</v>
      </c>
      <c r="G976">
        <v>2.73</v>
      </c>
      <c r="H976" s="16">
        <v>2049.9</v>
      </c>
      <c r="I976" t="s">
        <v>40</v>
      </c>
      <c r="J976">
        <v>1920</v>
      </c>
      <c r="K976">
        <v>1080</v>
      </c>
      <c r="L976" t="s">
        <v>27</v>
      </c>
      <c r="M976" t="s">
        <v>27</v>
      </c>
      <c r="N976" t="s">
        <v>27</v>
      </c>
      <c r="O976" t="s">
        <v>29</v>
      </c>
      <c r="P976">
        <v>2.8</v>
      </c>
      <c r="Q976" t="s">
        <v>118</v>
      </c>
      <c r="R976" t="str">
        <f>_xlfn.CONCAT(laptop[[#This Row],[CPU_company]]," ",laptop[[#This Row],[CPU_model]])</f>
        <v>Intel Core i7 7700HQ</v>
      </c>
      <c r="S976">
        <v>256</v>
      </c>
      <c r="T976">
        <v>1024</v>
      </c>
      <c r="U976">
        <f>laptop[[#This Row],[PrimaryStorage]]+laptop[[#This Row],[SecondaryStorage]]</f>
        <v>1280</v>
      </c>
      <c r="V976" t="s">
        <v>31</v>
      </c>
      <c r="W976" t="s">
        <v>51</v>
      </c>
      <c r="X976" t="str">
        <f>IF(laptop[[#This Row],[PrimaryStorageType]]=laptop[[#This Row],[SecondaryStorageType]],laptop[[#This Row],[PrimaryStorageType]],"SSD &amp; HDD")</f>
        <v>SSD &amp; HDD</v>
      </c>
      <c r="Y976" t="s">
        <v>119</v>
      </c>
      <c r="Z976" s="4" t="str">
        <f>_xlfn.CONCAT(laptop[[#This Row],[CPU_company]]," ",laptop[[#This Row],[GPU_model]])</f>
        <v>Intel GeForce GTX 1060</v>
      </c>
    </row>
    <row r="977" spans="1:26" x14ac:dyDescent="0.25">
      <c r="A977" t="s">
        <v>36</v>
      </c>
      <c r="B977" t="s">
        <v>476</v>
      </c>
      <c r="C977" t="s">
        <v>38</v>
      </c>
      <c r="D977">
        <v>15.6</v>
      </c>
      <c r="E977">
        <v>8</v>
      </c>
      <c r="F977" t="s">
        <v>48</v>
      </c>
      <c r="G977">
        <v>2.04</v>
      </c>
      <c r="H977" s="16">
        <v>979</v>
      </c>
      <c r="I977" t="s">
        <v>40</v>
      </c>
      <c r="J977">
        <v>1920</v>
      </c>
      <c r="K977">
        <v>1080</v>
      </c>
      <c r="L977" t="s">
        <v>27</v>
      </c>
      <c r="M977" t="s">
        <v>28</v>
      </c>
      <c r="N977" t="s">
        <v>27</v>
      </c>
      <c r="O977" t="s">
        <v>29</v>
      </c>
      <c r="P977">
        <v>2.7</v>
      </c>
      <c r="Q977" t="s">
        <v>41</v>
      </c>
      <c r="R977" t="str">
        <f>_xlfn.CONCAT(laptop[[#This Row],[CPU_company]]," ",laptop[[#This Row],[CPU_model]])</f>
        <v>Intel Core i5 7200U</v>
      </c>
      <c r="S977">
        <v>128</v>
      </c>
      <c r="T977">
        <v>1024</v>
      </c>
      <c r="U977">
        <f>laptop[[#This Row],[PrimaryStorage]]+laptop[[#This Row],[SecondaryStorage]]</f>
        <v>1152</v>
      </c>
      <c r="V977" t="s">
        <v>31</v>
      </c>
      <c r="W977" t="s">
        <v>51</v>
      </c>
      <c r="X977" t="str">
        <f>IF(laptop[[#This Row],[PrimaryStorageType]]=laptop[[#This Row],[SecondaryStorageType]],laptop[[#This Row],[PrimaryStorageType]],"SSD &amp; HDD")</f>
        <v>SSD &amp; HDD</v>
      </c>
      <c r="Y977" t="s">
        <v>98</v>
      </c>
      <c r="Z977" s="4" t="str">
        <f>_xlfn.CONCAT(laptop[[#This Row],[CPU_company]]," ",laptop[[#This Row],[GPU_model]])</f>
        <v>Intel GeForce 930MX</v>
      </c>
    </row>
    <row r="978" spans="1:26" x14ac:dyDescent="0.25">
      <c r="A978" t="s">
        <v>73</v>
      </c>
      <c r="B978" t="s">
        <v>738</v>
      </c>
      <c r="C978" t="s">
        <v>38</v>
      </c>
      <c r="D978">
        <v>14</v>
      </c>
      <c r="E978">
        <v>4</v>
      </c>
      <c r="F978" t="s">
        <v>480</v>
      </c>
      <c r="G978">
        <v>1.7</v>
      </c>
      <c r="H978" s="16">
        <v>1002</v>
      </c>
      <c r="I978" t="s">
        <v>26</v>
      </c>
      <c r="J978">
        <v>1366</v>
      </c>
      <c r="K978">
        <v>768</v>
      </c>
      <c r="L978" t="s">
        <v>27</v>
      </c>
      <c r="M978" t="s">
        <v>27</v>
      </c>
      <c r="N978" t="s">
        <v>27</v>
      </c>
      <c r="O978" t="s">
        <v>29</v>
      </c>
      <c r="P978">
        <v>2.2999999999999998</v>
      </c>
      <c r="Q978" t="s">
        <v>212</v>
      </c>
      <c r="R978" t="str">
        <f>_xlfn.CONCAT(laptop[[#This Row],[CPU_company]]," ",laptop[[#This Row],[CPU_model]])</f>
        <v>Intel Core i5 6200U</v>
      </c>
      <c r="S978">
        <v>508</v>
      </c>
      <c r="T978">
        <v>0</v>
      </c>
      <c r="U978">
        <f>laptop[[#This Row],[PrimaryStorage]]+laptop[[#This Row],[SecondaryStorage]]</f>
        <v>508</v>
      </c>
      <c r="V978" t="s">
        <v>223</v>
      </c>
      <c r="W978" t="s">
        <v>27</v>
      </c>
      <c r="X978" t="str">
        <f>IF(laptop[[#This Row],[PrimaryStorageType]]=laptop[[#This Row],[SecondaryStorageType]],laptop[[#This Row],[PrimaryStorageType]],"SSD &amp; HDD")</f>
        <v>SSD &amp; HDD</v>
      </c>
      <c r="Y978" t="s">
        <v>63</v>
      </c>
      <c r="Z978" s="4" t="str">
        <f>_xlfn.CONCAT(laptop[[#This Row],[CPU_company]]," ",laptop[[#This Row],[GPU_model]])</f>
        <v>Intel HD Graphics 520</v>
      </c>
    </row>
    <row r="979" spans="1:26" x14ac:dyDescent="0.25">
      <c r="A979" t="s">
        <v>55</v>
      </c>
      <c r="B979" t="s">
        <v>739</v>
      </c>
      <c r="C979" t="s">
        <v>90</v>
      </c>
      <c r="D979">
        <v>15.6</v>
      </c>
      <c r="E979">
        <v>16</v>
      </c>
      <c r="F979" t="s">
        <v>48</v>
      </c>
      <c r="G979">
        <v>2.2999999999999998</v>
      </c>
      <c r="H979" s="16">
        <v>1799</v>
      </c>
      <c r="I979" t="s">
        <v>215</v>
      </c>
      <c r="J979">
        <v>3840</v>
      </c>
      <c r="K979">
        <v>2160</v>
      </c>
      <c r="L979" t="s">
        <v>28</v>
      </c>
      <c r="M979" t="s">
        <v>27</v>
      </c>
      <c r="N979" t="s">
        <v>27</v>
      </c>
      <c r="O979" t="s">
        <v>29</v>
      </c>
      <c r="P979">
        <v>2.7</v>
      </c>
      <c r="Q979" t="s">
        <v>71</v>
      </c>
      <c r="R979" t="str">
        <f>_xlfn.CONCAT(laptop[[#This Row],[CPU_company]]," ",laptop[[#This Row],[CPU_model]])</f>
        <v>Intel Core i7 7500U</v>
      </c>
      <c r="S979">
        <v>512</v>
      </c>
      <c r="T979">
        <v>2048</v>
      </c>
      <c r="U979">
        <f>laptop[[#This Row],[PrimaryStorage]]+laptop[[#This Row],[SecondaryStorage]]</f>
        <v>2560</v>
      </c>
      <c r="V979" t="s">
        <v>31</v>
      </c>
      <c r="W979" t="s">
        <v>51</v>
      </c>
      <c r="X979" t="str">
        <f>IF(laptop[[#This Row],[PrimaryStorageType]]=laptop[[#This Row],[SecondaryStorageType]],laptop[[#This Row],[PrimaryStorageType]],"SSD &amp; HDD")</f>
        <v>SSD &amp; HDD</v>
      </c>
      <c r="Y979" t="s">
        <v>279</v>
      </c>
      <c r="Z979" s="4" t="str">
        <f>_xlfn.CONCAT(laptop[[#This Row],[CPU_company]]," ",laptop[[#This Row],[GPU_model]])</f>
        <v>Intel GeForce GTX 950M</v>
      </c>
    </row>
    <row r="980" spans="1:26" x14ac:dyDescent="0.25">
      <c r="A980" t="s">
        <v>36</v>
      </c>
      <c r="B980" t="s">
        <v>740</v>
      </c>
      <c r="C980" t="s">
        <v>38</v>
      </c>
      <c r="D980">
        <v>15.6</v>
      </c>
      <c r="E980">
        <v>6</v>
      </c>
      <c r="F980" t="s">
        <v>48</v>
      </c>
      <c r="G980">
        <v>2.04</v>
      </c>
      <c r="H980" s="16">
        <v>579</v>
      </c>
      <c r="I980" t="s">
        <v>26</v>
      </c>
      <c r="J980">
        <v>1366</v>
      </c>
      <c r="K980">
        <v>768</v>
      </c>
      <c r="L980" t="s">
        <v>27</v>
      </c>
      <c r="M980" t="s">
        <v>27</v>
      </c>
      <c r="N980" t="s">
        <v>27</v>
      </c>
      <c r="O980" t="s">
        <v>29</v>
      </c>
      <c r="P980">
        <v>2.7</v>
      </c>
      <c r="Q980" t="s">
        <v>71</v>
      </c>
      <c r="R980" t="str">
        <f>_xlfn.CONCAT(laptop[[#This Row],[CPU_company]]," ",laptop[[#This Row],[CPU_model]])</f>
        <v>Intel Core i7 7500U</v>
      </c>
      <c r="S980">
        <v>1024</v>
      </c>
      <c r="T980">
        <v>0</v>
      </c>
      <c r="U980">
        <f>laptop[[#This Row],[PrimaryStorage]]+laptop[[#This Row],[SecondaryStorage]]</f>
        <v>1024</v>
      </c>
      <c r="V980" t="s">
        <v>51</v>
      </c>
      <c r="W980" t="s">
        <v>27</v>
      </c>
      <c r="X980" t="str">
        <f>IF(laptop[[#This Row],[PrimaryStorageType]]=laptop[[#This Row],[SecondaryStorageType]],laptop[[#This Row],[PrimaryStorageType]],"SSD &amp; HDD")</f>
        <v>SSD &amp; HDD</v>
      </c>
      <c r="Y980" t="s">
        <v>42</v>
      </c>
      <c r="Z980" s="4" t="str">
        <f>_xlfn.CONCAT(laptop[[#This Row],[CPU_company]]," ",laptop[[#This Row],[GPU_model]])</f>
        <v>Intel HD Graphics 620</v>
      </c>
    </row>
    <row r="981" spans="1:26" x14ac:dyDescent="0.25">
      <c r="A981" t="s">
        <v>55</v>
      </c>
      <c r="B981" t="s">
        <v>741</v>
      </c>
      <c r="C981" t="s">
        <v>83</v>
      </c>
      <c r="D981">
        <v>17.3</v>
      </c>
      <c r="E981">
        <v>16</v>
      </c>
      <c r="F981" t="s">
        <v>48</v>
      </c>
      <c r="G981">
        <v>2.99</v>
      </c>
      <c r="H981" s="16">
        <v>1749</v>
      </c>
      <c r="I981" t="s">
        <v>40</v>
      </c>
      <c r="J981">
        <v>1920</v>
      </c>
      <c r="K981">
        <v>1080</v>
      </c>
      <c r="L981" t="s">
        <v>27</v>
      </c>
      <c r="M981" t="s">
        <v>27</v>
      </c>
      <c r="N981" t="s">
        <v>27</v>
      </c>
      <c r="O981" t="s">
        <v>29</v>
      </c>
      <c r="P981">
        <v>2.8</v>
      </c>
      <c r="Q981" t="s">
        <v>118</v>
      </c>
      <c r="R981" t="str">
        <f>_xlfn.CONCAT(laptop[[#This Row],[CPU_company]]," ",laptop[[#This Row],[CPU_model]])</f>
        <v>Intel Core i7 7700HQ</v>
      </c>
      <c r="S981">
        <v>256</v>
      </c>
      <c r="T981">
        <v>1024</v>
      </c>
      <c r="U981">
        <f>laptop[[#This Row],[PrimaryStorage]]+laptop[[#This Row],[SecondaryStorage]]</f>
        <v>1280</v>
      </c>
      <c r="V981" t="s">
        <v>31</v>
      </c>
      <c r="W981" t="s">
        <v>51</v>
      </c>
      <c r="X981" t="str">
        <f>IF(laptop[[#This Row],[PrimaryStorageType]]=laptop[[#This Row],[SecondaryStorageType]],laptop[[#This Row],[PrimaryStorageType]],"SSD &amp; HDD")</f>
        <v>SSD &amp; HDD</v>
      </c>
      <c r="Y981" t="s">
        <v>149</v>
      </c>
      <c r="Z981" s="4" t="str">
        <f>_xlfn.CONCAT(laptop[[#This Row],[CPU_company]]," ",laptop[[#This Row],[GPU_model]])</f>
        <v>Intel GeForce GTX 1050 Ti</v>
      </c>
    </row>
    <row r="982" spans="1:26" x14ac:dyDescent="0.25">
      <c r="A982" t="s">
        <v>65</v>
      </c>
      <c r="B982" t="s">
        <v>742</v>
      </c>
      <c r="C982" t="s">
        <v>90</v>
      </c>
      <c r="D982">
        <v>15.6</v>
      </c>
      <c r="E982">
        <v>12</v>
      </c>
      <c r="F982" t="s">
        <v>48</v>
      </c>
      <c r="G982">
        <v>2.19</v>
      </c>
      <c r="H982" s="16">
        <v>1299</v>
      </c>
      <c r="I982" t="s">
        <v>40</v>
      </c>
      <c r="J982">
        <v>1920</v>
      </c>
      <c r="K982">
        <v>1080</v>
      </c>
      <c r="L982" t="s">
        <v>28</v>
      </c>
      <c r="M982" t="s">
        <v>28</v>
      </c>
      <c r="N982" t="s">
        <v>27</v>
      </c>
      <c r="O982" t="s">
        <v>29</v>
      </c>
      <c r="P982">
        <v>2.7</v>
      </c>
      <c r="Q982" t="s">
        <v>71</v>
      </c>
      <c r="R982" t="str">
        <f>_xlfn.CONCAT(laptop[[#This Row],[CPU_company]]," ",laptop[[#This Row],[CPU_model]])</f>
        <v>Intel Core i7 7500U</v>
      </c>
      <c r="S982">
        <v>512</v>
      </c>
      <c r="T982">
        <v>0</v>
      </c>
      <c r="U982">
        <f>laptop[[#This Row],[PrimaryStorage]]+laptop[[#This Row],[SecondaryStorage]]</f>
        <v>512</v>
      </c>
      <c r="V982" t="s">
        <v>31</v>
      </c>
      <c r="W982" t="s">
        <v>27</v>
      </c>
      <c r="X982" t="str">
        <f>IF(laptop[[#This Row],[PrimaryStorageType]]=laptop[[#This Row],[SecondaryStorageType]],laptop[[#This Row],[PrimaryStorageType]],"SSD &amp; HDD")</f>
        <v>SSD &amp; HDD</v>
      </c>
      <c r="Y982" t="s">
        <v>42</v>
      </c>
      <c r="Z982" s="4" t="str">
        <f>_xlfn.CONCAT(laptop[[#This Row],[CPU_company]]," ",laptop[[#This Row],[GPU_model]])</f>
        <v>Intel HD Graphics 620</v>
      </c>
    </row>
    <row r="983" spans="1:26" x14ac:dyDescent="0.25">
      <c r="A983" t="s">
        <v>210</v>
      </c>
      <c r="B983" t="s">
        <v>743</v>
      </c>
      <c r="C983" t="s">
        <v>38</v>
      </c>
      <c r="D983">
        <v>13.3</v>
      </c>
      <c r="E983">
        <v>4</v>
      </c>
      <c r="F983" t="s">
        <v>480</v>
      </c>
      <c r="G983">
        <v>1.2</v>
      </c>
      <c r="H983" s="16">
        <v>1195</v>
      </c>
      <c r="I983" t="s">
        <v>40</v>
      </c>
      <c r="J983">
        <v>1920</v>
      </c>
      <c r="K983">
        <v>1080</v>
      </c>
      <c r="L983" t="s">
        <v>27</v>
      </c>
      <c r="M983" t="s">
        <v>27</v>
      </c>
      <c r="N983" t="s">
        <v>27</v>
      </c>
      <c r="O983" t="s">
        <v>29</v>
      </c>
      <c r="P983">
        <v>2.2999999999999998</v>
      </c>
      <c r="Q983" t="s">
        <v>212</v>
      </c>
      <c r="R983" t="str">
        <f>_xlfn.CONCAT(laptop[[#This Row],[CPU_company]]," ",laptop[[#This Row],[CPU_model]])</f>
        <v>Intel Core i5 6200U</v>
      </c>
      <c r="S983">
        <v>128</v>
      </c>
      <c r="T983">
        <v>0</v>
      </c>
      <c r="U983">
        <f>laptop[[#This Row],[PrimaryStorage]]+laptop[[#This Row],[SecondaryStorage]]</f>
        <v>128</v>
      </c>
      <c r="V983" t="s">
        <v>31</v>
      </c>
      <c r="W983" t="s">
        <v>27</v>
      </c>
      <c r="X983" t="str">
        <f>IF(laptop[[#This Row],[PrimaryStorageType]]=laptop[[#This Row],[SecondaryStorageType]],laptop[[#This Row],[PrimaryStorageType]],"SSD &amp; HDD")</f>
        <v>SSD &amp; HDD</v>
      </c>
      <c r="Y983" t="s">
        <v>63</v>
      </c>
      <c r="Z983" s="4" t="str">
        <f>_xlfn.CONCAT(laptop[[#This Row],[CPU_company]]," ",laptop[[#This Row],[GPU_model]])</f>
        <v>Intel HD Graphics 520</v>
      </c>
    </row>
    <row r="984" spans="1:26" x14ac:dyDescent="0.25">
      <c r="A984" t="s">
        <v>73</v>
      </c>
      <c r="B984" t="s">
        <v>362</v>
      </c>
      <c r="C984" t="s">
        <v>38</v>
      </c>
      <c r="D984">
        <v>15.6</v>
      </c>
      <c r="E984">
        <v>6</v>
      </c>
      <c r="F984" t="s">
        <v>48</v>
      </c>
      <c r="G984">
        <v>2.2000000000000002</v>
      </c>
      <c r="H984" s="16">
        <v>549</v>
      </c>
      <c r="I984" t="s">
        <v>40</v>
      </c>
      <c r="J984">
        <v>1920</v>
      </c>
      <c r="K984">
        <v>1080</v>
      </c>
      <c r="L984" t="s">
        <v>27</v>
      </c>
      <c r="M984" t="s">
        <v>27</v>
      </c>
      <c r="N984" t="s">
        <v>27</v>
      </c>
      <c r="O984" t="s">
        <v>49</v>
      </c>
      <c r="P984">
        <v>3.6</v>
      </c>
      <c r="Q984" t="s">
        <v>350</v>
      </c>
      <c r="R984" t="str">
        <f>_xlfn.CONCAT(laptop[[#This Row],[CPU_company]]," ",laptop[[#This Row],[CPU_model]])</f>
        <v>AMD A12-Series 9720P</v>
      </c>
      <c r="S984">
        <v>256</v>
      </c>
      <c r="T984">
        <v>0</v>
      </c>
      <c r="U984">
        <f>laptop[[#This Row],[PrimaryStorage]]+laptop[[#This Row],[SecondaryStorage]]</f>
        <v>256</v>
      </c>
      <c r="V984" t="s">
        <v>31</v>
      </c>
      <c r="W984" t="s">
        <v>27</v>
      </c>
      <c r="X984" t="str">
        <f>IF(laptop[[#This Row],[PrimaryStorageType]]=laptop[[#This Row],[SecondaryStorageType]],laptop[[#This Row],[PrimaryStorageType]],"SSD &amp; HDD")</f>
        <v>SSD &amp; HDD</v>
      </c>
      <c r="Y984" t="s">
        <v>94</v>
      </c>
      <c r="Z984" s="4" t="str">
        <f>_xlfn.CONCAT(laptop[[#This Row],[CPU_company]]," ",laptop[[#This Row],[GPU_model]])</f>
        <v>AMD Radeon 530</v>
      </c>
    </row>
    <row r="985" spans="1:26" x14ac:dyDescent="0.25">
      <c r="A985" t="s">
        <v>504</v>
      </c>
      <c r="B985" t="s">
        <v>744</v>
      </c>
      <c r="C985" t="s">
        <v>38</v>
      </c>
      <c r="D985">
        <v>15.6</v>
      </c>
      <c r="E985">
        <v>4</v>
      </c>
      <c r="F985" t="s">
        <v>48</v>
      </c>
      <c r="G985">
        <v>2.2999999999999998</v>
      </c>
      <c r="H985" s="16">
        <v>649</v>
      </c>
      <c r="I985" t="s">
        <v>26</v>
      </c>
      <c r="J985">
        <v>1366</v>
      </c>
      <c r="K985">
        <v>768</v>
      </c>
      <c r="L985" t="s">
        <v>27</v>
      </c>
      <c r="M985" t="s">
        <v>27</v>
      </c>
      <c r="N985" t="s">
        <v>27</v>
      </c>
      <c r="O985" t="s">
        <v>29</v>
      </c>
      <c r="P985">
        <v>2.2999999999999998</v>
      </c>
      <c r="Q985" t="s">
        <v>212</v>
      </c>
      <c r="R985" t="str">
        <f>_xlfn.CONCAT(laptop[[#This Row],[CPU_company]]," ",laptop[[#This Row],[CPU_model]])</f>
        <v>Intel Core i5 6200U</v>
      </c>
      <c r="S985">
        <v>256</v>
      </c>
      <c r="T985">
        <v>0</v>
      </c>
      <c r="U985">
        <f>laptop[[#This Row],[PrimaryStorage]]+laptop[[#This Row],[SecondaryStorage]]</f>
        <v>256</v>
      </c>
      <c r="V985" t="s">
        <v>31</v>
      </c>
      <c r="W985" t="s">
        <v>27</v>
      </c>
      <c r="X985" t="str">
        <f>IF(laptop[[#This Row],[PrimaryStorageType]]=laptop[[#This Row],[SecondaryStorageType]],laptop[[#This Row],[PrimaryStorageType]],"SSD &amp; HDD")</f>
        <v>SSD &amp; HDD</v>
      </c>
      <c r="Y985" t="s">
        <v>63</v>
      </c>
      <c r="Z985" s="4" t="str">
        <f>_xlfn.CONCAT(laptop[[#This Row],[CPU_company]]," ",laptop[[#This Row],[GPU_model]])</f>
        <v>Intel HD Graphics 520</v>
      </c>
    </row>
    <row r="986" spans="1:26" x14ac:dyDescent="0.25">
      <c r="A986" t="s">
        <v>210</v>
      </c>
      <c r="B986" t="s">
        <v>745</v>
      </c>
      <c r="C986" t="s">
        <v>38</v>
      </c>
      <c r="D986">
        <v>14</v>
      </c>
      <c r="E986">
        <v>4</v>
      </c>
      <c r="F986" t="s">
        <v>48</v>
      </c>
      <c r="G986">
        <v>1.75</v>
      </c>
      <c r="H986" s="16">
        <v>915</v>
      </c>
      <c r="I986" t="s">
        <v>26</v>
      </c>
      <c r="J986">
        <v>1366</v>
      </c>
      <c r="K986">
        <v>768</v>
      </c>
      <c r="L986" t="s">
        <v>27</v>
      </c>
      <c r="M986" t="s">
        <v>27</v>
      </c>
      <c r="N986" t="s">
        <v>27</v>
      </c>
      <c r="O986" t="s">
        <v>29</v>
      </c>
      <c r="P986">
        <v>2.2999999999999998</v>
      </c>
      <c r="Q986" t="s">
        <v>212</v>
      </c>
      <c r="R986" t="str">
        <f>_xlfn.CONCAT(laptop[[#This Row],[CPU_company]]," ",laptop[[#This Row],[CPU_model]])</f>
        <v>Intel Core i5 6200U</v>
      </c>
      <c r="S986">
        <v>500</v>
      </c>
      <c r="T986">
        <v>0</v>
      </c>
      <c r="U986">
        <f>laptop[[#This Row],[PrimaryStorage]]+laptop[[#This Row],[SecondaryStorage]]</f>
        <v>500</v>
      </c>
      <c r="V986" t="s">
        <v>51</v>
      </c>
      <c r="W986" t="s">
        <v>27</v>
      </c>
      <c r="X986" t="str">
        <f>IF(laptop[[#This Row],[PrimaryStorageType]]=laptop[[#This Row],[SecondaryStorageType]],laptop[[#This Row],[PrimaryStorageType]],"SSD &amp; HDD")</f>
        <v>SSD &amp; HDD</v>
      </c>
      <c r="Y986" t="s">
        <v>63</v>
      </c>
      <c r="Z986" s="4" t="str">
        <f>_xlfn.CONCAT(laptop[[#This Row],[CPU_company]]," ",laptop[[#This Row],[GPU_model]])</f>
        <v>Intel HD Graphics 520</v>
      </c>
    </row>
    <row r="987" spans="1:26" x14ac:dyDescent="0.25">
      <c r="A987" t="s">
        <v>65</v>
      </c>
      <c r="B987" t="s">
        <v>66</v>
      </c>
      <c r="C987" t="s">
        <v>38</v>
      </c>
      <c r="D987">
        <v>15.6</v>
      </c>
      <c r="E987">
        <v>4</v>
      </c>
      <c r="F987" t="s">
        <v>48</v>
      </c>
      <c r="G987">
        <v>2.25</v>
      </c>
      <c r="H987" s="16">
        <v>599</v>
      </c>
      <c r="I987" t="s">
        <v>26</v>
      </c>
      <c r="J987">
        <v>1366</v>
      </c>
      <c r="K987">
        <v>768</v>
      </c>
      <c r="L987" t="s">
        <v>27</v>
      </c>
      <c r="M987" t="s">
        <v>27</v>
      </c>
      <c r="N987" t="s">
        <v>27</v>
      </c>
      <c r="O987" t="s">
        <v>29</v>
      </c>
      <c r="P987">
        <v>2.5</v>
      </c>
      <c r="Q987" t="s">
        <v>41</v>
      </c>
      <c r="R987" t="str">
        <f>_xlfn.CONCAT(laptop[[#This Row],[CPU_company]]," ",laptop[[#This Row],[CPU_model]])</f>
        <v>Intel Core i5 7200U</v>
      </c>
      <c r="S987">
        <v>500</v>
      </c>
      <c r="T987">
        <v>0</v>
      </c>
      <c r="U987">
        <f>laptop[[#This Row],[PrimaryStorage]]+laptop[[#This Row],[SecondaryStorage]]</f>
        <v>500</v>
      </c>
      <c r="V987" t="s">
        <v>51</v>
      </c>
      <c r="W987" t="s">
        <v>27</v>
      </c>
      <c r="X987" t="str">
        <f>IF(laptop[[#This Row],[PrimaryStorageType]]=laptop[[#This Row],[SecondaryStorageType]],laptop[[#This Row],[PrimaryStorageType]],"SSD &amp; HDD")</f>
        <v>SSD &amp; HDD</v>
      </c>
      <c r="Y987" t="s">
        <v>67</v>
      </c>
      <c r="Z987" s="4" t="str">
        <f>_xlfn.CONCAT(laptop[[#This Row],[CPU_company]]," ",laptop[[#This Row],[GPU_model]])</f>
        <v>Intel Radeon R5 M430</v>
      </c>
    </row>
    <row r="988" spans="1:26" x14ac:dyDescent="0.25">
      <c r="A988" t="s">
        <v>36</v>
      </c>
      <c r="B988" t="s">
        <v>476</v>
      </c>
      <c r="C988" t="s">
        <v>38</v>
      </c>
      <c r="D988">
        <v>15.6</v>
      </c>
      <c r="E988">
        <v>8</v>
      </c>
      <c r="F988" t="s">
        <v>48</v>
      </c>
      <c r="G988">
        <v>2.04</v>
      </c>
      <c r="H988" s="16">
        <v>806</v>
      </c>
      <c r="I988" t="s">
        <v>40</v>
      </c>
      <c r="J988">
        <v>1920</v>
      </c>
      <c r="K988">
        <v>1080</v>
      </c>
      <c r="L988" t="s">
        <v>27</v>
      </c>
      <c r="M988" t="s">
        <v>27</v>
      </c>
      <c r="N988" t="s">
        <v>27</v>
      </c>
      <c r="O988" t="s">
        <v>29</v>
      </c>
      <c r="P988">
        <v>2.5</v>
      </c>
      <c r="Q988" t="s">
        <v>41</v>
      </c>
      <c r="R988" t="str">
        <f>_xlfn.CONCAT(laptop[[#This Row],[CPU_company]]," ",laptop[[#This Row],[CPU_model]])</f>
        <v>Intel Core i5 7200U</v>
      </c>
      <c r="S988">
        <v>1024</v>
      </c>
      <c r="T988">
        <v>0</v>
      </c>
      <c r="U988">
        <f>laptop[[#This Row],[PrimaryStorage]]+laptop[[#This Row],[SecondaryStorage]]</f>
        <v>1024</v>
      </c>
      <c r="V988" t="s">
        <v>51</v>
      </c>
      <c r="W988" t="s">
        <v>27</v>
      </c>
      <c r="X988" t="str">
        <f>IF(laptop[[#This Row],[PrimaryStorageType]]=laptop[[#This Row],[SecondaryStorageType]],laptop[[#This Row],[PrimaryStorageType]],"SSD &amp; HDD")</f>
        <v>SSD &amp; HDD</v>
      </c>
      <c r="Y988" t="s">
        <v>42</v>
      </c>
      <c r="Z988" s="4" t="str">
        <f>_xlfn.CONCAT(laptop[[#This Row],[CPU_company]]," ",laptop[[#This Row],[GPU_model]])</f>
        <v>Intel HD Graphics 620</v>
      </c>
    </row>
    <row r="989" spans="1:26" x14ac:dyDescent="0.25">
      <c r="A989" t="s">
        <v>73</v>
      </c>
      <c r="B989" t="s">
        <v>82</v>
      </c>
      <c r="C989" t="s">
        <v>83</v>
      </c>
      <c r="D989">
        <v>15.6</v>
      </c>
      <c r="E989">
        <v>8</v>
      </c>
      <c r="F989" t="s">
        <v>48</v>
      </c>
      <c r="G989">
        <v>2.5</v>
      </c>
      <c r="H989" s="16">
        <v>1189</v>
      </c>
      <c r="I989" t="s">
        <v>40</v>
      </c>
      <c r="J989">
        <v>1920</v>
      </c>
      <c r="K989">
        <v>1080</v>
      </c>
      <c r="L989" t="s">
        <v>27</v>
      </c>
      <c r="M989" t="s">
        <v>28</v>
      </c>
      <c r="N989" t="s">
        <v>27</v>
      </c>
      <c r="O989" t="s">
        <v>29</v>
      </c>
      <c r="P989">
        <v>2.8</v>
      </c>
      <c r="Q989" t="s">
        <v>118</v>
      </c>
      <c r="R989" t="str">
        <f>_xlfn.CONCAT(laptop[[#This Row],[CPU_company]]," ",laptop[[#This Row],[CPU_model]])</f>
        <v>Intel Core i7 7700HQ</v>
      </c>
      <c r="S989">
        <v>128</v>
      </c>
      <c r="T989">
        <v>1024</v>
      </c>
      <c r="U989">
        <f>laptop[[#This Row],[PrimaryStorage]]+laptop[[#This Row],[SecondaryStorage]]</f>
        <v>1152</v>
      </c>
      <c r="V989" t="s">
        <v>31</v>
      </c>
      <c r="W989" t="s">
        <v>51</v>
      </c>
      <c r="X989" t="str">
        <f>IF(laptop[[#This Row],[PrimaryStorageType]]=laptop[[#This Row],[SecondaryStorageType]],laptop[[#This Row],[PrimaryStorageType]],"SSD &amp; HDD")</f>
        <v>SSD &amp; HDD</v>
      </c>
      <c r="Y989" t="s">
        <v>119</v>
      </c>
      <c r="Z989" s="4" t="str">
        <f>_xlfn.CONCAT(laptop[[#This Row],[CPU_company]]," ",laptop[[#This Row],[GPU_model]])</f>
        <v>Intel GeForce GTX 1060</v>
      </c>
    </row>
    <row r="990" spans="1:26" x14ac:dyDescent="0.25">
      <c r="A990" t="s">
        <v>65</v>
      </c>
      <c r="B990" t="s">
        <v>200</v>
      </c>
      <c r="C990" t="s">
        <v>38</v>
      </c>
      <c r="D990">
        <v>15.6</v>
      </c>
      <c r="E990">
        <v>8</v>
      </c>
      <c r="F990" t="s">
        <v>48</v>
      </c>
      <c r="G990">
        <v>2.36</v>
      </c>
      <c r="H990" s="16">
        <v>749</v>
      </c>
      <c r="I990" t="s">
        <v>26</v>
      </c>
      <c r="J990">
        <v>1366</v>
      </c>
      <c r="K990">
        <v>768</v>
      </c>
      <c r="L990" t="s">
        <v>27</v>
      </c>
      <c r="M990" t="s">
        <v>27</v>
      </c>
      <c r="N990" t="s">
        <v>27</v>
      </c>
      <c r="O990" t="s">
        <v>29</v>
      </c>
      <c r="P990">
        <v>2.7</v>
      </c>
      <c r="Q990" t="s">
        <v>71</v>
      </c>
      <c r="R990" t="str">
        <f>_xlfn.CONCAT(laptop[[#This Row],[CPU_company]]," ",laptop[[#This Row],[CPU_model]])</f>
        <v>Intel Core i7 7500U</v>
      </c>
      <c r="S990">
        <v>1024</v>
      </c>
      <c r="T990">
        <v>0</v>
      </c>
      <c r="U990">
        <f>laptop[[#This Row],[PrimaryStorage]]+laptop[[#This Row],[SecondaryStorage]]</f>
        <v>1024</v>
      </c>
      <c r="V990" t="s">
        <v>51</v>
      </c>
      <c r="W990" t="s">
        <v>27</v>
      </c>
      <c r="X990" t="str">
        <f>IF(laptop[[#This Row],[PrimaryStorageType]]=laptop[[#This Row],[SecondaryStorageType]],laptop[[#This Row],[PrimaryStorageType]],"SSD &amp; HDD")</f>
        <v>SSD &amp; HDD</v>
      </c>
      <c r="Y990" t="s">
        <v>201</v>
      </c>
      <c r="Z990" s="4" t="str">
        <f>_xlfn.CONCAT(laptop[[#This Row],[CPU_company]]," ",laptop[[#This Row],[GPU_model]])</f>
        <v>Intel Radeon R7 M445</v>
      </c>
    </row>
    <row r="991" spans="1:26" x14ac:dyDescent="0.25">
      <c r="A991" t="s">
        <v>65</v>
      </c>
      <c r="B991" t="s">
        <v>409</v>
      </c>
      <c r="C991" t="s">
        <v>38</v>
      </c>
      <c r="D991">
        <v>14</v>
      </c>
      <c r="E991">
        <v>8</v>
      </c>
      <c r="F991" t="s">
        <v>48</v>
      </c>
      <c r="G991">
        <v>1.6</v>
      </c>
      <c r="H991" s="16">
        <v>1119</v>
      </c>
      <c r="I991" t="s">
        <v>40</v>
      </c>
      <c r="J991">
        <v>1920</v>
      </c>
      <c r="K991">
        <v>1080</v>
      </c>
      <c r="L991" t="s">
        <v>27</v>
      </c>
      <c r="M991" t="s">
        <v>27</v>
      </c>
      <c r="N991" t="s">
        <v>27</v>
      </c>
      <c r="O991" t="s">
        <v>29</v>
      </c>
      <c r="P991">
        <v>2.5</v>
      </c>
      <c r="Q991" t="s">
        <v>41</v>
      </c>
      <c r="R991" t="str">
        <f>_xlfn.CONCAT(laptop[[#This Row],[CPU_company]]," ",laptop[[#This Row],[CPU_model]])</f>
        <v>Intel Core i5 7200U</v>
      </c>
      <c r="S991">
        <v>128</v>
      </c>
      <c r="T991">
        <v>0</v>
      </c>
      <c r="U991">
        <f>laptop[[#This Row],[PrimaryStorage]]+laptop[[#This Row],[SecondaryStorage]]</f>
        <v>128</v>
      </c>
      <c r="V991" t="s">
        <v>31</v>
      </c>
      <c r="W991" t="s">
        <v>27</v>
      </c>
      <c r="X991" t="str">
        <f>IF(laptop[[#This Row],[PrimaryStorageType]]=laptop[[#This Row],[SecondaryStorageType]],laptop[[#This Row],[PrimaryStorageType]],"SSD &amp; HDD")</f>
        <v>SSD &amp; HDD</v>
      </c>
      <c r="Y991" t="s">
        <v>746</v>
      </c>
      <c r="Z991" s="4" t="str">
        <f>_xlfn.CONCAT(laptop[[#This Row],[CPU_company]]," ",laptop[[#This Row],[GPU_model]])</f>
        <v xml:space="preserve">Intel HD Graphics 620 </v>
      </c>
    </row>
    <row r="992" spans="1:26" x14ac:dyDescent="0.25">
      <c r="A992" t="s">
        <v>36</v>
      </c>
      <c r="B992" t="s">
        <v>214</v>
      </c>
      <c r="C992" t="s">
        <v>79</v>
      </c>
      <c r="D992">
        <v>12.5</v>
      </c>
      <c r="E992">
        <v>8</v>
      </c>
      <c r="F992" t="s">
        <v>48</v>
      </c>
      <c r="G992">
        <v>0.97</v>
      </c>
      <c r="H992" s="16">
        <v>1908</v>
      </c>
      <c r="I992" t="s">
        <v>40</v>
      </c>
      <c r="J992">
        <v>1920</v>
      </c>
      <c r="K992">
        <v>1080</v>
      </c>
      <c r="L992" t="s">
        <v>27</v>
      </c>
      <c r="M992" t="s">
        <v>27</v>
      </c>
      <c r="N992" t="s">
        <v>27</v>
      </c>
      <c r="O992" t="s">
        <v>29</v>
      </c>
      <c r="P992">
        <v>1.2</v>
      </c>
      <c r="Q992" t="s">
        <v>216</v>
      </c>
      <c r="R992" t="str">
        <f>_xlfn.CONCAT(laptop[[#This Row],[CPU_company]]," ",laptop[[#This Row],[CPU_model]])</f>
        <v>Intel Core M 6Y75</v>
      </c>
      <c r="S992">
        <v>512</v>
      </c>
      <c r="T992">
        <v>0</v>
      </c>
      <c r="U992">
        <f>laptop[[#This Row],[PrimaryStorage]]+laptop[[#This Row],[SecondaryStorage]]</f>
        <v>512</v>
      </c>
      <c r="V992" t="s">
        <v>31</v>
      </c>
      <c r="W992" t="s">
        <v>27</v>
      </c>
      <c r="X992" t="str">
        <f>IF(laptop[[#This Row],[PrimaryStorageType]]=laptop[[#This Row],[SecondaryStorageType]],laptop[[#This Row],[PrimaryStorageType]],"SSD &amp; HDD")</f>
        <v>SSD &amp; HDD</v>
      </c>
      <c r="Y992" t="s">
        <v>217</v>
      </c>
      <c r="Z992" s="4" t="str">
        <f>_xlfn.CONCAT(laptop[[#This Row],[CPU_company]]," ",laptop[[#This Row],[GPU_model]])</f>
        <v>Intel HD Graphics 515</v>
      </c>
    </row>
    <row r="993" spans="1:26" x14ac:dyDescent="0.25">
      <c r="A993" t="s">
        <v>36</v>
      </c>
      <c r="B993" t="s">
        <v>747</v>
      </c>
      <c r="C993" t="s">
        <v>38</v>
      </c>
      <c r="D993">
        <v>15.6</v>
      </c>
      <c r="E993">
        <v>4</v>
      </c>
      <c r="F993" t="s">
        <v>48</v>
      </c>
      <c r="G993">
        <v>2.1</v>
      </c>
      <c r="H993" s="16">
        <v>499</v>
      </c>
      <c r="I993" t="s">
        <v>40</v>
      </c>
      <c r="J993">
        <v>1920</v>
      </c>
      <c r="K993">
        <v>1080</v>
      </c>
      <c r="L993" t="s">
        <v>27</v>
      </c>
      <c r="M993" t="s">
        <v>27</v>
      </c>
      <c r="N993" t="s">
        <v>27</v>
      </c>
      <c r="O993" t="s">
        <v>29</v>
      </c>
      <c r="P993">
        <v>2</v>
      </c>
      <c r="Q993" t="s">
        <v>62</v>
      </c>
      <c r="R993" t="str">
        <f>_xlfn.CONCAT(laptop[[#This Row],[CPU_company]]," ",laptop[[#This Row],[CPU_model]])</f>
        <v>Intel Core i3 6006U</v>
      </c>
      <c r="S993">
        <v>128</v>
      </c>
      <c r="T993">
        <v>1024</v>
      </c>
      <c r="U993">
        <f>laptop[[#This Row],[PrimaryStorage]]+laptop[[#This Row],[SecondaryStorage]]</f>
        <v>1152</v>
      </c>
      <c r="V993" t="s">
        <v>31</v>
      </c>
      <c r="W993" t="s">
        <v>51</v>
      </c>
      <c r="X993" t="str">
        <f>IF(laptop[[#This Row],[PrimaryStorageType]]=laptop[[#This Row],[SecondaryStorageType]],laptop[[#This Row],[PrimaryStorageType]],"SSD &amp; HDD")</f>
        <v>SSD &amp; HDD</v>
      </c>
      <c r="Y993" t="s">
        <v>138</v>
      </c>
      <c r="Z993" s="4" t="str">
        <f>_xlfn.CONCAT(laptop[[#This Row],[CPU_company]]," ",laptop[[#This Row],[GPU_model]])</f>
        <v>Intel Radeon 520</v>
      </c>
    </row>
    <row r="994" spans="1:26" x14ac:dyDescent="0.25">
      <c r="A994" t="s">
        <v>73</v>
      </c>
      <c r="B994" t="s">
        <v>748</v>
      </c>
      <c r="C994" t="s">
        <v>38</v>
      </c>
      <c r="D994">
        <v>15.6</v>
      </c>
      <c r="E994">
        <v>4</v>
      </c>
      <c r="F994" t="s">
        <v>39</v>
      </c>
      <c r="G994">
        <v>1.9</v>
      </c>
      <c r="H994" s="16">
        <v>270.62</v>
      </c>
      <c r="I994" t="s">
        <v>26</v>
      </c>
      <c r="J994">
        <v>1366</v>
      </c>
      <c r="K994">
        <v>768</v>
      </c>
      <c r="L994" t="s">
        <v>27</v>
      </c>
      <c r="M994" t="s">
        <v>27</v>
      </c>
      <c r="N994" t="s">
        <v>27</v>
      </c>
      <c r="O994" t="s">
        <v>29</v>
      </c>
      <c r="P994">
        <v>1.1000000000000001</v>
      </c>
      <c r="Q994" t="s">
        <v>109</v>
      </c>
      <c r="R994" t="str">
        <f>_xlfn.CONCAT(laptop[[#This Row],[CPU_company]]," ",laptop[[#This Row],[CPU_model]])</f>
        <v>Intel Celeron Dual Core N3350</v>
      </c>
      <c r="S994">
        <v>128</v>
      </c>
      <c r="T994">
        <v>0</v>
      </c>
      <c r="U994">
        <f>laptop[[#This Row],[PrimaryStorage]]+laptop[[#This Row],[SecondaryStorage]]</f>
        <v>128</v>
      </c>
      <c r="V994" t="s">
        <v>31</v>
      </c>
      <c r="W994" t="s">
        <v>27</v>
      </c>
      <c r="X994" t="str">
        <f>IF(laptop[[#This Row],[PrimaryStorageType]]=laptop[[#This Row],[SecondaryStorageType]],laptop[[#This Row],[PrimaryStorageType]],"SSD &amp; HDD")</f>
        <v>SSD &amp; HDD</v>
      </c>
      <c r="Y994" t="s">
        <v>110</v>
      </c>
      <c r="Z994" s="4" t="str">
        <f>_xlfn.CONCAT(laptop[[#This Row],[CPU_company]]," ",laptop[[#This Row],[GPU_model]])</f>
        <v>Intel HD Graphics 500</v>
      </c>
    </row>
    <row r="995" spans="1:26" x14ac:dyDescent="0.25">
      <c r="A995" t="s">
        <v>73</v>
      </c>
      <c r="B995" t="s">
        <v>749</v>
      </c>
      <c r="C995" t="s">
        <v>38</v>
      </c>
      <c r="D995">
        <v>15.6</v>
      </c>
      <c r="E995">
        <v>8</v>
      </c>
      <c r="F995" t="s">
        <v>48</v>
      </c>
      <c r="G995">
        <v>2.2999999999999998</v>
      </c>
      <c r="H995" s="16">
        <v>1349</v>
      </c>
      <c r="I995" t="s">
        <v>40</v>
      </c>
      <c r="J995">
        <v>1920</v>
      </c>
      <c r="K995">
        <v>1080</v>
      </c>
      <c r="L995" t="s">
        <v>27</v>
      </c>
      <c r="M995" t="s">
        <v>27</v>
      </c>
      <c r="N995" t="s">
        <v>27</v>
      </c>
      <c r="O995" t="s">
        <v>29</v>
      </c>
      <c r="P995">
        <v>2.2999999999999998</v>
      </c>
      <c r="Q995" t="s">
        <v>212</v>
      </c>
      <c r="R995" t="str">
        <f>_xlfn.CONCAT(laptop[[#This Row],[CPU_company]]," ",laptop[[#This Row],[CPU_model]])</f>
        <v>Intel Core i5 6200U</v>
      </c>
      <c r="S995">
        <v>256</v>
      </c>
      <c r="T995">
        <v>0</v>
      </c>
      <c r="U995">
        <f>laptop[[#This Row],[PrimaryStorage]]+laptop[[#This Row],[SecondaryStorage]]</f>
        <v>256</v>
      </c>
      <c r="V995" t="s">
        <v>31</v>
      </c>
      <c r="W995" t="s">
        <v>27</v>
      </c>
      <c r="X995" t="str">
        <f>IF(laptop[[#This Row],[PrimaryStorageType]]=laptop[[#This Row],[SecondaryStorageType]],laptop[[#This Row],[PrimaryStorageType]],"SSD &amp; HDD")</f>
        <v>SSD &amp; HDD</v>
      </c>
      <c r="Y995" t="s">
        <v>63</v>
      </c>
      <c r="Z995" s="4" t="str">
        <f>_xlfn.CONCAT(laptop[[#This Row],[CPU_company]]," ",laptop[[#This Row],[GPU_model]])</f>
        <v>Intel HD Graphics 520</v>
      </c>
    </row>
    <row r="996" spans="1:26" x14ac:dyDescent="0.25">
      <c r="A996" t="s">
        <v>65</v>
      </c>
      <c r="B996" t="s">
        <v>608</v>
      </c>
      <c r="C996" t="s">
        <v>90</v>
      </c>
      <c r="D996">
        <v>13.3</v>
      </c>
      <c r="E996">
        <v>8</v>
      </c>
      <c r="F996" t="s">
        <v>48</v>
      </c>
      <c r="G996">
        <v>1.68</v>
      </c>
      <c r="H996" s="16">
        <v>889</v>
      </c>
      <c r="I996" t="s">
        <v>40</v>
      </c>
      <c r="J996">
        <v>1920</v>
      </c>
      <c r="K996">
        <v>1080</v>
      </c>
      <c r="L996" t="s">
        <v>28</v>
      </c>
      <c r="M996" t="s">
        <v>27</v>
      </c>
      <c r="N996" t="s">
        <v>27</v>
      </c>
      <c r="O996" t="s">
        <v>29</v>
      </c>
      <c r="P996">
        <v>2.5</v>
      </c>
      <c r="Q996" t="s">
        <v>41</v>
      </c>
      <c r="R996" t="str">
        <f>_xlfn.CONCAT(laptop[[#This Row],[CPU_company]]," ",laptop[[#This Row],[CPU_model]])</f>
        <v>Intel Core i5 7200U</v>
      </c>
      <c r="S996">
        <v>256</v>
      </c>
      <c r="T996">
        <v>0</v>
      </c>
      <c r="U996">
        <f>laptop[[#This Row],[PrimaryStorage]]+laptop[[#This Row],[SecondaryStorage]]</f>
        <v>256</v>
      </c>
      <c r="V996" t="s">
        <v>31</v>
      </c>
      <c r="W996" t="s">
        <v>27</v>
      </c>
      <c r="X996" t="str">
        <f>IF(laptop[[#This Row],[PrimaryStorageType]]=laptop[[#This Row],[SecondaryStorageType]],laptop[[#This Row],[PrimaryStorageType]],"SSD &amp; HDD")</f>
        <v>SSD &amp; HDD</v>
      </c>
      <c r="Y996" t="s">
        <v>42</v>
      </c>
      <c r="Z996" s="4" t="str">
        <f>_xlfn.CONCAT(laptop[[#This Row],[CPU_company]]," ",laptop[[#This Row],[GPU_model]])</f>
        <v>Intel HD Graphics 620</v>
      </c>
    </row>
    <row r="997" spans="1:26" x14ac:dyDescent="0.25">
      <c r="A997" t="s">
        <v>55</v>
      </c>
      <c r="B997" t="s">
        <v>750</v>
      </c>
      <c r="C997" t="s">
        <v>38</v>
      </c>
      <c r="D997">
        <v>13.3</v>
      </c>
      <c r="E997">
        <v>8</v>
      </c>
      <c r="F997" t="s">
        <v>48</v>
      </c>
      <c r="G997">
        <v>1.4</v>
      </c>
      <c r="H997" s="16">
        <v>1150</v>
      </c>
      <c r="I997" t="s">
        <v>107</v>
      </c>
      <c r="J997">
        <v>3200</v>
      </c>
      <c r="K997">
        <v>1800</v>
      </c>
      <c r="L997" t="s">
        <v>27</v>
      </c>
      <c r="M997" t="s">
        <v>27</v>
      </c>
      <c r="N997" t="s">
        <v>27</v>
      </c>
      <c r="O997" t="s">
        <v>29</v>
      </c>
      <c r="P997">
        <v>2.5</v>
      </c>
      <c r="Q997" t="s">
        <v>41</v>
      </c>
      <c r="R997" t="str">
        <f>_xlfn.CONCAT(laptop[[#This Row],[CPU_company]]," ",laptop[[#This Row],[CPU_model]])</f>
        <v>Intel Core i5 7200U</v>
      </c>
      <c r="S997">
        <v>256</v>
      </c>
      <c r="T997">
        <v>0</v>
      </c>
      <c r="U997">
        <f>laptop[[#This Row],[PrimaryStorage]]+laptop[[#This Row],[SecondaryStorage]]</f>
        <v>256</v>
      </c>
      <c r="V997" t="s">
        <v>31</v>
      </c>
      <c r="W997" t="s">
        <v>27</v>
      </c>
      <c r="X997" t="str">
        <f>IF(laptop[[#This Row],[PrimaryStorageType]]=laptop[[#This Row],[SecondaryStorageType]],laptop[[#This Row],[PrimaryStorageType]],"SSD &amp; HDD")</f>
        <v>SSD &amp; HDD</v>
      </c>
      <c r="Y997" t="s">
        <v>42</v>
      </c>
      <c r="Z997" s="4" t="str">
        <f>_xlfn.CONCAT(laptop[[#This Row],[CPU_company]]," ",laptop[[#This Row],[GPU_model]])</f>
        <v>Intel HD Graphics 620</v>
      </c>
    </row>
    <row r="998" spans="1:26" x14ac:dyDescent="0.25">
      <c r="A998" t="s">
        <v>36</v>
      </c>
      <c r="B998" t="s">
        <v>751</v>
      </c>
      <c r="C998" t="s">
        <v>24</v>
      </c>
      <c r="D998">
        <v>13.3</v>
      </c>
      <c r="E998">
        <v>8</v>
      </c>
      <c r="F998" t="s">
        <v>48</v>
      </c>
      <c r="G998">
        <v>1.1100000000000001</v>
      </c>
      <c r="H998" s="16">
        <v>1349</v>
      </c>
      <c r="I998" t="s">
        <v>40</v>
      </c>
      <c r="J998">
        <v>1920</v>
      </c>
      <c r="K998">
        <v>1080</v>
      </c>
      <c r="L998" t="s">
        <v>28</v>
      </c>
      <c r="M998" t="s">
        <v>28</v>
      </c>
      <c r="N998" t="s">
        <v>27</v>
      </c>
      <c r="O998" t="s">
        <v>29</v>
      </c>
      <c r="P998">
        <v>2.7</v>
      </c>
      <c r="Q998" t="s">
        <v>71</v>
      </c>
      <c r="R998" t="str">
        <f>_xlfn.CONCAT(laptop[[#This Row],[CPU_company]]," ",laptop[[#This Row],[CPU_model]])</f>
        <v>Intel Core i7 7500U</v>
      </c>
      <c r="S998">
        <v>256</v>
      </c>
      <c r="T998">
        <v>0</v>
      </c>
      <c r="U998">
        <f>laptop[[#This Row],[PrimaryStorage]]+laptop[[#This Row],[SecondaryStorage]]</f>
        <v>256</v>
      </c>
      <c r="V998" t="s">
        <v>31</v>
      </c>
      <c r="W998" t="s">
        <v>27</v>
      </c>
      <c r="X998" t="str">
        <f>IF(laptop[[#This Row],[PrimaryStorageType]]=laptop[[#This Row],[SecondaryStorageType]],laptop[[#This Row],[PrimaryStorageType]],"SSD &amp; HDD")</f>
        <v>SSD &amp; HDD</v>
      </c>
      <c r="Y998" t="s">
        <v>42</v>
      </c>
      <c r="Z998" s="4" t="str">
        <f>_xlfn.CONCAT(laptop[[#This Row],[CPU_company]]," ",laptop[[#This Row],[GPU_model]])</f>
        <v>Intel HD Graphics 620</v>
      </c>
    </row>
    <row r="999" spans="1:26" x14ac:dyDescent="0.25">
      <c r="A999" t="s">
        <v>46</v>
      </c>
      <c r="B999" t="s">
        <v>752</v>
      </c>
      <c r="C999" t="s">
        <v>38</v>
      </c>
      <c r="D999">
        <v>15.6</v>
      </c>
      <c r="E999">
        <v>4</v>
      </c>
      <c r="F999" t="s">
        <v>48</v>
      </c>
      <c r="G999">
        <v>2.4</v>
      </c>
      <c r="H999" s="16">
        <v>380</v>
      </c>
      <c r="I999" t="s">
        <v>26</v>
      </c>
      <c r="J999">
        <v>1366</v>
      </c>
      <c r="K999">
        <v>768</v>
      </c>
      <c r="L999" t="s">
        <v>27</v>
      </c>
      <c r="M999" t="s">
        <v>27</v>
      </c>
      <c r="N999" t="s">
        <v>27</v>
      </c>
      <c r="O999" t="s">
        <v>29</v>
      </c>
      <c r="P999">
        <v>1.1000000000000001</v>
      </c>
      <c r="Q999" t="s">
        <v>130</v>
      </c>
      <c r="R999" t="str">
        <f>_xlfn.CONCAT(laptop[[#This Row],[CPU_company]]," ",laptop[[#This Row],[CPU_model]])</f>
        <v>Intel Pentium Quad Core N4200</v>
      </c>
      <c r="S999">
        <v>500</v>
      </c>
      <c r="T999">
        <v>0</v>
      </c>
      <c r="U999">
        <f>laptop[[#This Row],[PrimaryStorage]]+laptop[[#This Row],[SecondaryStorage]]</f>
        <v>500</v>
      </c>
      <c r="V999" t="s">
        <v>51</v>
      </c>
      <c r="W999" t="s">
        <v>27</v>
      </c>
      <c r="X999" t="str">
        <f>IF(laptop[[#This Row],[PrimaryStorageType]]=laptop[[#This Row],[SecondaryStorageType]],laptop[[#This Row],[PrimaryStorageType]],"SSD &amp; HDD")</f>
        <v>SSD &amp; HDD</v>
      </c>
      <c r="Y999" t="s">
        <v>237</v>
      </c>
      <c r="Z999" s="4" t="str">
        <f>_xlfn.CONCAT(laptop[[#This Row],[CPU_company]]," ",laptop[[#This Row],[GPU_model]])</f>
        <v>Intel HD Graphics 505</v>
      </c>
    </row>
    <row r="1000" spans="1:26" x14ac:dyDescent="0.25">
      <c r="A1000" t="s">
        <v>55</v>
      </c>
      <c r="B1000" t="s">
        <v>753</v>
      </c>
      <c r="C1000" t="s">
        <v>83</v>
      </c>
      <c r="D1000">
        <v>15.6</v>
      </c>
      <c r="E1000">
        <v>16</v>
      </c>
      <c r="F1000" t="s">
        <v>48</v>
      </c>
      <c r="G1000">
        <v>2.5</v>
      </c>
      <c r="H1000" s="16">
        <v>1799</v>
      </c>
      <c r="I1000" t="s">
        <v>40</v>
      </c>
      <c r="J1000">
        <v>1920</v>
      </c>
      <c r="K1000">
        <v>1080</v>
      </c>
      <c r="L1000" t="s">
        <v>27</v>
      </c>
      <c r="M1000" t="s">
        <v>27</v>
      </c>
      <c r="N1000" t="s">
        <v>27</v>
      </c>
      <c r="O1000" t="s">
        <v>29</v>
      </c>
      <c r="P1000">
        <v>2.8</v>
      </c>
      <c r="Q1000" t="s">
        <v>118</v>
      </c>
      <c r="R1000" t="str">
        <f>_xlfn.CONCAT(laptop[[#This Row],[CPU_company]]," ",laptop[[#This Row],[CPU_model]])</f>
        <v>Intel Core i7 7700HQ</v>
      </c>
      <c r="S1000">
        <v>256</v>
      </c>
      <c r="T1000">
        <v>1024</v>
      </c>
      <c r="U1000">
        <f>laptop[[#This Row],[PrimaryStorage]]+laptop[[#This Row],[SecondaryStorage]]</f>
        <v>1280</v>
      </c>
      <c r="V1000" t="s">
        <v>31</v>
      </c>
      <c r="W1000" t="s">
        <v>51</v>
      </c>
      <c r="X1000" t="str">
        <f>IF(laptop[[#This Row],[PrimaryStorageType]]=laptop[[#This Row],[SecondaryStorageType]],laptop[[#This Row],[PrimaryStorageType]],"SSD &amp; HDD")</f>
        <v>SSD &amp; HDD</v>
      </c>
      <c r="Y1000" t="s">
        <v>149</v>
      </c>
      <c r="Z1000" s="4" t="str">
        <f>_xlfn.CONCAT(laptop[[#This Row],[CPU_company]]," ",laptop[[#This Row],[GPU_model]])</f>
        <v>Intel GeForce GTX 1050 Ti</v>
      </c>
    </row>
    <row r="1001" spans="1:26" x14ac:dyDescent="0.25">
      <c r="A1001" t="s">
        <v>36</v>
      </c>
      <c r="B1001" t="s">
        <v>226</v>
      </c>
      <c r="C1001" t="s">
        <v>24</v>
      </c>
      <c r="D1001">
        <v>14</v>
      </c>
      <c r="E1001">
        <v>8</v>
      </c>
      <c r="F1001" t="s">
        <v>48</v>
      </c>
      <c r="G1001">
        <v>1.48</v>
      </c>
      <c r="H1001" s="16">
        <v>2089</v>
      </c>
      <c r="I1001" t="s">
        <v>40</v>
      </c>
      <c r="J1001">
        <v>1920</v>
      </c>
      <c r="K1001">
        <v>1080</v>
      </c>
      <c r="L1001" t="s">
        <v>27</v>
      </c>
      <c r="M1001" t="s">
        <v>27</v>
      </c>
      <c r="N1001" t="s">
        <v>27</v>
      </c>
      <c r="O1001" t="s">
        <v>29</v>
      </c>
      <c r="P1001">
        <v>2.7</v>
      </c>
      <c r="Q1001" t="s">
        <v>71</v>
      </c>
      <c r="R1001" t="str">
        <f>_xlfn.CONCAT(laptop[[#This Row],[CPU_company]]," ",laptop[[#This Row],[CPU_model]])</f>
        <v>Intel Core i7 7500U</v>
      </c>
      <c r="S1001">
        <v>512</v>
      </c>
      <c r="T1001">
        <v>0</v>
      </c>
      <c r="U1001">
        <f>laptop[[#This Row],[PrimaryStorage]]+laptop[[#This Row],[SecondaryStorage]]</f>
        <v>512</v>
      </c>
      <c r="V1001" t="s">
        <v>31</v>
      </c>
      <c r="W1001" t="s">
        <v>27</v>
      </c>
      <c r="X1001" t="str">
        <f>IF(laptop[[#This Row],[PrimaryStorageType]]=laptop[[#This Row],[SecondaryStorageType]],laptop[[#This Row],[PrimaryStorageType]],"SSD &amp; HDD")</f>
        <v>SSD &amp; HDD</v>
      </c>
      <c r="Y1001" t="s">
        <v>42</v>
      </c>
      <c r="Z1001" s="4" t="str">
        <f>_xlfn.CONCAT(laptop[[#This Row],[CPU_company]]," ",laptop[[#This Row],[GPU_model]])</f>
        <v>Intel HD Graphics 620</v>
      </c>
    </row>
    <row r="1002" spans="1:26" x14ac:dyDescent="0.25">
      <c r="A1002" t="s">
        <v>46</v>
      </c>
      <c r="B1002" t="s">
        <v>754</v>
      </c>
      <c r="C1002" t="s">
        <v>83</v>
      </c>
      <c r="D1002">
        <v>15.6</v>
      </c>
      <c r="E1002">
        <v>8</v>
      </c>
      <c r="F1002" t="s">
        <v>48</v>
      </c>
      <c r="G1002">
        <v>2.7</v>
      </c>
      <c r="H1002" s="16">
        <v>1260</v>
      </c>
      <c r="I1002" t="s">
        <v>40</v>
      </c>
      <c r="J1002">
        <v>1920</v>
      </c>
      <c r="K1002">
        <v>1080</v>
      </c>
      <c r="L1002" t="s">
        <v>27</v>
      </c>
      <c r="M1002" t="s">
        <v>28</v>
      </c>
      <c r="N1002" t="s">
        <v>27</v>
      </c>
      <c r="O1002" t="s">
        <v>29</v>
      </c>
      <c r="P1002">
        <v>2.8</v>
      </c>
      <c r="Q1002" t="s">
        <v>118</v>
      </c>
      <c r="R1002" t="str">
        <f>_xlfn.CONCAT(laptop[[#This Row],[CPU_company]]," ",laptop[[#This Row],[CPU_model]])</f>
        <v>Intel Core i7 7700HQ</v>
      </c>
      <c r="S1002">
        <v>128</v>
      </c>
      <c r="T1002">
        <v>1024</v>
      </c>
      <c r="U1002">
        <f>laptop[[#This Row],[PrimaryStorage]]+laptop[[#This Row],[SecondaryStorage]]</f>
        <v>1152</v>
      </c>
      <c r="V1002" t="s">
        <v>31</v>
      </c>
      <c r="W1002" t="s">
        <v>51</v>
      </c>
      <c r="X1002" t="str">
        <f>IF(laptop[[#This Row],[PrimaryStorageType]]=laptop[[#This Row],[SecondaryStorageType]],laptop[[#This Row],[PrimaryStorageType]],"SSD &amp; HDD")</f>
        <v>SSD &amp; HDD</v>
      </c>
      <c r="Y1002" t="s">
        <v>85</v>
      </c>
      <c r="Z1002" s="4" t="str">
        <f>_xlfn.CONCAT(laptop[[#This Row],[CPU_company]]," ",laptop[[#This Row],[GPU_model]])</f>
        <v>Intel GeForce GTX 1050</v>
      </c>
    </row>
    <row r="1003" spans="1:26" x14ac:dyDescent="0.25">
      <c r="A1003" t="s">
        <v>36</v>
      </c>
      <c r="B1003" t="s">
        <v>755</v>
      </c>
      <c r="C1003" t="s">
        <v>38</v>
      </c>
      <c r="D1003">
        <v>13.3</v>
      </c>
      <c r="E1003">
        <v>8</v>
      </c>
      <c r="F1003" t="s">
        <v>48</v>
      </c>
      <c r="G1003">
        <v>1.34</v>
      </c>
      <c r="H1003" s="16">
        <v>1189</v>
      </c>
      <c r="I1003" t="s">
        <v>40</v>
      </c>
      <c r="J1003">
        <v>1920</v>
      </c>
      <c r="K1003">
        <v>1080</v>
      </c>
      <c r="L1003" t="s">
        <v>27</v>
      </c>
      <c r="M1003" t="s">
        <v>28</v>
      </c>
      <c r="N1003" t="s">
        <v>27</v>
      </c>
      <c r="O1003" t="s">
        <v>29</v>
      </c>
      <c r="P1003">
        <v>2.5</v>
      </c>
      <c r="Q1003" t="s">
        <v>41</v>
      </c>
      <c r="R1003" t="str">
        <f>_xlfn.CONCAT(laptop[[#This Row],[CPU_company]]," ",laptop[[#This Row],[CPU_model]])</f>
        <v>Intel Core i5 7200U</v>
      </c>
      <c r="S1003">
        <v>256</v>
      </c>
      <c r="T1003">
        <v>0</v>
      </c>
      <c r="U1003">
        <f>laptop[[#This Row],[PrimaryStorage]]+laptop[[#This Row],[SecondaryStorage]]</f>
        <v>256</v>
      </c>
      <c r="V1003" t="s">
        <v>31</v>
      </c>
      <c r="W1003" t="s">
        <v>27</v>
      </c>
      <c r="X1003" t="str">
        <f>IF(laptop[[#This Row],[PrimaryStorageType]]=laptop[[#This Row],[SecondaryStorageType]],laptop[[#This Row],[PrimaryStorageType]],"SSD &amp; HDD")</f>
        <v>SSD &amp; HDD</v>
      </c>
      <c r="Y1003" t="s">
        <v>42</v>
      </c>
      <c r="Z1003" s="4" t="str">
        <f>_xlfn.CONCAT(laptop[[#This Row],[CPU_company]]," ",laptop[[#This Row],[GPU_model]])</f>
        <v>Intel HD Graphics 620</v>
      </c>
    </row>
    <row r="1004" spans="1:26" x14ac:dyDescent="0.25">
      <c r="A1004" t="s">
        <v>65</v>
      </c>
      <c r="B1004" t="s">
        <v>305</v>
      </c>
      <c r="C1004" t="s">
        <v>38</v>
      </c>
      <c r="D1004">
        <v>15.6</v>
      </c>
      <c r="E1004">
        <v>4</v>
      </c>
      <c r="F1004" t="s">
        <v>48</v>
      </c>
      <c r="G1004">
        <v>2.1800000000000002</v>
      </c>
      <c r="H1004" s="16">
        <v>547</v>
      </c>
      <c r="I1004" t="s">
        <v>26</v>
      </c>
      <c r="J1004">
        <v>1366</v>
      </c>
      <c r="K1004">
        <v>768</v>
      </c>
      <c r="L1004" t="s">
        <v>27</v>
      </c>
      <c r="M1004" t="s">
        <v>27</v>
      </c>
      <c r="N1004" t="s">
        <v>27</v>
      </c>
      <c r="O1004" t="s">
        <v>29</v>
      </c>
      <c r="P1004">
        <v>2.4</v>
      </c>
      <c r="Q1004" t="s">
        <v>75</v>
      </c>
      <c r="R1004" t="str">
        <f>_xlfn.CONCAT(laptop[[#This Row],[CPU_company]]," ",laptop[[#This Row],[CPU_model]])</f>
        <v>Intel Core i3 7100U</v>
      </c>
      <c r="S1004">
        <v>128</v>
      </c>
      <c r="T1004">
        <v>0</v>
      </c>
      <c r="U1004">
        <f>laptop[[#This Row],[PrimaryStorage]]+laptop[[#This Row],[SecondaryStorage]]</f>
        <v>128</v>
      </c>
      <c r="V1004" t="s">
        <v>31</v>
      </c>
      <c r="W1004" t="s">
        <v>27</v>
      </c>
      <c r="X1004" t="str">
        <f>IF(laptop[[#This Row],[PrimaryStorageType]]=laptop[[#This Row],[SecondaryStorageType]],laptop[[#This Row],[PrimaryStorageType]],"SSD &amp; HDD")</f>
        <v>SSD &amp; HDD</v>
      </c>
      <c r="Y1004" t="s">
        <v>42</v>
      </c>
      <c r="Z1004" s="4" t="str">
        <f>_xlfn.CONCAT(laptop[[#This Row],[CPU_company]]," ",laptop[[#This Row],[GPU_model]])</f>
        <v>Intel HD Graphics 620</v>
      </c>
    </row>
    <row r="1005" spans="1:26" x14ac:dyDescent="0.25">
      <c r="A1005" t="s">
        <v>36</v>
      </c>
      <c r="B1005" t="s">
        <v>191</v>
      </c>
      <c r="C1005" t="s">
        <v>38</v>
      </c>
      <c r="D1005">
        <v>14</v>
      </c>
      <c r="E1005">
        <v>4</v>
      </c>
      <c r="F1005" t="s">
        <v>48</v>
      </c>
      <c r="G1005">
        <v>1.64</v>
      </c>
      <c r="H1005" s="16">
        <v>779</v>
      </c>
      <c r="I1005" t="s">
        <v>26</v>
      </c>
      <c r="J1005">
        <v>1366</v>
      </c>
      <c r="K1005">
        <v>768</v>
      </c>
      <c r="L1005" t="s">
        <v>27</v>
      </c>
      <c r="M1005" t="s">
        <v>27</v>
      </c>
      <c r="N1005" t="s">
        <v>27</v>
      </c>
      <c r="O1005" t="s">
        <v>29</v>
      </c>
      <c r="P1005">
        <v>2.5</v>
      </c>
      <c r="Q1005" t="s">
        <v>41</v>
      </c>
      <c r="R1005" t="str">
        <f>_xlfn.CONCAT(laptop[[#This Row],[CPU_company]]," ",laptop[[#This Row],[CPU_model]])</f>
        <v>Intel Core i5 7200U</v>
      </c>
      <c r="S1005">
        <v>500</v>
      </c>
      <c r="T1005">
        <v>0</v>
      </c>
      <c r="U1005">
        <f>laptop[[#This Row],[PrimaryStorage]]+laptop[[#This Row],[SecondaryStorage]]</f>
        <v>500</v>
      </c>
      <c r="V1005" t="s">
        <v>51</v>
      </c>
      <c r="W1005" t="s">
        <v>27</v>
      </c>
      <c r="X1005" t="str">
        <f>IF(laptop[[#This Row],[PrimaryStorageType]]=laptop[[#This Row],[SecondaryStorageType]],laptop[[#This Row],[PrimaryStorageType]],"SSD &amp; HDD")</f>
        <v>SSD &amp; HDD</v>
      </c>
      <c r="Y1005" t="s">
        <v>42</v>
      </c>
      <c r="Z1005" s="4" t="str">
        <f>_xlfn.CONCAT(laptop[[#This Row],[CPU_company]]," ",laptop[[#This Row],[GPU_model]])</f>
        <v>Intel HD Graphics 620</v>
      </c>
    </row>
    <row r="1006" spans="1:26" x14ac:dyDescent="0.25">
      <c r="A1006" t="s">
        <v>210</v>
      </c>
      <c r="B1006" t="s">
        <v>756</v>
      </c>
      <c r="C1006" t="s">
        <v>38</v>
      </c>
      <c r="D1006">
        <v>13.3</v>
      </c>
      <c r="E1006">
        <v>4</v>
      </c>
      <c r="F1006" t="s">
        <v>48</v>
      </c>
      <c r="G1006">
        <v>1.2</v>
      </c>
      <c r="H1006" s="16">
        <v>1195</v>
      </c>
      <c r="I1006" t="s">
        <v>40</v>
      </c>
      <c r="J1006">
        <v>1920</v>
      </c>
      <c r="K1006">
        <v>1080</v>
      </c>
      <c r="L1006" t="s">
        <v>27</v>
      </c>
      <c r="M1006" t="s">
        <v>27</v>
      </c>
      <c r="N1006" t="s">
        <v>27</v>
      </c>
      <c r="O1006" t="s">
        <v>29</v>
      </c>
      <c r="P1006">
        <v>2.2999999999999998</v>
      </c>
      <c r="Q1006" t="s">
        <v>212</v>
      </c>
      <c r="R1006" t="str">
        <f>_xlfn.CONCAT(laptop[[#This Row],[CPU_company]]," ",laptop[[#This Row],[CPU_model]])</f>
        <v>Intel Core i5 6200U</v>
      </c>
      <c r="S1006">
        <v>128</v>
      </c>
      <c r="T1006">
        <v>0</v>
      </c>
      <c r="U1006">
        <f>laptop[[#This Row],[PrimaryStorage]]+laptop[[#This Row],[SecondaryStorage]]</f>
        <v>128</v>
      </c>
      <c r="V1006" t="s">
        <v>31</v>
      </c>
      <c r="W1006" t="s">
        <v>27</v>
      </c>
      <c r="X1006" t="str">
        <f>IF(laptop[[#This Row],[PrimaryStorageType]]=laptop[[#This Row],[SecondaryStorageType]],laptop[[#This Row],[PrimaryStorageType]],"SSD &amp; HDD")</f>
        <v>SSD &amp; HDD</v>
      </c>
      <c r="Y1006" t="s">
        <v>63</v>
      </c>
      <c r="Z1006" s="4" t="str">
        <f>_xlfn.CONCAT(laptop[[#This Row],[CPU_company]]," ",laptop[[#This Row],[GPU_model]])</f>
        <v>Intel HD Graphics 520</v>
      </c>
    </row>
    <row r="1007" spans="1:26" x14ac:dyDescent="0.25">
      <c r="A1007" t="s">
        <v>36</v>
      </c>
      <c r="B1007" t="s">
        <v>226</v>
      </c>
      <c r="C1007" t="s">
        <v>38</v>
      </c>
      <c r="D1007">
        <v>14</v>
      </c>
      <c r="E1007">
        <v>4</v>
      </c>
      <c r="F1007" t="s">
        <v>48</v>
      </c>
      <c r="G1007">
        <v>1.48</v>
      </c>
      <c r="H1007" s="16">
        <v>1099.99</v>
      </c>
      <c r="I1007" t="s">
        <v>26</v>
      </c>
      <c r="J1007">
        <v>1366</v>
      </c>
      <c r="K1007">
        <v>768</v>
      </c>
      <c r="L1007" t="s">
        <v>27</v>
      </c>
      <c r="M1007" t="s">
        <v>27</v>
      </c>
      <c r="N1007" t="s">
        <v>27</v>
      </c>
      <c r="O1007" t="s">
        <v>29</v>
      </c>
      <c r="P1007">
        <v>2.4</v>
      </c>
      <c r="Q1007" t="s">
        <v>562</v>
      </c>
      <c r="R1007" t="str">
        <f>_xlfn.CONCAT(laptop[[#This Row],[CPU_company]]," ",laptop[[#This Row],[CPU_model]])</f>
        <v>Intel Core i5 6300U</v>
      </c>
      <c r="S1007">
        <v>256</v>
      </c>
      <c r="T1007">
        <v>0</v>
      </c>
      <c r="U1007">
        <f>laptop[[#This Row],[PrimaryStorage]]+laptop[[#This Row],[SecondaryStorage]]</f>
        <v>256</v>
      </c>
      <c r="V1007" t="s">
        <v>31</v>
      </c>
      <c r="W1007" t="s">
        <v>27</v>
      </c>
      <c r="X1007" t="str">
        <f>IF(laptop[[#This Row],[PrimaryStorageType]]=laptop[[#This Row],[SecondaryStorageType]],laptop[[#This Row],[PrimaryStorageType]],"SSD &amp; HDD")</f>
        <v>SSD &amp; HDD</v>
      </c>
      <c r="Y1007" t="s">
        <v>63</v>
      </c>
      <c r="Z1007" s="4" t="str">
        <f>_xlfn.CONCAT(laptop[[#This Row],[CPU_company]]," ",laptop[[#This Row],[GPU_model]])</f>
        <v>Intel HD Graphics 520</v>
      </c>
    </row>
    <row r="1008" spans="1:26" x14ac:dyDescent="0.25">
      <c r="A1008" t="s">
        <v>36</v>
      </c>
      <c r="B1008" t="s">
        <v>344</v>
      </c>
      <c r="C1008" t="s">
        <v>38</v>
      </c>
      <c r="D1008">
        <v>14</v>
      </c>
      <c r="E1008">
        <v>4</v>
      </c>
      <c r="F1008" t="s">
        <v>48</v>
      </c>
      <c r="G1008">
        <v>1.95</v>
      </c>
      <c r="H1008" s="16">
        <v>1205</v>
      </c>
      <c r="I1008" t="s">
        <v>40</v>
      </c>
      <c r="J1008">
        <v>1920</v>
      </c>
      <c r="K1008">
        <v>1080</v>
      </c>
      <c r="L1008" t="s">
        <v>27</v>
      </c>
      <c r="M1008" t="s">
        <v>27</v>
      </c>
      <c r="N1008" t="s">
        <v>27</v>
      </c>
      <c r="O1008" t="s">
        <v>29</v>
      </c>
      <c r="P1008">
        <v>2.5</v>
      </c>
      <c r="Q1008" t="s">
        <v>41</v>
      </c>
      <c r="R1008" t="str">
        <f>_xlfn.CONCAT(laptop[[#This Row],[CPU_company]]," ",laptop[[#This Row],[CPU_model]])</f>
        <v>Intel Core i5 7200U</v>
      </c>
      <c r="S1008">
        <v>256</v>
      </c>
      <c r="T1008">
        <v>0</v>
      </c>
      <c r="U1008">
        <f>laptop[[#This Row],[PrimaryStorage]]+laptop[[#This Row],[SecondaryStorage]]</f>
        <v>256</v>
      </c>
      <c r="V1008" t="s">
        <v>31</v>
      </c>
      <c r="W1008" t="s">
        <v>27</v>
      </c>
      <c r="X1008" t="str">
        <f>IF(laptop[[#This Row],[PrimaryStorageType]]=laptop[[#This Row],[SecondaryStorageType]],laptop[[#This Row],[PrimaryStorageType]],"SSD &amp; HDD")</f>
        <v>SSD &amp; HDD</v>
      </c>
      <c r="Y1008" t="s">
        <v>42</v>
      </c>
      <c r="Z1008" s="4" t="str">
        <f>_xlfn.CONCAT(laptop[[#This Row],[CPU_company]]," ",laptop[[#This Row],[GPU_model]])</f>
        <v>Intel HD Graphics 620</v>
      </c>
    </row>
    <row r="1009" spans="1:26" x14ac:dyDescent="0.25">
      <c r="A1009" t="s">
        <v>36</v>
      </c>
      <c r="B1009" t="s">
        <v>405</v>
      </c>
      <c r="C1009" t="s">
        <v>24</v>
      </c>
      <c r="D1009">
        <v>14</v>
      </c>
      <c r="E1009">
        <v>8</v>
      </c>
      <c r="F1009" t="s">
        <v>480</v>
      </c>
      <c r="G1009">
        <v>1.43</v>
      </c>
      <c r="H1009" s="16">
        <v>1449</v>
      </c>
      <c r="I1009" t="s">
        <v>40</v>
      </c>
      <c r="J1009">
        <v>1920</v>
      </c>
      <c r="K1009">
        <v>1080</v>
      </c>
      <c r="L1009" t="s">
        <v>27</v>
      </c>
      <c r="M1009" t="s">
        <v>27</v>
      </c>
      <c r="N1009" t="s">
        <v>27</v>
      </c>
      <c r="O1009" t="s">
        <v>29</v>
      </c>
      <c r="P1009">
        <v>2.6</v>
      </c>
      <c r="Q1009" t="s">
        <v>309</v>
      </c>
      <c r="R1009" t="str">
        <f>_xlfn.CONCAT(laptop[[#This Row],[CPU_company]]," ",laptop[[#This Row],[CPU_model]])</f>
        <v>Intel Core i7 6600U</v>
      </c>
      <c r="S1009">
        <v>256</v>
      </c>
      <c r="T1009">
        <v>0</v>
      </c>
      <c r="U1009">
        <f>laptop[[#This Row],[PrimaryStorage]]+laptop[[#This Row],[SecondaryStorage]]</f>
        <v>256</v>
      </c>
      <c r="V1009" t="s">
        <v>31</v>
      </c>
      <c r="W1009" t="s">
        <v>27</v>
      </c>
      <c r="X1009" t="str">
        <f>IF(laptop[[#This Row],[PrimaryStorageType]]=laptop[[#This Row],[SecondaryStorageType]],laptop[[#This Row],[PrimaryStorageType]],"SSD &amp; HDD")</f>
        <v>SSD &amp; HDD</v>
      </c>
      <c r="Y1009" t="s">
        <v>63</v>
      </c>
      <c r="Z1009" s="4" t="str">
        <f>_xlfn.CONCAT(laptop[[#This Row],[CPU_company]]," ",laptop[[#This Row],[GPU_model]])</f>
        <v>Intel HD Graphics 520</v>
      </c>
    </row>
    <row r="1010" spans="1:26" x14ac:dyDescent="0.25">
      <c r="A1010" t="s">
        <v>36</v>
      </c>
      <c r="B1010" t="s">
        <v>164</v>
      </c>
      <c r="C1010" t="s">
        <v>38</v>
      </c>
      <c r="D1010">
        <v>14</v>
      </c>
      <c r="E1010">
        <v>8</v>
      </c>
      <c r="F1010" t="s">
        <v>48</v>
      </c>
      <c r="G1010">
        <v>1.64</v>
      </c>
      <c r="H1010" s="16">
        <v>1049.26</v>
      </c>
      <c r="I1010" t="s">
        <v>40</v>
      </c>
      <c r="J1010">
        <v>1920</v>
      </c>
      <c r="K1010">
        <v>1080</v>
      </c>
      <c r="L1010" t="s">
        <v>27</v>
      </c>
      <c r="M1010" t="s">
        <v>27</v>
      </c>
      <c r="N1010" t="s">
        <v>27</v>
      </c>
      <c r="O1010" t="s">
        <v>29</v>
      </c>
      <c r="P1010">
        <v>2.5</v>
      </c>
      <c r="Q1010" t="s">
        <v>41</v>
      </c>
      <c r="R1010" t="str">
        <f>_xlfn.CONCAT(laptop[[#This Row],[CPU_company]]," ",laptop[[#This Row],[CPU_model]])</f>
        <v>Intel Core i5 7200U</v>
      </c>
      <c r="S1010">
        <v>256</v>
      </c>
      <c r="T1010">
        <v>0</v>
      </c>
      <c r="U1010">
        <f>laptop[[#This Row],[PrimaryStorage]]+laptop[[#This Row],[SecondaryStorage]]</f>
        <v>256</v>
      </c>
      <c r="V1010" t="s">
        <v>31</v>
      </c>
      <c r="W1010" t="s">
        <v>27</v>
      </c>
      <c r="X1010" t="str">
        <f>IF(laptop[[#This Row],[PrimaryStorageType]]=laptop[[#This Row],[SecondaryStorageType]],laptop[[#This Row],[PrimaryStorageType]],"SSD &amp; HDD")</f>
        <v>SSD &amp; HDD</v>
      </c>
      <c r="Y1010" t="s">
        <v>98</v>
      </c>
      <c r="Z1010" s="4" t="str">
        <f>_xlfn.CONCAT(laptop[[#This Row],[CPU_company]]," ",laptop[[#This Row],[GPU_model]])</f>
        <v>Intel GeForce 930MX</v>
      </c>
    </row>
    <row r="1011" spans="1:26" x14ac:dyDescent="0.25">
      <c r="A1011" t="s">
        <v>36</v>
      </c>
      <c r="B1011" t="s">
        <v>191</v>
      </c>
      <c r="C1011" t="s">
        <v>38</v>
      </c>
      <c r="D1011">
        <v>14</v>
      </c>
      <c r="E1011">
        <v>4</v>
      </c>
      <c r="F1011" t="s">
        <v>48</v>
      </c>
      <c r="G1011">
        <v>1.64</v>
      </c>
      <c r="H1011" s="16">
        <v>684</v>
      </c>
      <c r="I1011" t="s">
        <v>26</v>
      </c>
      <c r="J1011">
        <v>1366</v>
      </c>
      <c r="K1011">
        <v>768</v>
      </c>
      <c r="L1011" t="s">
        <v>27</v>
      </c>
      <c r="M1011" t="s">
        <v>27</v>
      </c>
      <c r="N1011" t="s">
        <v>27</v>
      </c>
      <c r="O1011" t="s">
        <v>29</v>
      </c>
      <c r="P1011">
        <v>2.4</v>
      </c>
      <c r="Q1011" t="s">
        <v>75</v>
      </c>
      <c r="R1011" t="str">
        <f>_xlfn.CONCAT(laptop[[#This Row],[CPU_company]]," ",laptop[[#This Row],[CPU_model]])</f>
        <v>Intel Core i3 7100U</v>
      </c>
      <c r="S1011">
        <v>500</v>
      </c>
      <c r="T1011">
        <v>0</v>
      </c>
      <c r="U1011">
        <f>laptop[[#This Row],[PrimaryStorage]]+laptop[[#This Row],[SecondaryStorage]]</f>
        <v>500</v>
      </c>
      <c r="V1011" t="s">
        <v>51</v>
      </c>
      <c r="W1011" t="s">
        <v>27</v>
      </c>
      <c r="X1011" t="str">
        <f>IF(laptop[[#This Row],[PrimaryStorageType]]=laptop[[#This Row],[SecondaryStorageType]],laptop[[#This Row],[PrimaryStorageType]],"SSD &amp; HDD")</f>
        <v>SSD &amp; HDD</v>
      </c>
      <c r="Y1011" t="s">
        <v>42</v>
      </c>
      <c r="Z1011" s="4" t="str">
        <f>_xlfn.CONCAT(laptop[[#This Row],[CPU_company]]," ",laptop[[#This Row],[GPU_model]])</f>
        <v>Intel HD Graphics 620</v>
      </c>
    </row>
    <row r="1012" spans="1:26" x14ac:dyDescent="0.25">
      <c r="A1012" t="s">
        <v>65</v>
      </c>
      <c r="B1012" t="s">
        <v>222</v>
      </c>
      <c r="C1012" t="s">
        <v>83</v>
      </c>
      <c r="D1012">
        <v>15.6</v>
      </c>
      <c r="E1012">
        <v>8</v>
      </c>
      <c r="F1012" t="s">
        <v>48</v>
      </c>
      <c r="G1012">
        <v>2.65</v>
      </c>
      <c r="H1012" s="16">
        <v>949</v>
      </c>
      <c r="I1012" t="s">
        <v>40</v>
      </c>
      <c r="J1012">
        <v>1920</v>
      </c>
      <c r="K1012">
        <v>1080</v>
      </c>
      <c r="L1012" t="s">
        <v>27</v>
      </c>
      <c r="M1012" t="s">
        <v>27</v>
      </c>
      <c r="N1012" t="s">
        <v>27</v>
      </c>
      <c r="O1012" t="s">
        <v>29</v>
      </c>
      <c r="P1012">
        <v>2.5</v>
      </c>
      <c r="Q1012" t="s">
        <v>84</v>
      </c>
      <c r="R1012" t="str">
        <f>_xlfn.CONCAT(laptop[[#This Row],[CPU_company]]," ",laptop[[#This Row],[CPU_model]])</f>
        <v>Intel Core i5 7300HQ</v>
      </c>
      <c r="S1012">
        <v>1024</v>
      </c>
      <c r="T1012">
        <v>0</v>
      </c>
      <c r="U1012">
        <f>laptop[[#This Row],[PrimaryStorage]]+laptop[[#This Row],[SecondaryStorage]]</f>
        <v>1024</v>
      </c>
      <c r="V1012" t="s">
        <v>223</v>
      </c>
      <c r="W1012" t="s">
        <v>27</v>
      </c>
      <c r="X1012" t="str">
        <f>IF(laptop[[#This Row],[PrimaryStorageType]]=laptop[[#This Row],[SecondaryStorageType]],laptop[[#This Row],[PrimaryStorageType]],"SSD &amp; HDD")</f>
        <v>SSD &amp; HDD</v>
      </c>
      <c r="Y1012" t="s">
        <v>85</v>
      </c>
      <c r="Z1012" s="4" t="str">
        <f>_xlfn.CONCAT(laptop[[#This Row],[CPU_company]]," ",laptop[[#This Row],[GPU_model]])</f>
        <v>Intel GeForce GTX 1050</v>
      </c>
    </row>
    <row r="1013" spans="1:26" x14ac:dyDescent="0.25">
      <c r="A1013" t="s">
        <v>36</v>
      </c>
      <c r="B1013" t="s">
        <v>639</v>
      </c>
      <c r="C1013" t="s">
        <v>24</v>
      </c>
      <c r="D1013">
        <v>12.5</v>
      </c>
      <c r="E1013">
        <v>4</v>
      </c>
      <c r="F1013" t="s">
        <v>48</v>
      </c>
      <c r="G1013">
        <v>1.26</v>
      </c>
      <c r="H1013" s="16">
        <v>1539</v>
      </c>
      <c r="I1013" t="s">
        <v>40</v>
      </c>
      <c r="J1013">
        <v>1920</v>
      </c>
      <c r="K1013">
        <v>1080</v>
      </c>
      <c r="L1013" t="s">
        <v>27</v>
      </c>
      <c r="M1013" t="s">
        <v>27</v>
      </c>
      <c r="N1013" t="s">
        <v>27</v>
      </c>
      <c r="O1013" t="s">
        <v>29</v>
      </c>
      <c r="P1013">
        <v>2.5</v>
      </c>
      <c r="Q1013" t="s">
        <v>41</v>
      </c>
      <c r="R1013" t="str">
        <f>_xlfn.CONCAT(laptop[[#This Row],[CPU_company]]," ",laptop[[#This Row],[CPU_model]])</f>
        <v>Intel Core i5 7200U</v>
      </c>
      <c r="S1013">
        <v>500</v>
      </c>
      <c r="T1013">
        <v>0</v>
      </c>
      <c r="U1013">
        <f>laptop[[#This Row],[PrimaryStorage]]+laptop[[#This Row],[SecondaryStorage]]</f>
        <v>500</v>
      </c>
      <c r="V1013" t="s">
        <v>51</v>
      </c>
      <c r="W1013" t="s">
        <v>27</v>
      </c>
      <c r="X1013" t="str">
        <f>IF(laptop[[#This Row],[PrimaryStorageType]]=laptop[[#This Row],[SecondaryStorageType]],laptop[[#This Row],[PrimaryStorageType]],"SSD &amp; HDD")</f>
        <v>SSD &amp; HDD</v>
      </c>
      <c r="Y1013" t="s">
        <v>42</v>
      </c>
      <c r="Z1013" s="4" t="str">
        <f>_xlfn.CONCAT(laptop[[#This Row],[CPU_company]]," ",laptop[[#This Row],[GPU_model]])</f>
        <v>Intel HD Graphics 620</v>
      </c>
    </row>
    <row r="1014" spans="1:26" x14ac:dyDescent="0.25">
      <c r="A1014" t="s">
        <v>36</v>
      </c>
      <c r="B1014" t="s">
        <v>348</v>
      </c>
      <c r="C1014" t="s">
        <v>38</v>
      </c>
      <c r="D1014">
        <v>14</v>
      </c>
      <c r="E1014">
        <v>4</v>
      </c>
      <c r="F1014" t="s">
        <v>48</v>
      </c>
      <c r="G1014">
        <v>1.48</v>
      </c>
      <c r="H1014" s="16">
        <v>1590</v>
      </c>
      <c r="I1014" t="s">
        <v>40</v>
      </c>
      <c r="J1014">
        <v>1920</v>
      </c>
      <c r="K1014">
        <v>1080</v>
      </c>
      <c r="L1014" t="s">
        <v>27</v>
      </c>
      <c r="M1014" t="s">
        <v>27</v>
      </c>
      <c r="N1014" t="s">
        <v>27</v>
      </c>
      <c r="O1014" t="s">
        <v>29</v>
      </c>
      <c r="P1014">
        <v>2.5</v>
      </c>
      <c r="Q1014" t="s">
        <v>41</v>
      </c>
      <c r="R1014" t="str">
        <f>_xlfn.CONCAT(laptop[[#This Row],[CPU_company]]," ",laptop[[#This Row],[CPU_model]])</f>
        <v>Intel Core i5 7200U</v>
      </c>
      <c r="S1014">
        <v>256</v>
      </c>
      <c r="T1014">
        <v>0</v>
      </c>
      <c r="U1014">
        <f>laptop[[#This Row],[PrimaryStorage]]+laptop[[#This Row],[SecondaryStorage]]</f>
        <v>256</v>
      </c>
      <c r="V1014" t="s">
        <v>31</v>
      </c>
      <c r="W1014" t="s">
        <v>27</v>
      </c>
      <c r="X1014" t="str">
        <f>IF(laptop[[#This Row],[PrimaryStorageType]]=laptop[[#This Row],[SecondaryStorageType]],laptop[[#This Row],[PrimaryStorageType]],"SSD &amp; HDD")</f>
        <v>SSD &amp; HDD</v>
      </c>
      <c r="Y1014" t="s">
        <v>42</v>
      </c>
      <c r="Z1014" s="4" t="str">
        <f>_xlfn.CONCAT(laptop[[#This Row],[CPU_company]]," ",laptop[[#This Row],[GPU_model]])</f>
        <v>Intel HD Graphics 620</v>
      </c>
    </row>
    <row r="1015" spans="1:26" x14ac:dyDescent="0.25">
      <c r="A1015" t="s">
        <v>36</v>
      </c>
      <c r="B1015" t="s">
        <v>226</v>
      </c>
      <c r="C1015" t="s">
        <v>24</v>
      </c>
      <c r="D1015">
        <v>14</v>
      </c>
      <c r="E1015">
        <v>8</v>
      </c>
      <c r="F1015" t="s">
        <v>48</v>
      </c>
      <c r="G1015">
        <v>1.54</v>
      </c>
      <c r="H1015" s="16">
        <v>1887.21</v>
      </c>
      <c r="I1015" t="s">
        <v>40</v>
      </c>
      <c r="J1015">
        <v>1920</v>
      </c>
      <c r="K1015">
        <v>1080</v>
      </c>
      <c r="L1015" t="s">
        <v>27</v>
      </c>
      <c r="M1015" t="s">
        <v>27</v>
      </c>
      <c r="N1015" t="s">
        <v>27</v>
      </c>
      <c r="O1015" t="s">
        <v>29</v>
      </c>
      <c r="P1015">
        <v>2.5</v>
      </c>
      <c r="Q1015" t="s">
        <v>274</v>
      </c>
      <c r="R1015" t="str">
        <f>_xlfn.CONCAT(laptop[[#This Row],[CPU_company]]," ",laptop[[#This Row],[CPU_model]])</f>
        <v>Intel Core i7 6500U</v>
      </c>
      <c r="S1015">
        <v>256</v>
      </c>
      <c r="T1015">
        <v>0</v>
      </c>
      <c r="U1015">
        <f>laptop[[#This Row],[PrimaryStorage]]+laptop[[#This Row],[SecondaryStorage]]</f>
        <v>256</v>
      </c>
      <c r="V1015" t="s">
        <v>31</v>
      </c>
      <c r="W1015" t="s">
        <v>27</v>
      </c>
      <c r="X1015" t="str">
        <f>IF(laptop[[#This Row],[PrimaryStorageType]]=laptop[[#This Row],[SecondaryStorageType]],laptop[[#This Row],[PrimaryStorageType]],"SSD &amp; HDD")</f>
        <v>SSD &amp; HDD</v>
      </c>
      <c r="Y1015" t="s">
        <v>63</v>
      </c>
      <c r="Z1015" s="4" t="str">
        <f>_xlfn.CONCAT(laptop[[#This Row],[CPU_company]]," ",laptop[[#This Row],[GPU_model]])</f>
        <v>Intel HD Graphics 520</v>
      </c>
    </row>
    <row r="1016" spans="1:26" x14ac:dyDescent="0.25">
      <c r="A1016" t="s">
        <v>36</v>
      </c>
      <c r="B1016" t="s">
        <v>174</v>
      </c>
      <c r="C1016" t="s">
        <v>38</v>
      </c>
      <c r="D1016">
        <v>13.3</v>
      </c>
      <c r="E1016">
        <v>4</v>
      </c>
      <c r="F1016" t="s">
        <v>48</v>
      </c>
      <c r="G1016">
        <v>1.49</v>
      </c>
      <c r="H1016" s="16">
        <v>800</v>
      </c>
      <c r="I1016" t="s">
        <v>26</v>
      </c>
      <c r="J1016">
        <v>1366</v>
      </c>
      <c r="K1016">
        <v>768</v>
      </c>
      <c r="L1016" t="s">
        <v>27</v>
      </c>
      <c r="M1016" t="s">
        <v>27</v>
      </c>
      <c r="N1016" t="s">
        <v>27</v>
      </c>
      <c r="O1016" t="s">
        <v>29</v>
      </c>
      <c r="P1016">
        <v>2.4</v>
      </c>
      <c r="Q1016" t="s">
        <v>75</v>
      </c>
      <c r="R1016" t="str">
        <f>_xlfn.CONCAT(laptop[[#This Row],[CPU_company]]," ",laptop[[#This Row],[CPU_model]])</f>
        <v>Intel Core i3 7100U</v>
      </c>
      <c r="S1016">
        <v>500</v>
      </c>
      <c r="T1016">
        <v>0</v>
      </c>
      <c r="U1016">
        <f>laptop[[#This Row],[PrimaryStorage]]+laptop[[#This Row],[SecondaryStorage]]</f>
        <v>500</v>
      </c>
      <c r="V1016" t="s">
        <v>51</v>
      </c>
      <c r="W1016" t="s">
        <v>27</v>
      </c>
      <c r="X1016" t="str">
        <f>IF(laptop[[#This Row],[PrimaryStorageType]]=laptop[[#This Row],[SecondaryStorageType]],laptop[[#This Row],[PrimaryStorageType]],"SSD &amp; HDD")</f>
        <v>SSD &amp; HDD</v>
      </c>
      <c r="Y1016" t="s">
        <v>42</v>
      </c>
      <c r="Z1016" s="4" t="str">
        <f>_xlfn.CONCAT(laptop[[#This Row],[CPU_company]]," ",laptop[[#This Row],[GPU_model]])</f>
        <v>Intel HD Graphics 620</v>
      </c>
    </row>
    <row r="1017" spans="1:26" x14ac:dyDescent="0.25">
      <c r="A1017" t="s">
        <v>210</v>
      </c>
      <c r="B1017" t="s">
        <v>757</v>
      </c>
      <c r="C1017" t="s">
        <v>38</v>
      </c>
      <c r="D1017">
        <v>13.3</v>
      </c>
      <c r="E1017">
        <v>8</v>
      </c>
      <c r="F1017" t="s">
        <v>48</v>
      </c>
      <c r="G1017">
        <v>1.5</v>
      </c>
      <c r="H1017" s="16">
        <v>1210</v>
      </c>
      <c r="I1017" t="s">
        <v>26</v>
      </c>
      <c r="J1017">
        <v>1366</v>
      </c>
      <c r="K1017">
        <v>768</v>
      </c>
      <c r="L1017" t="s">
        <v>27</v>
      </c>
      <c r="M1017" t="s">
        <v>27</v>
      </c>
      <c r="N1017" t="s">
        <v>27</v>
      </c>
      <c r="O1017" t="s">
        <v>29</v>
      </c>
      <c r="P1017">
        <v>2.2999999999999998</v>
      </c>
      <c r="Q1017" t="s">
        <v>212</v>
      </c>
      <c r="R1017" t="str">
        <f>_xlfn.CONCAT(laptop[[#This Row],[CPU_company]]," ",laptop[[#This Row],[CPU_model]])</f>
        <v>Intel Core i5 6200U</v>
      </c>
      <c r="S1017">
        <v>256</v>
      </c>
      <c r="T1017">
        <v>0</v>
      </c>
      <c r="U1017">
        <f>laptop[[#This Row],[PrimaryStorage]]+laptop[[#This Row],[SecondaryStorage]]</f>
        <v>256</v>
      </c>
      <c r="V1017" t="s">
        <v>31</v>
      </c>
      <c r="W1017" t="s">
        <v>27</v>
      </c>
      <c r="X1017" t="str">
        <f>IF(laptop[[#This Row],[PrimaryStorageType]]=laptop[[#This Row],[SecondaryStorageType]],laptop[[#This Row],[PrimaryStorageType]],"SSD &amp; HDD")</f>
        <v>SSD &amp; HDD</v>
      </c>
      <c r="Y1017" t="s">
        <v>63</v>
      </c>
      <c r="Z1017" s="4" t="str">
        <f>_xlfn.CONCAT(laptop[[#This Row],[CPU_company]]," ",laptop[[#This Row],[GPU_model]])</f>
        <v>Intel HD Graphics 520</v>
      </c>
    </row>
    <row r="1018" spans="1:26" x14ac:dyDescent="0.25">
      <c r="A1018" t="s">
        <v>36</v>
      </c>
      <c r="B1018" t="s">
        <v>114</v>
      </c>
      <c r="C1018" t="s">
        <v>38</v>
      </c>
      <c r="D1018">
        <v>15.6</v>
      </c>
      <c r="E1018">
        <v>4</v>
      </c>
      <c r="F1018" t="s">
        <v>48</v>
      </c>
      <c r="G1018">
        <v>2.04</v>
      </c>
      <c r="H1018" s="16">
        <v>769.99</v>
      </c>
      <c r="I1018" t="s">
        <v>26</v>
      </c>
      <c r="J1018">
        <v>1366</v>
      </c>
      <c r="K1018">
        <v>768</v>
      </c>
      <c r="L1018" t="s">
        <v>27</v>
      </c>
      <c r="M1018" t="s">
        <v>27</v>
      </c>
      <c r="N1018" t="s">
        <v>27</v>
      </c>
      <c r="O1018" t="s">
        <v>29</v>
      </c>
      <c r="P1018">
        <v>2.4</v>
      </c>
      <c r="Q1018" t="s">
        <v>75</v>
      </c>
      <c r="R1018" t="str">
        <f>_xlfn.CONCAT(laptop[[#This Row],[CPU_company]]," ",laptop[[#This Row],[CPU_model]])</f>
        <v>Intel Core i3 7100U</v>
      </c>
      <c r="S1018">
        <v>256</v>
      </c>
      <c r="T1018">
        <v>0</v>
      </c>
      <c r="U1018">
        <f>laptop[[#This Row],[PrimaryStorage]]+laptop[[#This Row],[SecondaryStorage]]</f>
        <v>256</v>
      </c>
      <c r="V1018" t="s">
        <v>31</v>
      </c>
      <c r="W1018" t="s">
        <v>27</v>
      </c>
      <c r="X1018" t="str">
        <f>IF(laptop[[#This Row],[PrimaryStorageType]]=laptop[[#This Row],[SecondaryStorageType]],laptop[[#This Row],[PrimaryStorageType]],"SSD &amp; HDD")</f>
        <v>SSD &amp; HDD</v>
      </c>
      <c r="Y1018" t="s">
        <v>42</v>
      </c>
      <c r="Z1018" s="4" t="str">
        <f>_xlfn.CONCAT(laptop[[#This Row],[CPU_company]]," ",laptop[[#This Row],[GPU_model]])</f>
        <v>Intel HD Graphics 620</v>
      </c>
    </row>
    <row r="1019" spans="1:26" x14ac:dyDescent="0.25">
      <c r="A1019" t="s">
        <v>73</v>
      </c>
      <c r="B1019" t="s">
        <v>758</v>
      </c>
      <c r="C1019" t="s">
        <v>38</v>
      </c>
      <c r="D1019">
        <v>17.3</v>
      </c>
      <c r="E1019">
        <v>16</v>
      </c>
      <c r="F1019" t="s">
        <v>480</v>
      </c>
      <c r="G1019">
        <v>2.4</v>
      </c>
      <c r="H1019" s="16">
        <v>2968</v>
      </c>
      <c r="I1019" t="s">
        <v>215</v>
      </c>
      <c r="J1019">
        <v>3840</v>
      </c>
      <c r="K1019">
        <v>2160</v>
      </c>
      <c r="L1019" t="s">
        <v>27</v>
      </c>
      <c r="M1019" t="s">
        <v>28</v>
      </c>
      <c r="N1019" t="s">
        <v>27</v>
      </c>
      <c r="O1019" t="s">
        <v>29</v>
      </c>
      <c r="P1019">
        <v>2.7</v>
      </c>
      <c r="Q1019" t="s">
        <v>388</v>
      </c>
      <c r="R1019" t="str">
        <f>_xlfn.CONCAT(laptop[[#This Row],[CPU_company]]," ",laptop[[#This Row],[CPU_model]])</f>
        <v>Intel Core i7 6820HQ</v>
      </c>
      <c r="S1019">
        <v>512</v>
      </c>
      <c r="T1019">
        <v>0</v>
      </c>
      <c r="U1019">
        <f>laptop[[#This Row],[PrimaryStorage]]+laptop[[#This Row],[SecondaryStorage]]</f>
        <v>512</v>
      </c>
      <c r="V1019" t="s">
        <v>31</v>
      </c>
      <c r="W1019" t="s">
        <v>27</v>
      </c>
      <c r="X1019" t="str">
        <f>IF(laptop[[#This Row],[PrimaryStorageType]]=laptop[[#This Row],[SecondaryStorageType]],laptop[[#This Row],[PrimaryStorageType]],"SSD &amp; HDD")</f>
        <v>SSD &amp; HDD</v>
      </c>
      <c r="Y1019" t="s">
        <v>759</v>
      </c>
      <c r="Z1019" s="4" t="str">
        <f>_xlfn.CONCAT(laptop[[#This Row],[CPU_company]]," ",laptop[[#This Row],[GPU_model]])</f>
        <v>Intel Quadro 3000M</v>
      </c>
    </row>
    <row r="1020" spans="1:26" x14ac:dyDescent="0.25">
      <c r="A1020" t="s">
        <v>210</v>
      </c>
      <c r="B1020" t="s">
        <v>760</v>
      </c>
      <c r="C1020" t="s">
        <v>38</v>
      </c>
      <c r="D1020">
        <v>14</v>
      </c>
      <c r="E1020">
        <v>8</v>
      </c>
      <c r="F1020" t="s">
        <v>48</v>
      </c>
      <c r="G1020">
        <v>1.47</v>
      </c>
      <c r="H1020" s="16">
        <v>1490</v>
      </c>
      <c r="I1020" t="s">
        <v>40</v>
      </c>
      <c r="J1020">
        <v>1920</v>
      </c>
      <c r="K1020">
        <v>1080</v>
      </c>
      <c r="L1020" t="s">
        <v>27</v>
      </c>
      <c r="M1020" t="s">
        <v>28</v>
      </c>
      <c r="N1020" t="s">
        <v>27</v>
      </c>
      <c r="O1020" t="s">
        <v>29</v>
      </c>
      <c r="P1020">
        <v>2.2999999999999998</v>
      </c>
      <c r="Q1020" t="s">
        <v>212</v>
      </c>
      <c r="R1020" t="str">
        <f>_xlfn.CONCAT(laptop[[#This Row],[CPU_company]]," ",laptop[[#This Row],[CPU_model]])</f>
        <v>Intel Core i5 6200U</v>
      </c>
      <c r="S1020">
        <v>256</v>
      </c>
      <c r="T1020">
        <v>0</v>
      </c>
      <c r="U1020">
        <f>laptop[[#This Row],[PrimaryStorage]]+laptop[[#This Row],[SecondaryStorage]]</f>
        <v>256</v>
      </c>
      <c r="V1020" t="s">
        <v>31</v>
      </c>
      <c r="W1020" t="s">
        <v>27</v>
      </c>
      <c r="X1020" t="str">
        <f>IF(laptop[[#This Row],[PrimaryStorageType]]=laptop[[#This Row],[SecondaryStorageType]],laptop[[#This Row],[PrimaryStorageType]],"SSD &amp; HDD")</f>
        <v>SSD &amp; HDD</v>
      </c>
      <c r="Y1020" t="s">
        <v>63</v>
      </c>
      <c r="Z1020" s="4" t="str">
        <f>_xlfn.CONCAT(laptop[[#This Row],[CPU_company]]," ",laptop[[#This Row],[GPU_model]])</f>
        <v>Intel HD Graphics 520</v>
      </c>
    </row>
    <row r="1021" spans="1:26" x14ac:dyDescent="0.25">
      <c r="A1021" t="s">
        <v>36</v>
      </c>
      <c r="B1021" t="s">
        <v>405</v>
      </c>
      <c r="C1021" t="s">
        <v>38</v>
      </c>
      <c r="D1021">
        <v>14</v>
      </c>
      <c r="E1021">
        <v>8</v>
      </c>
      <c r="F1021" t="s">
        <v>48</v>
      </c>
      <c r="G1021">
        <v>1.43</v>
      </c>
      <c r="H1021" s="16">
        <v>2229</v>
      </c>
      <c r="I1021" t="s">
        <v>40</v>
      </c>
      <c r="J1021">
        <v>1920</v>
      </c>
      <c r="K1021">
        <v>1080</v>
      </c>
      <c r="L1021" t="s">
        <v>27</v>
      </c>
      <c r="M1021" t="s">
        <v>27</v>
      </c>
      <c r="N1021" t="s">
        <v>27</v>
      </c>
      <c r="O1021" t="s">
        <v>29</v>
      </c>
      <c r="P1021">
        <v>2.5</v>
      </c>
      <c r="Q1021" t="s">
        <v>274</v>
      </c>
      <c r="R1021" t="str">
        <f>_xlfn.CONCAT(laptop[[#This Row],[CPU_company]]," ",laptop[[#This Row],[CPU_model]])</f>
        <v>Intel Core i7 6500U</v>
      </c>
      <c r="S1021">
        <v>256</v>
      </c>
      <c r="T1021">
        <v>0</v>
      </c>
      <c r="U1021">
        <f>laptop[[#This Row],[PrimaryStorage]]+laptop[[#This Row],[SecondaryStorage]]</f>
        <v>256</v>
      </c>
      <c r="V1021" t="s">
        <v>31</v>
      </c>
      <c r="W1021" t="s">
        <v>27</v>
      </c>
      <c r="X1021" t="str">
        <f>IF(laptop[[#This Row],[PrimaryStorageType]]=laptop[[#This Row],[SecondaryStorageType]],laptop[[#This Row],[PrimaryStorageType]],"SSD &amp; HDD")</f>
        <v>SSD &amp; HDD</v>
      </c>
      <c r="Y1021" t="s">
        <v>63</v>
      </c>
      <c r="Z1021" s="4" t="str">
        <f>_xlfn.CONCAT(laptop[[#This Row],[CPU_company]]," ",laptop[[#This Row],[GPU_model]])</f>
        <v>Intel HD Graphics 520</v>
      </c>
    </row>
    <row r="1022" spans="1:26" x14ac:dyDescent="0.25">
      <c r="A1022" t="s">
        <v>65</v>
      </c>
      <c r="B1022" t="s">
        <v>761</v>
      </c>
      <c r="C1022" t="s">
        <v>90</v>
      </c>
      <c r="D1022">
        <v>15.6</v>
      </c>
      <c r="E1022">
        <v>4</v>
      </c>
      <c r="F1022" t="s">
        <v>48</v>
      </c>
      <c r="G1022">
        <v>2.08</v>
      </c>
      <c r="H1022" s="16">
        <v>795.99</v>
      </c>
      <c r="I1022" t="s">
        <v>40</v>
      </c>
      <c r="J1022">
        <v>1920</v>
      </c>
      <c r="K1022">
        <v>1080</v>
      </c>
      <c r="L1022" t="s">
        <v>28</v>
      </c>
      <c r="M1022" t="s">
        <v>28</v>
      </c>
      <c r="N1022" t="s">
        <v>27</v>
      </c>
      <c r="O1022" t="s">
        <v>29</v>
      </c>
      <c r="P1022">
        <v>2.2999999999999998</v>
      </c>
      <c r="Q1022" t="s">
        <v>450</v>
      </c>
      <c r="R1022" t="str">
        <f>_xlfn.CONCAT(laptop[[#This Row],[CPU_company]]," ",laptop[[#This Row],[CPU_model]])</f>
        <v>Intel Core i3 6100U</v>
      </c>
      <c r="S1022">
        <v>1024</v>
      </c>
      <c r="T1022">
        <v>0</v>
      </c>
      <c r="U1022">
        <f>laptop[[#This Row],[PrimaryStorage]]+laptop[[#This Row],[SecondaryStorage]]</f>
        <v>1024</v>
      </c>
      <c r="V1022" t="s">
        <v>51</v>
      </c>
      <c r="W1022" t="s">
        <v>27</v>
      </c>
      <c r="X1022" t="str">
        <f>IF(laptop[[#This Row],[PrimaryStorageType]]=laptop[[#This Row],[SecondaryStorageType]],laptop[[#This Row],[PrimaryStorageType]],"SSD &amp; HDD")</f>
        <v>SSD &amp; HDD</v>
      </c>
      <c r="Y1022" t="s">
        <v>63</v>
      </c>
      <c r="Z1022" s="4" t="str">
        <f>_xlfn.CONCAT(laptop[[#This Row],[CPU_company]]," ",laptop[[#This Row],[GPU_model]])</f>
        <v>Intel HD Graphics 520</v>
      </c>
    </row>
    <row r="1023" spans="1:26" x14ac:dyDescent="0.25">
      <c r="A1023" t="s">
        <v>210</v>
      </c>
      <c r="B1023" t="s">
        <v>762</v>
      </c>
      <c r="C1023" t="s">
        <v>24</v>
      </c>
      <c r="D1023">
        <v>13.3</v>
      </c>
      <c r="E1023">
        <v>8</v>
      </c>
      <c r="F1023" t="s">
        <v>48</v>
      </c>
      <c r="G1023">
        <v>1.2</v>
      </c>
      <c r="H1023" s="16">
        <v>1590</v>
      </c>
      <c r="I1023" t="s">
        <v>40</v>
      </c>
      <c r="J1023">
        <v>1920</v>
      </c>
      <c r="K1023">
        <v>1080</v>
      </c>
      <c r="L1023" t="s">
        <v>27</v>
      </c>
      <c r="M1023" t="s">
        <v>27</v>
      </c>
      <c r="N1023" t="s">
        <v>27</v>
      </c>
      <c r="O1023" t="s">
        <v>29</v>
      </c>
      <c r="P1023">
        <v>2.2999999999999998</v>
      </c>
      <c r="Q1023" t="s">
        <v>212</v>
      </c>
      <c r="R1023" t="str">
        <f>_xlfn.CONCAT(laptop[[#This Row],[CPU_company]]," ",laptop[[#This Row],[CPU_model]])</f>
        <v>Intel Core i5 6200U</v>
      </c>
      <c r="S1023">
        <v>256</v>
      </c>
      <c r="T1023">
        <v>0</v>
      </c>
      <c r="U1023">
        <f>laptop[[#This Row],[PrimaryStorage]]+laptop[[#This Row],[SecondaryStorage]]</f>
        <v>256</v>
      </c>
      <c r="V1023" t="s">
        <v>31</v>
      </c>
      <c r="W1023" t="s">
        <v>27</v>
      </c>
      <c r="X1023" t="str">
        <f>IF(laptop[[#This Row],[PrimaryStorageType]]=laptop[[#This Row],[SecondaryStorageType]],laptop[[#This Row],[PrimaryStorageType]],"SSD &amp; HDD")</f>
        <v>SSD &amp; HDD</v>
      </c>
      <c r="Y1023" t="s">
        <v>63</v>
      </c>
      <c r="Z1023" s="4" t="str">
        <f>_xlfn.CONCAT(laptop[[#This Row],[CPU_company]]," ",laptop[[#This Row],[GPU_model]])</f>
        <v>Intel HD Graphics 520</v>
      </c>
    </row>
    <row r="1024" spans="1:26" x14ac:dyDescent="0.25">
      <c r="A1024" t="s">
        <v>36</v>
      </c>
      <c r="B1024" t="s">
        <v>763</v>
      </c>
      <c r="C1024" t="s">
        <v>38</v>
      </c>
      <c r="D1024">
        <v>13.3</v>
      </c>
      <c r="E1024">
        <v>8</v>
      </c>
      <c r="F1024" t="s">
        <v>48</v>
      </c>
      <c r="G1024">
        <v>1.1100000000000001</v>
      </c>
      <c r="H1024" s="16">
        <v>1149</v>
      </c>
      <c r="I1024" t="s">
        <v>40</v>
      </c>
      <c r="J1024">
        <v>1920</v>
      </c>
      <c r="K1024">
        <v>1080</v>
      </c>
      <c r="L1024" t="s">
        <v>27</v>
      </c>
      <c r="M1024" t="s">
        <v>28</v>
      </c>
      <c r="N1024" t="s">
        <v>27</v>
      </c>
      <c r="O1024" t="s">
        <v>29</v>
      </c>
      <c r="P1024">
        <v>2.5</v>
      </c>
      <c r="Q1024" t="s">
        <v>41</v>
      </c>
      <c r="R1024" t="str">
        <f>_xlfn.CONCAT(laptop[[#This Row],[CPU_company]]," ",laptop[[#This Row],[CPU_model]])</f>
        <v>Intel Core i5 7200U</v>
      </c>
      <c r="S1024">
        <v>256</v>
      </c>
      <c r="T1024">
        <v>0</v>
      </c>
      <c r="U1024">
        <f>laptop[[#This Row],[PrimaryStorage]]+laptop[[#This Row],[SecondaryStorage]]</f>
        <v>256</v>
      </c>
      <c r="V1024" t="s">
        <v>31</v>
      </c>
      <c r="W1024" t="s">
        <v>27</v>
      </c>
      <c r="X1024" t="str">
        <f>IF(laptop[[#This Row],[PrimaryStorageType]]=laptop[[#This Row],[SecondaryStorageType]],laptop[[#This Row],[PrimaryStorageType]],"SSD &amp; HDD")</f>
        <v>SSD &amp; HDD</v>
      </c>
      <c r="Y1024" t="s">
        <v>42</v>
      </c>
      <c r="Z1024" s="4" t="str">
        <f>_xlfn.CONCAT(laptop[[#This Row],[CPU_company]]," ",laptop[[#This Row],[GPU_model]])</f>
        <v>Intel HD Graphics 620</v>
      </c>
    </row>
    <row r="1025" spans="1:26" x14ac:dyDescent="0.25">
      <c r="A1025" t="s">
        <v>36</v>
      </c>
      <c r="B1025" t="s">
        <v>164</v>
      </c>
      <c r="C1025" t="s">
        <v>38</v>
      </c>
      <c r="D1025">
        <v>14</v>
      </c>
      <c r="E1025">
        <v>8</v>
      </c>
      <c r="F1025" t="s">
        <v>48</v>
      </c>
      <c r="G1025">
        <v>1.64</v>
      </c>
      <c r="H1025" s="16">
        <v>1185.43</v>
      </c>
      <c r="I1025" t="s">
        <v>40</v>
      </c>
      <c r="J1025">
        <v>1920</v>
      </c>
      <c r="K1025">
        <v>1080</v>
      </c>
      <c r="L1025" t="s">
        <v>27</v>
      </c>
      <c r="M1025" t="s">
        <v>27</v>
      </c>
      <c r="N1025" t="s">
        <v>27</v>
      </c>
      <c r="O1025" t="s">
        <v>29</v>
      </c>
      <c r="P1025">
        <v>2.7</v>
      </c>
      <c r="Q1025" t="s">
        <v>71</v>
      </c>
      <c r="R1025" t="str">
        <f>_xlfn.CONCAT(laptop[[#This Row],[CPU_company]]," ",laptop[[#This Row],[CPU_model]])</f>
        <v>Intel Core i7 7500U</v>
      </c>
      <c r="S1025">
        <v>256</v>
      </c>
      <c r="T1025">
        <v>0</v>
      </c>
      <c r="U1025">
        <f>laptop[[#This Row],[PrimaryStorage]]+laptop[[#This Row],[SecondaryStorage]]</f>
        <v>256</v>
      </c>
      <c r="V1025" t="s">
        <v>31</v>
      </c>
      <c r="W1025" t="s">
        <v>27</v>
      </c>
      <c r="X1025" t="str">
        <f>IF(laptop[[#This Row],[PrimaryStorageType]]=laptop[[#This Row],[SecondaryStorageType]],laptop[[#This Row],[PrimaryStorageType]],"SSD &amp; HDD")</f>
        <v>SSD &amp; HDD</v>
      </c>
      <c r="Y1025" t="s">
        <v>98</v>
      </c>
      <c r="Z1025" s="4" t="str">
        <f>_xlfn.CONCAT(laptop[[#This Row],[CPU_company]]," ",laptop[[#This Row],[GPU_model]])</f>
        <v>Intel GeForce 930MX</v>
      </c>
    </row>
    <row r="1026" spans="1:26" x14ac:dyDescent="0.25">
      <c r="A1026" t="s">
        <v>65</v>
      </c>
      <c r="B1026" t="s">
        <v>764</v>
      </c>
      <c r="C1026" t="s">
        <v>38</v>
      </c>
      <c r="D1026">
        <v>15.6</v>
      </c>
      <c r="E1026">
        <v>8</v>
      </c>
      <c r="F1026" t="s">
        <v>48</v>
      </c>
      <c r="G1026">
        <v>2.09</v>
      </c>
      <c r="H1026" s="16">
        <v>1046.44</v>
      </c>
      <c r="I1026" t="s">
        <v>40</v>
      </c>
      <c r="J1026">
        <v>1920</v>
      </c>
      <c r="K1026">
        <v>1080</v>
      </c>
      <c r="L1026" t="s">
        <v>27</v>
      </c>
      <c r="M1026" t="s">
        <v>27</v>
      </c>
      <c r="N1026" t="s">
        <v>27</v>
      </c>
      <c r="O1026" t="s">
        <v>29</v>
      </c>
      <c r="P1026">
        <v>2.4</v>
      </c>
      <c r="Q1026" t="s">
        <v>562</v>
      </c>
      <c r="R1026" t="str">
        <f>_xlfn.CONCAT(laptop[[#This Row],[CPU_company]]," ",laptop[[#This Row],[CPU_model]])</f>
        <v>Intel Core i5 6300U</v>
      </c>
      <c r="S1026">
        <v>500</v>
      </c>
      <c r="T1026">
        <v>0</v>
      </c>
      <c r="U1026">
        <f>laptop[[#This Row],[PrimaryStorage]]+laptop[[#This Row],[SecondaryStorage]]</f>
        <v>500</v>
      </c>
      <c r="V1026" t="s">
        <v>51</v>
      </c>
      <c r="W1026" t="s">
        <v>27</v>
      </c>
      <c r="X1026" t="str">
        <f>IF(laptop[[#This Row],[PrimaryStorageType]]=laptop[[#This Row],[SecondaryStorageType]],laptop[[#This Row],[PrimaryStorageType]],"SSD &amp; HDD")</f>
        <v>SSD &amp; HDD</v>
      </c>
      <c r="Y1026" t="s">
        <v>63</v>
      </c>
      <c r="Z1026" s="4" t="str">
        <f>_xlfn.CONCAT(laptop[[#This Row],[CPU_company]]," ",laptop[[#This Row],[GPU_model]])</f>
        <v>Intel HD Graphics 520</v>
      </c>
    </row>
    <row r="1027" spans="1:26" x14ac:dyDescent="0.25">
      <c r="A1027" t="s">
        <v>36</v>
      </c>
      <c r="B1027" t="s">
        <v>353</v>
      </c>
      <c r="C1027" t="s">
        <v>24</v>
      </c>
      <c r="D1027">
        <v>12.5</v>
      </c>
      <c r="E1027">
        <v>4</v>
      </c>
      <c r="F1027" t="s">
        <v>48</v>
      </c>
      <c r="G1027">
        <v>1.26</v>
      </c>
      <c r="H1027" s="16">
        <v>1559</v>
      </c>
      <c r="I1027" t="s">
        <v>26</v>
      </c>
      <c r="J1027">
        <v>1366</v>
      </c>
      <c r="K1027">
        <v>768</v>
      </c>
      <c r="L1027" t="s">
        <v>27</v>
      </c>
      <c r="M1027" t="s">
        <v>27</v>
      </c>
      <c r="N1027" t="s">
        <v>27</v>
      </c>
      <c r="O1027" t="s">
        <v>29</v>
      </c>
      <c r="P1027">
        <v>2.5</v>
      </c>
      <c r="Q1027" t="s">
        <v>41</v>
      </c>
      <c r="R1027" t="str">
        <f>_xlfn.CONCAT(laptop[[#This Row],[CPU_company]]," ",laptop[[#This Row],[CPU_model]])</f>
        <v>Intel Core i5 7200U</v>
      </c>
      <c r="S1027">
        <v>256</v>
      </c>
      <c r="T1027">
        <v>0</v>
      </c>
      <c r="U1027">
        <f>laptop[[#This Row],[PrimaryStorage]]+laptop[[#This Row],[SecondaryStorage]]</f>
        <v>256</v>
      </c>
      <c r="V1027" t="s">
        <v>31</v>
      </c>
      <c r="W1027" t="s">
        <v>27</v>
      </c>
      <c r="X1027" t="str">
        <f>IF(laptop[[#This Row],[PrimaryStorageType]]=laptop[[#This Row],[SecondaryStorageType]],laptop[[#This Row],[PrimaryStorageType]],"SSD &amp; HDD")</f>
        <v>SSD &amp; HDD</v>
      </c>
      <c r="Y1027" t="s">
        <v>42</v>
      </c>
      <c r="Z1027" s="4" t="str">
        <f>_xlfn.CONCAT(laptop[[#This Row],[CPU_company]]," ",laptop[[#This Row],[GPU_model]])</f>
        <v>Intel HD Graphics 620</v>
      </c>
    </row>
    <row r="1028" spans="1:26" x14ac:dyDescent="0.25">
      <c r="A1028" t="s">
        <v>36</v>
      </c>
      <c r="B1028" t="s">
        <v>407</v>
      </c>
      <c r="C1028" t="s">
        <v>38</v>
      </c>
      <c r="D1028">
        <v>14</v>
      </c>
      <c r="E1028">
        <v>4</v>
      </c>
      <c r="F1028" t="s">
        <v>48</v>
      </c>
      <c r="G1028">
        <v>2.31</v>
      </c>
      <c r="H1028" s="16">
        <v>1189</v>
      </c>
      <c r="I1028" t="s">
        <v>26</v>
      </c>
      <c r="J1028">
        <v>1366</v>
      </c>
      <c r="K1028">
        <v>768</v>
      </c>
      <c r="L1028" t="s">
        <v>27</v>
      </c>
      <c r="M1028" t="s">
        <v>27</v>
      </c>
      <c r="N1028" t="s">
        <v>27</v>
      </c>
      <c r="O1028" t="s">
        <v>29</v>
      </c>
      <c r="P1028">
        <v>2.5</v>
      </c>
      <c r="Q1028" t="s">
        <v>41</v>
      </c>
      <c r="R1028" t="str">
        <f>_xlfn.CONCAT(laptop[[#This Row],[CPU_company]]," ",laptop[[#This Row],[CPU_model]])</f>
        <v>Intel Core i5 7200U</v>
      </c>
      <c r="S1028">
        <v>500</v>
      </c>
      <c r="T1028">
        <v>0</v>
      </c>
      <c r="U1028">
        <f>laptop[[#This Row],[PrimaryStorage]]+laptop[[#This Row],[SecondaryStorage]]</f>
        <v>500</v>
      </c>
      <c r="V1028" t="s">
        <v>51</v>
      </c>
      <c r="W1028" t="s">
        <v>27</v>
      </c>
      <c r="X1028" t="str">
        <f>IF(laptop[[#This Row],[PrimaryStorageType]]=laptop[[#This Row],[SecondaryStorageType]],laptop[[#This Row],[PrimaryStorageType]],"SSD &amp; HDD")</f>
        <v>SSD &amp; HDD</v>
      </c>
      <c r="Y1028" t="s">
        <v>42</v>
      </c>
      <c r="Z1028" s="4" t="str">
        <f>_xlfn.CONCAT(laptop[[#This Row],[CPU_company]]," ",laptop[[#This Row],[GPU_model]])</f>
        <v>Intel HD Graphics 620</v>
      </c>
    </row>
    <row r="1029" spans="1:26" x14ac:dyDescent="0.25">
      <c r="A1029" t="s">
        <v>36</v>
      </c>
      <c r="B1029" t="s">
        <v>344</v>
      </c>
      <c r="C1029" t="s">
        <v>38</v>
      </c>
      <c r="D1029">
        <v>14</v>
      </c>
      <c r="E1029">
        <v>4</v>
      </c>
      <c r="F1029" t="s">
        <v>48</v>
      </c>
      <c r="G1029">
        <v>1.95</v>
      </c>
      <c r="H1029" s="16">
        <v>1060</v>
      </c>
      <c r="I1029" t="s">
        <v>26</v>
      </c>
      <c r="J1029">
        <v>1366</v>
      </c>
      <c r="K1029">
        <v>768</v>
      </c>
      <c r="L1029" t="s">
        <v>27</v>
      </c>
      <c r="M1029" t="s">
        <v>27</v>
      </c>
      <c r="N1029" t="s">
        <v>27</v>
      </c>
      <c r="O1029" t="s">
        <v>29</v>
      </c>
      <c r="P1029">
        <v>2.5</v>
      </c>
      <c r="Q1029" t="s">
        <v>41</v>
      </c>
      <c r="R1029" t="str">
        <f>_xlfn.CONCAT(laptop[[#This Row],[CPU_company]]," ",laptop[[#This Row],[CPU_model]])</f>
        <v>Intel Core i5 7200U</v>
      </c>
      <c r="S1029">
        <v>500</v>
      </c>
      <c r="T1029">
        <v>0</v>
      </c>
      <c r="U1029">
        <f>laptop[[#This Row],[PrimaryStorage]]+laptop[[#This Row],[SecondaryStorage]]</f>
        <v>500</v>
      </c>
      <c r="V1029" t="s">
        <v>51</v>
      </c>
      <c r="W1029" t="s">
        <v>27</v>
      </c>
      <c r="X1029" t="str">
        <f>IF(laptop[[#This Row],[PrimaryStorageType]]=laptop[[#This Row],[SecondaryStorageType]],laptop[[#This Row],[PrimaryStorageType]],"SSD &amp; HDD")</f>
        <v>SSD &amp; HDD</v>
      </c>
      <c r="Y1029" t="s">
        <v>42</v>
      </c>
      <c r="Z1029" s="4" t="str">
        <f>_xlfn.CONCAT(laptop[[#This Row],[CPU_company]]," ",laptop[[#This Row],[GPU_model]])</f>
        <v>Intel HD Graphics 620</v>
      </c>
    </row>
    <row r="1030" spans="1:26" x14ac:dyDescent="0.25">
      <c r="A1030" t="s">
        <v>65</v>
      </c>
      <c r="B1030" t="s">
        <v>77</v>
      </c>
      <c r="C1030" t="s">
        <v>24</v>
      </c>
      <c r="D1030">
        <v>13.3</v>
      </c>
      <c r="E1030">
        <v>8</v>
      </c>
      <c r="F1030" t="s">
        <v>48</v>
      </c>
      <c r="G1030">
        <v>1.29</v>
      </c>
      <c r="H1030" s="16">
        <v>1624</v>
      </c>
      <c r="I1030" t="s">
        <v>107</v>
      </c>
      <c r="J1030">
        <v>3200</v>
      </c>
      <c r="K1030">
        <v>1800</v>
      </c>
      <c r="L1030" t="s">
        <v>28</v>
      </c>
      <c r="M1030" t="s">
        <v>27</v>
      </c>
      <c r="N1030" t="s">
        <v>27</v>
      </c>
      <c r="O1030" t="s">
        <v>29</v>
      </c>
      <c r="P1030">
        <v>2.5</v>
      </c>
      <c r="Q1030" t="s">
        <v>41</v>
      </c>
      <c r="R1030" t="str">
        <f>_xlfn.CONCAT(laptop[[#This Row],[CPU_company]]," ",laptop[[#This Row],[CPU_model]])</f>
        <v>Intel Core i5 7200U</v>
      </c>
      <c r="S1030">
        <v>256</v>
      </c>
      <c r="T1030">
        <v>0</v>
      </c>
      <c r="U1030">
        <f>laptop[[#This Row],[PrimaryStorage]]+laptop[[#This Row],[SecondaryStorage]]</f>
        <v>256</v>
      </c>
      <c r="V1030" t="s">
        <v>31</v>
      </c>
      <c r="W1030" t="s">
        <v>27</v>
      </c>
      <c r="X1030" t="str">
        <f>IF(laptop[[#This Row],[PrimaryStorageType]]=laptop[[#This Row],[SecondaryStorageType]],laptop[[#This Row],[PrimaryStorageType]],"SSD &amp; HDD")</f>
        <v>SSD &amp; HDD</v>
      </c>
      <c r="Y1030" t="s">
        <v>42</v>
      </c>
      <c r="Z1030" s="4" t="str">
        <f>_xlfn.CONCAT(laptop[[#This Row],[CPU_company]]," ",laptop[[#This Row],[GPU_model]])</f>
        <v>Intel HD Graphics 620</v>
      </c>
    </row>
    <row r="1031" spans="1:26" x14ac:dyDescent="0.25">
      <c r="A1031" t="s">
        <v>36</v>
      </c>
      <c r="B1031" t="s">
        <v>197</v>
      </c>
      <c r="C1031" t="s">
        <v>38</v>
      </c>
      <c r="D1031">
        <v>17.3</v>
      </c>
      <c r="E1031">
        <v>8</v>
      </c>
      <c r="F1031" t="s">
        <v>48</v>
      </c>
      <c r="G1031">
        <v>2.63</v>
      </c>
      <c r="H1031" s="16">
        <v>1080</v>
      </c>
      <c r="I1031" t="s">
        <v>40</v>
      </c>
      <c r="J1031">
        <v>1920</v>
      </c>
      <c r="K1031">
        <v>1080</v>
      </c>
      <c r="L1031" t="s">
        <v>27</v>
      </c>
      <c r="M1031" t="s">
        <v>27</v>
      </c>
      <c r="N1031" t="s">
        <v>27</v>
      </c>
      <c r="O1031" t="s">
        <v>29</v>
      </c>
      <c r="P1031">
        <v>2.5</v>
      </c>
      <c r="Q1031" t="s">
        <v>41</v>
      </c>
      <c r="R1031" t="str">
        <f>_xlfn.CONCAT(laptop[[#This Row],[CPU_company]]," ",laptop[[#This Row],[CPU_model]])</f>
        <v>Intel Core i5 7200U</v>
      </c>
      <c r="S1031">
        <v>256</v>
      </c>
      <c r="T1031">
        <v>0</v>
      </c>
      <c r="U1031">
        <f>laptop[[#This Row],[PrimaryStorage]]+laptop[[#This Row],[SecondaryStorage]]</f>
        <v>256</v>
      </c>
      <c r="V1031" t="s">
        <v>31</v>
      </c>
      <c r="W1031" t="s">
        <v>27</v>
      </c>
      <c r="X1031" t="str">
        <f>IF(laptop[[#This Row],[PrimaryStorageType]]=laptop[[#This Row],[SecondaryStorageType]],laptop[[#This Row],[PrimaryStorageType]],"SSD &amp; HDD")</f>
        <v>SSD &amp; HDD</v>
      </c>
      <c r="Y1031" t="s">
        <v>98</v>
      </c>
      <c r="Z1031" s="4" t="str">
        <f>_xlfn.CONCAT(laptop[[#This Row],[CPU_company]]," ",laptop[[#This Row],[GPU_model]])</f>
        <v>Intel GeForce 930MX</v>
      </c>
    </row>
    <row r="1032" spans="1:26" x14ac:dyDescent="0.25">
      <c r="A1032" t="s">
        <v>36</v>
      </c>
      <c r="B1032" t="s">
        <v>164</v>
      </c>
      <c r="C1032" t="s">
        <v>38</v>
      </c>
      <c r="D1032">
        <v>14</v>
      </c>
      <c r="E1032">
        <v>4</v>
      </c>
      <c r="F1032" t="s">
        <v>48</v>
      </c>
      <c r="G1032">
        <v>1.64</v>
      </c>
      <c r="H1032" s="16">
        <v>973</v>
      </c>
      <c r="I1032" t="s">
        <v>26</v>
      </c>
      <c r="J1032">
        <v>1366</v>
      </c>
      <c r="K1032">
        <v>768</v>
      </c>
      <c r="L1032" t="s">
        <v>27</v>
      </c>
      <c r="M1032" t="s">
        <v>27</v>
      </c>
      <c r="N1032" t="s">
        <v>27</v>
      </c>
      <c r="O1032" t="s">
        <v>29</v>
      </c>
      <c r="P1032">
        <v>2.5</v>
      </c>
      <c r="Q1032" t="s">
        <v>41</v>
      </c>
      <c r="R1032" t="str">
        <f>_xlfn.CONCAT(laptop[[#This Row],[CPU_company]]," ",laptop[[#This Row],[CPU_model]])</f>
        <v>Intel Core i5 7200U</v>
      </c>
      <c r="S1032">
        <v>256</v>
      </c>
      <c r="T1032">
        <v>0</v>
      </c>
      <c r="U1032">
        <f>laptop[[#This Row],[PrimaryStorage]]+laptop[[#This Row],[SecondaryStorage]]</f>
        <v>256</v>
      </c>
      <c r="V1032" t="s">
        <v>31</v>
      </c>
      <c r="W1032" t="s">
        <v>27</v>
      </c>
      <c r="X1032" t="str">
        <f>IF(laptop[[#This Row],[PrimaryStorageType]]=laptop[[#This Row],[SecondaryStorageType]],laptop[[#This Row],[PrimaryStorageType]],"SSD &amp; HDD")</f>
        <v>SSD &amp; HDD</v>
      </c>
      <c r="Y1032" t="s">
        <v>42</v>
      </c>
      <c r="Z1032" s="4" t="str">
        <f>_xlfn.CONCAT(laptop[[#This Row],[CPU_company]]," ",laptop[[#This Row],[GPU_model]])</f>
        <v>Intel HD Graphics 620</v>
      </c>
    </row>
    <row r="1033" spans="1:26" x14ac:dyDescent="0.25">
      <c r="A1033" t="s">
        <v>46</v>
      </c>
      <c r="B1033" t="s">
        <v>47</v>
      </c>
      <c r="C1033" t="s">
        <v>38</v>
      </c>
      <c r="D1033">
        <v>15.6</v>
      </c>
      <c r="E1033">
        <v>6</v>
      </c>
      <c r="F1033" t="s">
        <v>48</v>
      </c>
      <c r="G1033">
        <v>2.1</v>
      </c>
      <c r="H1033" s="16">
        <v>409</v>
      </c>
      <c r="I1033" t="s">
        <v>26</v>
      </c>
      <c r="J1033">
        <v>1366</v>
      </c>
      <c r="K1033">
        <v>768</v>
      </c>
      <c r="L1033" t="s">
        <v>27</v>
      </c>
      <c r="M1033" t="s">
        <v>27</v>
      </c>
      <c r="N1033" t="s">
        <v>27</v>
      </c>
      <c r="O1033" t="s">
        <v>49</v>
      </c>
      <c r="P1033">
        <v>3</v>
      </c>
      <c r="Q1033" t="s">
        <v>50</v>
      </c>
      <c r="R1033" t="str">
        <f>_xlfn.CONCAT(laptop[[#This Row],[CPU_company]]," ",laptop[[#This Row],[CPU_model]])</f>
        <v>AMD A9-Series 9420</v>
      </c>
      <c r="S1033">
        <v>1024</v>
      </c>
      <c r="T1033">
        <v>0</v>
      </c>
      <c r="U1033">
        <f>laptop[[#This Row],[PrimaryStorage]]+laptop[[#This Row],[SecondaryStorage]]</f>
        <v>1024</v>
      </c>
      <c r="V1033" t="s">
        <v>51</v>
      </c>
      <c r="W1033" t="s">
        <v>27</v>
      </c>
      <c r="X1033" t="str">
        <f>IF(laptop[[#This Row],[PrimaryStorageType]]=laptop[[#This Row],[SecondaryStorageType]],laptop[[#This Row],[PrimaryStorageType]],"SSD &amp; HDD")</f>
        <v>SSD &amp; HDD</v>
      </c>
      <c r="Y1033" t="s">
        <v>52</v>
      </c>
      <c r="Z1033" s="4" t="str">
        <f>_xlfn.CONCAT(laptop[[#This Row],[CPU_company]]," ",laptop[[#This Row],[GPU_model]])</f>
        <v>AMD Radeon R5</v>
      </c>
    </row>
    <row r="1034" spans="1:26" x14ac:dyDescent="0.25">
      <c r="A1034" t="s">
        <v>141</v>
      </c>
      <c r="B1034" t="s">
        <v>158</v>
      </c>
      <c r="C1034" t="s">
        <v>83</v>
      </c>
      <c r="D1034">
        <v>17.3</v>
      </c>
      <c r="E1034">
        <v>8</v>
      </c>
      <c r="F1034" t="s">
        <v>48</v>
      </c>
      <c r="G1034">
        <v>2.7</v>
      </c>
      <c r="H1034" s="16">
        <v>1191.8</v>
      </c>
      <c r="I1034" t="s">
        <v>40</v>
      </c>
      <c r="J1034">
        <v>1920</v>
      </c>
      <c r="K1034">
        <v>1080</v>
      </c>
      <c r="L1034" t="s">
        <v>27</v>
      </c>
      <c r="M1034" t="s">
        <v>27</v>
      </c>
      <c r="N1034" t="s">
        <v>27</v>
      </c>
      <c r="O1034" t="s">
        <v>29</v>
      </c>
      <c r="P1034">
        <v>2.8</v>
      </c>
      <c r="Q1034" t="s">
        <v>118</v>
      </c>
      <c r="R1034" t="str">
        <f>_xlfn.CONCAT(laptop[[#This Row],[CPU_company]]," ",laptop[[#This Row],[CPU_model]])</f>
        <v>Intel Core i7 7700HQ</v>
      </c>
      <c r="S1034">
        <v>128</v>
      </c>
      <c r="T1034">
        <v>1024</v>
      </c>
      <c r="U1034">
        <f>laptop[[#This Row],[PrimaryStorage]]+laptop[[#This Row],[SecondaryStorage]]</f>
        <v>1152</v>
      </c>
      <c r="V1034" t="s">
        <v>31</v>
      </c>
      <c r="W1034" t="s">
        <v>51</v>
      </c>
      <c r="X1034" t="str">
        <f>IF(laptop[[#This Row],[PrimaryStorageType]]=laptop[[#This Row],[SecondaryStorageType]],laptop[[#This Row],[PrimaryStorageType]],"SSD &amp; HDD")</f>
        <v>SSD &amp; HDD</v>
      </c>
      <c r="Y1034" t="s">
        <v>85</v>
      </c>
      <c r="Z1034" s="4" t="str">
        <f>_xlfn.CONCAT(laptop[[#This Row],[CPU_company]]," ",laptop[[#This Row],[GPU_model]])</f>
        <v>Intel GeForce GTX 1050</v>
      </c>
    </row>
    <row r="1035" spans="1:26" x14ac:dyDescent="0.25">
      <c r="A1035" t="s">
        <v>36</v>
      </c>
      <c r="B1035" t="s">
        <v>700</v>
      </c>
      <c r="C1035" t="s">
        <v>38</v>
      </c>
      <c r="D1035">
        <v>14</v>
      </c>
      <c r="E1035">
        <v>8</v>
      </c>
      <c r="F1035" t="s">
        <v>480</v>
      </c>
      <c r="G1035">
        <v>1.95</v>
      </c>
      <c r="H1035" s="16">
        <v>1195</v>
      </c>
      <c r="I1035" t="s">
        <v>40</v>
      </c>
      <c r="J1035">
        <v>1920</v>
      </c>
      <c r="K1035">
        <v>1080</v>
      </c>
      <c r="L1035" t="s">
        <v>27</v>
      </c>
      <c r="M1035" t="s">
        <v>27</v>
      </c>
      <c r="N1035" t="s">
        <v>27</v>
      </c>
      <c r="O1035" t="s">
        <v>29</v>
      </c>
      <c r="P1035">
        <v>2.2999999999999998</v>
      </c>
      <c r="Q1035" t="s">
        <v>212</v>
      </c>
      <c r="R1035" t="str">
        <f>_xlfn.CONCAT(laptop[[#This Row],[CPU_company]]," ",laptop[[#This Row],[CPU_model]])</f>
        <v>Intel Core i5 6200U</v>
      </c>
      <c r="S1035">
        <v>256</v>
      </c>
      <c r="T1035">
        <v>0</v>
      </c>
      <c r="U1035">
        <f>laptop[[#This Row],[PrimaryStorage]]+laptop[[#This Row],[SecondaryStorage]]</f>
        <v>256</v>
      </c>
      <c r="V1035" t="s">
        <v>31</v>
      </c>
      <c r="W1035" t="s">
        <v>27</v>
      </c>
      <c r="X1035" t="str">
        <f>IF(laptop[[#This Row],[PrimaryStorageType]]=laptop[[#This Row],[SecondaryStorageType]],laptop[[#This Row],[PrimaryStorageType]],"SSD &amp; HDD")</f>
        <v>SSD &amp; HDD</v>
      </c>
      <c r="Y1035" t="s">
        <v>63</v>
      </c>
      <c r="Z1035" s="4" t="str">
        <f>_xlfn.CONCAT(laptop[[#This Row],[CPU_company]]," ",laptop[[#This Row],[GPU_model]])</f>
        <v>Intel HD Graphics 520</v>
      </c>
    </row>
    <row r="1036" spans="1:26" x14ac:dyDescent="0.25">
      <c r="A1036" t="s">
        <v>36</v>
      </c>
      <c r="B1036" t="s">
        <v>527</v>
      </c>
      <c r="C1036" t="s">
        <v>38</v>
      </c>
      <c r="D1036">
        <v>15.6</v>
      </c>
      <c r="E1036">
        <v>8</v>
      </c>
      <c r="F1036" t="s">
        <v>48</v>
      </c>
      <c r="G1036">
        <v>1.84</v>
      </c>
      <c r="H1036" s="16">
        <v>1228.99</v>
      </c>
      <c r="I1036" t="s">
        <v>40</v>
      </c>
      <c r="J1036">
        <v>1920</v>
      </c>
      <c r="K1036">
        <v>1080</v>
      </c>
      <c r="L1036" t="s">
        <v>27</v>
      </c>
      <c r="M1036" t="s">
        <v>27</v>
      </c>
      <c r="N1036" t="s">
        <v>27</v>
      </c>
      <c r="O1036" t="s">
        <v>29</v>
      </c>
      <c r="P1036">
        <v>2.5</v>
      </c>
      <c r="Q1036" t="s">
        <v>274</v>
      </c>
      <c r="R1036" t="str">
        <f>_xlfn.CONCAT(laptop[[#This Row],[CPU_company]]," ",laptop[[#This Row],[CPU_model]])</f>
        <v>Intel Core i7 6500U</v>
      </c>
      <c r="S1036">
        <v>256</v>
      </c>
      <c r="T1036">
        <v>0</v>
      </c>
      <c r="U1036">
        <f>laptop[[#This Row],[PrimaryStorage]]+laptop[[#This Row],[SecondaryStorage]]</f>
        <v>256</v>
      </c>
      <c r="V1036" t="s">
        <v>31</v>
      </c>
      <c r="W1036" t="s">
        <v>27</v>
      </c>
      <c r="X1036" t="str">
        <f>IF(laptop[[#This Row],[PrimaryStorageType]]=laptop[[#This Row],[SecondaryStorageType]],laptop[[#This Row],[PrimaryStorageType]],"SSD &amp; HDD")</f>
        <v>SSD &amp; HDD</v>
      </c>
      <c r="Y1036" t="s">
        <v>63</v>
      </c>
      <c r="Z1036" s="4" t="str">
        <f>_xlfn.CONCAT(laptop[[#This Row],[CPU_company]]," ",laptop[[#This Row],[GPU_model]])</f>
        <v>Intel HD Graphics 520</v>
      </c>
    </row>
    <row r="1037" spans="1:26" x14ac:dyDescent="0.25">
      <c r="A1037" t="s">
        <v>36</v>
      </c>
      <c r="B1037" t="s">
        <v>639</v>
      </c>
      <c r="C1037" t="s">
        <v>24</v>
      </c>
      <c r="D1037">
        <v>12.5</v>
      </c>
      <c r="E1037">
        <v>8</v>
      </c>
      <c r="F1037" t="s">
        <v>48</v>
      </c>
      <c r="G1037">
        <v>1.26</v>
      </c>
      <c r="H1037" s="16">
        <v>1349</v>
      </c>
      <c r="I1037" t="s">
        <v>40</v>
      </c>
      <c r="J1037">
        <v>1920</v>
      </c>
      <c r="K1037">
        <v>1080</v>
      </c>
      <c r="L1037" t="s">
        <v>27</v>
      </c>
      <c r="M1037" t="s">
        <v>27</v>
      </c>
      <c r="N1037" t="s">
        <v>27</v>
      </c>
      <c r="O1037" t="s">
        <v>29</v>
      </c>
      <c r="P1037">
        <v>2.5</v>
      </c>
      <c r="Q1037" t="s">
        <v>274</v>
      </c>
      <c r="R1037" t="str">
        <f>_xlfn.CONCAT(laptop[[#This Row],[CPU_company]]," ",laptop[[#This Row],[CPU_model]])</f>
        <v>Intel Core i7 6500U</v>
      </c>
      <c r="S1037">
        <v>256</v>
      </c>
      <c r="T1037">
        <v>0</v>
      </c>
      <c r="U1037">
        <f>laptop[[#This Row],[PrimaryStorage]]+laptop[[#This Row],[SecondaryStorage]]</f>
        <v>256</v>
      </c>
      <c r="V1037" t="s">
        <v>31</v>
      </c>
      <c r="W1037" t="s">
        <v>27</v>
      </c>
      <c r="X1037" t="str">
        <f>IF(laptop[[#This Row],[PrimaryStorageType]]=laptop[[#This Row],[SecondaryStorageType]],laptop[[#This Row],[PrimaryStorageType]],"SSD &amp; HDD")</f>
        <v>SSD &amp; HDD</v>
      </c>
      <c r="Y1037" t="s">
        <v>63</v>
      </c>
      <c r="Z1037" s="4" t="str">
        <f>_xlfn.CONCAT(laptop[[#This Row],[CPU_company]]," ",laptop[[#This Row],[GPU_model]])</f>
        <v>Intel HD Graphics 520</v>
      </c>
    </row>
    <row r="1038" spans="1:26" x14ac:dyDescent="0.25">
      <c r="A1038" t="s">
        <v>36</v>
      </c>
      <c r="B1038" t="s">
        <v>114</v>
      </c>
      <c r="C1038" t="s">
        <v>38</v>
      </c>
      <c r="D1038">
        <v>15.6</v>
      </c>
      <c r="E1038">
        <v>4</v>
      </c>
      <c r="F1038" t="s">
        <v>48</v>
      </c>
      <c r="G1038">
        <v>2.04</v>
      </c>
      <c r="H1038" s="16">
        <v>742</v>
      </c>
      <c r="I1038" t="s">
        <v>26</v>
      </c>
      <c r="J1038">
        <v>1366</v>
      </c>
      <c r="K1038">
        <v>768</v>
      </c>
      <c r="L1038" t="s">
        <v>27</v>
      </c>
      <c r="M1038" t="s">
        <v>27</v>
      </c>
      <c r="N1038" t="s">
        <v>27</v>
      </c>
      <c r="O1038" t="s">
        <v>29</v>
      </c>
      <c r="P1038">
        <v>2.5</v>
      </c>
      <c r="Q1038" t="s">
        <v>41</v>
      </c>
      <c r="R1038" t="str">
        <f>_xlfn.CONCAT(laptop[[#This Row],[CPU_company]]," ",laptop[[#This Row],[CPU_model]])</f>
        <v>Intel Core i5 7200U</v>
      </c>
      <c r="S1038">
        <v>500</v>
      </c>
      <c r="T1038">
        <v>0</v>
      </c>
      <c r="U1038">
        <f>laptop[[#This Row],[PrimaryStorage]]+laptop[[#This Row],[SecondaryStorage]]</f>
        <v>500</v>
      </c>
      <c r="V1038" t="s">
        <v>51</v>
      </c>
      <c r="W1038" t="s">
        <v>27</v>
      </c>
      <c r="X1038" t="str">
        <f>IF(laptop[[#This Row],[PrimaryStorageType]]=laptop[[#This Row],[SecondaryStorageType]],laptop[[#This Row],[PrimaryStorageType]],"SSD &amp; HDD")</f>
        <v>SSD &amp; HDD</v>
      </c>
      <c r="Y1038" t="s">
        <v>42</v>
      </c>
      <c r="Z1038" s="4" t="str">
        <f>_xlfn.CONCAT(laptop[[#This Row],[CPU_company]]," ",laptop[[#This Row],[GPU_model]])</f>
        <v>Intel HD Graphics 620</v>
      </c>
    </row>
    <row r="1039" spans="1:26" x14ac:dyDescent="0.25">
      <c r="A1039" t="s">
        <v>210</v>
      </c>
      <c r="B1039" t="s">
        <v>765</v>
      </c>
      <c r="C1039" t="s">
        <v>24</v>
      </c>
      <c r="D1039">
        <v>14</v>
      </c>
      <c r="E1039">
        <v>8</v>
      </c>
      <c r="F1039" t="s">
        <v>48</v>
      </c>
      <c r="G1039">
        <v>1.47</v>
      </c>
      <c r="H1039" s="16">
        <v>1725</v>
      </c>
      <c r="I1039" t="s">
        <v>40</v>
      </c>
      <c r="J1039">
        <v>1920</v>
      </c>
      <c r="K1039">
        <v>1080</v>
      </c>
      <c r="L1039" t="s">
        <v>27</v>
      </c>
      <c r="M1039" t="s">
        <v>28</v>
      </c>
      <c r="N1039" t="s">
        <v>27</v>
      </c>
      <c r="O1039" t="s">
        <v>29</v>
      </c>
      <c r="P1039">
        <v>2.6</v>
      </c>
      <c r="Q1039" t="s">
        <v>309</v>
      </c>
      <c r="R1039" t="str">
        <f>_xlfn.CONCAT(laptop[[#This Row],[CPU_company]]," ",laptop[[#This Row],[CPU_model]])</f>
        <v>Intel Core i7 6600U</v>
      </c>
      <c r="S1039">
        <v>256</v>
      </c>
      <c r="T1039">
        <v>0</v>
      </c>
      <c r="U1039">
        <f>laptop[[#This Row],[PrimaryStorage]]+laptop[[#This Row],[SecondaryStorage]]</f>
        <v>256</v>
      </c>
      <c r="V1039" t="s">
        <v>31</v>
      </c>
      <c r="W1039" t="s">
        <v>27</v>
      </c>
      <c r="X1039" t="str">
        <f>IF(laptop[[#This Row],[PrimaryStorageType]]=laptop[[#This Row],[SecondaryStorageType]],laptop[[#This Row],[PrimaryStorageType]],"SSD &amp; HDD")</f>
        <v>SSD &amp; HDD</v>
      </c>
      <c r="Y1039" t="s">
        <v>63</v>
      </c>
      <c r="Z1039" s="4" t="str">
        <f>_xlfn.CONCAT(laptop[[#This Row],[CPU_company]]," ",laptop[[#This Row],[GPU_model]])</f>
        <v>Intel HD Graphics 520</v>
      </c>
    </row>
    <row r="1040" spans="1:26" x14ac:dyDescent="0.25">
      <c r="A1040" t="s">
        <v>65</v>
      </c>
      <c r="B1040" t="s">
        <v>764</v>
      </c>
      <c r="C1040" t="s">
        <v>38</v>
      </c>
      <c r="D1040">
        <v>15.6</v>
      </c>
      <c r="E1040">
        <v>8</v>
      </c>
      <c r="F1040" t="s">
        <v>480</v>
      </c>
      <c r="G1040">
        <v>2.09</v>
      </c>
      <c r="H1040" s="16">
        <v>1062.95</v>
      </c>
      <c r="I1040" t="s">
        <v>40</v>
      </c>
      <c r="J1040">
        <v>1920</v>
      </c>
      <c r="K1040">
        <v>1080</v>
      </c>
      <c r="L1040" t="s">
        <v>27</v>
      </c>
      <c r="M1040" t="s">
        <v>27</v>
      </c>
      <c r="N1040" t="s">
        <v>27</v>
      </c>
      <c r="O1040" t="s">
        <v>29</v>
      </c>
      <c r="P1040">
        <v>2.4</v>
      </c>
      <c r="Q1040" t="s">
        <v>562</v>
      </c>
      <c r="R1040" t="str">
        <f>_xlfn.CONCAT(laptop[[#This Row],[CPU_company]]," ",laptop[[#This Row],[CPU_model]])</f>
        <v>Intel Core i5 6300U</v>
      </c>
      <c r="S1040">
        <v>256</v>
      </c>
      <c r="T1040">
        <v>0</v>
      </c>
      <c r="U1040">
        <f>laptop[[#This Row],[PrimaryStorage]]+laptop[[#This Row],[SecondaryStorage]]</f>
        <v>256</v>
      </c>
      <c r="V1040" t="s">
        <v>31</v>
      </c>
      <c r="W1040" t="s">
        <v>27</v>
      </c>
      <c r="X1040" t="str">
        <f>IF(laptop[[#This Row],[PrimaryStorageType]]=laptop[[#This Row],[SecondaryStorageType]],laptop[[#This Row],[PrimaryStorageType]],"SSD &amp; HDD")</f>
        <v>SSD &amp; HDD</v>
      </c>
      <c r="Y1040" t="s">
        <v>63</v>
      </c>
      <c r="Z1040" s="4" t="str">
        <f>_xlfn.CONCAT(laptop[[#This Row],[CPU_company]]," ",laptop[[#This Row],[GPU_model]])</f>
        <v>Intel HD Graphics 520</v>
      </c>
    </row>
    <row r="1041" spans="1:26" x14ac:dyDescent="0.25">
      <c r="A1041" t="s">
        <v>36</v>
      </c>
      <c r="B1041" t="s">
        <v>164</v>
      </c>
      <c r="C1041" t="s">
        <v>38</v>
      </c>
      <c r="D1041">
        <v>14</v>
      </c>
      <c r="E1041">
        <v>8</v>
      </c>
      <c r="F1041" t="s">
        <v>48</v>
      </c>
      <c r="G1041">
        <v>1.64</v>
      </c>
      <c r="H1041" s="16">
        <v>1010.51</v>
      </c>
      <c r="I1041" t="s">
        <v>40</v>
      </c>
      <c r="J1041">
        <v>1920</v>
      </c>
      <c r="K1041">
        <v>1080</v>
      </c>
      <c r="L1041" t="s">
        <v>27</v>
      </c>
      <c r="M1041" t="s">
        <v>27</v>
      </c>
      <c r="N1041" t="s">
        <v>27</v>
      </c>
      <c r="O1041" t="s">
        <v>29</v>
      </c>
      <c r="P1041">
        <v>2.5</v>
      </c>
      <c r="Q1041" t="s">
        <v>41</v>
      </c>
      <c r="R1041" t="str">
        <f>_xlfn.CONCAT(laptop[[#This Row],[CPU_company]]," ",laptop[[#This Row],[CPU_model]])</f>
        <v>Intel Core i5 7200U</v>
      </c>
      <c r="S1041">
        <v>256</v>
      </c>
      <c r="T1041">
        <v>0</v>
      </c>
      <c r="U1041">
        <f>laptop[[#This Row],[PrimaryStorage]]+laptop[[#This Row],[SecondaryStorage]]</f>
        <v>256</v>
      </c>
      <c r="V1041" t="s">
        <v>31</v>
      </c>
      <c r="W1041" t="s">
        <v>27</v>
      </c>
      <c r="X1041" t="str">
        <f>IF(laptop[[#This Row],[PrimaryStorageType]]=laptop[[#This Row],[SecondaryStorageType]],laptop[[#This Row],[PrimaryStorageType]],"SSD &amp; HDD")</f>
        <v>SSD &amp; HDD</v>
      </c>
      <c r="Y1041" t="s">
        <v>42</v>
      </c>
      <c r="Z1041" s="4" t="str">
        <f>_xlfn.CONCAT(laptop[[#This Row],[CPU_company]]," ",laptop[[#This Row],[GPU_model]])</f>
        <v>Intel HD Graphics 620</v>
      </c>
    </row>
    <row r="1042" spans="1:26" x14ac:dyDescent="0.25">
      <c r="A1042" t="s">
        <v>73</v>
      </c>
      <c r="B1042" t="s">
        <v>766</v>
      </c>
      <c r="C1042" t="s">
        <v>90</v>
      </c>
      <c r="D1042">
        <v>15.6</v>
      </c>
      <c r="E1042">
        <v>4</v>
      </c>
      <c r="F1042" t="s">
        <v>48</v>
      </c>
      <c r="G1042">
        <v>1.8</v>
      </c>
      <c r="H1042" s="16">
        <v>847</v>
      </c>
      <c r="I1042" t="s">
        <v>40</v>
      </c>
      <c r="J1042">
        <v>1920</v>
      </c>
      <c r="K1042">
        <v>1080</v>
      </c>
      <c r="L1042" t="s">
        <v>28</v>
      </c>
      <c r="M1042" t="s">
        <v>28</v>
      </c>
      <c r="N1042" t="s">
        <v>27</v>
      </c>
      <c r="O1042" t="s">
        <v>29</v>
      </c>
      <c r="P1042">
        <v>2.5</v>
      </c>
      <c r="Q1042" t="s">
        <v>274</v>
      </c>
      <c r="R1042" t="str">
        <f>_xlfn.CONCAT(laptop[[#This Row],[CPU_company]]," ",laptop[[#This Row],[CPU_model]])</f>
        <v>Intel Core i7 6500U</v>
      </c>
      <c r="S1042">
        <v>256</v>
      </c>
      <c r="T1042">
        <v>0</v>
      </c>
      <c r="U1042">
        <f>laptop[[#This Row],[PrimaryStorage]]+laptop[[#This Row],[SecondaryStorage]]</f>
        <v>256</v>
      </c>
      <c r="V1042" t="s">
        <v>31</v>
      </c>
      <c r="W1042" t="s">
        <v>27</v>
      </c>
      <c r="X1042" t="str">
        <f>IF(laptop[[#This Row],[PrimaryStorageType]]=laptop[[#This Row],[SecondaryStorageType]],laptop[[#This Row],[PrimaryStorageType]],"SSD &amp; HDD")</f>
        <v>SSD &amp; HDD</v>
      </c>
      <c r="Y1042" t="s">
        <v>63</v>
      </c>
      <c r="Z1042" s="4" t="str">
        <f>_xlfn.CONCAT(laptop[[#This Row],[CPU_company]]," ",laptop[[#This Row],[GPU_model]])</f>
        <v>Intel HD Graphics 520</v>
      </c>
    </row>
    <row r="1043" spans="1:26" x14ac:dyDescent="0.25">
      <c r="A1043" t="s">
        <v>253</v>
      </c>
      <c r="B1043" t="s">
        <v>767</v>
      </c>
      <c r="C1043" t="s">
        <v>38</v>
      </c>
      <c r="D1043">
        <v>14</v>
      </c>
      <c r="E1043">
        <v>2</v>
      </c>
      <c r="F1043" t="s">
        <v>48</v>
      </c>
      <c r="G1043">
        <v>1.45</v>
      </c>
      <c r="H1043" s="16">
        <v>210.8</v>
      </c>
      <c r="I1043" t="s">
        <v>26</v>
      </c>
      <c r="J1043">
        <v>1366</v>
      </c>
      <c r="K1043">
        <v>768</v>
      </c>
      <c r="L1043" t="s">
        <v>27</v>
      </c>
      <c r="M1043" t="s">
        <v>27</v>
      </c>
      <c r="N1043" t="s">
        <v>27</v>
      </c>
      <c r="O1043" t="s">
        <v>29</v>
      </c>
      <c r="P1043">
        <v>1.44</v>
      </c>
      <c r="Q1043" t="s">
        <v>768</v>
      </c>
      <c r="R1043" t="str">
        <f>_xlfn.CONCAT(laptop[[#This Row],[CPU_company]]," ",laptop[[#This Row],[CPU_model]])</f>
        <v>Intel Atom X5-Z8350</v>
      </c>
      <c r="S1043">
        <v>32</v>
      </c>
      <c r="T1043">
        <v>0</v>
      </c>
      <c r="U1043">
        <f>laptop[[#This Row],[PrimaryStorage]]+laptop[[#This Row],[SecondaryStorage]]</f>
        <v>32</v>
      </c>
      <c r="V1043" t="s">
        <v>34</v>
      </c>
      <c r="W1043" t="s">
        <v>27</v>
      </c>
      <c r="X1043" t="str">
        <f>IF(laptop[[#This Row],[PrimaryStorageType]]=laptop[[#This Row],[SecondaryStorageType]],laptop[[#This Row],[PrimaryStorageType]],"SSD &amp; HDD")</f>
        <v>SSD &amp; HDD</v>
      </c>
      <c r="Y1043" t="s">
        <v>81</v>
      </c>
      <c r="Z1043" s="4" t="str">
        <f>_xlfn.CONCAT(laptop[[#This Row],[CPU_company]]," ",laptop[[#This Row],[GPU_model]])</f>
        <v>Intel HD Graphics 400</v>
      </c>
    </row>
    <row r="1044" spans="1:26" x14ac:dyDescent="0.25">
      <c r="A1044" t="s">
        <v>210</v>
      </c>
      <c r="B1044" t="s">
        <v>769</v>
      </c>
      <c r="C1044" t="s">
        <v>38</v>
      </c>
      <c r="D1044">
        <v>15.6</v>
      </c>
      <c r="E1044">
        <v>16</v>
      </c>
      <c r="F1044" t="s">
        <v>48</v>
      </c>
      <c r="G1044">
        <v>2.4</v>
      </c>
      <c r="H1044" s="16">
        <v>1425</v>
      </c>
      <c r="I1044" t="s">
        <v>40</v>
      </c>
      <c r="J1044">
        <v>1920</v>
      </c>
      <c r="K1044">
        <v>1080</v>
      </c>
      <c r="L1044" t="s">
        <v>27</v>
      </c>
      <c r="M1044" t="s">
        <v>28</v>
      </c>
      <c r="N1044" t="s">
        <v>27</v>
      </c>
      <c r="O1044" t="s">
        <v>29</v>
      </c>
      <c r="P1044">
        <v>2.5</v>
      </c>
      <c r="Q1044" t="s">
        <v>274</v>
      </c>
      <c r="R1044" t="str">
        <f>_xlfn.CONCAT(laptop[[#This Row],[CPU_company]]," ",laptop[[#This Row],[CPU_model]])</f>
        <v>Intel Core i7 6500U</v>
      </c>
      <c r="S1044">
        <v>256</v>
      </c>
      <c r="T1044">
        <v>0</v>
      </c>
      <c r="U1044">
        <f>laptop[[#This Row],[PrimaryStorage]]+laptop[[#This Row],[SecondaryStorage]]</f>
        <v>256</v>
      </c>
      <c r="V1044" t="s">
        <v>31</v>
      </c>
      <c r="W1044" t="s">
        <v>27</v>
      </c>
      <c r="X1044" t="str">
        <f>IF(laptop[[#This Row],[PrimaryStorageType]]=laptop[[#This Row],[SecondaryStorageType]],laptop[[#This Row],[PrimaryStorageType]],"SSD &amp; HDD")</f>
        <v>SSD &amp; HDD</v>
      </c>
      <c r="Y1044" t="s">
        <v>310</v>
      </c>
      <c r="Z1044" s="4" t="str">
        <f>_xlfn.CONCAT(laptop[[#This Row],[CPU_company]]," ",laptop[[#This Row],[GPU_model]])</f>
        <v>Intel GeForce 930M</v>
      </c>
    </row>
    <row r="1045" spans="1:26" x14ac:dyDescent="0.25">
      <c r="A1045" t="s">
        <v>73</v>
      </c>
      <c r="B1045" t="s">
        <v>770</v>
      </c>
      <c r="C1045" t="s">
        <v>38</v>
      </c>
      <c r="D1045">
        <v>15.6</v>
      </c>
      <c r="E1045">
        <v>8</v>
      </c>
      <c r="F1045" t="s">
        <v>48</v>
      </c>
      <c r="G1045">
        <v>2.2999999999999998</v>
      </c>
      <c r="H1045" s="16">
        <v>1049.5999999999999</v>
      </c>
      <c r="I1045" t="s">
        <v>40</v>
      </c>
      <c r="J1045">
        <v>1920</v>
      </c>
      <c r="K1045">
        <v>1080</v>
      </c>
      <c r="L1045" t="s">
        <v>27</v>
      </c>
      <c r="M1045" t="s">
        <v>27</v>
      </c>
      <c r="N1045" t="s">
        <v>27</v>
      </c>
      <c r="O1045" t="s">
        <v>29</v>
      </c>
      <c r="P1045">
        <v>2.2999999999999998</v>
      </c>
      <c r="Q1045" t="s">
        <v>212</v>
      </c>
      <c r="R1045" t="str">
        <f>_xlfn.CONCAT(laptop[[#This Row],[CPU_company]]," ",laptop[[#This Row],[CPU_model]])</f>
        <v>Intel Core i5 6200U</v>
      </c>
      <c r="S1045">
        <v>256</v>
      </c>
      <c r="T1045">
        <v>0</v>
      </c>
      <c r="U1045">
        <f>laptop[[#This Row],[PrimaryStorage]]+laptop[[#This Row],[SecondaryStorage]]</f>
        <v>256</v>
      </c>
      <c r="V1045" t="s">
        <v>31</v>
      </c>
      <c r="W1045" t="s">
        <v>27</v>
      </c>
      <c r="X1045" t="str">
        <f>IF(laptop[[#This Row],[PrimaryStorageType]]=laptop[[#This Row],[SecondaryStorageType]],laptop[[#This Row],[PrimaryStorageType]],"SSD &amp; HDD")</f>
        <v>SSD &amp; HDD</v>
      </c>
      <c r="Y1045" t="s">
        <v>63</v>
      </c>
      <c r="Z1045" s="4" t="str">
        <f>_xlfn.CONCAT(laptop[[#This Row],[CPU_company]]," ",laptop[[#This Row],[GPU_model]])</f>
        <v>Intel HD Graphics 520</v>
      </c>
    </row>
    <row r="1046" spans="1:26" x14ac:dyDescent="0.25">
      <c r="A1046" t="s">
        <v>36</v>
      </c>
      <c r="B1046" t="s">
        <v>226</v>
      </c>
      <c r="C1046" t="s">
        <v>38</v>
      </c>
      <c r="D1046">
        <v>14</v>
      </c>
      <c r="E1046">
        <v>4</v>
      </c>
      <c r="F1046" t="s">
        <v>48</v>
      </c>
      <c r="G1046">
        <v>1.54</v>
      </c>
      <c r="H1046" s="16">
        <v>1000</v>
      </c>
      <c r="I1046" t="s">
        <v>40</v>
      </c>
      <c r="J1046">
        <v>1920</v>
      </c>
      <c r="K1046">
        <v>1080</v>
      </c>
      <c r="L1046" t="s">
        <v>27</v>
      </c>
      <c r="M1046" t="s">
        <v>27</v>
      </c>
      <c r="N1046" t="s">
        <v>27</v>
      </c>
      <c r="O1046" t="s">
        <v>29</v>
      </c>
      <c r="P1046">
        <v>2.2999999999999998</v>
      </c>
      <c r="Q1046" t="s">
        <v>212</v>
      </c>
      <c r="R1046" t="str">
        <f>_xlfn.CONCAT(laptop[[#This Row],[CPU_company]]," ",laptop[[#This Row],[CPU_model]])</f>
        <v>Intel Core i5 6200U</v>
      </c>
      <c r="S1046">
        <v>500</v>
      </c>
      <c r="T1046">
        <v>0</v>
      </c>
      <c r="U1046">
        <f>laptop[[#This Row],[PrimaryStorage]]+laptop[[#This Row],[SecondaryStorage]]</f>
        <v>500</v>
      </c>
      <c r="V1046" t="s">
        <v>51</v>
      </c>
      <c r="W1046" t="s">
        <v>27</v>
      </c>
      <c r="X1046" t="str">
        <f>IF(laptop[[#This Row],[PrimaryStorageType]]=laptop[[#This Row],[SecondaryStorageType]],laptop[[#This Row],[PrimaryStorageType]],"SSD &amp; HDD")</f>
        <v>SSD &amp; HDD</v>
      </c>
      <c r="Y1046" t="s">
        <v>63</v>
      </c>
      <c r="Z1046" s="4" t="str">
        <f>_xlfn.CONCAT(laptop[[#This Row],[CPU_company]]," ",laptop[[#This Row],[GPU_model]])</f>
        <v>Intel HD Graphics 520</v>
      </c>
    </row>
    <row r="1047" spans="1:26" x14ac:dyDescent="0.25">
      <c r="A1047" t="s">
        <v>36</v>
      </c>
      <c r="B1047" t="s">
        <v>527</v>
      </c>
      <c r="C1047" t="s">
        <v>38</v>
      </c>
      <c r="D1047">
        <v>15.6</v>
      </c>
      <c r="E1047">
        <v>8</v>
      </c>
      <c r="F1047" t="s">
        <v>48</v>
      </c>
      <c r="G1047">
        <v>1.84</v>
      </c>
      <c r="H1047" s="16">
        <v>2103.34</v>
      </c>
      <c r="I1047" t="s">
        <v>40</v>
      </c>
      <c r="J1047">
        <v>1920</v>
      </c>
      <c r="K1047">
        <v>1080</v>
      </c>
      <c r="L1047" t="s">
        <v>27</v>
      </c>
      <c r="M1047" t="s">
        <v>27</v>
      </c>
      <c r="N1047" t="s">
        <v>27</v>
      </c>
      <c r="O1047" t="s">
        <v>29</v>
      </c>
      <c r="P1047">
        <v>2.4</v>
      </c>
      <c r="Q1047" t="s">
        <v>562</v>
      </c>
      <c r="R1047" t="str">
        <f>_xlfn.CONCAT(laptop[[#This Row],[CPU_company]]," ",laptop[[#This Row],[CPU_model]])</f>
        <v>Intel Core i5 6300U</v>
      </c>
      <c r="S1047">
        <v>256</v>
      </c>
      <c r="T1047">
        <v>500</v>
      </c>
      <c r="U1047">
        <f>laptop[[#This Row],[PrimaryStorage]]+laptop[[#This Row],[SecondaryStorage]]</f>
        <v>756</v>
      </c>
      <c r="V1047" t="s">
        <v>31</v>
      </c>
      <c r="W1047" t="s">
        <v>51</v>
      </c>
      <c r="X1047" t="str">
        <f>IF(laptop[[#This Row],[PrimaryStorageType]]=laptop[[#This Row],[SecondaryStorageType]],laptop[[#This Row],[PrimaryStorageType]],"SSD &amp; HDD")</f>
        <v>SSD &amp; HDD</v>
      </c>
      <c r="Y1047" t="s">
        <v>63</v>
      </c>
      <c r="Z1047" s="4" t="str">
        <f>_xlfn.CONCAT(laptop[[#This Row],[CPU_company]]," ",laptop[[#This Row],[GPU_model]])</f>
        <v>Intel HD Graphics 520</v>
      </c>
    </row>
    <row r="1048" spans="1:26" x14ac:dyDescent="0.25">
      <c r="A1048" t="s">
        <v>36</v>
      </c>
      <c r="B1048" t="s">
        <v>405</v>
      </c>
      <c r="C1048" t="s">
        <v>38</v>
      </c>
      <c r="D1048">
        <v>14</v>
      </c>
      <c r="E1048">
        <v>8</v>
      </c>
      <c r="F1048" t="s">
        <v>480</v>
      </c>
      <c r="G1048">
        <v>1.43</v>
      </c>
      <c r="H1048" s="16">
        <v>1469</v>
      </c>
      <c r="I1048" t="s">
        <v>40</v>
      </c>
      <c r="J1048">
        <v>1920</v>
      </c>
      <c r="K1048">
        <v>1080</v>
      </c>
      <c r="L1048" t="s">
        <v>27</v>
      </c>
      <c r="M1048" t="s">
        <v>27</v>
      </c>
      <c r="N1048" t="s">
        <v>27</v>
      </c>
      <c r="O1048" t="s">
        <v>29</v>
      </c>
      <c r="P1048">
        <v>2.2999999999999998</v>
      </c>
      <c r="Q1048" t="s">
        <v>212</v>
      </c>
      <c r="R1048" t="str">
        <f>_xlfn.CONCAT(laptop[[#This Row],[CPU_company]]," ",laptop[[#This Row],[CPU_model]])</f>
        <v>Intel Core i5 6200U</v>
      </c>
      <c r="S1048">
        <v>256</v>
      </c>
      <c r="T1048">
        <v>0</v>
      </c>
      <c r="U1048">
        <f>laptop[[#This Row],[PrimaryStorage]]+laptop[[#This Row],[SecondaryStorage]]</f>
        <v>256</v>
      </c>
      <c r="V1048" t="s">
        <v>31</v>
      </c>
      <c r="W1048" t="s">
        <v>27</v>
      </c>
      <c r="X1048" t="str">
        <f>IF(laptop[[#This Row],[PrimaryStorageType]]=laptop[[#This Row],[SecondaryStorageType]],laptop[[#This Row],[PrimaryStorageType]],"SSD &amp; HDD")</f>
        <v>SSD &amp; HDD</v>
      </c>
      <c r="Y1048" t="s">
        <v>63</v>
      </c>
      <c r="Z1048" s="4" t="str">
        <f>_xlfn.CONCAT(laptop[[#This Row],[CPU_company]]," ",laptop[[#This Row],[GPU_model]])</f>
        <v>Intel HD Graphics 520</v>
      </c>
    </row>
    <row r="1049" spans="1:26" x14ac:dyDescent="0.25">
      <c r="A1049" t="s">
        <v>141</v>
      </c>
      <c r="B1049" t="s">
        <v>771</v>
      </c>
      <c r="C1049" t="s">
        <v>83</v>
      </c>
      <c r="D1049">
        <v>17.3</v>
      </c>
      <c r="E1049">
        <v>16</v>
      </c>
      <c r="F1049" t="s">
        <v>48</v>
      </c>
      <c r="G1049">
        <v>3.78</v>
      </c>
      <c r="H1049" s="16">
        <v>1545.64</v>
      </c>
      <c r="I1049" t="s">
        <v>40</v>
      </c>
      <c r="J1049">
        <v>1920</v>
      </c>
      <c r="K1049">
        <v>1080</v>
      </c>
      <c r="L1049" t="s">
        <v>27</v>
      </c>
      <c r="M1049" t="s">
        <v>28</v>
      </c>
      <c r="N1049" t="s">
        <v>27</v>
      </c>
      <c r="O1049" t="s">
        <v>29</v>
      </c>
      <c r="P1049">
        <v>2.7</v>
      </c>
      <c r="Q1049" t="s">
        <v>514</v>
      </c>
      <c r="R1049" t="str">
        <f>_xlfn.CONCAT(laptop[[#This Row],[CPU_company]]," ",laptop[[#This Row],[CPU_model]])</f>
        <v>Intel Core i7 6820HK</v>
      </c>
      <c r="S1049">
        <v>256</v>
      </c>
      <c r="T1049">
        <v>1024</v>
      </c>
      <c r="U1049">
        <f>laptop[[#This Row],[PrimaryStorage]]+laptop[[#This Row],[SecondaryStorage]]</f>
        <v>1280</v>
      </c>
      <c r="V1049" t="s">
        <v>31</v>
      </c>
      <c r="W1049" t="s">
        <v>51</v>
      </c>
      <c r="X1049" t="str">
        <f>IF(laptop[[#This Row],[PrimaryStorageType]]=laptop[[#This Row],[SecondaryStorageType]],laptop[[#This Row],[PrimaryStorageType]],"SSD &amp; HDD")</f>
        <v>SSD &amp; HDD</v>
      </c>
      <c r="Y1049" t="s">
        <v>297</v>
      </c>
      <c r="Z1049" s="4" t="str">
        <f>_xlfn.CONCAT(laptop[[#This Row],[CPU_company]]," ",laptop[[#This Row],[GPU_model]])</f>
        <v>Intel GeForce GTX 980M</v>
      </c>
    </row>
    <row r="1050" spans="1:26" x14ac:dyDescent="0.25">
      <c r="A1050" t="s">
        <v>73</v>
      </c>
      <c r="B1050" t="s">
        <v>772</v>
      </c>
      <c r="C1050" t="s">
        <v>83</v>
      </c>
      <c r="D1050">
        <v>17.3</v>
      </c>
      <c r="E1050">
        <v>16</v>
      </c>
      <c r="F1050" t="s">
        <v>48</v>
      </c>
      <c r="G1050">
        <v>4.5999999999999996</v>
      </c>
      <c r="H1050" s="16">
        <v>2289.9899999999998</v>
      </c>
      <c r="I1050" t="s">
        <v>40</v>
      </c>
      <c r="J1050">
        <v>1920</v>
      </c>
      <c r="K1050">
        <v>1080</v>
      </c>
      <c r="L1050" t="s">
        <v>27</v>
      </c>
      <c r="M1050" t="s">
        <v>28</v>
      </c>
      <c r="N1050" t="s">
        <v>27</v>
      </c>
      <c r="O1050" t="s">
        <v>29</v>
      </c>
      <c r="P1050">
        <v>2.6</v>
      </c>
      <c r="Q1050" t="s">
        <v>447</v>
      </c>
      <c r="R1050" t="str">
        <f>_xlfn.CONCAT(laptop[[#This Row],[CPU_company]]," ",laptop[[#This Row],[CPU_model]])</f>
        <v>Intel Core i7 6700HQ</v>
      </c>
      <c r="S1050">
        <v>128</v>
      </c>
      <c r="T1050">
        <v>1024</v>
      </c>
      <c r="U1050">
        <f>laptop[[#This Row],[PrimaryStorage]]+laptop[[#This Row],[SecondaryStorage]]</f>
        <v>1152</v>
      </c>
      <c r="V1050" t="s">
        <v>31</v>
      </c>
      <c r="W1050" t="s">
        <v>51</v>
      </c>
      <c r="X1050" t="str">
        <f>IF(laptop[[#This Row],[PrimaryStorageType]]=laptop[[#This Row],[SecondaryStorageType]],laptop[[#This Row],[PrimaryStorageType]],"SSD &amp; HDD")</f>
        <v>SSD &amp; HDD</v>
      </c>
      <c r="Y1050" t="s">
        <v>297</v>
      </c>
      <c r="Z1050" s="4" t="str">
        <f>_xlfn.CONCAT(laptop[[#This Row],[CPU_company]]," ",laptop[[#This Row],[GPU_model]])</f>
        <v>Intel GeForce GTX 980M</v>
      </c>
    </row>
    <row r="1051" spans="1:26" x14ac:dyDescent="0.25">
      <c r="A1051" t="s">
        <v>55</v>
      </c>
      <c r="B1051" t="s">
        <v>773</v>
      </c>
      <c r="C1051" t="s">
        <v>79</v>
      </c>
      <c r="D1051">
        <v>11.6</v>
      </c>
      <c r="E1051">
        <v>4</v>
      </c>
      <c r="F1051" t="s">
        <v>317</v>
      </c>
      <c r="G1051">
        <v>1.2</v>
      </c>
      <c r="H1051" s="16">
        <v>287.89999999999998</v>
      </c>
      <c r="I1051" t="s">
        <v>26</v>
      </c>
      <c r="J1051">
        <v>1366</v>
      </c>
      <c r="K1051">
        <v>768</v>
      </c>
      <c r="L1051" t="s">
        <v>27</v>
      </c>
      <c r="M1051" t="s">
        <v>27</v>
      </c>
      <c r="N1051" t="s">
        <v>27</v>
      </c>
      <c r="O1051" t="s">
        <v>29</v>
      </c>
      <c r="P1051">
        <v>1.6</v>
      </c>
      <c r="Q1051" t="s">
        <v>151</v>
      </c>
      <c r="R1051" t="str">
        <f>_xlfn.CONCAT(laptop[[#This Row],[CPU_company]]," ",laptop[[#This Row],[CPU_model]])</f>
        <v>Intel Celeron Dual Core N3060</v>
      </c>
      <c r="S1051">
        <v>16</v>
      </c>
      <c r="T1051">
        <v>0</v>
      </c>
      <c r="U1051">
        <f>laptop[[#This Row],[PrimaryStorage]]+laptop[[#This Row],[SecondaryStorage]]</f>
        <v>16</v>
      </c>
      <c r="V1051" t="s">
        <v>34</v>
      </c>
      <c r="W1051" t="s">
        <v>27</v>
      </c>
      <c r="X1051" t="str">
        <f>IF(laptop[[#This Row],[PrimaryStorageType]]=laptop[[#This Row],[SecondaryStorageType]],laptop[[#This Row],[PrimaryStorageType]],"SSD &amp; HDD")</f>
        <v>SSD &amp; HDD</v>
      </c>
      <c r="Y1051" t="s">
        <v>81</v>
      </c>
      <c r="Z1051" s="4" t="str">
        <f>_xlfn.CONCAT(laptop[[#This Row],[CPU_company]]," ",laptop[[#This Row],[GPU_model]])</f>
        <v>Intel HD Graphics 400</v>
      </c>
    </row>
    <row r="1052" spans="1:26" x14ac:dyDescent="0.25">
      <c r="A1052" t="s">
        <v>73</v>
      </c>
      <c r="B1052" t="s">
        <v>308</v>
      </c>
      <c r="C1052" t="s">
        <v>38</v>
      </c>
      <c r="D1052">
        <v>14</v>
      </c>
      <c r="E1052">
        <v>16</v>
      </c>
      <c r="F1052" t="s">
        <v>480</v>
      </c>
      <c r="G1052">
        <v>1.1000000000000001</v>
      </c>
      <c r="H1052" s="16">
        <v>2620</v>
      </c>
      <c r="I1052" t="s">
        <v>26</v>
      </c>
      <c r="J1052">
        <v>2560</v>
      </c>
      <c r="K1052">
        <v>1440</v>
      </c>
      <c r="L1052" t="s">
        <v>27</v>
      </c>
      <c r="M1052" t="s">
        <v>28</v>
      </c>
      <c r="N1052" t="s">
        <v>27</v>
      </c>
      <c r="O1052" t="s">
        <v>29</v>
      </c>
      <c r="P1052">
        <v>2.6</v>
      </c>
      <c r="Q1052" t="s">
        <v>309</v>
      </c>
      <c r="R1052" t="str">
        <f>_xlfn.CONCAT(laptop[[#This Row],[CPU_company]]," ",laptop[[#This Row],[CPU_model]])</f>
        <v>Intel Core i7 6600U</v>
      </c>
      <c r="S1052">
        <v>256</v>
      </c>
      <c r="T1052">
        <v>0</v>
      </c>
      <c r="U1052">
        <f>laptop[[#This Row],[PrimaryStorage]]+laptop[[#This Row],[SecondaryStorage]]</f>
        <v>256</v>
      </c>
      <c r="V1052" t="s">
        <v>31</v>
      </c>
      <c r="W1052" t="s">
        <v>27</v>
      </c>
      <c r="X1052" t="str">
        <f>IF(laptop[[#This Row],[PrimaryStorageType]]=laptop[[#This Row],[SecondaryStorageType]],laptop[[#This Row],[PrimaryStorageType]],"SSD &amp; HDD")</f>
        <v>SSD &amp; HDD</v>
      </c>
      <c r="Y1052" t="s">
        <v>63</v>
      </c>
      <c r="Z1052" s="4" t="str">
        <f>_xlfn.CONCAT(laptop[[#This Row],[CPU_company]]," ",laptop[[#This Row],[GPU_model]])</f>
        <v>Intel HD Graphics 520</v>
      </c>
    </row>
    <row r="1053" spans="1:26" x14ac:dyDescent="0.25">
      <c r="A1053" t="s">
        <v>36</v>
      </c>
      <c r="B1053" t="s">
        <v>774</v>
      </c>
      <c r="C1053" t="s">
        <v>38</v>
      </c>
      <c r="D1053">
        <v>15.6</v>
      </c>
      <c r="E1053">
        <v>8</v>
      </c>
      <c r="F1053" t="s">
        <v>48</v>
      </c>
      <c r="G1053">
        <v>1.91</v>
      </c>
      <c r="H1053" s="16">
        <v>979</v>
      </c>
      <c r="I1053" t="s">
        <v>40</v>
      </c>
      <c r="J1053">
        <v>1920</v>
      </c>
      <c r="K1053">
        <v>1080</v>
      </c>
      <c r="L1053" t="s">
        <v>27</v>
      </c>
      <c r="M1053" t="s">
        <v>28</v>
      </c>
      <c r="N1053" t="s">
        <v>27</v>
      </c>
      <c r="O1053" t="s">
        <v>29</v>
      </c>
      <c r="P1053">
        <v>2.7</v>
      </c>
      <c r="Q1053" t="s">
        <v>71</v>
      </c>
      <c r="R1053" t="str">
        <f>_xlfn.CONCAT(laptop[[#This Row],[CPU_company]]," ",laptop[[#This Row],[CPU_model]])</f>
        <v>Intel Core i7 7500U</v>
      </c>
      <c r="S1053">
        <v>1024</v>
      </c>
      <c r="T1053">
        <v>0</v>
      </c>
      <c r="U1053">
        <f>laptop[[#This Row],[PrimaryStorage]]+laptop[[#This Row],[SecondaryStorage]]</f>
        <v>1024</v>
      </c>
      <c r="V1053" t="s">
        <v>51</v>
      </c>
      <c r="W1053" t="s">
        <v>27</v>
      </c>
      <c r="X1053" t="str">
        <f>IF(laptop[[#This Row],[PrimaryStorageType]]=laptop[[#This Row],[SecondaryStorageType]],laptop[[#This Row],[PrimaryStorageType]],"SSD &amp; HDD")</f>
        <v>SSD &amp; HDD</v>
      </c>
      <c r="Y1053" t="s">
        <v>76</v>
      </c>
      <c r="Z1053" s="4" t="str">
        <f>_xlfn.CONCAT(laptop[[#This Row],[CPU_company]]," ",laptop[[#This Row],[GPU_model]])</f>
        <v>Intel GeForce 940MX</v>
      </c>
    </row>
    <row r="1054" spans="1:26" x14ac:dyDescent="0.25">
      <c r="A1054" t="s">
        <v>65</v>
      </c>
      <c r="B1054" t="s">
        <v>775</v>
      </c>
      <c r="C1054" t="s">
        <v>90</v>
      </c>
      <c r="D1054">
        <v>15.6</v>
      </c>
      <c r="E1054">
        <v>8</v>
      </c>
      <c r="F1054" t="s">
        <v>48</v>
      </c>
      <c r="G1054">
        <v>2.2999999999999998</v>
      </c>
      <c r="H1054" s="16">
        <v>1094</v>
      </c>
      <c r="I1054" t="s">
        <v>40</v>
      </c>
      <c r="J1054">
        <v>1920</v>
      </c>
      <c r="K1054">
        <v>1080</v>
      </c>
      <c r="L1054" t="s">
        <v>28</v>
      </c>
      <c r="M1054" t="s">
        <v>28</v>
      </c>
      <c r="N1054" t="s">
        <v>27</v>
      </c>
      <c r="O1054" t="s">
        <v>29</v>
      </c>
      <c r="P1054">
        <v>2.7</v>
      </c>
      <c r="Q1054" t="s">
        <v>41</v>
      </c>
      <c r="R1054" t="str">
        <f>_xlfn.CONCAT(laptop[[#This Row],[CPU_company]]," ",laptop[[#This Row],[CPU_model]])</f>
        <v>Intel Core i5 7200U</v>
      </c>
      <c r="S1054">
        <v>256</v>
      </c>
      <c r="T1054">
        <v>0</v>
      </c>
      <c r="U1054">
        <f>laptop[[#This Row],[PrimaryStorage]]+laptop[[#This Row],[SecondaryStorage]]</f>
        <v>256</v>
      </c>
      <c r="V1054" t="s">
        <v>31</v>
      </c>
      <c r="W1054" t="s">
        <v>27</v>
      </c>
      <c r="X1054" t="str">
        <f>IF(laptop[[#This Row],[PrimaryStorageType]]=laptop[[#This Row],[SecondaryStorageType]],laptop[[#This Row],[PrimaryStorageType]],"SSD &amp; HDD")</f>
        <v>SSD &amp; HDD</v>
      </c>
      <c r="Y1054" t="s">
        <v>42</v>
      </c>
      <c r="Z1054" s="4" t="str">
        <f>_xlfn.CONCAT(laptop[[#This Row],[CPU_company]]," ",laptop[[#This Row],[GPU_model]])</f>
        <v>Intel HD Graphics 620</v>
      </c>
    </row>
    <row r="1055" spans="1:26" x14ac:dyDescent="0.25">
      <c r="A1055" t="s">
        <v>36</v>
      </c>
      <c r="B1055" t="s">
        <v>114</v>
      </c>
      <c r="C1055" t="s">
        <v>38</v>
      </c>
      <c r="D1055">
        <v>15.6</v>
      </c>
      <c r="E1055">
        <v>4</v>
      </c>
      <c r="F1055" t="s">
        <v>48</v>
      </c>
      <c r="G1055">
        <v>2.04</v>
      </c>
      <c r="H1055" s="16">
        <v>979</v>
      </c>
      <c r="I1055" t="s">
        <v>26</v>
      </c>
      <c r="J1055">
        <v>1366</v>
      </c>
      <c r="K1055">
        <v>768</v>
      </c>
      <c r="L1055" t="s">
        <v>27</v>
      </c>
      <c r="M1055" t="s">
        <v>27</v>
      </c>
      <c r="N1055" t="s">
        <v>27</v>
      </c>
      <c r="O1055" t="s">
        <v>29</v>
      </c>
      <c r="P1055">
        <v>2.5</v>
      </c>
      <c r="Q1055" t="s">
        <v>41</v>
      </c>
      <c r="R1055" t="str">
        <f>_xlfn.CONCAT(laptop[[#This Row],[CPU_company]]," ",laptop[[#This Row],[CPU_model]])</f>
        <v>Intel Core i5 7200U</v>
      </c>
      <c r="S1055">
        <v>256</v>
      </c>
      <c r="T1055">
        <v>0</v>
      </c>
      <c r="U1055">
        <f>laptop[[#This Row],[PrimaryStorage]]+laptop[[#This Row],[SecondaryStorage]]</f>
        <v>256</v>
      </c>
      <c r="V1055" t="s">
        <v>31</v>
      </c>
      <c r="W1055" t="s">
        <v>27</v>
      </c>
      <c r="X1055" t="str">
        <f>IF(laptop[[#This Row],[PrimaryStorageType]]=laptop[[#This Row],[SecondaryStorageType]],laptop[[#This Row],[PrimaryStorageType]],"SSD &amp; HDD")</f>
        <v>SSD &amp; HDD</v>
      </c>
      <c r="Y1055" t="s">
        <v>42</v>
      </c>
      <c r="Z1055" s="4" t="str">
        <f>_xlfn.CONCAT(laptop[[#This Row],[CPU_company]]," ",laptop[[#This Row],[GPU_model]])</f>
        <v>Intel HD Graphics 620</v>
      </c>
    </row>
    <row r="1056" spans="1:26" x14ac:dyDescent="0.25">
      <c r="A1056" t="s">
        <v>65</v>
      </c>
      <c r="B1056" t="s">
        <v>77</v>
      </c>
      <c r="C1056" t="s">
        <v>24</v>
      </c>
      <c r="D1056">
        <v>13.3</v>
      </c>
      <c r="E1056">
        <v>16</v>
      </c>
      <c r="F1056" t="s">
        <v>48</v>
      </c>
      <c r="G1056">
        <v>1.2</v>
      </c>
      <c r="H1056" s="16">
        <v>2254</v>
      </c>
      <c r="I1056" t="s">
        <v>107</v>
      </c>
      <c r="J1056">
        <v>3200</v>
      </c>
      <c r="K1056">
        <v>1800</v>
      </c>
      <c r="L1056" t="s">
        <v>28</v>
      </c>
      <c r="M1056" t="s">
        <v>27</v>
      </c>
      <c r="N1056" t="s">
        <v>27</v>
      </c>
      <c r="O1056" t="s">
        <v>29</v>
      </c>
      <c r="P1056">
        <v>2.7</v>
      </c>
      <c r="Q1056" t="s">
        <v>71</v>
      </c>
      <c r="R1056" t="str">
        <f>_xlfn.CONCAT(laptop[[#This Row],[CPU_company]]," ",laptop[[#This Row],[CPU_model]])</f>
        <v>Intel Core i7 7500U</v>
      </c>
      <c r="S1056">
        <v>1024</v>
      </c>
      <c r="T1056">
        <v>0</v>
      </c>
      <c r="U1056">
        <f>laptop[[#This Row],[PrimaryStorage]]+laptop[[#This Row],[SecondaryStorage]]</f>
        <v>1024</v>
      </c>
      <c r="V1056" t="s">
        <v>31</v>
      </c>
      <c r="W1056" t="s">
        <v>27</v>
      </c>
      <c r="X1056" t="str">
        <f>IF(laptop[[#This Row],[PrimaryStorageType]]=laptop[[#This Row],[SecondaryStorageType]],laptop[[#This Row],[PrimaryStorageType]],"SSD &amp; HDD")</f>
        <v>SSD &amp; HDD</v>
      </c>
      <c r="Y1056" t="s">
        <v>42</v>
      </c>
      <c r="Z1056" s="4" t="str">
        <f>_xlfn.CONCAT(laptop[[#This Row],[CPU_company]]," ",laptop[[#This Row],[GPU_model]])</f>
        <v>Intel HD Graphics 620</v>
      </c>
    </row>
    <row r="1057" spans="1:26" x14ac:dyDescent="0.25">
      <c r="A1057" t="s">
        <v>36</v>
      </c>
      <c r="B1057" t="s">
        <v>407</v>
      </c>
      <c r="C1057" t="s">
        <v>38</v>
      </c>
      <c r="D1057">
        <v>15.6</v>
      </c>
      <c r="E1057">
        <v>4</v>
      </c>
      <c r="F1057" t="s">
        <v>48</v>
      </c>
      <c r="G1057">
        <v>2.31</v>
      </c>
      <c r="H1057" s="16">
        <v>705.15</v>
      </c>
      <c r="I1057" t="s">
        <v>26</v>
      </c>
      <c r="J1057">
        <v>1366</v>
      </c>
      <c r="K1057">
        <v>768</v>
      </c>
      <c r="L1057" t="s">
        <v>27</v>
      </c>
      <c r="M1057" t="s">
        <v>27</v>
      </c>
      <c r="N1057" t="s">
        <v>27</v>
      </c>
      <c r="O1057" t="s">
        <v>29</v>
      </c>
      <c r="P1057">
        <v>2.2999999999999998</v>
      </c>
      <c r="Q1057" t="s">
        <v>450</v>
      </c>
      <c r="R1057" t="str">
        <f>_xlfn.CONCAT(laptop[[#This Row],[CPU_company]]," ",laptop[[#This Row],[CPU_model]])</f>
        <v>Intel Core i3 6100U</v>
      </c>
      <c r="S1057">
        <v>500</v>
      </c>
      <c r="T1057">
        <v>0</v>
      </c>
      <c r="U1057">
        <f>laptop[[#This Row],[PrimaryStorage]]+laptop[[#This Row],[SecondaryStorage]]</f>
        <v>500</v>
      </c>
      <c r="V1057" t="s">
        <v>51</v>
      </c>
      <c r="W1057" t="s">
        <v>27</v>
      </c>
      <c r="X1057" t="str">
        <f>IF(laptop[[#This Row],[PrimaryStorageType]]=laptop[[#This Row],[SecondaryStorageType]],laptop[[#This Row],[PrimaryStorageType]],"SSD &amp; HDD")</f>
        <v>SSD &amp; HDD</v>
      </c>
      <c r="Y1057" t="s">
        <v>63</v>
      </c>
      <c r="Z1057" s="4" t="str">
        <f>_xlfn.CONCAT(laptop[[#This Row],[CPU_company]]," ",laptop[[#This Row],[GPU_model]])</f>
        <v>Intel HD Graphics 520</v>
      </c>
    </row>
    <row r="1058" spans="1:26" x14ac:dyDescent="0.25">
      <c r="A1058" t="s">
        <v>36</v>
      </c>
      <c r="B1058" t="s">
        <v>776</v>
      </c>
      <c r="C1058" t="s">
        <v>38</v>
      </c>
      <c r="D1058">
        <v>15.6</v>
      </c>
      <c r="E1058">
        <v>4</v>
      </c>
      <c r="F1058" t="s">
        <v>39</v>
      </c>
      <c r="G1058">
        <v>1.96</v>
      </c>
      <c r="H1058" s="16">
        <v>499</v>
      </c>
      <c r="I1058" t="s">
        <v>26</v>
      </c>
      <c r="J1058">
        <v>1366</v>
      </c>
      <c r="K1058">
        <v>768</v>
      </c>
      <c r="L1058" t="s">
        <v>27</v>
      </c>
      <c r="M1058" t="s">
        <v>27</v>
      </c>
      <c r="N1058" t="s">
        <v>27</v>
      </c>
      <c r="O1058" t="s">
        <v>29</v>
      </c>
      <c r="P1058">
        <v>2.5</v>
      </c>
      <c r="Q1058" t="s">
        <v>41</v>
      </c>
      <c r="R1058" t="str">
        <f>_xlfn.CONCAT(laptop[[#This Row],[CPU_company]]," ",laptop[[#This Row],[CPU_model]])</f>
        <v>Intel Core i5 7200U</v>
      </c>
      <c r="S1058">
        <v>500</v>
      </c>
      <c r="T1058">
        <v>0</v>
      </c>
      <c r="U1058">
        <f>laptop[[#This Row],[PrimaryStorage]]+laptop[[#This Row],[SecondaryStorage]]</f>
        <v>500</v>
      </c>
      <c r="V1058" t="s">
        <v>51</v>
      </c>
      <c r="W1058" t="s">
        <v>27</v>
      </c>
      <c r="X1058" t="str">
        <f>IF(laptop[[#This Row],[PrimaryStorageType]]=laptop[[#This Row],[SecondaryStorageType]],laptop[[#This Row],[PrimaryStorageType]],"SSD &amp; HDD")</f>
        <v>SSD &amp; HDD</v>
      </c>
      <c r="Y1058" t="s">
        <v>42</v>
      </c>
      <c r="Z1058" s="4" t="str">
        <f>_xlfn.CONCAT(laptop[[#This Row],[CPU_company]]," ",laptop[[#This Row],[GPU_model]])</f>
        <v>Intel HD Graphics 620</v>
      </c>
    </row>
    <row r="1059" spans="1:26" x14ac:dyDescent="0.25">
      <c r="A1059" t="s">
        <v>46</v>
      </c>
      <c r="B1059" t="s">
        <v>777</v>
      </c>
      <c r="C1059" t="s">
        <v>38</v>
      </c>
      <c r="D1059">
        <v>15.6</v>
      </c>
      <c r="E1059">
        <v>8</v>
      </c>
      <c r="F1059" t="s">
        <v>48</v>
      </c>
      <c r="G1059">
        <v>2.4</v>
      </c>
      <c r="H1059" s="16">
        <v>449</v>
      </c>
      <c r="I1059" t="s">
        <v>26</v>
      </c>
      <c r="J1059">
        <v>1366</v>
      </c>
      <c r="K1059">
        <v>768</v>
      </c>
      <c r="L1059" t="s">
        <v>27</v>
      </c>
      <c r="M1059" t="s">
        <v>27</v>
      </c>
      <c r="N1059" t="s">
        <v>27</v>
      </c>
      <c r="O1059" t="s">
        <v>49</v>
      </c>
      <c r="P1059">
        <v>2.2000000000000002</v>
      </c>
      <c r="Q1059" t="s">
        <v>339</v>
      </c>
      <c r="R1059" t="str">
        <f>_xlfn.CONCAT(laptop[[#This Row],[CPU_company]]," ",laptop[[#This Row],[CPU_model]])</f>
        <v>AMD A8-Series 7410</v>
      </c>
      <c r="S1059">
        <v>1024</v>
      </c>
      <c r="T1059">
        <v>0</v>
      </c>
      <c r="U1059">
        <f>laptop[[#This Row],[PrimaryStorage]]+laptop[[#This Row],[SecondaryStorage]]</f>
        <v>1024</v>
      </c>
      <c r="V1059" t="s">
        <v>51</v>
      </c>
      <c r="W1059" t="s">
        <v>27</v>
      </c>
      <c r="X1059" t="str">
        <f>IF(laptop[[#This Row],[PrimaryStorageType]]=laptop[[#This Row],[SecondaryStorageType]],laptop[[#This Row],[PrimaryStorageType]],"SSD &amp; HDD")</f>
        <v>SSD &amp; HDD</v>
      </c>
      <c r="Y1059" t="s">
        <v>52</v>
      </c>
      <c r="Z1059" s="4" t="str">
        <f>_xlfn.CONCAT(laptop[[#This Row],[CPU_company]]," ",laptop[[#This Row],[GPU_model]])</f>
        <v>AMD Radeon R5</v>
      </c>
    </row>
    <row r="1060" spans="1:26" x14ac:dyDescent="0.25">
      <c r="A1060" t="s">
        <v>65</v>
      </c>
      <c r="B1060" t="s">
        <v>778</v>
      </c>
      <c r="C1060" t="s">
        <v>90</v>
      </c>
      <c r="D1060">
        <v>13.3</v>
      </c>
      <c r="E1060">
        <v>12</v>
      </c>
      <c r="F1060" t="s">
        <v>48</v>
      </c>
      <c r="G1060">
        <v>1.6</v>
      </c>
      <c r="H1060" s="16">
        <v>1299</v>
      </c>
      <c r="I1060" t="s">
        <v>40</v>
      </c>
      <c r="J1060">
        <v>1920</v>
      </c>
      <c r="K1060">
        <v>1080</v>
      </c>
      <c r="L1060" t="s">
        <v>28</v>
      </c>
      <c r="M1060" t="s">
        <v>28</v>
      </c>
      <c r="N1060" t="s">
        <v>27</v>
      </c>
      <c r="O1060" t="s">
        <v>29</v>
      </c>
      <c r="P1060">
        <v>2.7</v>
      </c>
      <c r="Q1060" t="s">
        <v>71</v>
      </c>
      <c r="R1060" t="str">
        <f>_xlfn.CONCAT(laptop[[#This Row],[CPU_company]]," ",laptop[[#This Row],[CPU_model]])</f>
        <v>Intel Core i7 7500U</v>
      </c>
      <c r="S1060">
        <v>256</v>
      </c>
      <c r="T1060">
        <v>0</v>
      </c>
      <c r="U1060">
        <f>laptop[[#This Row],[PrimaryStorage]]+laptop[[#This Row],[SecondaryStorage]]</f>
        <v>256</v>
      </c>
      <c r="V1060" t="s">
        <v>31</v>
      </c>
      <c r="W1060" t="s">
        <v>27</v>
      </c>
      <c r="X1060" t="str">
        <f>IF(laptop[[#This Row],[PrimaryStorageType]]=laptop[[#This Row],[SecondaryStorageType]],laptop[[#This Row],[PrimaryStorageType]],"SSD &amp; HDD")</f>
        <v>SSD &amp; HDD</v>
      </c>
      <c r="Y1060" t="s">
        <v>42</v>
      </c>
      <c r="Z1060" s="4" t="str">
        <f>_xlfn.CONCAT(laptop[[#This Row],[CPU_company]]," ",laptop[[#This Row],[GPU_model]])</f>
        <v>Intel HD Graphics 620</v>
      </c>
    </row>
    <row r="1061" spans="1:26" x14ac:dyDescent="0.25">
      <c r="A1061" t="s">
        <v>141</v>
      </c>
      <c r="B1061" t="s">
        <v>779</v>
      </c>
      <c r="C1061" t="s">
        <v>83</v>
      </c>
      <c r="D1061">
        <v>15.6</v>
      </c>
      <c r="E1061">
        <v>16</v>
      </c>
      <c r="F1061" t="s">
        <v>48</v>
      </c>
      <c r="G1061">
        <v>2.94</v>
      </c>
      <c r="H1061" s="16">
        <v>1819</v>
      </c>
      <c r="I1061" t="s">
        <v>40</v>
      </c>
      <c r="J1061">
        <v>1920</v>
      </c>
      <c r="K1061">
        <v>1080</v>
      </c>
      <c r="L1061" t="s">
        <v>27</v>
      </c>
      <c r="M1061" t="s">
        <v>27</v>
      </c>
      <c r="N1061" t="s">
        <v>27</v>
      </c>
      <c r="O1061" t="s">
        <v>29</v>
      </c>
      <c r="P1061">
        <v>2.6</v>
      </c>
      <c r="Q1061" t="s">
        <v>447</v>
      </c>
      <c r="R1061" t="str">
        <f>_xlfn.CONCAT(laptop[[#This Row],[CPU_company]]," ",laptop[[#This Row],[CPU_model]])</f>
        <v>Intel Core i7 6700HQ</v>
      </c>
      <c r="S1061">
        <v>256</v>
      </c>
      <c r="T1061">
        <v>1024</v>
      </c>
      <c r="U1061">
        <f>laptop[[#This Row],[PrimaryStorage]]+laptop[[#This Row],[SecondaryStorage]]</f>
        <v>1280</v>
      </c>
      <c r="V1061" t="s">
        <v>31</v>
      </c>
      <c r="W1061" t="s">
        <v>51</v>
      </c>
      <c r="X1061" t="str">
        <f>IF(laptop[[#This Row],[PrimaryStorageType]]=laptop[[#This Row],[SecondaryStorageType]],laptop[[#This Row],[PrimaryStorageType]],"SSD &amp; HDD")</f>
        <v>SSD &amp; HDD</v>
      </c>
      <c r="Y1061" t="s">
        <v>119</v>
      </c>
      <c r="Z1061" s="4" t="str">
        <f>_xlfn.CONCAT(laptop[[#This Row],[CPU_company]]," ",laptop[[#This Row],[GPU_model]])</f>
        <v>Intel GeForce GTX 1060</v>
      </c>
    </row>
    <row r="1062" spans="1:26" x14ac:dyDescent="0.25">
      <c r="A1062" t="s">
        <v>36</v>
      </c>
      <c r="B1062" t="s">
        <v>114</v>
      </c>
      <c r="C1062" t="s">
        <v>38</v>
      </c>
      <c r="D1062">
        <v>15.6</v>
      </c>
      <c r="E1062">
        <v>8</v>
      </c>
      <c r="F1062" t="s">
        <v>48</v>
      </c>
      <c r="G1062">
        <v>2.04</v>
      </c>
      <c r="H1062" s="16">
        <v>1070</v>
      </c>
      <c r="I1062" t="s">
        <v>40</v>
      </c>
      <c r="J1062">
        <v>1920</v>
      </c>
      <c r="K1062">
        <v>1080</v>
      </c>
      <c r="L1062" t="s">
        <v>27</v>
      </c>
      <c r="M1062" t="s">
        <v>27</v>
      </c>
      <c r="N1062" t="s">
        <v>27</v>
      </c>
      <c r="O1062" t="s">
        <v>29</v>
      </c>
      <c r="P1062">
        <v>2.7</v>
      </c>
      <c r="Q1062" t="s">
        <v>71</v>
      </c>
      <c r="R1062" t="str">
        <f>_xlfn.CONCAT(laptop[[#This Row],[CPU_company]]," ",laptop[[#This Row],[CPU_model]])</f>
        <v>Intel Core i7 7500U</v>
      </c>
      <c r="S1062">
        <v>256</v>
      </c>
      <c r="T1062">
        <v>0</v>
      </c>
      <c r="U1062">
        <f>laptop[[#This Row],[PrimaryStorage]]+laptop[[#This Row],[SecondaryStorage]]</f>
        <v>256</v>
      </c>
      <c r="V1062" t="s">
        <v>31</v>
      </c>
      <c r="W1062" t="s">
        <v>27</v>
      </c>
      <c r="X1062" t="str">
        <f>IF(laptop[[#This Row],[PrimaryStorageType]]=laptop[[#This Row],[SecondaryStorageType]],laptop[[#This Row],[PrimaryStorageType]],"SSD &amp; HDD")</f>
        <v>SSD &amp; HDD</v>
      </c>
      <c r="Y1062" t="s">
        <v>42</v>
      </c>
      <c r="Z1062" s="4" t="str">
        <f>_xlfn.CONCAT(laptop[[#This Row],[CPU_company]]," ",laptop[[#This Row],[GPU_model]])</f>
        <v>Intel HD Graphics 620</v>
      </c>
    </row>
    <row r="1063" spans="1:26" x14ac:dyDescent="0.25">
      <c r="A1063" t="s">
        <v>55</v>
      </c>
      <c r="B1063" t="s">
        <v>780</v>
      </c>
      <c r="C1063" t="s">
        <v>83</v>
      </c>
      <c r="D1063">
        <v>17.3</v>
      </c>
      <c r="E1063">
        <v>16</v>
      </c>
      <c r="F1063" t="s">
        <v>39</v>
      </c>
      <c r="G1063">
        <v>4</v>
      </c>
      <c r="H1063" s="16">
        <v>998</v>
      </c>
      <c r="I1063" t="s">
        <v>40</v>
      </c>
      <c r="J1063">
        <v>1920</v>
      </c>
      <c r="K1063">
        <v>1080</v>
      </c>
      <c r="L1063" t="s">
        <v>27</v>
      </c>
      <c r="M1063" t="s">
        <v>28</v>
      </c>
      <c r="N1063" t="s">
        <v>27</v>
      </c>
      <c r="O1063" t="s">
        <v>29</v>
      </c>
      <c r="P1063">
        <v>2.6</v>
      </c>
      <c r="Q1063" t="s">
        <v>447</v>
      </c>
      <c r="R1063" t="str">
        <f>_xlfn.CONCAT(laptop[[#This Row],[CPU_company]]," ",laptop[[#This Row],[CPU_model]])</f>
        <v>Intel Core i7 6700HQ</v>
      </c>
      <c r="S1063">
        <v>1024</v>
      </c>
      <c r="T1063">
        <v>0</v>
      </c>
      <c r="U1063">
        <f>laptop[[#This Row],[PrimaryStorage]]+laptop[[#This Row],[SecondaryStorage]]</f>
        <v>1024</v>
      </c>
      <c r="V1063" t="s">
        <v>51</v>
      </c>
      <c r="W1063" t="s">
        <v>27</v>
      </c>
      <c r="X1063" t="str">
        <f>IF(laptop[[#This Row],[PrimaryStorageType]]=laptop[[#This Row],[SecondaryStorageType]],laptop[[#This Row],[PrimaryStorageType]],"SSD &amp; HDD")</f>
        <v>SSD &amp; HDD</v>
      </c>
      <c r="Y1063" t="s">
        <v>460</v>
      </c>
      <c r="Z1063" s="4" t="str">
        <f>_xlfn.CONCAT(laptop[[#This Row],[CPU_company]]," ",laptop[[#This Row],[GPU_model]])</f>
        <v>Intel GeForce GTX 965M</v>
      </c>
    </row>
    <row r="1064" spans="1:26" x14ac:dyDescent="0.25">
      <c r="A1064" t="s">
        <v>65</v>
      </c>
      <c r="B1064" t="s">
        <v>66</v>
      </c>
      <c r="C1064" t="s">
        <v>38</v>
      </c>
      <c r="D1064">
        <v>15.6</v>
      </c>
      <c r="E1064">
        <v>4</v>
      </c>
      <c r="F1064" t="s">
        <v>48</v>
      </c>
      <c r="G1064">
        <v>2.25</v>
      </c>
      <c r="H1064" s="16">
        <v>559</v>
      </c>
      <c r="I1064" t="s">
        <v>40</v>
      </c>
      <c r="J1064">
        <v>1920</v>
      </c>
      <c r="K1064">
        <v>1080</v>
      </c>
      <c r="L1064" t="s">
        <v>27</v>
      </c>
      <c r="M1064" t="s">
        <v>27</v>
      </c>
      <c r="N1064" t="s">
        <v>27</v>
      </c>
      <c r="O1064" t="s">
        <v>29</v>
      </c>
      <c r="P1064">
        <v>2.5</v>
      </c>
      <c r="Q1064" t="s">
        <v>41</v>
      </c>
      <c r="R1064" t="str">
        <f>_xlfn.CONCAT(laptop[[#This Row],[CPU_company]]," ",laptop[[#This Row],[CPU_model]])</f>
        <v>Intel Core i5 7200U</v>
      </c>
      <c r="S1064">
        <v>1024</v>
      </c>
      <c r="T1064">
        <v>0</v>
      </c>
      <c r="U1064">
        <f>laptop[[#This Row],[PrimaryStorage]]+laptop[[#This Row],[SecondaryStorage]]</f>
        <v>1024</v>
      </c>
      <c r="V1064" t="s">
        <v>51</v>
      </c>
      <c r="W1064" t="s">
        <v>27</v>
      </c>
      <c r="X1064" t="str">
        <f>IF(laptop[[#This Row],[PrimaryStorageType]]=laptop[[#This Row],[SecondaryStorageType]],laptop[[#This Row],[PrimaryStorageType]],"SSD &amp; HDD")</f>
        <v>SSD &amp; HDD</v>
      </c>
      <c r="Y1064" t="s">
        <v>102</v>
      </c>
      <c r="Z1064" s="4" t="str">
        <f>_xlfn.CONCAT(laptop[[#This Row],[CPU_company]]," ",laptop[[#This Row],[GPU_model]])</f>
        <v>Intel HD Graphics</v>
      </c>
    </row>
    <row r="1065" spans="1:26" x14ac:dyDescent="0.25">
      <c r="A1065" t="s">
        <v>65</v>
      </c>
      <c r="B1065" t="s">
        <v>200</v>
      </c>
      <c r="C1065" t="s">
        <v>38</v>
      </c>
      <c r="D1065">
        <v>15.6</v>
      </c>
      <c r="E1065">
        <v>16</v>
      </c>
      <c r="F1065" t="s">
        <v>48</v>
      </c>
      <c r="G1065">
        <v>2.3199999999999998</v>
      </c>
      <c r="H1065" s="16">
        <v>989.99</v>
      </c>
      <c r="I1065" t="s">
        <v>40</v>
      </c>
      <c r="J1065">
        <v>1920</v>
      </c>
      <c r="K1065">
        <v>1080</v>
      </c>
      <c r="L1065" t="s">
        <v>27</v>
      </c>
      <c r="M1065" t="s">
        <v>27</v>
      </c>
      <c r="N1065" t="s">
        <v>27</v>
      </c>
      <c r="O1065" t="s">
        <v>29</v>
      </c>
      <c r="P1065">
        <v>2.7</v>
      </c>
      <c r="Q1065" t="s">
        <v>71</v>
      </c>
      <c r="R1065" t="str">
        <f>_xlfn.CONCAT(laptop[[#This Row],[CPU_company]]," ",laptop[[#This Row],[CPU_model]])</f>
        <v>Intel Core i7 7500U</v>
      </c>
      <c r="S1065">
        <v>2048</v>
      </c>
      <c r="T1065">
        <v>0</v>
      </c>
      <c r="U1065">
        <f>laptop[[#This Row],[PrimaryStorage]]+laptop[[#This Row],[SecondaryStorage]]</f>
        <v>2048</v>
      </c>
      <c r="V1065" t="s">
        <v>51</v>
      </c>
      <c r="W1065" t="s">
        <v>27</v>
      </c>
      <c r="X1065" t="str">
        <f>IF(laptop[[#This Row],[PrimaryStorageType]]=laptop[[#This Row],[SecondaryStorageType]],laptop[[#This Row],[PrimaryStorageType]],"SSD &amp; HDD")</f>
        <v>SSD &amp; HDD</v>
      </c>
      <c r="Y1065" t="s">
        <v>201</v>
      </c>
      <c r="Z1065" s="4" t="str">
        <f>_xlfn.CONCAT(laptop[[#This Row],[CPU_company]]," ",laptop[[#This Row],[GPU_model]])</f>
        <v>Intel Radeon R7 M445</v>
      </c>
    </row>
    <row r="1066" spans="1:26" x14ac:dyDescent="0.25">
      <c r="A1066" t="s">
        <v>141</v>
      </c>
      <c r="B1066" t="s">
        <v>781</v>
      </c>
      <c r="C1066" t="s">
        <v>83</v>
      </c>
      <c r="D1066">
        <v>15.6</v>
      </c>
      <c r="E1066">
        <v>16</v>
      </c>
      <c r="F1066" t="s">
        <v>48</v>
      </c>
      <c r="G1066">
        <v>1.8</v>
      </c>
      <c r="H1066" s="16">
        <v>1929</v>
      </c>
      <c r="I1066" t="s">
        <v>40</v>
      </c>
      <c r="J1066">
        <v>1920</v>
      </c>
      <c r="K1066">
        <v>1080</v>
      </c>
      <c r="L1066" t="s">
        <v>27</v>
      </c>
      <c r="M1066" t="s">
        <v>27</v>
      </c>
      <c r="N1066" t="s">
        <v>27</v>
      </c>
      <c r="O1066" t="s">
        <v>29</v>
      </c>
      <c r="P1066">
        <v>2.6</v>
      </c>
      <c r="Q1066" t="s">
        <v>447</v>
      </c>
      <c r="R1066" t="str">
        <f>_xlfn.CONCAT(laptop[[#This Row],[CPU_company]]," ",laptop[[#This Row],[CPU_model]])</f>
        <v>Intel Core i7 6700HQ</v>
      </c>
      <c r="S1066">
        <v>256</v>
      </c>
      <c r="T1066">
        <v>1024</v>
      </c>
      <c r="U1066">
        <f>laptop[[#This Row],[PrimaryStorage]]+laptop[[#This Row],[SecondaryStorage]]</f>
        <v>1280</v>
      </c>
      <c r="V1066" t="s">
        <v>31</v>
      </c>
      <c r="W1066" t="s">
        <v>51</v>
      </c>
      <c r="X1066" t="str">
        <f>IF(laptop[[#This Row],[PrimaryStorageType]]=laptop[[#This Row],[SecondaryStorageType]],laptop[[#This Row],[PrimaryStorageType]],"SSD &amp; HDD")</f>
        <v>SSD &amp; HDD</v>
      </c>
      <c r="Y1066" t="s">
        <v>119</v>
      </c>
      <c r="Z1066" s="4" t="str">
        <f>_xlfn.CONCAT(laptop[[#This Row],[CPU_company]]," ",laptop[[#This Row],[GPU_model]])</f>
        <v>Intel GeForce GTX 1060</v>
      </c>
    </row>
    <row r="1067" spans="1:26" x14ac:dyDescent="0.25">
      <c r="A1067" t="s">
        <v>65</v>
      </c>
      <c r="B1067" t="s">
        <v>77</v>
      </c>
      <c r="C1067" t="s">
        <v>24</v>
      </c>
      <c r="D1067">
        <v>13.3</v>
      </c>
      <c r="E1067">
        <v>8</v>
      </c>
      <c r="F1067" t="s">
        <v>48</v>
      </c>
      <c r="G1067">
        <v>1.29</v>
      </c>
      <c r="H1067" s="16">
        <v>1458</v>
      </c>
      <c r="I1067" t="s">
        <v>40</v>
      </c>
      <c r="J1067">
        <v>1920</v>
      </c>
      <c r="K1067">
        <v>1080</v>
      </c>
      <c r="L1067" t="s">
        <v>27</v>
      </c>
      <c r="M1067" t="s">
        <v>27</v>
      </c>
      <c r="N1067" t="s">
        <v>27</v>
      </c>
      <c r="O1067" t="s">
        <v>29</v>
      </c>
      <c r="P1067">
        <v>2.7</v>
      </c>
      <c r="Q1067" t="s">
        <v>71</v>
      </c>
      <c r="R1067" t="str">
        <f>_xlfn.CONCAT(laptop[[#This Row],[CPU_company]]," ",laptop[[#This Row],[CPU_model]])</f>
        <v>Intel Core i7 7500U</v>
      </c>
      <c r="S1067">
        <v>256</v>
      </c>
      <c r="T1067">
        <v>0</v>
      </c>
      <c r="U1067">
        <f>laptop[[#This Row],[PrimaryStorage]]+laptop[[#This Row],[SecondaryStorage]]</f>
        <v>256</v>
      </c>
      <c r="V1067" t="s">
        <v>31</v>
      </c>
      <c r="W1067" t="s">
        <v>27</v>
      </c>
      <c r="X1067" t="str">
        <f>IF(laptop[[#This Row],[PrimaryStorageType]]=laptop[[#This Row],[SecondaryStorageType]],laptop[[#This Row],[PrimaryStorageType]],"SSD &amp; HDD")</f>
        <v>SSD &amp; HDD</v>
      </c>
      <c r="Y1067" t="s">
        <v>42</v>
      </c>
      <c r="Z1067" s="4" t="str">
        <f>_xlfn.CONCAT(laptop[[#This Row],[CPU_company]]," ",laptop[[#This Row],[GPU_model]])</f>
        <v>Intel HD Graphics 620</v>
      </c>
    </row>
    <row r="1068" spans="1:26" x14ac:dyDescent="0.25">
      <c r="A1068" t="s">
        <v>55</v>
      </c>
      <c r="B1068" t="s">
        <v>782</v>
      </c>
      <c r="C1068" t="s">
        <v>83</v>
      </c>
      <c r="D1068">
        <v>17.3</v>
      </c>
      <c r="E1068">
        <v>64</v>
      </c>
      <c r="F1068" t="s">
        <v>48</v>
      </c>
      <c r="G1068">
        <v>3.58</v>
      </c>
      <c r="H1068" s="16">
        <v>3975</v>
      </c>
      <c r="I1068" t="s">
        <v>40</v>
      </c>
      <c r="J1068">
        <v>1920</v>
      </c>
      <c r="K1068">
        <v>1080</v>
      </c>
      <c r="L1068" t="s">
        <v>27</v>
      </c>
      <c r="M1068" t="s">
        <v>28</v>
      </c>
      <c r="N1068" t="s">
        <v>27</v>
      </c>
      <c r="O1068" t="s">
        <v>29</v>
      </c>
      <c r="P1068">
        <v>2.7</v>
      </c>
      <c r="Q1068" t="s">
        <v>514</v>
      </c>
      <c r="R1068" t="str">
        <f>_xlfn.CONCAT(laptop[[#This Row],[CPU_company]]," ",laptop[[#This Row],[CPU_model]])</f>
        <v>Intel Core i7 6820HK</v>
      </c>
      <c r="S1068">
        <v>1024</v>
      </c>
      <c r="T1068">
        <v>0</v>
      </c>
      <c r="U1068">
        <f>laptop[[#This Row],[PrimaryStorage]]+laptop[[#This Row],[SecondaryStorage]]</f>
        <v>1024</v>
      </c>
      <c r="V1068" t="s">
        <v>31</v>
      </c>
      <c r="W1068" t="s">
        <v>27</v>
      </c>
      <c r="X1068" t="str">
        <f>IF(laptop[[#This Row],[PrimaryStorageType]]=laptop[[#This Row],[SecondaryStorageType]],laptop[[#This Row],[PrimaryStorageType]],"SSD &amp; HDD")</f>
        <v>SSD &amp; HDD</v>
      </c>
      <c r="Y1068" t="s">
        <v>783</v>
      </c>
      <c r="Z1068" s="4" t="str">
        <f>_xlfn.CONCAT(laptop[[#This Row],[CPU_company]]," ",laptop[[#This Row],[GPU_model]])</f>
        <v xml:space="preserve">Intel GeForce GTX 980 </v>
      </c>
    </row>
    <row r="1069" spans="1:26" x14ac:dyDescent="0.25">
      <c r="A1069" t="s">
        <v>65</v>
      </c>
      <c r="B1069" t="s">
        <v>686</v>
      </c>
      <c r="C1069" t="s">
        <v>90</v>
      </c>
      <c r="D1069">
        <v>13.3</v>
      </c>
      <c r="E1069">
        <v>8</v>
      </c>
      <c r="F1069" t="s">
        <v>48</v>
      </c>
      <c r="G1069">
        <v>1.62</v>
      </c>
      <c r="H1069" s="16">
        <v>798.01</v>
      </c>
      <c r="I1069" t="s">
        <v>40</v>
      </c>
      <c r="J1069">
        <v>1920</v>
      </c>
      <c r="K1069">
        <v>1080</v>
      </c>
      <c r="L1069" t="s">
        <v>28</v>
      </c>
      <c r="M1069" t="s">
        <v>27</v>
      </c>
      <c r="N1069" t="s">
        <v>27</v>
      </c>
      <c r="O1069" t="s">
        <v>29</v>
      </c>
      <c r="P1069">
        <v>2.5</v>
      </c>
      <c r="Q1069" t="s">
        <v>274</v>
      </c>
      <c r="R1069" t="str">
        <f>_xlfn.CONCAT(laptop[[#This Row],[CPU_company]]," ",laptop[[#This Row],[CPU_model]])</f>
        <v>Intel Core i7 6500U</v>
      </c>
      <c r="S1069">
        <v>256</v>
      </c>
      <c r="T1069">
        <v>0</v>
      </c>
      <c r="U1069">
        <f>laptop[[#This Row],[PrimaryStorage]]+laptop[[#This Row],[SecondaryStorage]]</f>
        <v>256</v>
      </c>
      <c r="V1069" t="s">
        <v>31</v>
      </c>
      <c r="W1069" t="s">
        <v>27</v>
      </c>
      <c r="X1069" t="str">
        <f>IF(laptop[[#This Row],[PrimaryStorageType]]=laptop[[#This Row],[SecondaryStorageType]],laptop[[#This Row],[PrimaryStorageType]],"SSD &amp; HDD")</f>
        <v>SSD &amp; HDD</v>
      </c>
      <c r="Y1069" t="s">
        <v>63</v>
      </c>
      <c r="Z1069" s="4" t="str">
        <f>_xlfn.CONCAT(laptop[[#This Row],[CPU_company]]," ",laptop[[#This Row],[GPU_model]])</f>
        <v>Intel HD Graphics 520</v>
      </c>
    </row>
    <row r="1070" spans="1:26" x14ac:dyDescent="0.25">
      <c r="A1070" t="s">
        <v>65</v>
      </c>
      <c r="B1070" t="s">
        <v>580</v>
      </c>
      <c r="C1070" t="s">
        <v>83</v>
      </c>
      <c r="D1070">
        <v>15.6</v>
      </c>
      <c r="E1070">
        <v>16</v>
      </c>
      <c r="F1070" t="s">
        <v>48</v>
      </c>
      <c r="G1070">
        <v>3.21</v>
      </c>
      <c r="H1070" s="16">
        <v>1329</v>
      </c>
      <c r="I1070" t="s">
        <v>215</v>
      </c>
      <c r="J1070">
        <v>3840</v>
      </c>
      <c r="K1070">
        <v>2160</v>
      </c>
      <c r="L1070" t="s">
        <v>27</v>
      </c>
      <c r="M1070" t="s">
        <v>27</v>
      </c>
      <c r="N1070" t="s">
        <v>27</v>
      </c>
      <c r="O1070" t="s">
        <v>29</v>
      </c>
      <c r="P1070">
        <v>2.6</v>
      </c>
      <c r="Q1070" t="s">
        <v>447</v>
      </c>
      <c r="R1070" t="str">
        <f>_xlfn.CONCAT(laptop[[#This Row],[CPU_company]]," ",laptop[[#This Row],[CPU_model]])</f>
        <v>Intel Core i7 6700HQ</v>
      </c>
      <c r="S1070">
        <v>256</v>
      </c>
      <c r="T1070">
        <v>1024</v>
      </c>
      <c r="U1070">
        <f>laptop[[#This Row],[PrimaryStorage]]+laptop[[#This Row],[SecondaryStorage]]</f>
        <v>1280</v>
      </c>
      <c r="V1070" t="s">
        <v>31</v>
      </c>
      <c r="W1070" t="s">
        <v>51</v>
      </c>
      <c r="X1070" t="str">
        <f>IF(laptop[[#This Row],[PrimaryStorageType]]=laptop[[#This Row],[SecondaryStorageType]],laptop[[#This Row],[PrimaryStorageType]],"SSD &amp; HDD")</f>
        <v>SSD &amp; HDD</v>
      </c>
      <c r="Y1070" t="s">
        <v>530</v>
      </c>
      <c r="Z1070" s="4" t="str">
        <f>_xlfn.CONCAT(laptop[[#This Row],[CPU_company]]," ",laptop[[#This Row],[GPU_model]])</f>
        <v>Intel GeForce GTX 970M</v>
      </c>
    </row>
    <row r="1071" spans="1:26" x14ac:dyDescent="0.25">
      <c r="A1071" t="s">
        <v>22</v>
      </c>
      <c r="B1071" t="s">
        <v>68</v>
      </c>
      <c r="C1071" t="s">
        <v>24</v>
      </c>
      <c r="D1071">
        <v>12</v>
      </c>
      <c r="E1071">
        <v>8</v>
      </c>
      <c r="F1071" t="s">
        <v>53</v>
      </c>
      <c r="G1071">
        <v>0.92</v>
      </c>
      <c r="H1071" s="16">
        <v>1300</v>
      </c>
      <c r="I1071" t="s">
        <v>26</v>
      </c>
      <c r="J1071">
        <v>2304</v>
      </c>
      <c r="K1071">
        <v>1440</v>
      </c>
      <c r="L1071" t="s">
        <v>27</v>
      </c>
      <c r="M1071" t="s">
        <v>28</v>
      </c>
      <c r="N1071" t="s">
        <v>28</v>
      </c>
      <c r="O1071" t="s">
        <v>29</v>
      </c>
      <c r="P1071">
        <v>1.1000000000000001</v>
      </c>
      <c r="Q1071" t="s">
        <v>656</v>
      </c>
      <c r="R1071" t="str">
        <f>_xlfn.CONCAT(laptop[[#This Row],[CPU_company]]," ",laptop[[#This Row],[CPU_model]])</f>
        <v>Intel Core M</v>
      </c>
      <c r="S1071">
        <v>256</v>
      </c>
      <c r="T1071">
        <v>0</v>
      </c>
      <c r="U1071">
        <f>laptop[[#This Row],[PrimaryStorage]]+laptop[[#This Row],[SecondaryStorage]]</f>
        <v>256</v>
      </c>
      <c r="V1071" t="s">
        <v>34</v>
      </c>
      <c r="W1071" t="s">
        <v>27</v>
      </c>
      <c r="X1071" t="str">
        <f>IF(laptop[[#This Row],[PrimaryStorageType]]=laptop[[#This Row],[SecondaryStorageType]],laptop[[#This Row],[PrimaryStorageType]],"SSD &amp; HDD")</f>
        <v>SSD &amp; HDD</v>
      </c>
      <c r="Y1071" t="s">
        <v>217</v>
      </c>
      <c r="Z1071" s="4" t="str">
        <f>_xlfn.CONCAT(laptop[[#This Row],[CPU_company]]," ",laptop[[#This Row],[GPU_model]])</f>
        <v>Intel HD Graphics 515</v>
      </c>
    </row>
    <row r="1072" spans="1:26" x14ac:dyDescent="0.25">
      <c r="A1072" t="s">
        <v>65</v>
      </c>
      <c r="B1072" t="s">
        <v>784</v>
      </c>
      <c r="C1072" t="s">
        <v>38</v>
      </c>
      <c r="D1072">
        <v>15.6</v>
      </c>
      <c r="E1072">
        <v>4</v>
      </c>
      <c r="F1072" t="s">
        <v>48</v>
      </c>
      <c r="G1072">
        <v>2.06</v>
      </c>
      <c r="H1072" s="16">
        <v>481.98</v>
      </c>
      <c r="I1072" t="s">
        <v>26</v>
      </c>
      <c r="J1072">
        <v>1366</v>
      </c>
      <c r="K1072">
        <v>768</v>
      </c>
      <c r="L1072" t="s">
        <v>27</v>
      </c>
      <c r="M1072" t="s">
        <v>27</v>
      </c>
      <c r="N1072" t="s">
        <v>27</v>
      </c>
      <c r="O1072" t="s">
        <v>29</v>
      </c>
      <c r="P1072">
        <v>2.2999999999999998</v>
      </c>
      <c r="Q1072" t="s">
        <v>450</v>
      </c>
      <c r="R1072" t="str">
        <f>_xlfn.CONCAT(laptop[[#This Row],[CPU_company]]," ",laptop[[#This Row],[CPU_model]])</f>
        <v>Intel Core i3 6100U</v>
      </c>
      <c r="S1072">
        <v>500</v>
      </c>
      <c r="T1072">
        <v>0</v>
      </c>
      <c r="U1072">
        <f>laptop[[#This Row],[PrimaryStorage]]+laptop[[#This Row],[SecondaryStorage]]</f>
        <v>500</v>
      </c>
      <c r="V1072" t="s">
        <v>51</v>
      </c>
      <c r="W1072" t="s">
        <v>27</v>
      </c>
      <c r="X1072" t="str">
        <f>IF(laptop[[#This Row],[PrimaryStorageType]]=laptop[[#This Row],[SecondaryStorageType]],laptop[[#This Row],[PrimaryStorageType]],"SSD &amp; HDD")</f>
        <v>SSD &amp; HDD</v>
      </c>
      <c r="Y1072" t="s">
        <v>63</v>
      </c>
      <c r="Z1072" s="4" t="str">
        <f>_xlfn.CONCAT(laptop[[#This Row],[CPU_company]]," ",laptop[[#This Row],[GPU_model]])</f>
        <v>Intel HD Graphics 520</v>
      </c>
    </row>
    <row r="1073" spans="1:26" x14ac:dyDescent="0.25">
      <c r="A1073" t="s">
        <v>36</v>
      </c>
      <c r="B1073" t="s">
        <v>407</v>
      </c>
      <c r="C1073" t="s">
        <v>38</v>
      </c>
      <c r="D1073">
        <v>15.6</v>
      </c>
      <c r="E1073">
        <v>4</v>
      </c>
      <c r="F1073" t="s">
        <v>48</v>
      </c>
      <c r="G1073">
        <v>2.31</v>
      </c>
      <c r="H1073" s="16">
        <v>1199</v>
      </c>
      <c r="I1073" t="s">
        <v>26</v>
      </c>
      <c r="J1073">
        <v>1366</v>
      </c>
      <c r="K1073">
        <v>768</v>
      </c>
      <c r="L1073" t="s">
        <v>27</v>
      </c>
      <c r="M1073" t="s">
        <v>27</v>
      </c>
      <c r="N1073" t="s">
        <v>27</v>
      </c>
      <c r="O1073" t="s">
        <v>29</v>
      </c>
      <c r="P1073">
        <v>2.2999999999999998</v>
      </c>
      <c r="Q1073" t="s">
        <v>212</v>
      </c>
      <c r="R1073" t="str">
        <f>_xlfn.CONCAT(laptop[[#This Row],[CPU_company]]," ",laptop[[#This Row],[CPU_model]])</f>
        <v>Intel Core i5 6200U</v>
      </c>
      <c r="S1073">
        <v>500</v>
      </c>
      <c r="T1073">
        <v>0</v>
      </c>
      <c r="U1073">
        <f>laptop[[#This Row],[PrimaryStorage]]+laptop[[#This Row],[SecondaryStorage]]</f>
        <v>500</v>
      </c>
      <c r="V1073" t="s">
        <v>51</v>
      </c>
      <c r="W1073" t="s">
        <v>27</v>
      </c>
      <c r="X1073" t="str">
        <f>IF(laptop[[#This Row],[PrimaryStorageType]]=laptop[[#This Row],[SecondaryStorageType]],laptop[[#This Row],[PrimaryStorageType]],"SSD &amp; HDD")</f>
        <v>SSD &amp; HDD</v>
      </c>
      <c r="Y1073" t="s">
        <v>63</v>
      </c>
      <c r="Z1073" s="4" t="str">
        <f>_xlfn.CONCAT(laptop[[#This Row],[CPU_company]]," ",laptop[[#This Row],[GPU_model]])</f>
        <v>Intel HD Graphics 520</v>
      </c>
    </row>
    <row r="1074" spans="1:26" x14ac:dyDescent="0.25">
      <c r="A1074" t="s">
        <v>36</v>
      </c>
      <c r="B1074" t="s">
        <v>639</v>
      </c>
      <c r="C1074" t="s">
        <v>24</v>
      </c>
      <c r="D1074">
        <v>12.5</v>
      </c>
      <c r="E1074">
        <v>8</v>
      </c>
      <c r="F1074" t="s">
        <v>480</v>
      </c>
      <c r="G1074">
        <v>1.26</v>
      </c>
      <c r="H1074" s="16">
        <v>1199</v>
      </c>
      <c r="I1074" t="s">
        <v>40</v>
      </c>
      <c r="J1074">
        <v>1920</v>
      </c>
      <c r="K1074">
        <v>1080</v>
      </c>
      <c r="L1074" t="s">
        <v>27</v>
      </c>
      <c r="M1074" t="s">
        <v>27</v>
      </c>
      <c r="N1074" t="s">
        <v>27</v>
      </c>
      <c r="O1074" t="s">
        <v>29</v>
      </c>
      <c r="P1074">
        <v>2.2999999999999998</v>
      </c>
      <c r="Q1074" t="s">
        <v>212</v>
      </c>
      <c r="R1074" t="str">
        <f>_xlfn.CONCAT(laptop[[#This Row],[CPU_company]]," ",laptop[[#This Row],[CPU_model]])</f>
        <v>Intel Core i5 6200U</v>
      </c>
      <c r="S1074">
        <v>256</v>
      </c>
      <c r="T1074">
        <v>0</v>
      </c>
      <c r="U1074">
        <f>laptop[[#This Row],[PrimaryStorage]]+laptop[[#This Row],[SecondaryStorage]]</f>
        <v>256</v>
      </c>
      <c r="V1074" t="s">
        <v>31</v>
      </c>
      <c r="W1074" t="s">
        <v>27</v>
      </c>
      <c r="X1074" t="str">
        <f>IF(laptop[[#This Row],[PrimaryStorageType]]=laptop[[#This Row],[SecondaryStorageType]],laptop[[#This Row],[PrimaryStorageType]],"SSD &amp; HDD")</f>
        <v>SSD &amp; HDD</v>
      </c>
      <c r="Y1074" t="s">
        <v>63</v>
      </c>
      <c r="Z1074" s="4" t="str">
        <f>_xlfn.CONCAT(laptop[[#This Row],[CPU_company]]," ",laptop[[#This Row],[GPU_model]])</f>
        <v>Intel HD Graphics 520</v>
      </c>
    </row>
    <row r="1075" spans="1:26" x14ac:dyDescent="0.25">
      <c r="A1075" t="s">
        <v>36</v>
      </c>
      <c r="B1075" t="s">
        <v>136</v>
      </c>
      <c r="C1075" t="s">
        <v>38</v>
      </c>
      <c r="D1075">
        <v>13.3</v>
      </c>
      <c r="E1075">
        <v>8</v>
      </c>
      <c r="F1075" t="s">
        <v>48</v>
      </c>
      <c r="G1075">
        <v>1.49</v>
      </c>
      <c r="H1075" s="16">
        <v>1090</v>
      </c>
      <c r="I1075" t="s">
        <v>40</v>
      </c>
      <c r="J1075">
        <v>1920</v>
      </c>
      <c r="K1075">
        <v>1080</v>
      </c>
      <c r="L1075" t="s">
        <v>27</v>
      </c>
      <c r="M1075" t="s">
        <v>27</v>
      </c>
      <c r="N1075" t="s">
        <v>27</v>
      </c>
      <c r="O1075" t="s">
        <v>29</v>
      </c>
      <c r="P1075">
        <v>2.7</v>
      </c>
      <c r="Q1075" t="s">
        <v>71</v>
      </c>
      <c r="R1075" t="str">
        <f>_xlfn.CONCAT(laptop[[#This Row],[CPU_company]]," ",laptop[[#This Row],[CPU_model]])</f>
        <v>Intel Core i7 7500U</v>
      </c>
      <c r="S1075">
        <v>256</v>
      </c>
      <c r="T1075">
        <v>0</v>
      </c>
      <c r="U1075">
        <f>laptop[[#This Row],[PrimaryStorage]]+laptop[[#This Row],[SecondaryStorage]]</f>
        <v>256</v>
      </c>
      <c r="V1075" t="s">
        <v>31</v>
      </c>
      <c r="W1075" t="s">
        <v>27</v>
      </c>
      <c r="X1075" t="str">
        <f>IF(laptop[[#This Row],[PrimaryStorageType]]=laptop[[#This Row],[SecondaryStorageType]],laptop[[#This Row],[PrimaryStorageType]],"SSD &amp; HDD")</f>
        <v>SSD &amp; HDD</v>
      </c>
      <c r="Y1075" t="s">
        <v>42</v>
      </c>
      <c r="Z1075" s="4" t="str">
        <f>_xlfn.CONCAT(laptop[[#This Row],[CPU_company]]," ",laptop[[#This Row],[GPU_model]])</f>
        <v>Intel HD Graphics 620</v>
      </c>
    </row>
    <row r="1076" spans="1:26" x14ac:dyDescent="0.25">
      <c r="A1076" t="s">
        <v>73</v>
      </c>
      <c r="B1076" t="s">
        <v>190</v>
      </c>
      <c r="C1076" t="s">
        <v>24</v>
      </c>
      <c r="D1076">
        <v>12.5</v>
      </c>
      <c r="E1076">
        <v>8</v>
      </c>
      <c r="F1076" t="s">
        <v>48</v>
      </c>
      <c r="G1076">
        <v>1.3</v>
      </c>
      <c r="H1076" s="16">
        <v>1713.49</v>
      </c>
      <c r="I1076" t="s">
        <v>40</v>
      </c>
      <c r="J1076">
        <v>1920</v>
      </c>
      <c r="K1076">
        <v>1080</v>
      </c>
      <c r="L1076" t="s">
        <v>28</v>
      </c>
      <c r="M1076" t="s">
        <v>28</v>
      </c>
      <c r="N1076" t="s">
        <v>27</v>
      </c>
      <c r="O1076" t="s">
        <v>29</v>
      </c>
      <c r="P1076">
        <v>2.5</v>
      </c>
      <c r="Q1076" t="s">
        <v>274</v>
      </c>
      <c r="R1076" t="str">
        <f>_xlfn.CONCAT(laptop[[#This Row],[CPU_company]]," ",laptop[[#This Row],[CPU_model]])</f>
        <v>Intel Core i7 6500U</v>
      </c>
      <c r="S1076">
        <v>256</v>
      </c>
      <c r="T1076">
        <v>0</v>
      </c>
      <c r="U1076">
        <f>laptop[[#This Row],[PrimaryStorage]]+laptop[[#This Row],[SecondaryStorage]]</f>
        <v>256</v>
      </c>
      <c r="V1076" t="s">
        <v>31</v>
      </c>
      <c r="W1076" t="s">
        <v>27</v>
      </c>
      <c r="X1076" t="str">
        <f>IF(laptop[[#This Row],[PrimaryStorageType]]=laptop[[#This Row],[SecondaryStorageType]],laptop[[#This Row],[PrimaryStorageType]],"SSD &amp; HDD")</f>
        <v>SSD &amp; HDD</v>
      </c>
      <c r="Y1076" t="s">
        <v>63</v>
      </c>
      <c r="Z1076" s="4" t="str">
        <f>_xlfn.CONCAT(laptop[[#This Row],[CPU_company]]," ",laptop[[#This Row],[GPU_model]])</f>
        <v>Intel HD Graphics 520</v>
      </c>
    </row>
    <row r="1077" spans="1:26" x14ac:dyDescent="0.25">
      <c r="A1077" t="s">
        <v>73</v>
      </c>
      <c r="B1077" t="s">
        <v>785</v>
      </c>
      <c r="C1077" t="s">
        <v>38</v>
      </c>
      <c r="D1077">
        <v>17.3</v>
      </c>
      <c r="E1077">
        <v>8</v>
      </c>
      <c r="F1077" t="s">
        <v>48</v>
      </c>
      <c r="G1077">
        <v>3</v>
      </c>
      <c r="H1077" s="16">
        <v>659</v>
      </c>
      <c r="I1077" t="s">
        <v>26</v>
      </c>
      <c r="J1077">
        <v>1600</v>
      </c>
      <c r="K1077">
        <v>900</v>
      </c>
      <c r="L1077" t="s">
        <v>27</v>
      </c>
      <c r="M1077" t="s">
        <v>27</v>
      </c>
      <c r="N1077" t="s">
        <v>27</v>
      </c>
      <c r="O1077" t="s">
        <v>29</v>
      </c>
      <c r="P1077">
        <v>2.2999999999999998</v>
      </c>
      <c r="Q1077" t="s">
        <v>212</v>
      </c>
      <c r="R1077" t="str">
        <f>_xlfn.CONCAT(laptop[[#This Row],[CPU_company]]," ",laptop[[#This Row],[CPU_model]])</f>
        <v>Intel Core i5 6200U</v>
      </c>
      <c r="S1077">
        <v>1024</v>
      </c>
      <c r="T1077">
        <v>0</v>
      </c>
      <c r="U1077">
        <f>laptop[[#This Row],[PrimaryStorage]]+laptop[[#This Row],[SecondaryStorage]]</f>
        <v>1024</v>
      </c>
      <c r="V1077" t="s">
        <v>51</v>
      </c>
      <c r="W1077" t="s">
        <v>27</v>
      </c>
      <c r="X1077" t="str">
        <f>IF(laptop[[#This Row],[PrimaryStorageType]]=laptop[[#This Row],[SecondaryStorageType]],laptop[[#This Row],[PrimaryStorageType]],"SSD &amp; HDD")</f>
        <v>SSD &amp; HDD</v>
      </c>
      <c r="Y1077" t="s">
        <v>786</v>
      </c>
      <c r="Z1077" s="4" t="str">
        <f>_xlfn.CONCAT(laptop[[#This Row],[CPU_company]]," ",laptop[[#This Row],[GPU_model]])</f>
        <v>Intel Radeon R5 M330</v>
      </c>
    </row>
    <row r="1078" spans="1:26" x14ac:dyDescent="0.25">
      <c r="A1078" t="s">
        <v>73</v>
      </c>
      <c r="B1078" t="s">
        <v>787</v>
      </c>
      <c r="C1078" t="s">
        <v>38</v>
      </c>
      <c r="D1078">
        <v>15.6</v>
      </c>
      <c r="E1078">
        <v>4</v>
      </c>
      <c r="F1078" t="s">
        <v>48</v>
      </c>
      <c r="G1078">
        <v>2.2999999999999998</v>
      </c>
      <c r="H1078" s="16">
        <v>977</v>
      </c>
      <c r="I1078" t="s">
        <v>40</v>
      </c>
      <c r="J1078">
        <v>1920</v>
      </c>
      <c r="K1078">
        <v>1080</v>
      </c>
      <c r="L1078" t="s">
        <v>27</v>
      </c>
      <c r="M1078" t="s">
        <v>28</v>
      </c>
      <c r="N1078" t="s">
        <v>27</v>
      </c>
      <c r="O1078" t="s">
        <v>29</v>
      </c>
      <c r="P1078">
        <v>2.2999999999999998</v>
      </c>
      <c r="Q1078" t="s">
        <v>601</v>
      </c>
      <c r="R1078" t="str">
        <f>_xlfn.CONCAT(laptop[[#This Row],[CPU_company]]," ",laptop[[#This Row],[CPU_model]])</f>
        <v>Intel Core i5 6300HQ</v>
      </c>
      <c r="S1078">
        <v>1024</v>
      </c>
      <c r="T1078">
        <v>0</v>
      </c>
      <c r="U1078">
        <f>laptop[[#This Row],[PrimaryStorage]]+laptop[[#This Row],[SecondaryStorage]]</f>
        <v>1024</v>
      </c>
      <c r="V1078" t="s">
        <v>51</v>
      </c>
      <c r="W1078" t="s">
        <v>27</v>
      </c>
      <c r="X1078" t="str">
        <f>IF(laptop[[#This Row],[PrimaryStorageType]]=laptop[[#This Row],[SecondaryStorageType]],laptop[[#This Row],[PrimaryStorageType]],"SSD &amp; HDD")</f>
        <v>SSD &amp; HDD</v>
      </c>
      <c r="Y1078" t="s">
        <v>279</v>
      </c>
      <c r="Z1078" s="4" t="str">
        <f>_xlfn.CONCAT(laptop[[#This Row],[CPU_company]]," ",laptop[[#This Row],[GPU_model]])</f>
        <v>Intel GeForce GTX 950M</v>
      </c>
    </row>
    <row r="1079" spans="1:26" x14ac:dyDescent="0.25">
      <c r="A1079" t="s">
        <v>141</v>
      </c>
      <c r="B1079" t="s">
        <v>788</v>
      </c>
      <c r="C1079" t="s">
        <v>83</v>
      </c>
      <c r="D1079">
        <v>17.3</v>
      </c>
      <c r="E1079">
        <v>16</v>
      </c>
      <c r="F1079" t="s">
        <v>48</v>
      </c>
      <c r="G1079">
        <v>3.78</v>
      </c>
      <c r="H1079" s="16">
        <v>2499</v>
      </c>
      <c r="I1079" t="s">
        <v>40</v>
      </c>
      <c r="J1079">
        <v>1920</v>
      </c>
      <c r="K1079">
        <v>1080</v>
      </c>
      <c r="L1079" t="s">
        <v>27</v>
      </c>
      <c r="M1079" t="s">
        <v>27</v>
      </c>
      <c r="N1079" t="s">
        <v>27</v>
      </c>
      <c r="O1079" t="s">
        <v>29</v>
      </c>
      <c r="P1079">
        <v>2.8</v>
      </c>
      <c r="Q1079" t="s">
        <v>118</v>
      </c>
      <c r="R1079" t="str">
        <f>_xlfn.CONCAT(laptop[[#This Row],[CPU_company]]," ",laptop[[#This Row],[CPU_model]])</f>
        <v>Intel Core i7 7700HQ</v>
      </c>
      <c r="S1079">
        <v>256</v>
      </c>
      <c r="T1079">
        <v>1024</v>
      </c>
      <c r="U1079">
        <f>laptop[[#This Row],[PrimaryStorage]]+laptop[[#This Row],[SecondaryStorage]]</f>
        <v>1280</v>
      </c>
      <c r="V1079" t="s">
        <v>31</v>
      </c>
      <c r="W1079" t="s">
        <v>51</v>
      </c>
      <c r="X1079" t="str">
        <f>IF(laptop[[#This Row],[PrimaryStorageType]]=laptop[[#This Row],[SecondaryStorageType]],laptop[[#This Row],[PrimaryStorageType]],"SSD &amp; HDD")</f>
        <v>SSD &amp; HDD</v>
      </c>
      <c r="Y1079" t="s">
        <v>143</v>
      </c>
      <c r="Z1079" s="4" t="str">
        <f>_xlfn.CONCAT(laptop[[#This Row],[CPU_company]]," ",laptop[[#This Row],[GPU_model]])</f>
        <v>Intel GeForce GTX 1070</v>
      </c>
    </row>
    <row r="1080" spans="1:26" x14ac:dyDescent="0.25">
      <c r="A1080" t="s">
        <v>73</v>
      </c>
      <c r="B1080" t="s">
        <v>789</v>
      </c>
      <c r="C1080" t="s">
        <v>38</v>
      </c>
      <c r="D1080">
        <v>15.6</v>
      </c>
      <c r="E1080">
        <v>4</v>
      </c>
      <c r="F1080" t="s">
        <v>48</v>
      </c>
      <c r="G1080">
        <v>2.1</v>
      </c>
      <c r="H1080" s="16">
        <v>540</v>
      </c>
      <c r="I1080" t="s">
        <v>26</v>
      </c>
      <c r="J1080">
        <v>1366</v>
      </c>
      <c r="K1080">
        <v>768</v>
      </c>
      <c r="L1080" t="s">
        <v>27</v>
      </c>
      <c r="M1080" t="s">
        <v>27</v>
      </c>
      <c r="N1080" t="s">
        <v>27</v>
      </c>
      <c r="O1080" t="s">
        <v>29</v>
      </c>
      <c r="P1080">
        <v>2.2999999999999998</v>
      </c>
      <c r="Q1080" t="s">
        <v>212</v>
      </c>
      <c r="R1080" t="str">
        <f>_xlfn.CONCAT(laptop[[#This Row],[CPU_company]]," ",laptop[[#This Row],[CPU_model]])</f>
        <v>Intel Core i5 6200U</v>
      </c>
      <c r="S1080">
        <v>500</v>
      </c>
      <c r="T1080">
        <v>0</v>
      </c>
      <c r="U1080">
        <f>laptop[[#This Row],[PrimaryStorage]]+laptop[[#This Row],[SecondaryStorage]]</f>
        <v>500</v>
      </c>
      <c r="V1080" t="s">
        <v>51</v>
      </c>
      <c r="W1080" t="s">
        <v>27</v>
      </c>
      <c r="X1080" t="str">
        <f>IF(laptop[[#This Row],[PrimaryStorageType]]=laptop[[#This Row],[SecondaryStorageType]],laptop[[#This Row],[PrimaryStorageType]],"SSD &amp; HDD")</f>
        <v>SSD &amp; HDD</v>
      </c>
      <c r="Y1080" t="s">
        <v>63</v>
      </c>
      <c r="Z1080" s="4" t="str">
        <f>_xlfn.CONCAT(laptop[[#This Row],[CPU_company]]," ",laptop[[#This Row],[GPU_model]])</f>
        <v>Intel HD Graphics 520</v>
      </c>
    </row>
    <row r="1081" spans="1:26" x14ac:dyDescent="0.25">
      <c r="A1081" t="s">
        <v>36</v>
      </c>
      <c r="B1081" t="s">
        <v>715</v>
      </c>
      <c r="C1081" t="s">
        <v>38</v>
      </c>
      <c r="D1081">
        <v>15.6</v>
      </c>
      <c r="E1081">
        <v>4</v>
      </c>
      <c r="F1081" t="s">
        <v>480</v>
      </c>
      <c r="G1081">
        <v>2.31</v>
      </c>
      <c r="H1081" s="16">
        <v>940</v>
      </c>
      <c r="I1081" t="s">
        <v>40</v>
      </c>
      <c r="J1081">
        <v>1920</v>
      </c>
      <c r="K1081">
        <v>1080</v>
      </c>
      <c r="L1081" t="s">
        <v>27</v>
      </c>
      <c r="M1081" t="s">
        <v>27</v>
      </c>
      <c r="N1081" t="s">
        <v>27</v>
      </c>
      <c r="O1081" t="s">
        <v>29</v>
      </c>
      <c r="P1081">
        <v>2.2999999999999998</v>
      </c>
      <c r="Q1081" t="s">
        <v>212</v>
      </c>
      <c r="R1081" t="str">
        <f>_xlfn.CONCAT(laptop[[#This Row],[CPU_company]]," ",laptop[[#This Row],[CPU_model]])</f>
        <v>Intel Core i5 6200U</v>
      </c>
      <c r="S1081">
        <v>500</v>
      </c>
      <c r="T1081">
        <v>0</v>
      </c>
      <c r="U1081">
        <f>laptop[[#This Row],[PrimaryStorage]]+laptop[[#This Row],[SecondaryStorage]]</f>
        <v>500</v>
      </c>
      <c r="V1081" t="s">
        <v>51</v>
      </c>
      <c r="W1081" t="s">
        <v>27</v>
      </c>
      <c r="X1081" t="str">
        <f>IF(laptop[[#This Row],[PrimaryStorageType]]=laptop[[#This Row],[SecondaryStorageType]],laptop[[#This Row],[PrimaryStorageType]],"SSD &amp; HDD")</f>
        <v>SSD &amp; HDD</v>
      </c>
      <c r="Y1081" t="s">
        <v>63</v>
      </c>
      <c r="Z1081" s="4" t="str">
        <f>_xlfn.CONCAT(laptop[[#This Row],[CPU_company]]," ",laptop[[#This Row],[GPU_model]])</f>
        <v>Intel HD Graphics 520</v>
      </c>
    </row>
    <row r="1082" spans="1:26" x14ac:dyDescent="0.25">
      <c r="A1082" t="s">
        <v>73</v>
      </c>
      <c r="B1082" t="s">
        <v>790</v>
      </c>
      <c r="C1082" t="s">
        <v>24</v>
      </c>
      <c r="D1082">
        <v>12.5</v>
      </c>
      <c r="E1082">
        <v>8</v>
      </c>
      <c r="F1082" t="s">
        <v>48</v>
      </c>
      <c r="G1082">
        <v>0.99</v>
      </c>
      <c r="H1082" s="16">
        <v>1399</v>
      </c>
      <c r="I1082" t="s">
        <v>26</v>
      </c>
      <c r="J1082">
        <v>2560</v>
      </c>
      <c r="K1082">
        <v>1440</v>
      </c>
      <c r="L1082" t="s">
        <v>28</v>
      </c>
      <c r="M1082" t="s">
        <v>28</v>
      </c>
      <c r="N1082" t="s">
        <v>27</v>
      </c>
      <c r="O1082" t="s">
        <v>29</v>
      </c>
      <c r="P1082">
        <v>1.2</v>
      </c>
      <c r="Q1082" t="s">
        <v>216</v>
      </c>
      <c r="R1082" t="str">
        <f>_xlfn.CONCAT(laptop[[#This Row],[CPU_company]]," ",laptop[[#This Row],[CPU_model]])</f>
        <v>Intel Core M 6Y75</v>
      </c>
      <c r="S1082">
        <v>512</v>
      </c>
      <c r="T1082">
        <v>0</v>
      </c>
      <c r="U1082">
        <f>laptop[[#This Row],[PrimaryStorage]]+laptop[[#This Row],[SecondaryStorage]]</f>
        <v>512</v>
      </c>
      <c r="V1082" t="s">
        <v>31</v>
      </c>
      <c r="W1082" t="s">
        <v>27</v>
      </c>
      <c r="X1082" t="str">
        <f>IF(laptop[[#This Row],[PrimaryStorageType]]=laptop[[#This Row],[SecondaryStorageType]],laptop[[#This Row],[PrimaryStorageType]],"SSD &amp; HDD")</f>
        <v>SSD &amp; HDD</v>
      </c>
      <c r="Y1082" t="s">
        <v>217</v>
      </c>
      <c r="Z1082" s="4" t="str">
        <f>_xlfn.CONCAT(laptop[[#This Row],[CPU_company]]," ",laptop[[#This Row],[GPU_model]])</f>
        <v>Intel HD Graphics 515</v>
      </c>
    </row>
    <row r="1083" spans="1:26" x14ac:dyDescent="0.25">
      <c r="A1083" t="s">
        <v>73</v>
      </c>
      <c r="B1083" t="s">
        <v>772</v>
      </c>
      <c r="C1083" t="s">
        <v>83</v>
      </c>
      <c r="D1083">
        <v>17.3</v>
      </c>
      <c r="E1083">
        <v>32</v>
      </c>
      <c r="F1083" t="s">
        <v>48</v>
      </c>
      <c r="G1083">
        <v>4.5999999999999996</v>
      </c>
      <c r="H1083" s="16">
        <v>3240</v>
      </c>
      <c r="I1083" t="s">
        <v>40</v>
      </c>
      <c r="J1083">
        <v>1920</v>
      </c>
      <c r="K1083">
        <v>1080</v>
      </c>
      <c r="L1083" t="s">
        <v>27</v>
      </c>
      <c r="M1083" t="s">
        <v>28</v>
      </c>
      <c r="N1083" t="s">
        <v>27</v>
      </c>
      <c r="O1083" t="s">
        <v>29</v>
      </c>
      <c r="P1083">
        <v>2.7</v>
      </c>
      <c r="Q1083" t="s">
        <v>514</v>
      </c>
      <c r="R1083" t="str">
        <f>_xlfn.CONCAT(laptop[[#This Row],[CPU_company]]," ",laptop[[#This Row],[CPU_model]])</f>
        <v>Intel Core i7 6820HK</v>
      </c>
      <c r="S1083">
        <v>512</v>
      </c>
      <c r="T1083">
        <v>1024</v>
      </c>
      <c r="U1083">
        <f>laptop[[#This Row],[PrimaryStorage]]+laptop[[#This Row],[SecondaryStorage]]</f>
        <v>1536</v>
      </c>
      <c r="V1083" t="s">
        <v>31</v>
      </c>
      <c r="W1083" t="s">
        <v>223</v>
      </c>
      <c r="X1083" t="str">
        <f>IF(laptop[[#This Row],[PrimaryStorageType]]=laptop[[#This Row],[SecondaryStorageType]],laptop[[#This Row],[PrimaryStorageType]],"SSD &amp; HDD")</f>
        <v>SSD &amp; HDD</v>
      </c>
      <c r="Y1083" t="s">
        <v>297</v>
      </c>
      <c r="Z1083" s="4" t="str">
        <f>_xlfn.CONCAT(laptop[[#This Row],[CPU_company]]," ",laptop[[#This Row],[GPU_model]])</f>
        <v>Intel GeForce GTX 980M</v>
      </c>
    </row>
    <row r="1084" spans="1:26" x14ac:dyDescent="0.25">
      <c r="A1084" t="s">
        <v>73</v>
      </c>
      <c r="B1084" t="s">
        <v>132</v>
      </c>
      <c r="C1084" t="s">
        <v>90</v>
      </c>
      <c r="D1084">
        <v>10.1</v>
      </c>
      <c r="E1084">
        <v>4</v>
      </c>
      <c r="F1084" t="s">
        <v>48</v>
      </c>
      <c r="G1084">
        <v>0.69</v>
      </c>
      <c r="H1084" s="16">
        <v>646.27</v>
      </c>
      <c r="I1084" t="s">
        <v>26</v>
      </c>
      <c r="J1084">
        <v>1920</v>
      </c>
      <c r="K1084">
        <v>1200</v>
      </c>
      <c r="L1084" t="s">
        <v>28</v>
      </c>
      <c r="M1084" t="s">
        <v>28</v>
      </c>
      <c r="N1084" t="s">
        <v>27</v>
      </c>
      <c r="O1084" t="s">
        <v>29</v>
      </c>
      <c r="P1084">
        <v>1.44</v>
      </c>
      <c r="Q1084" t="s">
        <v>134</v>
      </c>
      <c r="R1084" t="str">
        <f>_xlfn.CONCAT(laptop[[#This Row],[CPU_company]]," ",laptop[[#This Row],[CPU_model]])</f>
        <v>Intel Atom x5-Z8550</v>
      </c>
      <c r="S1084">
        <v>64</v>
      </c>
      <c r="T1084">
        <v>0</v>
      </c>
      <c r="U1084">
        <f>laptop[[#This Row],[PrimaryStorage]]+laptop[[#This Row],[SecondaryStorage]]</f>
        <v>64</v>
      </c>
      <c r="V1084" t="s">
        <v>34</v>
      </c>
      <c r="W1084" t="s">
        <v>27</v>
      </c>
      <c r="X1084" t="str">
        <f>IF(laptop[[#This Row],[PrimaryStorageType]]=laptop[[#This Row],[SecondaryStorageType]],laptop[[#This Row],[PrimaryStorageType]],"SSD &amp; HDD")</f>
        <v>SSD &amp; HDD</v>
      </c>
      <c r="Y1084" t="s">
        <v>81</v>
      </c>
      <c r="Z1084" s="4" t="str">
        <f>_xlfn.CONCAT(laptop[[#This Row],[CPU_company]]," ",laptop[[#This Row],[GPU_model]])</f>
        <v>Intel HD Graphics 400</v>
      </c>
    </row>
    <row r="1085" spans="1:26" x14ac:dyDescent="0.25">
      <c r="A1085" t="s">
        <v>36</v>
      </c>
      <c r="B1085" t="s">
        <v>192</v>
      </c>
      <c r="C1085" t="s">
        <v>24</v>
      </c>
      <c r="D1085">
        <v>13.3</v>
      </c>
      <c r="E1085">
        <v>16</v>
      </c>
      <c r="F1085" t="s">
        <v>48</v>
      </c>
      <c r="G1085">
        <v>1.3</v>
      </c>
      <c r="H1085" s="16">
        <v>2049</v>
      </c>
      <c r="I1085" t="s">
        <v>215</v>
      </c>
      <c r="J1085">
        <v>3840</v>
      </c>
      <c r="K1085">
        <v>2160</v>
      </c>
      <c r="L1085" t="s">
        <v>27</v>
      </c>
      <c r="M1085" t="s">
        <v>28</v>
      </c>
      <c r="N1085" t="s">
        <v>27</v>
      </c>
      <c r="O1085" t="s">
        <v>29</v>
      </c>
      <c r="P1085">
        <v>2.7</v>
      </c>
      <c r="Q1085" t="s">
        <v>71</v>
      </c>
      <c r="R1085" t="str">
        <f>_xlfn.CONCAT(laptop[[#This Row],[CPU_company]]," ",laptop[[#This Row],[CPU_model]])</f>
        <v>Intel Core i7 7500U</v>
      </c>
      <c r="S1085">
        <v>512</v>
      </c>
      <c r="T1085">
        <v>0</v>
      </c>
      <c r="U1085">
        <f>laptop[[#This Row],[PrimaryStorage]]+laptop[[#This Row],[SecondaryStorage]]</f>
        <v>512</v>
      </c>
      <c r="V1085" t="s">
        <v>31</v>
      </c>
      <c r="W1085" t="s">
        <v>27</v>
      </c>
      <c r="X1085" t="str">
        <f>IF(laptop[[#This Row],[PrimaryStorageType]]=laptop[[#This Row],[SecondaryStorageType]],laptop[[#This Row],[PrimaryStorageType]],"SSD &amp; HDD")</f>
        <v>SSD &amp; HDD</v>
      </c>
      <c r="Y1085" t="s">
        <v>42</v>
      </c>
      <c r="Z1085" s="4" t="str">
        <f>_xlfn.CONCAT(laptop[[#This Row],[CPU_company]]," ",laptop[[#This Row],[GPU_model]])</f>
        <v>Intel HD Graphics 620</v>
      </c>
    </row>
    <row r="1086" spans="1:26" x14ac:dyDescent="0.25">
      <c r="A1086" t="s">
        <v>65</v>
      </c>
      <c r="B1086" t="s">
        <v>305</v>
      </c>
      <c r="C1086" t="s">
        <v>38</v>
      </c>
      <c r="D1086">
        <v>15.6</v>
      </c>
      <c r="E1086">
        <v>8</v>
      </c>
      <c r="F1086" t="s">
        <v>48</v>
      </c>
      <c r="G1086">
        <v>2.1800000000000002</v>
      </c>
      <c r="H1086" s="16">
        <v>750</v>
      </c>
      <c r="I1086" t="s">
        <v>40</v>
      </c>
      <c r="J1086">
        <v>1920</v>
      </c>
      <c r="K1086">
        <v>1080</v>
      </c>
      <c r="L1086" t="s">
        <v>27</v>
      </c>
      <c r="M1086" t="s">
        <v>27</v>
      </c>
      <c r="N1086" t="s">
        <v>27</v>
      </c>
      <c r="O1086" t="s">
        <v>29</v>
      </c>
      <c r="P1086">
        <v>2.5</v>
      </c>
      <c r="Q1086" t="s">
        <v>41</v>
      </c>
      <c r="R1086" t="str">
        <f>_xlfn.CONCAT(laptop[[#This Row],[CPU_company]]," ",laptop[[#This Row],[CPU_model]])</f>
        <v>Intel Core i5 7200U</v>
      </c>
      <c r="S1086">
        <v>256</v>
      </c>
      <c r="T1086">
        <v>0</v>
      </c>
      <c r="U1086">
        <f>laptop[[#This Row],[PrimaryStorage]]+laptop[[#This Row],[SecondaryStorage]]</f>
        <v>256</v>
      </c>
      <c r="V1086" t="s">
        <v>31</v>
      </c>
      <c r="W1086" t="s">
        <v>27</v>
      </c>
      <c r="X1086" t="str">
        <f>IF(laptop[[#This Row],[PrimaryStorageType]]=laptop[[#This Row],[SecondaryStorageType]],laptop[[#This Row],[PrimaryStorageType]],"SSD &amp; HDD")</f>
        <v>SSD &amp; HDD</v>
      </c>
      <c r="Y1086" t="s">
        <v>42</v>
      </c>
      <c r="Z1086" s="4" t="str">
        <f>_xlfn.CONCAT(laptop[[#This Row],[CPU_company]]," ",laptop[[#This Row],[GPU_model]])</f>
        <v>Intel HD Graphics 620</v>
      </c>
    </row>
    <row r="1087" spans="1:26" x14ac:dyDescent="0.25">
      <c r="A1087" t="s">
        <v>36</v>
      </c>
      <c r="B1087" t="s">
        <v>226</v>
      </c>
      <c r="C1087" t="s">
        <v>38</v>
      </c>
      <c r="D1087">
        <v>14</v>
      </c>
      <c r="E1087">
        <v>4</v>
      </c>
      <c r="F1087" t="s">
        <v>480</v>
      </c>
      <c r="G1087">
        <v>1.54</v>
      </c>
      <c r="H1087" s="16">
        <v>1030.99</v>
      </c>
      <c r="I1087" t="s">
        <v>40</v>
      </c>
      <c r="J1087">
        <v>1920</v>
      </c>
      <c r="K1087">
        <v>1080</v>
      </c>
      <c r="L1087" t="s">
        <v>27</v>
      </c>
      <c r="M1087" t="s">
        <v>27</v>
      </c>
      <c r="N1087" t="s">
        <v>27</v>
      </c>
      <c r="O1087" t="s">
        <v>29</v>
      </c>
      <c r="P1087">
        <v>2.2999999999999998</v>
      </c>
      <c r="Q1087" t="s">
        <v>212</v>
      </c>
      <c r="R1087" t="str">
        <f>_xlfn.CONCAT(laptop[[#This Row],[CPU_company]]," ",laptop[[#This Row],[CPU_model]])</f>
        <v>Intel Core i5 6200U</v>
      </c>
      <c r="S1087">
        <v>500</v>
      </c>
      <c r="T1087">
        <v>0</v>
      </c>
      <c r="U1087">
        <f>laptop[[#This Row],[PrimaryStorage]]+laptop[[#This Row],[SecondaryStorage]]</f>
        <v>500</v>
      </c>
      <c r="V1087" t="s">
        <v>51</v>
      </c>
      <c r="W1087" t="s">
        <v>27</v>
      </c>
      <c r="X1087" t="str">
        <f>IF(laptop[[#This Row],[PrimaryStorageType]]=laptop[[#This Row],[SecondaryStorageType]],laptop[[#This Row],[PrimaryStorageType]],"SSD &amp; HDD")</f>
        <v>SSD &amp; HDD</v>
      </c>
      <c r="Y1087" t="s">
        <v>63</v>
      </c>
      <c r="Z1087" s="4" t="str">
        <f>_xlfn.CONCAT(laptop[[#This Row],[CPU_company]]," ",laptop[[#This Row],[GPU_model]])</f>
        <v>Intel HD Graphics 520</v>
      </c>
    </row>
    <row r="1088" spans="1:26" x14ac:dyDescent="0.25">
      <c r="A1088" t="s">
        <v>36</v>
      </c>
      <c r="B1088" t="s">
        <v>280</v>
      </c>
      <c r="C1088" t="s">
        <v>265</v>
      </c>
      <c r="D1088">
        <v>15.6</v>
      </c>
      <c r="E1088">
        <v>8</v>
      </c>
      <c r="F1088" t="s">
        <v>480</v>
      </c>
      <c r="G1088">
        <v>1.9</v>
      </c>
      <c r="H1088" s="16">
        <v>1495</v>
      </c>
      <c r="I1088" t="s">
        <v>40</v>
      </c>
      <c r="J1088">
        <v>1920</v>
      </c>
      <c r="K1088">
        <v>1080</v>
      </c>
      <c r="L1088" t="s">
        <v>27</v>
      </c>
      <c r="M1088" t="s">
        <v>27</v>
      </c>
      <c r="N1088" t="s">
        <v>27</v>
      </c>
      <c r="O1088" t="s">
        <v>29</v>
      </c>
      <c r="P1088">
        <v>2.5</v>
      </c>
      <c r="Q1088" t="s">
        <v>274</v>
      </c>
      <c r="R1088" t="str">
        <f>_xlfn.CONCAT(laptop[[#This Row],[CPU_company]]," ",laptop[[#This Row],[CPU_model]])</f>
        <v>Intel Core i7 6500U</v>
      </c>
      <c r="S1088">
        <v>256</v>
      </c>
      <c r="T1088">
        <v>0</v>
      </c>
      <c r="U1088">
        <f>laptop[[#This Row],[PrimaryStorage]]+laptop[[#This Row],[SecondaryStorage]]</f>
        <v>256</v>
      </c>
      <c r="V1088" t="s">
        <v>31</v>
      </c>
      <c r="W1088" t="s">
        <v>27</v>
      </c>
      <c r="X1088" t="str">
        <f>IF(laptop[[#This Row],[PrimaryStorageType]]=laptop[[#This Row],[SecondaryStorageType]],laptop[[#This Row],[PrimaryStorageType]],"SSD &amp; HDD")</f>
        <v>SSD &amp; HDD</v>
      </c>
      <c r="Y1088" t="s">
        <v>791</v>
      </c>
      <c r="Z1088" s="4" t="str">
        <f>_xlfn.CONCAT(laptop[[#This Row],[CPU_company]]," ",laptop[[#This Row],[GPU_model]])</f>
        <v>Intel FirePro W4190M</v>
      </c>
    </row>
    <row r="1089" spans="1:26" x14ac:dyDescent="0.25">
      <c r="A1089" t="s">
        <v>73</v>
      </c>
      <c r="B1089" t="s">
        <v>738</v>
      </c>
      <c r="C1089" t="s">
        <v>38</v>
      </c>
      <c r="D1089">
        <v>14</v>
      </c>
      <c r="E1089">
        <v>8</v>
      </c>
      <c r="F1089" t="s">
        <v>480</v>
      </c>
      <c r="G1089">
        <v>1.7</v>
      </c>
      <c r="H1089" s="16">
        <v>1199</v>
      </c>
      <c r="I1089" t="s">
        <v>40</v>
      </c>
      <c r="J1089">
        <v>1920</v>
      </c>
      <c r="K1089">
        <v>1080</v>
      </c>
      <c r="L1089" t="s">
        <v>27</v>
      </c>
      <c r="M1089" t="s">
        <v>27</v>
      </c>
      <c r="N1089" t="s">
        <v>27</v>
      </c>
      <c r="O1089" t="s">
        <v>29</v>
      </c>
      <c r="P1089">
        <v>2.2999999999999998</v>
      </c>
      <c r="Q1089" t="s">
        <v>212</v>
      </c>
      <c r="R1089" t="str">
        <f>_xlfn.CONCAT(laptop[[#This Row],[CPU_company]]," ",laptop[[#This Row],[CPU_model]])</f>
        <v>Intel Core i5 6200U</v>
      </c>
      <c r="S1089">
        <v>180</v>
      </c>
      <c r="T1089">
        <v>0</v>
      </c>
      <c r="U1089">
        <f>laptop[[#This Row],[PrimaryStorage]]+laptop[[#This Row],[SecondaryStorage]]</f>
        <v>180</v>
      </c>
      <c r="V1089" t="s">
        <v>31</v>
      </c>
      <c r="W1089" t="s">
        <v>27</v>
      </c>
      <c r="X1089" t="str">
        <f>IF(laptop[[#This Row],[PrimaryStorageType]]=laptop[[#This Row],[SecondaryStorageType]],laptop[[#This Row],[PrimaryStorageType]],"SSD &amp; HDD")</f>
        <v>SSD &amp; HDD</v>
      </c>
      <c r="Y1089" t="s">
        <v>63</v>
      </c>
      <c r="Z1089" s="4" t="str">
        <f>_xlfn.CONCAT(laptop[[#This Row],[CPU_company]]," ",laptop[[#This Row],[GPU_model]])</f>
        <v>Intel HD Graphics 520</v>
      </c>
    </row>
    <row r="1090" spans="1:26" x14ac:dyDescent="0.25">
      <c r="A1090" t="s">
        <v>36</v>
      </c>
      <c r="B1090" t="s">
        <v>792</v>
      </c>
      <c r="C1090" t="s">
        <v>38</v>
      </c>
      <c r="D1090">
        <v>13.3</v>
      </c>
      <c r="E1090">
        <v>4</v>
      </c>
      <c r="F1090" t="s">
        <v>317</v>
      </c>
      <c r="G1090">
        <v>1.29</v>
      </c>
      <c r="H1090" s="16">
        <v>615</v>
      </c>
      <c r="I1090" t="s">
        <v>107</v>
      </c>
      <c r="J1090">
        <v>3200</v>
      </c>
      <c r="K1090">
        <v>1800</v>
      </c>
      <c r="L1090" t="s">
        <v>27</v>
      </c>
      <c r="M1090" t="s">
        <v>27</v>
      </c>
      <c r="N1090" t="s">
        <v>27</v>
      </c>
      <c r="O1090" t="s">
        <v>29</v>
      </c>
      <c r="P1090">
        <v>1.5</v>
      </c>
      <c r="Q1090" t="s">
        <v>793</v>
      </c>
      <c r="R1090" t="str">
        <f>_xlfn.CONCAT(laptop[[#This Row],[CPU_company]]," ",laptop[[#This Row],[CPU_model]])</f>
        <v>Intel Pentium Dual Core 4405Y</v>
      </c>
      <c r="S1090">
        <v>32</v>
      </c>
      <c r="T1090">
        <v>0</v>
      </c>
      <c r="U1090">
        <f>laptop[[#This Row],[PrimaryStorage]]+laptop[[#This Row],[SecondaryStorage]]</f>
        <v>32</v>
      </c>
      <c r="V1090" t="s">
        <v>34</v>
      </c>
      <c r="W1090" t="s">
        <v>27</v>
      </c>
      <c r="X1090" t="str">
        <f>IF(laptop[[#This Row],[PrimaryStorageType]]=laptop[[#This Row],[SecondaryStorageType]],laptop[[#This Row],[PrimaryStorageType]],"SSD &amp; HDD")</f>
        <v>SSD &amp; HDD</v>
      </c>
      <c r="Y1090" t="s">
        <v>217</v>
      </c>
      <c r="Z1090" s="4" t="str">
        <f>_xlfn.CONCAT(laptop[[#This Row],[CPU_company]]," ",laptop[[#This Row],[GPU_model]])</f>
        <v>Intel HD Graphics 515</v>
      </c>
    </row>
    <row r="1091" spans="1:26" x14ac:dyDescent="0.25">
      <c r="A1091" t="s">
        <v>46</v>
      </c>
      <c r="B1091" t="s">
        <v>777</v>
      </c>
      <c r="C1091" t="s">
        <v>38</v>
      </c>
      <c r="D1091">
        <v>15.6</v>
      </c>
      <c r="E1091">
        <v>4</v>
      </c>
      <c r="F1091" t="s">
        <v>48</v>
      </c>
      <c r="G1091">
        <v>2.4</v>
      </c>
      <c r="H1091" s="16">
        <v>387</v>
      </c>
      <c r="I1091" t="s">
        <v>26</v>
      </c>
      <c r="J1091">
        <v>1366</v>
      </c>
      <c r="K1091">
        <v>768</v>
      </c>
      <c r="L1091" t="s">
        <v>27</v>
      </c>
      <c r="M1091" t="s">
        <v>27</v>
      </c>
      <c r="N1091" t="s">
        <v>27</v>
      </c>
      <c r="O1091" t="s">
        <v>49</v>
      </c>
      <c r="P1091">
        <v>2.2000000000000002</v>
      </c>
      <c r="Q1091" t="s">
        <v>339</v>
      </c>
      <c r="R1091" t="str">
        <f>_xlfn.CONCAT(laptop[[#This Row],[CPU_company]]," ",laptop[[#This Row],[CPU_model]])</f>
        <v>AMD A8-Series 7410</v>
      </c>
      <c r="S1091">
        <v>500</v>
      </c>
      <c r="T1091">
        <v>0</v>
      </c>
      <c r="U1091">
        <f>laptop[[#This Row],[PrimaryStorage]]+laptop[[#This Row],[SecondaryStorage]]</f>
        <v>500</v>
      </c>
      <c r="V1091" t="s">
        <v>51</v>
      </c>
      <c r="W1091" t="s">
        <v>27</v>
      </c>
      <c r="X1091" t="str">
        <f>IF(laptop[[#This Row],[PrimaryStorageType]]=laptop[[#This Row],[SecondaryStorageType]],laptop[[#This Row],[PrimaryStorageType]],"SSD &amp; HDD")</f>
        <v>SSD &amp; HDD</v>
      </c>
      <c r="Y1091" t="s">
        <v>52</v>
      </c>
      <c r="Z1091" s="4" t="str">
        <f>_xlfn.CONCAT(laptop[[#This Row],[CPU_company]]," ",laptop[[#This Row],[GPU_model]])</f>
        <v>AMD Radeon R5</v>
      </c>
    </row>
    <row r="1092" spans="1:26" x14ac:dyDescent="0.25">
      <c r="A1092" t="s">
        <v>65</v>
      </c>
      <c r="B1092" t="s">
        <v>361</v>
      </c>
      <c r="C1092" t="s">
        <v>38</v>
      </c>
      <c r="D1092">
        <v>15.6</v>
      </c>
      <c r="E1092">
        <v>4</v>
      </c>
      <c r="F1092" t="s">
        <v>111</v>
      </c>
      <c r="G1092">
        <v>2.2000000000000002</v>
      </c>
      <c r="H1092" s="16">
        <v>393.49</v>
      </c>
      <c r="I1092" t="s">
        <v>26</v>
      </c>
      <c r="J1092">
        <v>1366</v>
      </c>
      <c r="K1092">
        <v>768</v>
      </c>
      <c r="L1092" t="s">
        <v>27</v>
      </c>
      <c r="M1092" t="s">
        <v>27</v>
      </c>
      <c r="N1092" t="s">
        <v>27</v>
      </c>
      <c r="O1092" t="s">
        <v>29</v>
      </c>
      <c r="P1092">
        <v>1.6</v>
      </c>
      <c r="Q1092" t="s">
        <v>794</v>
      </c>
      <c r="R1092" t="str">
        <f>_xlfn.CONCAT(laptop[[#This Row],[CPU_company]]," ",laptop[[#This Row],[CPU_model]])</f>
        <v>Intel Pentium Quad Core N3700</v>
      </c>
      <c r="S1092">
        <v>500</v>
      </c>
      <c r="T1092">
        <v>0</v>
      </c>
      <c r="U1092">
        <f>laptop[[#This Row],[PrimaryStorage]]+laptop[[#This Row],[SecondaryStorage]]</f>
        <v>500</v>
      </c>
      <c r="V1092" t="s">
        <v>51</v>
      </c>
      <c r="W1092" t="s">
        <v>27</v>
      </c>
      <c r="X1092" t="str">
        <f>IF(laptop[[#This Row],[PrimaryStorageType]]=laptop[[#This Row],[SecondaryStorageType]],laptop[[#This Row],[PrimaryStorageType]],"SSD &amp; HDD")</f>
        <v>SSD &amp; HDD</v>
      </c>
      <c r="Y1092" t="s">
        <v>102</v>
      </c>
      <c r="Z1092" s="4" t="str">
        <f>_xlfn.CONCAT(laptop[[#This Row],[CPU_company]]," ",laptop[[#This Row],[GPU_model]])</f>
        <v>Intel HD Graphics</v>
      </c>
    </row>
    <row r="1093" spans="1:26" x14ac:dyDescent="0.25">
      <c r="A1093" t="s">
        <v>36</v>
      </c>
      <c r="B1093" t="s">
        <v>37</v>
      </c>
      <c r="C1093" t="s">
        <v>38</v>
      </c>
      <c r="D1093">
        <v>15.6</v>
      </c>
      <c r="E1093">
        <v>4</v>
      </c>
      <c r="F1093" t="s">
        <v>39</v>
      </c>
      <c r="G1093">
        <v>1.86</v>
      </c>
      <c r="H1093" s="16">
        <v>345.99</v>
      </c>
      <c r="I1093" t="s">
        <v>26</v>
      </c>
      <c r="J1093">
        <v>1366</v>
      </c>
      <c r="K1093">
        <v>768</v>
      </c>
      <c r="L1093" t="s">
        <v>27</v>
      </c>
      <c r="M1093" t="s">
        <v>27</v>
      </c>
      <c r="N1093" t="s">
        <v>27</v>
      </c>
      <c r="O1093" t="s">
        <v>29</v>
      </c>
      <c r="P1093">
        <v>2</v>
      </c>
      <c r="Q1093" t="s">
        <v>62</v>
      </c>
      <c r="R1093" t="str">
        <f>_xlfn.CONCAT(laptop[[#This Row],[CPU_company]]," ",laptop[[#This Row],[CPU_model]])</f>
        <v>Intel Core i3 6006U</v>
      </c>
      <c r="S1093">
        <v>1024</v>
      </c>
      <c r="T1093">
        <v>0</v>
      </c>
      <c r="U1093">
        <f>laptop[[#This Row],[PrimaryStorage]]+laptop[[#This Row],[SecondaryStorage]]</f>
        <v>1024</v>
      </c>
      <c r="V1093" t="s">
        <v>51</v>
      </c>
      <c r="W1093" t="s">
        <v>27</v>
      </c>
      <c r="X1093" t="str">
        <f>IF(laptop[[#This Row],[PrimaryStorageType]]=laptop[[#This Row],[SecondaryStorageType]],laptop[[#This Row],[PrimaryStorageType]],"SSD &amp; HDD")</f>
        <v>SSD &amp; HDD</v>
      </c>
      <c r="Y1093" t="s">
        <v>63</v>
      </c>
      <c r="Z1093" s="4" t="str">
        <f>_xlfn.CONCAT(laptop[[#This Row],[CPU_company]]," ",laptop[[#This Row],[GPU_model]])</f>
        <v>Intel HD Graphics 520</v>
      </c>
    </row>
    <row r="1094" spans="1:26" x14ac:dyDescent="0.25">
      <c r="A1094" t="s">
        <v>55</v>
      </c>
      <c r="B1094" t="s">
        <v>795</v>
      </c>
      <c r="C1094" t="s">
        <v>83</v>
      </c>
      <c r="D1094">
        <v>17.3</v>
      </c>
      <c r="E1094">
        <v>8</v>
      </c>
      <c r="F1094" t="s">
        <v>48</v>
      </c>
      <c r="G1094">
        <v>2.7</v>
      </c>
      <c r="H1094" s="16">
        <v>1599</v>
      </c>
      <c r="I1094" t="s">
        <v>40</v>
      </c>
      <c r="J1094">
        <v>1920</v>
      </c>
      <c r="K1094">
        <v>1080</v>
      </c>
      <c r="L1094" t="s">
        <v>27</v>
      </c>
      <c r="M1094" t="s">
        <v>28</v>
      </c>
      <c r="N1094" t="s">
        <v>27</v>
      </c>
      <c r="O1094" t="s">
        <v>29</v>
      </c>
      <c r="P1094">
        <v>2.8</v>
      </c>
      <c r="Q1094" t="s">
        <v>118</v>
      </c>
      <c r="R1094" t="str">
        <f>_xlfn.CONCAT(laptop[[#This Row],[CPU_company]]," ",laptop[[#This Row],[CPU_model]])</f>
        <v>Intel Core i7 7700HQ</v>
      </c>
      <c r="S1094">
        <v>256</v>
      </c>
      <c r="T1094">
        <v>1024</v>
      </c>
      <c r="U1094">
        <f>laptop[[#This Row],[PrimaryStorage]]+laptop[[#This Row],[SecondaryStorage]]</f>
        <v>1280</v>
      </c>
      <c r="V1094" t="s">
        <v>31</v>
      </c>
      <c r="W1094" t="s">
        <v>51</v>
      </c>
      <c r="X1094" t="str">
        <f>IF(laptop[[#This Row],[PrimaryStorageType]]=laptop[[#This Row],[SecondaryStorageType]],laptop[[#This Row],[PrimaryStorageType]],"SSD &amp; HDD")</f>
        <v>SSD &amp; HDD</v>
      </c>
      <c r="Y1094" t="s">
        <v>119</v>
      </c>
      <c r="Z1094" s="4" t="str">
        <f>_xlfn.CONCAT(laptop[[#This Row],[CPU_company]]," ",laptop[[#This Row],[GPU_model]])</f>
        <v>Intel GeForce GTX 1060</v>
      </c>
    </row>
    <row r="1095" spans="1:26" x14ac:dyDescent="0.25">
      <c r="A1095" t="s">
        <v>65</v>
      </c>
      <c r="B1095" t="s">
        <v>157</v>
      </c>
      <c r="C1095" t="s">
        <v>24</v>
      </c>
      <c r="D1095">
        <v>13.3</v>
      </c>
      <c r="E1095">
        <v>4</v>
      </c>
      <c r="F1095" t="s">
        <v>48</v>
      </c>
      <c r="G1095">
        <v>1.4</v>
      </c>
      <c r="H1095" s="16">
        <v>818.35</v>
      </c>
      <c r="I1095" t="s">
        <v>40</v>
      </c>
      <c r="J1095">
        <v>1920</v>
      </c>
      <c r="K1095">
        <v>1080</v>
      </c>
      <c r="L1095" t="s">
        <v>27</v>
      </c>
      <c r="M1095" t="s">
        <v>28</v>
      </c>
      <c r="N1095" t="s">
        <v>27</v>
      </c>
      <c r="O1095" t="s">
        <v>29</v>
      </c>
      <c r="P1095">
        <v>1.6</v>
      </c>
      <c r="Q1095" t="s">
        <v>60</v>
      </c>
      <c r="R1095" t="str">
        <f>_xlfn.CONCAT(laptop[[#This Row],[CPU_company]]," ",laptop[[#This Row],[CPU_model]])</f>
        <v>Intel Core i5 8250U</v>
      </c>
      <c r="S1095">
        <v>256</v>
      </c>
      <c r="T1095">
        <v>0</v>
      </c>
      <c r="U1095">
        <f>laptop[[#This Row],[PrimaryStorage]]+laptop[[#This Row],[SecondaryStorage]]</f>
        <v>256</v>
      </c>
      <c r="V1095" t="s">
        <v>31</v>
      </c>
      <c r="W1095" t="s">
        <v>27</v>
      </c>
      <c r="X1095" t="str">
        <f>IF(laptop[[#This Row],[PrimaryStorageType]]=laptop[[#This Row],[SecondaryStorageType]],laptop[[#This Row],[PrimaryStorageType]],"SSD &amp; HDD")</f>
        <v>SSD &amp; HDD</v>
      </c>
      <c r="Y1095" t="s">
        <v>94</v>
      </c>
      <c r="Z1095" s="4" t="str">
        <f>_xlfn.CONCAT(laptop[[#This Row],[CPU_company]]," ",laptop[[#This Row],[GPU_model]])</f>
        <v>Intel Radeon 530</v>
      </c>
    </row>
    <row r="1096" spans="1:26" x14ac:dyDescent="0.25">
      <c r="A1096" t="s">
        <v>36</v>
      </c>
      <c r="B1096" t="s">
        <v>353</v>
      </c>
      <c r="C1096" t="s">
        <v>79</v>
      </c>
      <c r="D1096">
        <v>12.5</v>
      </c>
      <c r="E1096">
        <v>4</v>
      </c>
      <c r="F1096" t="s">
        <v>480</v>
      </c>
      <c r="G1096">
        <v>2.4</v>
      </c>
      <c r="H1096" s="16">
        <v>1599</v>
      </c>
      <c r="I1096" t="s">
        <v>26</v>
      </c>
      <c r="J1096">
        <v>1366</v>
      </c>
      <c r="K1096">
        <v>768</v>
      </c>
      <c r="L1096" t="s">
        <v>27</v>
      </c>
      <c r="M1096" t="s">
        <v>27</v>
      </c>
      <c r="N1096" t="s">
        <v>27</v>
      </c>
      <c r="O1096" t="s">
        <v>29</v>
      </c>
      <c r="P1096">
        <v>2.2999999999999998</v>
      </c>
      <c r="Q1096" t="s">
        <v>212</v>
      </c>
      <c r="R1096" t="str">
        <f>_xlfn.CONCAT(laptop[[#This Row],[CPU_company]]," ",laptop[[#This Row],[CPU_model]])</f>
        <v>Intel Core i5 6200U</v>
      </c>
      <c r="S1096">
        <v>128</v>
      </c>
      <c r="T1096">
        <v>0</v>
      </c>
      <c r="U1096">
        <f>laptop[[#This Row],[PrimaryStorage]]+laptop[[#This Row],[SecondaryStorage]]</f>
        <v>128</v>
      </c>
      <c r="V1096" t="s">
        <v>31</v>
      </c>
      <c r="W1096" t="s">
        <v>27</v>
      </c>
      <c r="X1096" t="str">
        <f>IF(laptop[[#This Row],[PrimaryStorageType]]=laptop[[#This Row],[SecondaryStorageType]],laptop[[#This Row],[PrimaryStorageType]],"SSD &amp; HDD")</f>
        <v>SSD &amp; HDD</v>
      </c>
      <c r="Y1096" t="s">
        <v>63</v>
      </c>
      <c r="Z1096" s="4" t="str">
        <f>_xlfn.CONCAT(laptop[[#This Row],[CPU_company]]," ",laptop[[#This Row],[GPU_model]])</f>
        <v>Intel HD Graphics 520</v>
      </c>
    </row>
    <row r="1097" spans="1:26" x14ac:dyDescent="0.25">
      <c r="A1097" t="s">
        <v>46</v>
      </c>
      <c r="B1097" t="s">
        <v>796</v>
      </c>
      <c r="C1097" t="s">
        <v>38</v>
      </c>
      <c r="D1097">
        <v>15.6</v>
      </c>
      <c r="E1097">
        <v>8</v>
      </c>
      <c r="F1097" t="s">
        <v>48</v>
      </c>
      <c r="G1097">
        <v>2.4</v>
      </c>
      <c r="H1097" s="16">
        <v>799</v>
      </c>
      <c r="I1097" t="s">
        <v>40</v>
      </c>
      <c r="J1097">
        <v>1920</v>
      </c>
      <c r="K1097">
        <v>1080</v>
      </c>
      <c r="L1097" t="s">
        <v>27</v>
      </c>
      <c r="M1097" t="s">
        <v>27</v>
      </c>
      <c r="N1097" t="s">
        <v>27</v>
      </c>
      <c r="O1097" t="s">
        <v>29</v>
      </c>
      <c r="P1097">
        <v>2.5</v>
      </c>
      <c r="Q1097" t="s">
        <v>41</v>
      </c>
      <c r="R1097" t="str">
        <f>_xlfn.CONCAT(laptop[[#This Row],[CPU_company]]," ",laptop[[#This Row],[CPU_model]])</f>
        <v>Intel Core i5 7200U</v>
      </c>
      <c r="S1097">
        <v>256</v>
      </c>
      <c r="T1097">
        <v>1024</v>
      </c>
      <c r="U1097">
        <f>laptop[[#This Row],[PrimaryStorage]]+laptop[[#This Row],[SecondaryStorage]]</f>
        <v>1280</v>
      </c>
      <c r="V1097" t="s">
        <v>31</v>
      </c>
      <c r="W1097" t="s">
        <v>51</v>
      </c>
      <c r="X1097" t="str">
        <f>IF(laptop[[#This Row],[PrimaryStorageType]]=laptop[[#This Row],[SecondaryStorageType]],laptop[[#This Row],[PrimaryStorageType]],"SSD &amp; HDD")</f>
        <v>SSD &amp; HDD</v>
      </c>
      <c r="Y1097" t="s">
        <v>279</v>
      </c>
      <c r="Z1097" s="4" t="str">
        <f>_xlfn.CONCAT(laptop[[#This Row],[CPU_company]]," ",laptop[[#This Row],[GPU_model]])</f>
        <v>Intel GeForce GTX 950M</v>
      </c>
    </row>
    <row r="1098" spans="1:26" x14ac:dyDescent="0.25">
      <c r="A1098" t="s">
        <v>65</v>
      </c>
      <c r="B1098" t="s">
        <v>200</v>
      </c>
      <c r="C1098" t="s">
        <v>38</v>
      </c>
      <c r="D1098">
        <v>15.6</v>
      </c>
      <c r="E1098">
        <v>8</v>
      </c>
      <c r="F1098" t="s">
        <v>48</v>
      </c>
      <c r="G1098">
        <v>2.36</v>
      </c>
      <c r="H1098" s="16">
        <v>638.79999999999995</v>
      </c>
      <c r="I1098" t="s">
        <v>40</v>
      </c>
      <c r="J1098">
        <v>1920</v>
      </c>
      <c r="K1098">
        <v>1080</v>
      </c>
      <c r="L1098" t="s">
        <v>27</v>
      </c>
      <c r="M1098" t="s">
        <v>27</v>
      </c>
      <c r="N1098" t="s">
        <v>27</v>
      </c>
      <c r="O1098" t="s">
        <v>29</v>
      </c>
      <c r="P1098">
        <v>2.5</v>
      </c>
      <c r="Q1098" t="s">
        <v>41</v>
      </c>
      <c r="R1098" t="str">
        <f>_xlfn.CONCAT(laptop[[#This Row],[CPU_company]]," ",laptop[[#This Row],[CPU_model]])</f>
        <v>Intel Core i5 7200U</v>
      </c>
      <c r="S1098">
        <v>1024</v>
      </c>
      <c r="T1098">
        <v>0</v>
      </c>
      <c r="U1098">
        <f>laptop[[#This Row],[PrimaryStorage]]+laptop[[#This Row],[SecondaryStorage]]</f>
        <v>1024</v>
      </c>
      <c r="V1098" t="s">
        <v>51</v>
      </c>
      <c r="W1098" t="s">
        <v>27</v>
      </c>
      <c r="X1098" t="str">
        <f>IF(laptop[[#This Row],[PrimaryStorageType]]=laptop[[#This Row],[SecondaryStorageType]],laptop[[#This Row],[PrimaryStorageType]],"SSD &amp; HDD")</f>
        <v>SSD &amp; HDD</v>
      </c>
      <c r="Y1098" t="s">
        <v>201</v>
      </c>
      <c r="Z1098" s="4" t="str">
        <f>_xlfn.CONCAT(laptop[[#This Row],[CPU_company]]," ",laptop[[#This Row],[GPU_model]])</f>
        <v>Intel Radeon R7 M445</v>
      </c>
    </row>
    <row r="1099" spans="1:26" x14ac:dyDescent="0.25">
      <c r="A1099" t="s">
        <v>141</v>
      </c>
      <c r="B1099" t="s">
        <v>797</v>
      </c>
      <c r="C1099" t="s">
        <v>83</v>
      </c>
      <c r="D1099">
        <v>17.3</v>
      </c>
      <c r="E1099">
        <v>8</v>
      </c>
      <c r="F1099" t="s">
        <v>48</v>
      </c>
      <c r="G1099">
        <v>2.6</v>
      </c>
      <c r="H1099" s="16">
        <v>1599</v>
      </c>
      <c r="I1099" t="s">
        <v>40</v>
      </c>
      <c r="J1099">
        <v>1920</v>
      </c>
      <c r="K1099">
        <v>1080</v>
      </c>
      <c r="L1099" t="s">
        <v>27</v>
      </c>
      <c r="M1099" t="s">
        <v>27</v>
      </c>
      <c r="N1099" t="s">
        <v>27</v>
      </c>
      <c r="O1099" t="s">
        <v>29</v>
      </c>
      <c r="P1099">
        <v>2.6</v>
      </c>
      <c r="Q1099" t="s">
        <v>447</v>
      </c>
      <c r="R1099" t="str">
        <f>_xlfn.CONCAT(laptop[[#This Row],[CPU_company]]," ",laptop[[#This Row],[CPU_model]])</f>
        <v>Intel Core i7 6700HQ</v>
      </c>
      <c r="S1099">
        <v>256</v>
      </c>
      <c r="T1099">
        <v>0</v>
      </c>
      <c r="U1099">
        <f>laptop[[#This Row],[PrimaryStorage]]+laptop[[#This Row],[SecondaryStorage]]</f>
        <v>256</v>
      </c>
      <c r="V1099" t="s">
        <v>31</v>
      </c>
      <c r="W1099" t="s">
        <v>27</v>
      </c>
      <c r="X1099" t="str">
        <f>IF(laptop[[#This Row],[PrimaryStorageType]]=laptop[[#This Row],[SecondaryStorageType]],laptop[[#This Row],[PrimaryStorageType]],"SSD &amp; HDD")</f>
        <v>SSD &amp; HDD</v>
      </c>
      <c r="Y1099" t="s">
        <v>460</v>
      </c>
      <c r="Z1099" s="4" t="str">
        <f>_xlfn.CONCAT(laptop[[#This Row],[CPU_company]]," ",laptop[[#This Row],[GPU_model]])</f>
        <v>Intel GeForce GTX 965M</v>
      </c>
    </row>
    <row r="1100" spans="1:26" x14ac:dyDescent="0.25">
      <c r="A1100" t="s">
        <v>36</v>
      </c>
      <c r="B1100" t="s">
        <v>776</v>
      </c>
      <c r="C1100" t="s">
        <v>38</v>
      </c>
      <c r="D1100">
        <v>15.6</v>
      </c>
      <c r="E1100">
        <v>4</v>
      </c>
      <c r="F1100" t="s">
        <v>48</v>
      </c>
      <c r="G1100">
        <v>1.96</v>
      </c>
      <c r="H1100" s="16">
        <v>500</v>
      </c>
      <c r="I1100" t="s">
        <v>26</v>
      </c>
      <c r="J1100">
        <v>1366</v>
      </c>
      <c r="K1100">
        <v>768</v>
      </c>
      <c r="L1100" t="s">
        <v>27</v>
      </c>
      <c r="M1100" t="s">
        <v>27</v>
      </c>
      <c r="N1100" t="s">
        <v>27</v>
      </c>
      <c r="O1100" t="s">
        <v>29</v>
      </c>
      <c r="P1100">
        <v>1.6</v>
      </c>
      <c r="Q1100" t="s">
        <v>346</v>
      </c>
      <c r="R1100" t="str">
        <f>_xlfn.CONCAT(laptop[[#This Row],[CPU_company]]," ",laptop[[#This Row],[CPU_model]])</f>
        <v>Intel Pentium Quad Core N3710</v>
      </c>
      <c r="S1100">
        <v>1024</v>
      </c>
      <c r="T1100">
        <v>0</v>
      </c>
      <c r="U1100">
        <f>laptop[[#This Row],[PrimaryStorage]]+laptop[[#This Row],[SecondaryStorage]]</f>
        <v>1024</v>
      </c>
      <c r="V1100" t="s">
        <v>51</v>
      </c>
      <c r="W1100" t="s">
        <v>27</v>
      </c>
      <c r="X1100" t="str">
        <f>IF(laptop[[#This Row],[PrimaryStorageType]]=laptop[[#This Row],[SecondaryStorageType]],laptop[[#This Row],[PrimaryStorageType]],"SSD &amp; HDD")</f>
        <v>SSD &amp; HDD</v>
      </c>
      <c r="Y1100" t="s">
        <v>347</v>
      </c>
      <c r="Z1100" s="4" t="str">
        <f>_xlfn.CONCAT(laptop[[#This Row],[CPU_company]]," ",laptop[[#This Row],[GPU_model]])</f>
        <v>Intel HD Graphics 405</v>
      </c>
    </row>
    <row r="1101" spans="1:26" x14ac:dyDescent="0.25">
      <c r="A1101" t="s">
        <v>55</v>
      </c>
      <c r="B1101" t="s">
        <v>798</v>
      </c>
      <c r="C1101" t="s">
        <v>83</v>
      </c>
      <c r="D1101">
        <v>17.3</v>
      </c>
      <c r="E1101">
        <v>16</v>
      </c>
      <c r="F1101" t="s">
        <v>48</v>
      </c>
      <c r="G1101">
        <v>4.3</v>
      </c>
      <c r="H1101" s="16">
        <v>2299</v>
      </c>
      <c r="I1101" t="s">
        <v>40</v>
      </c>
      <c r="J1101">
        <v>1920</v>
      </c>
      <c r="K1101">
        <v>1080</v>
      </c>
      <c r="L1101" t="s">
        <v>27</v>
      </c>
      <c r="M1101" t="s">
        <v>28</v>
      </c>
      <c r="N1101" t="s">
        <v>27</v>
      </c>
      <c r="O1101" t="s">
        <v>29</v>
      </c>
      <c r="P1101">
        <v>2.6</v>
      </c>
      <c r="Q1101" t="s">
        <v>447</v>
      </c>
      <c r="R1101" t="str">
        <f>_xlfn.CONCAT(laptop[[#This Row],[CPU_company]]," ",laptop[[#This Row],[CPU_model]])</f>
        <v>Intel Core i7 6700HQ</v>
      </c>
      <c r="S1101">
        <v>128</v>
      </c>
      <c r="T1101">
        <v>1024</v>
      </c>
      <c r="U1101">
        <f>laptop[[#This Row],[PrimaryStorage]]+laptop[[#This Row],[SecondaryStorage]]</f>
        <v>1152</v>
      </c>
      <c r="V1101" t="s">
        <v>31</v>
      </c>
      <c r="W1101" t="s">
        <v>51</v>
      </c>
      <c r="X1101" t="str">
        <f>IF(laptop[[#This Row],[PrimaryStorageType]]=laptop[[#This Row],[SecondaryStorageType]],laptop[[#This Row],[PrimaryStorageType]],"SSD &amp; HDD")</f>
        <v>SSD &amp; HDD</v>
      </c>
      <c r="Y1101" t="s">
        <v>297</v>
      </c>
      <c r="Z1101" s="4" t="str">
        <f>_xlfn.CONCAT(laptop[[#This Row],[CPU_company]]," ",laptop[[#This Row],[GPU_model]])</f>
        <v>Intel GeForce GTX 980M</v>
      </c>
    </row>
    <row r="1102" spans="1:26" x14ac:dyDescent="0.25">
      <c r="A1102" t="s">
        <v>65</v>
      </c>
      <c r="B1102" t="s">
        <v>799</v>
      </c>
      <c r="C1102" t="s">
        <v>24</v>
      </c>
      <c r="D1102">
        <v>12.5</v>
      </c>
      <c r="E1102">
        <v>4</v>
      </c>
      <c r="F1102" t="s">
        <v>480</v>
      </c>
      <c r="G1102">
        <v>1.5</v>
      </c>
      <c r="H1102" s="16">
        <v>1135.1500000000001</v>
      </c>
      <c r="I1102" t="s">
        <v>26</v>
      </c>
      <c r="J1102">
        <v>1366</v>
      </c>
      <c r="K1102">
        <v>768</v>
      </c>
      <c r="L1102" t="s">
        <v>27</v>
      </c>
      <c r="M1102" t="s">
        <v>27</v>
      </c>
      <c r="N1102" t="s">
        <v>27</v>
      </c>
      <c r="O1102" t="s">
        <v>29</v>
      </c>
      <c r="P1102">
        <v>2.2999999999999998</v>
      </c>
      <c r="Q1102" t="s">
        <v>450</v>
      </c>
      <c r="R1102" t="str">
        <f>_xlfn.CONCAT(laptop[[#This Row],[CPU_company]]," ",laptop[[#This Row],[CPU_model]])</f>
        <v>Intel Core i3 6100U</v>
      </c>
      <c r="S1102">
        <v>500</v>
      </c>
      <c r="T1102">
        <v>0</v>
      </c>
      <c r="U1102">
        <f>laptop[[#This Row],[PrimaryStorage]]+laptop[[#This Row],[SecondaryStorage]]</f>
        <v>500</v>
      </c>
      <c r="V1102" t="s">
        <v>51</v>
      </c>
      <c r="W1102" t="s">
        <v>27</v>
      </c>
      <c r="X1102" t="str">
        <f>IF(laptop[[#This Row],[PrimaryStorageType]]=laptop[[#This Row],[SecondaryStorageType]],laptop[[#This Row],[PrimaryStorageType]],"SSD &amp; HDD")</f>
        <v>SSD &amp; HDD</v>
      </c>
      <c r="Y1102" t="s">
        <v>63</v>
      </c>
      <c r="Z1102" s="4" t="str">
        <f>_xlfn.CONCAT(laptop[[#This Row],[CPU_company]]," ",laptop[[#This Row],[GPU_model]])</f>
        <v>Intel HD Graphics 520</v>
      </c>
    </row>
    <row r="1103" spans="1:26" x14ac:dyDescent="0.25">
      <c r="A1103" t="s">
        <v>65</v>
      </c>
      <c r="B1103" t="s">
        <v>799</v>
      </c>
      <c r="C1103" t="s">
        <v>24</v>
      </c>
      <c r="D1103">
        <v>12.5</v>
      </c>
      <c r="E1103">
        <v>4</v>
      </c>
      <c r="F1103" t="s">
        <v>480</v>
      </c>
      <c r="G1103">
        <v>1.5</v>
      </c>
      <c r="H1103" s="16">
        <v>1166.97</v>
      </c>
      <c r="I1103" t="s">
        <v>26</v>
      </c>
      <c r="J1103">
        <v>1366</v>
      </c>
      <c r="K1103">
        <v>768</v>
      </c>
      <c r="L1103" t="s">
        <v>27</v>
      </c>
      <c r="M1103" t="s">
        <v>27</v>
      </c>
      <c r="N1103" t="s">
        <v>27</v>
      </c>
      <c r="O1103" t="s">
        <v>29</v>
      </c>
      <c r="P1103">
        <v>2.2999999999999998</v>
      </c>
      <c r="Q1103" t="s">
        <v>450</v>
      </c>
      <c r="R1103" t="str">
        <f>_xlfn.CONCAT(laptop[[#This Row],[CPU_company]]," ",laptop[[#This Row],[CPU_model]])</f>
        <v>Intel Core i3 6100U</v>
      </c>
      <c r="S1103">
        <v>128</v>
      </c>
      <c r="T1103">
        <v>0</v>
      </c>
      <c r="U1103">
        <f>laptop[[#This Row],[PrimaryStorage]]+laptop[[#This Row],[SecondaryStorage]]</f>
        <v>128</v>
      </c>
      <c r="V1103" t="s">
        <v>31</v>
      </c>
      <c r="W1103" t="s">
        <v>27</v>
      </c>
      <c r="X1103" t="str">
        <f>IF(laptop[[#This Row],[PrimaryStorageType]]=laptop[[#This Row],[SecondaryStorageType]],laptop[[#This Row],[PrimaryStorageType]],"SSD &amp; HDD")</f>
        <v>SSD &amp; HDD</v>
      </c>
      <c r="Y1103" t="s">
        <v>63</v>
      </c>
      <c r="Z1103" s="4" t="str">
        <f>_xlfn.CONCAT(laptop[[#This Row],[CPU_company]]," ",laptop[[#This Row],[GPU_model]])</f>
        <v>Intel HD Graphics 520</v>
      </c>
    </row>
    <row r="1104" spans="1:26" x14ac:dyDescent="0.25">
      <c r="A1104" t="s">
        <v>46</v>
      </c>
      <c r="B1104" t="s">
        <v>800</v>
      </c>
      <c r="C1104" t="s">
        <v>38</v>
      </c>
      <c r="D1104">
        <v>15.6</v>
      </c>
      <c r="E1104">
        <v>4</v>
      </c>
      <c r="F1104" t="s">
        <v>317</v>
      </c>
      <c r="G1104">
        <v>2.2000000000000002</v>
      </c>
      <c r="H1104" s="16">
        <v>209</v>
      </c>
      <c r="I1104" t="s">
        <v>26</v>
      </c>
      <c r="J1104">
        <v>1366</v>
      </c>
      <c r="K1104">
        <v>768</v>
      </c>
      <c r="L1104" t="s">
        <v>27</v>
      </c>
      <c r="M1104" t="s">
        <v>27</v>
      </c>
      <c r="N1104" t="s">
        <v>27</v>
      </c>
      <c r="O1104" t="s">
        <v>29</v>
      </c>
      <c r="P1104">
        <v>1.5</v>
      </c>
      <c r="Q1104" t="s">
        <v>318</v>
      </c>
      <c r="R1104" t="str">
        <f>_xlfn.CONCAT(laptop[[#This Row],[CPU_company]]," ",laptop[[#This Row],[CPU_model]])</f>
        <v>Intel Celeron Dual Core 3205U</v>
      </c>
      <c r="S1104">
        <v>16</v>
      </c>
      <c r="T1104">
        <v>0</v>
      </c>
      <c r="U1104">
        <f>laptop[[#This Row],[PrimaryStorage]]+laptop[[#This Row],[SecondaryStorage]]</f>
        <v>16</v>
      </c>
      <c r="V1104" t="s">
        <v>31</v>
      </c>
      <c r="W1104" t="s">
        <v>27</v>
      </c>
      <c r="X1104" t="str">
        <f>IF(laptop[[#This Row],[PrimaryStorageType]]=laptop[[#This Row],[SecondaryStorageType]],laptop[[#This Row],[PrimaryStorageType]],"SSD &amp; HDD")</f>
        <v>SSD &amp; HDD</v>
      </c>
      <c r="Y1104" t="s">
        <v>102</v>
      </c>
      <c r="Z1104" s="4" t="str">
        <f>_xlfn.CONCAT(laptop[[#This Row],[CPU_company]]," ",laptop[[#This Row],[GPU_model]])</f>
        <v>Intel HD Graphics</v>
      </c>
    </row>
    <row r="1105" spans="1:26" x14ac:dyDescent="0.25">
      <c r="A1105" t="s">
        <v>36</v>
      </c>
      <c r="B1105" t="s">
        <v>506</v>
      </c>
      <c r="C1105" t="s">
        <v>265</v>
      </c>
      <c r="D1105">
        <v>17.3</v>
      </c>
      <c r="E1105">
        <v>8</v>
      </c>
      <c r="F1105" t="s">
        <v>480</v>
      </c>
      <c r="G1105">
        <v>3</v>
      </c>
      <c r="H1105" s="16">
        <v>2899</v>
      </c>
      <c r="I1105" t="s">
        <v>40</v>
      </c>
      <c r="J1105">
        <v>1920</v>
      </c>
      <c r="K1105">
        <v>1080</v>
      </c>
      <c r="L1105" t="s">
        <v>27</v>
      </c>
      <c r="M1105" t="s">
        <v>28</v>
      </c>
      <c r="N1105" t="s">
        <v>27</v>
      </c>
      <c r="O1105" t="s">
        <v>29</v>
      </c>
      <c r="P1105">
        <v>2.6</v>
      </c>
      <c r="Q1105" t="s">
        <v>447</v>
      </c>
      <c r="R1105" t="str">
        <f>_xlfn.CONCAT(laptop[[#This Row],[CPU_company]]," ",laptop[[#This Row],[CPU_model]])</f>
        <v>Intel Core i7 6700HQ</v>
      </c>
      <c r="S1105">
        <v>1024</v>
      </c>
      <c r="T1105">
        <v>0</v>
      </c>
      <c r="U1105">
        <f>laptop[[#This Row],[PrimaryStorage]]+laptop[[#This Row],[SecondaryStorage]]</f>
        <v>1024</v>
      </c>
      <c r="V1105" t="s">
        <v>51</v>
      </c>
      <c r="W1105" t="s">
        <v>27</v>
      </c>
      <c r="X1105" t="str">
        <f>IF(laptop[[#This Row],[PrimaryStorageType]]=laptop[[#This Row],[SecondaryStorageType]],laptop[[#This Row],[PrimaryStorageType]],"SSD &amp; HDD")</f>
        <v>SSD &amp; HDD</v>
      </c>
      <c r="Y1105" t="s">
        <v>801</v>
      </c>
      <c r="Z1105" s="4" t="str">
        <f>_xlfn.CONCAT(laptop[[#This Row],[CPU_company]]," ",laptop[[#This Row],[GPU_model]])</f>
        <v>Intel FirePro W6150M</v>
      </c>
    </row>
    <row r="1106" spans="1:26" x14ac:dyDescent="0.25">
      <c r="A1106" t="s">
        <v>73</v>
      </c>
      <c r="B1106" t="s">
        <v>82</v>
      </c>
      <c r="C1106" t="s">
        <v>83</v>
      </c>
      <c r="D1106">
        <v>15.6</v>
      </c>
      <c r="E1106">
        <v>16</v>
      </c>
      <c r="F1106" t="s">
        <v>48</v>
      </c>
      <c r="G1106">
        <v>2.4</v>
      </c>
      <c r="H1106" s="16">
        <v>1199</v>
      </c>
      <c r="I1106" t="s">
        <v>40</v>
      </c>
      <c r="J1106">
        <v>1920</v>
      </c>
      <c r="K1106">
        <v>1080</v>
      </c>
      <c r="L1106" t="s">
        <v>27</v>
      </c>
      <c r="M1106" t="s">
        <v>27</v>
      </c>
      <c r="N1106" t="s">
        <v>27</v>
      </c>
      <c r="O1106" t="s">
        <v>29</v>
      </c>
      <c r="P1106">
        <v>2.8</v>
      </c>
      <c r="Q1106" t="s">
        <v>118</v>
      </c>
      <c r="R1106" t="str">
        <f>_xlfn.CONCAT(laptop[[#This Row],[CPU_company]]," ",laptop[[#This Row],[CPU_model]])</f>
        <v>Intel Core i7 7700HQ</v>
      </c>
      <c r="S1106">
        <v>512</v>
      </c>
      <c r="T1106">
        <v>0</v>
      </c>
      <c r="U1106">
        <f>laptop[[#This Row],[PrimaryStorage]]+laptop[[#This Row],[SecondaryStorage]]</f>
        <v>512</v>
      </c>
      <c r="V1106" t="s">
        <v>31</v>
      </c>
      <c r="W1106" t="s">
        <v>27</v>
      </c>
      <c r="X1106" t="str">
        <f>IF(laptop[[#This Row],[PrimaryStorageType]]=laptop[[#This Row],[SecondaryStorageType]],laptop[[#This Row],[PrimaryStorageType]],"SSD &amp; HDD")</f>
        <v>SSD &amp; HDD</v>
      </c>
      <c r="Y1106" t="s">
        <v>149</v>
      </c>
      <c r="Z1106" s="4" t="str">
        <f>_xlfn.CONCAT(laptop[[#This Row],[CPU_company]]," ",laptop[[#This Row],[GPU_model]])</f>
        <v>Intel GeForce GTX 1050 Ti</v>
      </c>
    </row>
    <row r="1107" spans="1:26" x14ac:dyDescent="0.25">
      <c r="A1107" t="s">
        <v>65</v>
      </c>
      <c r="B1107" t="s">
        <v>799</v>
      </c>
      <c r="C1107" t="s">
        <v>24</v>
      </c>
      <c r="D1107">
        <v>12.5</v>
      </c>
      <c r="E1107">
        <v>8</v>
      </c>
      <c r="F1107" t="s">
        <v>480</v>
      </c>
      <c r="G1107">
        <v>1.5</v>
      </c>
      <c r="H1107" s="16">
        <v>1413.1</v>
      </c>
      <c r="I1107" t="s">
        <v>26</v>
      </c>
      <c r="J1107">
        <v>1366</v>
      </c>
      <c r="K1107">
        <v>768</v>
      </c>
      <c r="L1107" t="s">
        <v>27</v>
      </c>
      <c r="M1107" t="s">
        <v>27</v>
      </c>
      <c r="N1107" t="s">
        <v>27</v>
      </c>
      <c r="O1107" t="s">
        <v>29</v>
      </c>
      <c r="P1107">
        <v>2.2999999999999998</v>
      </c>
      <c r="Q1107" t="s">
        <v>212</v>
      </c>
      <c r="R1107" t="str">
        <f>_xlfn.CONCAT(laptop[[#This Row],[CPU_company]]," ",laptop[[#This Row],[CPU_model]])</f>
        <v>Intel Core i5 6200U</v>
      </c>
      <c r="S1107">
        <v>256</v>
      </c>
      <c r="T1107">
        <v>0</v>
      </c>
      <c r="U1107">
        <f>laptop[[#This Row],[PrimaryStorage]]+laptop[[#This Row],[SecondaryStorage]]</f>
        <v>256</v>
      </c>
      <c r="V1107" t="s">
        <v>31</v>
      </c>
      <c r="W1107" t="s">
        <v>27</v>
      </c>
      <c r="X1107" t="str">
        <f>IF(laptop[[#This Row],[PrimaryStorageType]]=laptop[[#This Row],[SecondaryStorageType]],laptop[[#This Row],[PrimaryStorageType]],"SSD &amp; HDD")</f>
        <v>SSD &amp; HDD</v>
      </c>
      <c r="Y1107" t="s">
        <v>63</v>
      </c>
      <c r="Z1107" s="4" t="str">
        <f>_xlfn.CONCAT(laptop[[#This Row],[CPU_company]]," ",laptop[[#This Row],[GPU_model]])</f>
        <v>Intel HD Graphics 520</v>
      </c>
    </row>
    <row r="1108" spans="1:26" x14ac:dyDescent="0.25">
      <c r="A1108" t="s">
        <v>141</v>
      </c>
      <c r="B1108" t="s">
        <v>802</v>
      </c>
      <c r="C1108" t="s">
        <v>83</v>
      </c>
      <c r="D1108">
        <v>17.3</v>
      </c>
      <c r="E1108">
        <v>8</v>
      </c>
      <c r="F1108" t="s">
        <v>48</v>
      </c>
      <c r="G1108">
        <v>2.9</v>
      </c>
      <c r="H1108" s="16">
        <v>1511.19</v>
      </c>
      <c r="I1108" t="s">
        <v>40</v>
      </c>
      <c r="J1108">
        <v>1920</v>
      </c>
      <c r="K1108">
        <v>1080</v>
      </c>
      <c r="L1108" t="s">
        <v>27</v>
      </c>
      <c r="M1108" t="s">
        <v>27</v>
      </c>
      <c r="N1108" t="s">
        <v>27</v>
      </c>
      <c r="O1108" t="s">
        <v>29</v>
      </c>
      <c r="P1108">
        <v>2.6</v>
      </c>
      <c r="Q1108" t="s">
        <v>447</v>
      </c>
      <c r="R1108" t="str">
        <f>_xlfn.CONCAT(laptop[[#This Row],[CPU_company]]," ",laptop[[#This Row],[CPU_model]])</f>
        <v>Intel Core i7 6700HQ</v>
      </c>
      <c r="S1108">
        <v>128</v>
      </c>
      <c r="T1108">
        <v>1024</v>
      </c>
      <c r="U1108">
        <f>laptop[[#This Row],[PrimaryStorage]]+laptop[[#This Row],[SecondaryStorage]]</f>
        <v>1152</v>
      </c>
      <c r="V1108" t="s">
        <v>31</v>
      </c>
      <c r="W1108" t="s">
        <v>51</v>
      </c>
      <c r="X1108" t="str">
        <f>IF(laptop[[#This Row],[PrimaryStorageType]]=laptop[[#This Row],[SecondaryStorageType]],laptop[[#This Row],[PrimaryStorageType]],"SSD &amp; HDD")</f>
        <v>SSD &amp; HDD</v>
      </c>
      <c r="Y1108" t="s">
        <v>483</v>
      </c>
      <c r="Z1108" s="4" t="str">
        <f>_xlfn.CONCAT(laptop[[#This Row],[CPU_company]]," ",laptop[[#This Row],[GPU_model]])</f>
        <v>Intel GeForce GTX 960M</v>
      </c>
    </row>
    <row r="1109" spans="1:26" x14ac:dyDescent="0.25">
      <c r="A1109" t="s">
        <v>73</v>
      </c>
      <c r="B1109" t="s">
        <v>766</v>
      </c>
      <c r="C1109" t="s">
        <v>90</v>
      </c>
      <c r="D1109">
        <v>15.6</v>
      </c>
      <c r="E1109">
        <v>4</v>
      </c>
      <c r="F1109" t="s">
        <v>48</v>
      </c>
      <c r="G1109">
        <v>2.1</v>
      </c>
      <c r="H1109" s="16">
        <v>867</v>
      </c>
      <c r="I1109" t="s">
        <v>40</v>
      </c>
      <c r="J1109">
        <v>1920</v>
      </c>
      <c r="K1109">
        <v>1080</v>
      </c>
      <c r="L1109" t="s">
        <v>28</v>
      </c>
      <c r="M1109" t="s">
        <v>28</v>
      </c>
      <c r="N1109" t="s">
        <v>27</v>
      </c>
      <c r="O1109" t="s">
        <v>29</v>
      </c>
      <c r="P1109">
        <v>2.2999999999999998</v>
      </c>
      <c r="Q1109" t="s">
        <v>212</v>
      </c>
      <c r="R1109" t="str">
        <f>_xlfn.CONCAT(laptop[[#This Row],[CPU_company]]," ",laptop[[#This Row],[CPU_model]])</f>
        <v>Intel Core i5 6200U</v>
      </c>
      <c r="S1109">
        <v>256</v>
      </c>
      <c r="T1109">
        <v>0</v>
      </c>
      <c r="U1109">
        <f>laptop[[#This Row],[PrimaryStorage]]+laptop[[#This Row],[SecondaryStorage]]</f>
        <v>256</v>
      </c>
      <c r="V1109" t="s">
        <v>31</v>
      </c>
      <c r="W1109" t="s">
        <v>27</v>
      </c>
      <c r="X1109" t="str">
        <f>IF(laptop[[#This Row],[PrimaryStorageType]]=laptop[[#This Row],[SecondaryStorageType]],laptop[[#This Row],[PrimaryStorageType]],"SSD &amp; HDD")</f>
        <v>SSD &amp; HDD</v>
      </c>
      <c r="Y1109" t="s">
        <v>63</v>
      </c>
      <c r="Z1109" s="4" t="str">
        <f>_xlfn.CONCAT(laptop[[#This Row],[CPU_company]]," ",laptop[[#This Row],[GPU_model]])</f>
        <v>Intel HD Graphics 520</v>
      </c>
    </row>
    <row r="1110" spans="1:26" x14ac:dyDescent="0.25">
      <c r="A1110" t="s">
        <v>36</v>
      </c>
      <c r="B1110" t="s">
        <v>803</v>
      </c>
      <c r="C1110" t="s">
        <v>38</v>
      </c>
      <c r="D1110">
        <v>15.6</v>
      </c>
      <c r="E1110">
        <v>4</v>
      </c>
      <c r="F1110" t="s">
        <v>48</v>
      </c>
      <c r="G1110">
        <v>2.1</v>
      </c>
      <c r="H1110" s="16">
        <v>398</v>
      </c>
      <c r="I1110" t="s">
        <v>40</v>
      </c>
      <c r="J1110">
        <v>1920</v>
      </c>
      <c r="K1110">
        <v>1080</v>
      </c>
      <c r="L1110" t="s">
        <v>27</v>
      </c>
      <c r="M1110" t="s">
        <v>27</v>
      </c>
      <c r="N1110" t="s">
        <v>27</v>
      </c>
      <c r="O1110" t="s">
        <v>49</v>
      </c>
      <c r="P1110">
        <v>2.5</v>
      </c>
      <c r="Q1110" t="s">
        <v>106</v>
      </c>
      <c r="R1110" t="str">
        <f>_xlfn.CONCAT(laptop[[#This Row],[CPU_company]]," ",laptop[[#This Row],[CPU_model]])</f>
        <v>AMD A6-Series 9220</v>
      </c>
      <c r="S1110">
        <v>1024</v>
      </c>
      <c r="T1110">
        <v>0</v>
      </c>
      <c r="U1110">
        <f>laptop[[#This Row],[PrimaryStorage]]+laptop[[#This Row],[SecondaryStorage]]</f>
        <v>1024</v>
      </c>
      <c r="V1110" t="s">
        <v>51</v>
      </c>
      <c r="W1110" t="s">
        <v>27</v>
      </c>
      <c r="X1110" t="str">
        <f>IF(laptop[[#This Row],[PrimaryStorageType]]=laptop[[#This Row],[SecondaryStorageType]],laptop[[#This Row],[PrimaryStorageType]],"SSD &amp; HDD")</f>
        <v>SSD &amp; HDD</v>
      </c>
      <c r="Y1110" t="s">
        <v>425</v>
      </c>
      <c r="Z1110" s="4" t="str">
        <f>_xlfn.CONCAT(laptop[[#This Row],[CPU_company]]," ",laptop[[#This Row],[GPU_model]])</f>
        <v>AMD Radeon R4</v>
      </c>
    </row>
    <row r="1111" spans="1:26" x14ac:dyDescent="0.25">
      <c r="A1111" t="s">
        <v>55</v>
      </c>
      <c r="B1111" t="s">
        <v>804</v>
      </c>
      <c r="C1111" t="s">
        <v>83</v>
      </c>
      <c r="D1111">
        <v>15.6</v>
      </c>
      <c r="E1111">
        <v>16</v>
      </c>
      <c r="F1111" t="s">
        <v>48</v>
      </c>
      <c r="G1111">
        <v>2.59</v>
      </c>
      <c r="H1111" s="16">
        <v>1339</v>
      </c>
      <c r="I1111" t="s">
        <v>40</v>
      </c>
      <c r="J1111">
        <v>1920</v>
      </c>
      <c r="K1111">
        <v>1080</v>
      </c>
      <c r="L1111" t="s">
        <v>27</v>
      </c>
      <c r="M1111" t="s">
        <v>28</v>
      </c>
      <c r="N1111" t="s">
        <v>27</v>
      </c>
      <c r="O1111" t="s">
        <v>29</v>
      </c>
      <c r="P1111">
        <v>2.6</v>
      </c>
      <c r="Q1111" t="s">
        <v>447</v>
      </c>
      <c r="R1111" t="str">
        <f>_xlfn.CONCAT(laptop[[#This Row],[CPU_company]]," ",laptop[[#This Row],[CPU_model]])</f>
        <v>Intel Core i7 6700HQ</v>
      </c>
      <c r="S1111">
        <v>128</v>
      </c>
      <c r="T1111">
        <v>1024</v>
      </c>
      <c r="U1111">
        <f>laptop[[#This Row],[PrimaryStorage]]+laptop[[#This Row],[SecondaryStorage]]</f>
        <v>1152</v>
      </c>
      <c r="V1111" t="s">
        <v>31</v>
      </c>
      <c r="W1111" t="s">
        <v>51</v>
      </c>
      <c r="X1111" t="str">
        <f>IF(laptop[[#This Row],[PrimaryStorageType]]=laptop[[#This Row],[SecondaryStorageType]],laptop[[#This Row],[PrimaryStorageType]],"SSD &amp; HDD")</f>
        <v>SSD &amp; HDD</v>
      </c>
      <c r="Y1111" t="s">
        <v>483</v>
      </c>
      <c r="Z1111" s="4" t="str">
        <f>_xlfn.CONCAT(laptop[[#This Row],[CPU_company]]," ",laptop[[#This Row],[GPU_model]])</f>
        <v>Intel GeForce GTX 960M</v>
      </c>
    </row>
    <row r="1112" spans="1:26" x14ac:dyDescent="0.25">
      <c r="A1112" t="s">
        <v>36</v>
      </c>
      <c r="B1112" t="s">
        <v>500</v>
      </c>
      <c r="C1112" t="s">
        <v>38</v>
      </c>
      <c r="D1112">
        <v>13.3</v>
      </c>
      <c r="E1112">
        <v>8</v>
      </c>
      <c r="F1112" t="s">
        <v>48</v>
      </c>
      <c r="G1112">
        <v>1.1599999999999999</v>
      </c>
      <c r="H1112" s="16">
        <v>1699</v>
      </c>
      <c r="I1112" t="s">
        <v>107</v>
      </c>
      <c r="J1112">
        <v>3200</v>
      </c>
      <c r="K1112">
        <v>1800</v>
      </c>
      <c r="L1112" t="s">
        <v>28</v>
      </c>
      <c r="M1112" t="s">
        <v>27</v>
      </c>
      <c r="N1112" t="s">
        <v>27</v>
      </c>
      <c r="O1112" t="s">
        <v>29</v>
      </c>
      <c r="P1112">
        <v>1.1000000000000001</v>
      </c>
      <c r="Q1112" t="s">
        <v>805</v>
      </c>
      <c r="R1112" t="str">
        <f>_xlfn.CONCAT(laptop[[#This Row],[CPU_company]]," ",laptop[[#This Row],[CPU_model]])</f>
        <v>Intel Core M 6Y54</v>
      </c>
      <c r="S1112">
        <v>256</v>
      </c>
      <c r="T1112">
        <v>0</v>
      </c>
      <c r="U1112">
        <f>laptop[[#This Row],[PrimaryStorage]]+laptop[[#This Row],[SecondaryStorage]]</f>
        <v>256</v>
      </c>
      <c r="V1112" t="s">
        <v>31</v>
      </c>
      <c r="W1112" t="s">
        <v>27</v>
      </c>
      <c r="X1112" t="str">
        <f>IF(laptop[[#This Row],[PrimaryStorageType]]=laptop[[#This Row],[SecondaryStorageType]],laptop[[#This Row],[PrimaryStorageType]],"SSD &amp; HDD")</f>
        <v>SSD &amp; HDD</v>
      </c>
      <c r="Y1112" t="s">
        <v>217</v>
      </c>
      <c r="Z1112" s="4" t="str">
        <f>_xlfn.CONCAT(laptop[[#This Row],[CPU_company]]," ",laptop[[#This Row],[GPU_model]])</f>
        <v>Intel HD Graphics 515</v>
      </c>
    </row>
    <row r="1113" spans="1:26" x14ac:dyDescent="0.25">
      <c r="A1113" t="s">
        <v>65</v>
      </c>
      <c r="B1113" t="s">
        <v>806</v>
      </c>
      <c r="C1113" t="s">
        <v>38</v>
      </c>
      <c r="D1113">
        <v>15.6</v>
      </c>
      <c r="E1113">
        <v>4</v>
      </c>
      <c r="F1113" t="s">
        <v>480</v>
      </c>
      <c r="G1113">
        <v>2.2400000000000002</v>
      </c>
      <c r="H1113" s="16">
        <v>769.15</v>
      </c>
      <c r="I1113" t="s">
        <v>26</v>
      </c>
      <c r="J1113">
        <v>1366</v>
      </c>
      <c r="K1113">
        <v>768</v>
      </c>
      <c r="L1113" t="s">
        <v>27</v>
      </c>
      <c r="M1113" t="s">
        <v>27</v>
      </c>
      <c r="N1113" t="s">
        <v>27</v>
      </c>
      <c r="O1113" t="s">
        <v>29</v>
      </c>
      <c r="P1113">
        <v>2.2999999999999998</v>
      </c>
      <c r="Q1113" t="s">
        <v>212</v>
      </c>
      <c r="R1113" t="str">
        <f>_xlfn.CONCAT(laptop[[#This Row],[CPU_company]]," ",laptop[[#This Row],[CPU_model]])</f>
        <v>Intel Core i5 6200U</v>
      </c>
      <c r="S1113">
        <v>500</v>
      </c>
      <c r="T1113">
        <v>0</v>
      </c>
      <c r="U1113">
        <f>laptop[[#This Row],[PrimaryStorage]]+laptop[[#This Row],[SecondaryStorage]]</f>
        <v>500</v>
      </c>
      <c r="V1113" t="s">
        <v>51</v>
      </c>
      <c r="W1113" t="s">
        <v>27</v>
      </c>
      <c r="X1113" t="str">
        <f>IF(laptop[[#This Row],[PrimaryStorageType]]=laptop[[#This Row],[SecondaryStorageType]],laptop[[#This Row],[PrimaryStorageType]],"SSD &amp; HDD")</f>
        <v>SSD &amp; HDD</v>
      </c>
      <c r="Y1113" t="s">
        <v>807</v>
      </c>
      <c r="Z1113" s="4" t="str">
        <f>_xlfn.CONCAT(laptop[[#This Row],[CPU_company]]," ",laptop[[#This Row],[GPU_model]])</f>
        <v>Intel Radeon R5 M315</v>
      </c>
    </row>
    <row r="1114" spans="1:26" x14ac:dyDescent="0.25">
      <c r="A1114" t="s">
        <v>73</v>
      </c>
      <c r="B1114" t="s">
        <v>808</v>
      </c>
      <c r="C1114" t="s">
        <v>38</v>
      </c>
      <c r="D1114">
        <v>15.6</v>
      </c>
      <c r="E1114">
        <v>4</v>
      </c>
      <c r="F1114" t="s">
        <v>48</v>
      </c>
      <c r="G1114">
        <v>2.1</v>
      </c>
      <c r="H1114" s="16">
        <v>429</v>
      </c>
      <c r="I1114" t="s">
        <v>26</v>
      </c>
      <c r="J1114">
        <v>1366</v>
      </c>
      <c r="K1114">
        <v>768</v>
      </c>
      <c r="L1114" t="s">
        <v>27</v>
      </c>
      <c r="M1114" t="s">
        <v>27</v>
      </c>
      <c r="N1114" t="s">
        <v>27</v>
      </c>
      <c r="O1114" t="s">
        <v>29</v>
      </c>
      <c r="P1114">
        <v>2</v>
      </c>
      <c r="Q1114" t="s">
        <v>62</v>
      </c>
      <c r="R1114" t="str">
        <f>_xlfn.CONCAT(laptop[[#This Row],[CPU_company]]," ",laptop[[#This Row],[CPU_model]])</f>
        <v>Intel Core i3 6006U</v>
      </c>
      <c r="S1114">
        <v>128</v>
      </c>
      <c r="T1114">
        <v>0</v>
      </c>
      <c r="U1114">
        <f>laptop[[#This Row],[PrimaryStorage]]+laptop[[#This Row],[SecondaryStorage]]</f>
        <v>128</v>
      </c>
      <c r="V1114" t="s">
        <v>31</v>
      </c>
      <c r="W1114" t="s">
        <v>27</v>
      </c>
      <c r="X1114" t="str">
        <f>IF(laptop[[#This Row],[PrimaryStorageType]]=laptop[[#This Row],[SecondaryStorageType]],laptop[[#This Row],[PrimaryStorageType]],"SSD &amp; HDD")</f>
        <v>SSD &amp; HDD</v>
      </c>
      <c r="Y1114" t="s">
        <v>63</v>
      </c>
      <c r="Z1114" s="4" t="str">
        <f>_xlfn.CONCAT(laptop[[#This Row],[CPU_company]]," ",laptop[[#This Row],[GPU_model]])</f>
        <v>Intel HD Graphics 520</v>
      </c>
    </row>
    <row r="1115" spans="1:26" x14ac:dyDescent="0.25">
      <c r="A1115" t="s">
        <v>36</v>
      </c>
      <c r="B1115" t="s">
        <v>809</v>
      </c>
      <c r="C1115" t="s">
        <v>24</v>
      </c>
      <c r="D1115">
        <v>13.3</v>
      </c>
      <c r="E1115">
        <v>8</v>
      </c>
      <c r="F1115" t="s">
        <v>48</v>
      </c>
      <c r="G1115">
        <v>1.1599999999999999</v>
      </c>
      <c r="H1115" s="16">
        <v>1969</v>
      </c>
      <c r="I1115" t="s">
        <v>40</v>
      </c>
      <c r="J1115">
        <v>1920</v>
      </c>
      <c r="K1115">
        <v>1080</v>
      </c>
      <c r="L1115" t="s">
        <v>27</v>
      </c>
      <c r="M1115" t="s">
        <v>27</v>
      </c>
      <c r="N1115" t="s">
        <v>27</v>
      </c>
      <c r="O1115" t="s">
        <v>29</v>
      </c>
      <c r="P1115">
        <v>2.5</v>
      </c>
      <c r="Q1115" t="s">
        <v>274</v>
      </c>
      <c r="R1115" t="str">
        <f>_xlfn.CONCAT(laptop[[#This Row],[CPU_company]]," ",laptop[[#This Row],[CPU_model]])</f>
        <v>Intel Core i7 6500U</v>
      </c>
      <c r="S1115">
        <v>512</v>
      </c>
      <c r="T1115">
        <v>0</v>
      </c>
      <c r="U1115">
        <f>laptop[[#This Row],[PrimaryStorage]]+laptop[[#This Row],[SecondaryStorage]]</f>
        <v>512</v>
      </c>
      <c r="V1115" t="s">
        <v>31</v>
      </c>
      <c r="W1115" t="s">
        <v>27</v>
      </c>
      <c r="X1115" t="str">
        <f>IF(laptop[[#This Row],[PrimaryStorageType]]=laptop[[#This Row],[SecondaryStorageType]],laptop[[#This Row],[PrimaryStorageType]],"SSD &amp; HDD")</f>
        <v>SSD &amp; HDD</v>
      </c>
      <c r="Y1115" t="s">
        <v>63</v>
      </c>
      <c r="Z1115" s="4" t="str">
        <f>_xlfn.CONCAT(laptop[[#This Row],[CPU_company]]," ",laptop[[#This Row],[GPU_model]])</f>
        <v>Intel HD Graphics 520</v>
      </c>
    </row>
    <row r="1116" spans="1:26" x14ac:dyDescent="0.25">
      <c r="A1116" t="s">
        <v>73</v>
      </c>
      <c r="B1116" t="s">
        <v>132</v>
      </c>
      <c r="C1116" t="s">
        <v>90</v>
      </c>
      <c r="D1116">
        <v>10.1</v>
      </c>
      <c r="E1116">
        <v>4</v>
      </c>
      <c r="F1116" t="s">
        <v>133</v>
      </c>
      <c r="G1116">
        <v>0.69</v>
      </c>
      <c r="H1116" s="16">
        <v>549</v>
      </c>
      <c r="I1116" t="s">
        <v>26</v>
      </c>
      <c r="J1116">
        <v>1920</v>
      </c>
      <c r="K1116">
        <v>1200</v>
      </c>
      <c r="L1116" t="s">
        <v>28</v>
      </c>
      <c r="M1116" t="s">
        <v>28</v>
      </c>
      <c r="N1116" t="s">
        <v>27</v>
      </c>
      <c r="O1116" t="s">
        <v>29</v>
      </c>
      <c r="P1116">
        <v>1.44</v>
      </c>
      <c r="Q1116" t="s">
        <v>134</v>
      </c>
      <c r="R1116" t="str">
        <f>_xlfn.CONCAT(laptop[[#This Row],[CPU_company]]," ",laptop[[#This Row],[CPU_model]])</f>
        <v>Intel Atom x5-Z8550</v>
      </c>
      <c r="S1116">
        <v>64</v>
      </c>
      <c r="T1116">
        <v>0</v>
      </c>
      <c r="U1116">
        <f>laptop[[#This Row],[PrimaryStorage]]+laptop[[#This Row],[SecondaryStorage]]</f>
        <v>64</v>
      </c>
      <c r="V1116" t="s">
        <v>34</v>
      </c>
      <c r="W1116" t="s">
        <v>27</v>
      </c>
      <c r="X1116" t="str">
        <f>IF(laptop[[#This Row],[PrimaryStorageType]]=laptop[[#This Row],[SecondaryStorageType]],laptop[[#This Row],[PrimaryStorageType]],"SSD &amp; HDD")</f>
        <v>SSD &amp; HDD</v>
      </c>
      <c r="Y1116" t="s">
        <v>81</v>
      </c>
      <c r="Z1116" s="4" t="str">
        <f>_xlfn.CONCAT(laptop[[#This Row],[CPU_company]]," ",laptop[[#This Row],[GPU_model]])</f>
        <v>Intel HD Graphics 400</v>
      </c>
    </row>
    <row r="1117" spans="1:26" x14ac:dyDescent="0.25">
      <c r="A1117" t="s">
        <v>65</v>
      </c>
      <c r="B1117" t="s">
        <v>77</v>
      </c>
      <c r="C1117" t="s">
        <v>24</v>
      </c>
      <c r="D1117">
        <v>13.3</v>
      </c>
      <c r="E1117">
        <v>8</v>
      </c>
      <c r="F1117" t="s">
        <v>48</v>
      </c>
      <c r="G1117">
        <v>1.23</v>
      </c>
      <c r="H1117" s="16">
        <v>1379</v>
      </c>
      <c r="I1117" t="s">
        <v>40</v>
      </c>
      <c r="J1117">
        <v>1920</v>
      </c>
      <c r="K1117">
        <v>1080</v>
      </c>
      <c r="L1117" t="s">
        <v>27</v>
      </c>
      <c r="M1117" t="s">
        <v>27</v>
      </c>
      <c r="N1117" t="s">
        <v>27</v>
      </c>
      <c r="O1117" t="s">
        <v>29</v>
      </c>
      <c r="P1117">
        <v>2.4</v>
      </c>
      <c r="Q1117" t="s">
        <v>189</v>
      </c>
      <c r="R1117" t="str">
        <f>_xlfn.CONCAT(laptop[[#This Row],[CPU_company]]," ",laptop[[#This Row],[CPU_model]])</f>
        <v>Intel Core i7 7560U</v>
      </c>
      <c r="S1117">
        <v>256</v>
      </c>
      <c r="T1117">
        <v>0</v>
      </c>
      <c r="U1117">
        <f>laptop[[#This Row],[PrimaryStorage]]+laptop[[#This Row],[SecondaryStorage]]</f>
        <v>256</v>
      </c>
      <c r="V1117" t="s">
        <v>31</v>
      </c>
      <c r="W1117" t="s">
        <v>27</v>
      </c>
      <c r="X1117" t="str">
        <f>IF(laptop[[#This Row],[PrimaryStorageType]]=laptop[[#This Row],[SecondaryStorageType]],laptop[[#This Row],[PrimaryStorageType]],"SSD &amp; HDD")</f>
        <v>SSD &amp; HDD</v>
      </c>
      <c r="Y1117" t="s">
        <v>32</v>
      </c>
      <c r="Z1117" s="4" t="str">
        <f>_xlfn.CONCAT(laptop[[#This Row],[CPU_company]]," ",laptop[[#This Row],[GPU_model]])</f>
        <v>Intel Iris Plus Graphics 640</v>
      </c>
    </row>
    <row r="1118" spans="1:26" x14ac:dyDescent="0.25">
      <c r="A1118" t="s">
        <v>73</v>
      </c>
      <c r="B1118" t="s">
        <v>772</v>
      </c>
      <c r="C1118" t="s">
        <v>83</v>
      </c>
      <c r="D1118">
        <v>17.3</v>
      </c>
      <c r="E1118">
        <v>16</v>
      </c>
      <c r="F1118" t="s">
        <v>48</v>
      </c>
      <c r="G1118">
        <v>4.5999999999999996</v>
      </c>
      <c r="H1118" s="16">
        <v>2749.99</v>
      </c>
      <c r="I1118" t="s">
        <v>40</v>
      </c>
      <c r="J1118">
        <v>1920</v>
      </c>
      <c r="K1118">
        <v>1080</v>
      </c>
      <c r="L1118" t="s">
        <v>27</v>
      </c>
      <c r="M1118" t="s">
        <v>28</v>
      </c>
      <c r="N1118" t="s">
        <v>27</v>
      </c>
      <c r="O1118" t="s">
        <v>29</v>
      </c>
      <c r="P1118">
        <v>2.7</v>
      </c>
      <c r="Q1118" t="s">
        <v>514</v>
      </c>
      <c r="R1118" t="str">
        <f>_xlfn.CONCAT(laptop[[#This Row],[CPU_company]]," ",laptop[[#This Row],[CPU_model]])</f>
        <v>Intel Core i7 6820HK</v>
      </c>
      <c r="S1118">
        <v>256</v>
      </c>
      <c r="T1118">
        <v>1024</v>
      </c>
      <c r="U1118">
        <f>laptop[[#This Row],[PrimaryStorage]]+laptop[[#This Row],[SecondaryStorage]]</f>
        <v>1280</v>
      </c>
      <c r="V1118" t="s">
        <v>31</v>
      </c>
      <c r="W1118" t="s">
        <v>223</v>
      </c>
      <c r="X1118" t="str">
        <f>IF(laptop[[#This Row],[PrimaryStorageType]]=laptop[[#This Row],[SecondaryStorageType]],laptop[[#This Row],[PrimaryStorageType]],"SSD &amp; HDD")</f>
        <v>SSD &amp; HDD</v>
      </c>
      <c r="Y1118" t="s">
        <v>297</v>
      </c>
      <c r="Z1118" s="4" t="str">
        <f>_xlfn.CONCAT(laptop[[#This Row],[CPU_company]]," ",laptop[[#This Row],[GPU_model]])</f>
        <v>Intel GeForce GTX 980M</v>
      </c>
    </row>
    <row r="1119" spans="1:26" x14ac:dyDescent="0.25">
      <c r="A1119" t="s">
        <v>256</v>
      </c>
      <c r="B1119" t="s">
        <v>667</v>
      </c>
      <c r="C1119" t="s">
        <v>24</v>
      </c>
      <c r="D1119">
        <v>12.5</v>
      </c>
      <c r="E1119">
        <v>8</v>
      </c>
      <c r="F1119" t="s">
        <v>48</v>
      </c>
      <c r="G1119">
        <v>1.25</v>
      </c>
      <c r="H1119" s="16">
        <v>1029</v>
      </c>
      <c r="I1119" t="s">
        <v>215</v>
      </c>
      <c r="J1119">
        <v>3840</v>
      </c>
      <c r="K1119">
        <v>2160</v>
      </c>
      <c r="L1119" t="s">
        <v>28</v>
      </c>
      <c r="M1119" t="s">
        <v>27</v>
      </c>
      <c r="N1119" t="s">
        <v>27</v>
      </c>
      <c r="O1119" t="s">
        <v>29</v>
      </c>
      <c r="P1119">
        <v>2.5</v>
      </c>
      <c r="Q1119" t="s">
        <v>274</v>
      </c>
      <c r="R1119" t="str">
        <f>_xlfn.CONCAT(laptop[[#This Row],[CPU_company]]," ",laptop[[#This Row],[CPU_model]])</f>
        <v>Intel Core i7 6500U</v>
      </c>
      <c r="S1119">
        <v>256</v>
      </c>
      <c r="T1119">
        <v>0</v>
      </c>
      <c r="U1119">
        <f>laptop[[#This Row],[PrimaryStorage]]+laptop[[#This Row],[SecondaryStorage]]</f>
        <v>256</v>
      </c>
      <c r="V1119" t="s">
        <v>31</v>
      </c>
      <c r="W1119" t="s">
        <v>27</v>
      </c>
      <c r="X1119" t="str">
        <f>IF(laptop[[#This Row],[PrimaryStorageType]]=laptop[[#This Row],[SecondaryStorageType]],laptop[[#This Row],[PrimaryStorageType]],"SSD &amp; HDD")</f>
        <v>SSD &amp; HDD</v>
      </c>
      <c r="Y1119" t="s">
        <v>63</v>
      </c>
      <c r="Z1119" s="4" t="str">
        <f>_xlfn.CONCAT(laptop[[#This Row],[CPU_company]]," ",laptop[[#This Row],[GPU_model]])</f>
        <v>Intel HD Graphics 520</v>
      </c>
    </row>
    <row r="1120" spans="1:26" x14ac:dyDescent="0.25">
      <c r="A1120" t="s">
        <v>210</v>
      </c>
      <c r="B1120" t="s">
        <v>810</v>
      </c>
      <c r="C1120" t="s">
        <v>24</v>
      </c>
      <c r="D1120">
        <v>13.3</v>
      </c>
      <c r="E1120">
        <v>16</v>
      </c>
      <c r="F1120" t="s">
        <v>48</v>
      </c>
      <c r="G1120">
        <v>1.05</v>
      </c>
      <c r="H1120" s="16">
        <v>2226</v>
      </c>
      <c r="I1120" t="s">
        <v>40</v>
      </c>
      <c r="J1120">
        <v>1920</v>
      </c>
      <c r="K1120">
        <v>1080</v>
      </c>
      <c r="L1120" t="s">
        <v>27</v>
      </c>
      <c r="M1120" t="s">
        <v>27</v>
      </c>
      <c r="N1120" t="s">
        <v>27</v>
      </c>
      <c r="O1120" t="s">
        <v>29</v>
      </c>
      <c r="P1120">
        <v>2.7</v>
      </c>
      <c r="Q1120" t="s">
        <v>71</v>
      </c>
      <c r="R1120" t="str">
        <f>_xlfn.CONCAT(laptop[[#This Row],[CPU_company]]," ",laptop[[#This Row],[CPU_model]])</f>
        <v>Intel Core i7 7500U</v>
      </c>
      <c r="S1120">
        <v>512</v>
      </c>
      <c r="T1120">
        <v>0</v>
      </c>
      <c r="U1120">
        <f>laptop[[#This Row],[PrimaryStorage]]+laptop[[#This Row],[SecondaryStorage]]</f>
        <v>512</v>
      </c>
      <c r="V1120" t="s">
        <v>31</v>
      </c>
      <c r="W1120" t="s">
        <v>27</v>
      </c>
      <c r="X1120" t="str">
        <f>IF(laptop[[#This Row],[PrimaryStorageType]]=laptop[[#This Row],[SecondaryStorageType]],laptop[[#This Row],[PrimaryStorageType]],"SSD &amp; HDD")</f>
        <v>SSD &amp; HDD</v>
      </c>
      <c r="Y1120" t="s">
        <v>42</v>
      </c>
      <c r="Z1120" s="4" t="str">
        <f>_xlfn.CONCAT(laptop[[#This Row],[CPU_company]]," ",laptop[[#This Row],[GPU_model]])</f>
        <v>Intel HD Graphics 620</v>
      </c>
    </row>
    <row r="1121" spans="1:26" x14ac:dyDescent="0.25">
      <c r="A1121" t="s">
        <v>55</v>
      </c>
      <c r="B1121" t="s">
        <v>811</v>
      </c>
      <c r="C1121" t="s">
        <v>83</v>
      </c>
      <c r="D1121">
        <v>17.3</v>
      </c>
      <c r="E1121">
        <v>8</v>
      </c>
      <c r="F1121" t="s">
        <v>48</v>
      </c>
      <c r="G1121">
        <v>3.52</v>
      </c>
      <c r="H1121" s="16">
        <v>1312.49</v>
      </c>
      <c r="I1121" t="s">
        <v>40</v>
      </c>
      <c r="J1121">
        <v>1920</v>
      </c>
      <c r="K1121">
        <v>1080</v>
      </c>
      <c r="L1121" t="s">
        <v>27</v>
      </c>
      <c r="M1121" t="s">
        <v>27</v>
      </c>
      <c r="N1121" t="s">
        <v>27</v>
      </c>
      <c r="O1121" t="s">
        <v>29</v>
      </c>
      <c r="P1121">
        <v>2.6</v>
      </c>
      <c r="Q1121" t="s">
        <v>447</v>
      </c>
      <c r="R1121" t="str">
        <f>_xlfn.CONCAT(laptop[[#This Row],[CPU_company]]," ",laptop[[#This Row],[CPU_model]])</f>
        <v>Intel Core i7 6700HQ</v>
      </c>
      <c r="S1121">
        <v>128</v>
      </c>
      <c r="T1121">
        <v>1024</v>
      </c>
      <c r="U1121">
        <f>laptop[[#This Row],[PrimaryStorage]]+laptop[[#This Row],[SecondaryStorage]]</f>
        <v>1152</v>
      </c>
      <c r="V1121" t="s">
        <v>31</v>
      </c>
      <c r="W1121" t="s">
        <v>51</v>
      </c>
      <c r="X1121" t="str">
        <f>IF(laptop[[#This Row],[PrimaryStorageType]]=laptop[[#This Row],[SecondaryStorageType]],laptop[[#This Row],[PrimaryStorageType]],"SSD &amp; HDD")</f>
        <v>SSD &amp; HDD</v>
      </c>
      <c r="Y1121" t="s">
        <v>483</v>
      </c>
      <c r="Z1121" s="4" t="str">
        <f>_xlfn.CONCAT(laptop[[#This Row],[CPU_company]]," ",laptop[[#This Row],[GPU_model]])</f>
        <v>Intel GeForce GTX 960M</v>
      </c>
    </row>
    <row r="1122" spans="1:26" x14ac:dyDescent="0.25">
      <c r="A1122" t="s">
        <v>253</v>
      </c>
      <c r="B1122" t="s">
        <v>812</v>
      </c>
      <c r="C1122" t="s">
        <v>38</v>
      </c>
      <c r="D1122">
        <v>13.3</v>
      </c>
      <c r="E1122">
        <v>4</v>
      </c>
      <c r="F1122" t="s">
        <v>48</v>
      </c>
      <c r="G1122">
        <v>1.35</v>
      </c>
      <c r="H1122" s="16">
        <v>196</v>
      </c>
      <c r="I1122" t="s">
        <v>40</v>
      </c>
      <c r="J1122">
        <v>1920</v>
      </c>
      <c r="K1122">
        <v>1080</v>
      </c>
      <c r="L1122" t="s">
        <v>27</v>
      </c>
      <c r="M1122" t="s">
        <v>27</v>
      </c>
      <c r="N1122" t="s">
        <v>27</v>
      </c>
      <c r="O1122" t="s">
        <v>29</v>
      </c>
      <c r="P1122">
        <v>1.44</v>
      </c>
      <c r="Q1122" t="s">
        <v>768</v>
      </c>
      <c r="R1122" t="str">
        <f>_xlfn.CONCAT(laptop[[#This Row],[CPU_company]]," ",laptop[[#This Row],[CPU_model]])</f>
        <v>Intel Atom X5-Z8350</v>
      </c>
      <c r="S1122">
        <v>32</v>
      </c>
      <c r="T1122">
        <v>0</v>
      </c>
      <c r="U1122">
        <f>laptop[[#This Row],[PrimaryStorage]]+laptop[[#This Row],[SecondaryStorage]]</f>
        <v>32</v>
      </c>
      <c r="V1122" t="s">
        <v>34</v>
      </c>
      <c r="W1122" t="s">
        <v>27</v>
      </c>
      <c r="X1122" t="str">
        <f>IF(laptop[[#This Row],[PrimaryStorageType]]=laptop[[#This Row],[SecondaryStorageType]],laptop[[#This Row],[PrimaryStorageType]],"SSD &amp; HDD")</f>
        <v>SSD &amp; HDD</v>
      </c>
      <c r="Y1122" t="s">
        <v>81</v>
      </c>
      <c r="Z1122" s="4" t="str">
        <f>_xlfn.CONCAT(laptop[[#This Row],[CPU_company]]," ",laptop[[#This Row],[GPU_model]])</f>
        <v>Intel HD Graphics 400</v>
      </c>
    </row>
    <row r="1123" spans="1:26" x14ac:dyDescent="0.25">
      <c r="A1123" t="s">
        <v>36</v>
      </c>
      <c r="B1123" t="s">
        <v>809</v>
      </c>
      <c r="C1123" t="s">
        <v>38</v>
      </c>
      <c r="D1123">
        <v>13.3</v>
      </c>
      <c r="E1123">
        <v>8</v>
      </c>
      <c r="F1123" t="s">
        <v>48</v>
      </c>
      <c r="G1123">
        <v>1.1599999999999999</v>
      </c>
      <c r="H1123" s="16">
        <v>1690</v>
      </c>
      <c r="I1123" t="s">
        <v>40</v>
      </c>
      <c r="J1123">
        <v>1920</v>
      </c>
      <c r="K1123">
        <v>1080</v>
      </c>
      <c r="L1123" t="s">
        <v>27</v>
      </c>
      <c r="M1123" t="s">
        <v>27</v>
      </c>
      <c r="N1123" t="s">
        <v>27</v>
      </c>
      <c r="O1123" t="s">
        <v>29</v>
      </c>
      <c r="P1123">
        <v>2.2999999999999998</v>
      </c>
      <c r="Q1123" t="s">
        <v>212</v>
      </c>
      <c r="R1123" t="str">
        <f>_xlfn.CONCAT(laptop[[#This Row],[CPU_company]]," ",laptop[[#This Row],[CPU_model]])</f>
        <v>Intel Core i5 6200U</v>
      </c>
      <c r="S1123">
        <v>256</v>
      </c>
      <c r="T1123">
        <v>0</v>
      </c>
      <c r="U1123">
        <f>laptop[[#This Row],[PrimaryStorage]]+laptop[[#This Row],[SecondaryStorage]]</f>
        <v>256</v>
      </c>
      <c r="V1123" t="s">
        <v>31</v>
      </c>
      <c r="W1123" t="s">
        <v>27</v>
      </c>
      <c r="X1123" t="str">
        <f>IF(laptop[[#This Row],[PrimaryStorageType]]=laptop[[#This Row],[SecondaryStorageType]],laptop[[#This Row],[PrimaryStorageType]],"SSD &amp; HDD")</f>
        <v>SSD &amp; HDD</v>
      </c>
      <c r="Y1123" t="s">
        <v>63</v>
      </c>
      <c r="Z1123" s="4" t="str">
        <f>_xlfn.CONCAT(laptop[[#This Row],[CPU_company]]," ",laptop[[#This Row],[GPU_model]])</f>
        <v>Intel HD Graphics 520</v>
      </c>
    </row>
    <row r="1124" spans="1:26" x14ac:dyDescent="0.25">
      <c r="A1124" t="s">
        <v>36</v>
      </c>
      <c r="B1124" t="s">
        <v>405</v>
      </c>
      <c r="C1124" t="s">
        <v>38</v>
      </c>
      <c r="D1124">
        <v>14</v>
      </c>
      <c r="E1124">
        <v>8</v>
      </c>
      <c r="F1124" t="s">
        <v>480</v>
      </c>
      <c r="G1124">
        <v>1.43</v>
      </c>
      <c r="H1124" s="16">
        <v>1513</v>
      </c>
      <c r="I1124" t="s">
        <v>40</v>
      </c>
      <c r="J1124">
        <v>1920</v>
      </c>
      <c r="K1124">
        <v>1080</v>
      </c>
      <c r="L1124" t="s">
        <v>27</v>
      </c>
      <c r="M1124" t="s">
        <v>27</v>
      </c>
      <c r="N1124" t="s">
        <v>27</v>
      </c>
      <c r="O1124" t="s">
        <v>29</v>
      </c>
      <c r="P1124">
        <v>2.2999999999999998</v>
      </c>
      <c r="Q1124" t="s">
        <v>212</v>
      </c>
      <c r="R1124" t="str">
        <f>_xlfn.CONCAT(laptop[[#This Row],[CPU_company]]," ",laptop[[#This Row],[CPU_model]])</f>
        <v>Intel Core i5 6200U</v>
      </c>
      <c r="S1124">
        <v>256</v>
      </c>
      <c r="T1124">
        <v>0</v>
      </c>
      <c r="U1124">
        <f>laptop[[#This Row],[PrimaryStorage]]+laptop[[#This Row],[SecondaryStorage]]</f>
        <v>256</v>
      </c>
      <c r="V1124" t="s">
        <v>31</v>
      </c>
      <c r="W1124" t="s">
        <v>27</v>
      </c>
      <c r="X1124" t="str">
        <f>IF(laptop[[#This Row],[PrimaryStorageType]]=laptop[[#This Row],[SecondaryStorageType]],laptop[[#This Row],[PrimaryStorageType]],"SSD &amp; HDD")</f>
        <v>SSD &amp; HDD</v>
      </c>
      <c r="Y1124" t="s">
        <v>63</v>
      </c>
      <c r="Z1124" s="4" t="str">
        <f>_xlfn.CONCAT(laptop[[#This Row],[CPU_company]]," ",laptop[[#This Row],[GPU_model]])</f>
        <v>Intel HD Graphics 520</v>
      </c>
    </row>
    <row r="1125" spans="1:26" x14ac:dyDescent="0.25">
      <c r="A1125" t="s">
        <v>65</v>
      </c>
      <c r="B1125" t="s">
        <v>764</v>
      </c>
      <c r="C1125" t="s">
        <v>38</v>
      </c>
      <c r="D1125">
        <v>15.6</v>
      </c>
      <c r="E1125">
        <v>4</v>
      </c>
      <c r="F1125" t="s">
        <v>111</v>
      </c>
      <c r="G1125">
        <v>2.09</v>
      </c>
      <c r="H1125" s="16">
        <v>523.63</v>
      </c>
      <c r="I1125" t="s">
        <v>26</v>
      </c>
      <c r="J1125">
        <v>1366</v>
      </c>
      <c r="K1125">
        <v>768</v>
      </c>
      <c r="L1125" t="s">
        <v>27</v>
      </c>
      <c r="M1125" t="s">
        <v>27</v>
      </c>
      <c r="N1125" t="s">
        <v>27</v>
      </c>
      <c r="O1125" t="s">
        <v>29</v>
      </c>
      <c r="P1125">
        <v>2.2999999999999998</v>
      </c>
      <c r="Q1125" t="s">
        <v>212</v>
      </c>
      <c r="R1125" t="str">
        <f>_xlfn.CONCAT(laptop[[#This Row],[CPU_company]]," ",laptop[[#This Row],[CPU_model]])</f>
        <v>Intel Core i5 6200U</v>
      </c>
      <c r="S1125">
        <v>500</v>
      </c>
      <c r="T1125">
        <v>0</v>
      </c>
      <c r="U1125">
        <f>laptop[[#This Row],[PrimaryStorage]]+laptop[[#This Row],[SecondaryStorage]]</f>
        <v>500</v>
      </c>
      <c r="V1125" t="s">
        <v>51</v>
      </c>
      <c r="W1125" t="s">
        <v>27</v>
      </c>
      <c r="X1125" t="str">
        <f>IF(laptop[[#This Row],[PrimaryStorageType]]=laptop[[#This Row],[SecondaryStorageType]],laptop[[#This Row],[PrimaryStorageType]],"SSD &amp; HDD")</f>
        <v>SSD &amp; HDD</v>
      </c>
      <c r="Y1125" t="s">
        <v>63</v>
      </c>
      <c r="Z1125" s="4" t="str">
        <f>_xlfn.CONCAT(laptop[[#This Row],[CPU_company]]," ",laptop[[#This Row],[GPU_model]])</f>
        <v>Intel HD Graphics 520</v>
      </c>
    </row>
    <row r="1126" spans="1:26" x14ac:dyDescent="0.25">
      <c r="A1126" t="s">
        <v>55</v>
      </c>
      <c r="B1126" t="s">
        <v>140</v>
      </c>
      <c r="C1126" t="s">
        <v>38</v>
      </c>
      <c r="D1126">
        <v>15.6</v>
      </c>
      <c r="E1126">
        <v>4</v>
      </c>
      <c r="F1126" t="s">
        <v>48</v>
      </c>
      <c r="G1126">
        <v>2</v>
      </c>
      <c r="H1126" s="16">
        <v>435</v>
      </c>
      <c r="I1126" t="s">
        <v>26</v>
      </c>
      <c r="J1126">
        <v>1366</v>
      </c>
      <c r="K1126">
        <v>768</v>
      </c>
      <c r="L1126" t="s">
        <v>27</v>
      </c>
      <c r="M1126" t="s">
        <v>27</v>
      </c>
      <c r="N1126" t="s">
        <v>27</v>
      </c>
      <c r="O1126" t="s">
        <v>29</v>
      </c>
      <c r="P1126">
        <v>2.4</v>
      </c>
      <c r="Q1126" t="s">
        <v>75</v>
      </c>
      <c r="R1126" t="str">
        <f>_xlfn.CONCAT(laptop[[#This Row],[CPU_company]]," ",laptop[[#This Row],[CPU_model]])</f>
        <v>Intel Core i3 7100U</v>
      </c>
      <c r="S1126">
        <v>1024</v>
      </c>
      <c r="T1126">
        <v>0</v>
      </c>
      <c r="U1126">
        <f>laptop[[#This Row],[PrimaryStorage]]+laptop[[#This Row],[SecondaryStorage]]</f>
        <v>1024</v>
      </c>
      <c r="V1126" t="s">
        <v>51</v>
      </c>
      <c r="W1126" t="s">
        <v>27</v>
      </c>
      <c r="X1126" t="str">
        <f>IF(laptop[[#This Row],[PrimaryStorageType]]=laptop[[#This Row],[SecondaryStorageType]],laptop[[#This Row],[PrimaryStorageType]],"SSD &amp; HDD")</f>
        <v>SSD &amp; HDD</v>
      </c>
      <c r="Y1126" t="s">
        <v>42</v>
      </c>
      <c r="Z1126" s="4" t="str">
        <f>_xlfn.CONCAT(laptop[[#This Row],[CPU_company]]," ",laptop[[#This Row],[GPU_model]])</f>
        <v>Intel HD Graphics 620</v>
      </c>
    </row>
    <row r="1127" spans="1:26" x14ac:dyDescent="0.25">
      <c r="A1127" t="s">
        <v>73</v>
      </c>
      <c r="B1127" t="s">
        <v>190</v>
      </c>
      <c r="C1127" t="s">
        <v>90</v>
      </c>
      <c r="D1127">
        <v>14</v>
      </c>
      <c r="E1127">
        <v>8</v>
      </c>
      <c r="F1127" t="s">
        <v>48</v>
      </c>
      <c r="G1127">
        <v>1.8</v>
      </c>
      <c r="H1127" s="16">
        <v>1669</v>
      </c>
      <c r="I1127" t="s">
        <v>40</v>
      </c>
      <c r="J1127">
        <v>1920</v>
      </c>
      <c r="K1127">
        <v>1080</v>
      </c>
      <c r="L1127" t="s">
        <v>28</v>
      </c>
      <c r="M1127" t="s">
        <v>28</v>
      </c>
      <c r="N1127" t="s">
        <v>27</v>
      </c>
      <c r="O1127" t="s">
        <v>29</v>
      </c>
      <c r="P1127">
        <v>2.5</v>
      </c>
      <c r="Q1127" t="s">
        <v>274</v>
      </c>
      <c r="R1127" t="str">
        <f>_xlfn.CONCAT(laptop[[#This Row],[CPU_company]]," ",laptop[[#This Row],[CPU_model]])</f>
        <v>Intel Core i7 6500U</v>
      </c>
      <c r="S1127">
        <v>256</v>
      </c>
      <c r="T1127">
        <v>0</v>
      </c>
      <c r="U1127">
        <f>laptop[[#This Row],[PrimaryStorage]]+laptop[[#This Row],[SecondaryStorage]]</f>
        <v>256</v>
      </c>
      <c r="V1127" t="s">
        <v>31</v>
      </c>
      <c r="W1127" t="s">
        <v>27</v>
      </c>
      <c r="X1127" t="str">
        <f>IF(laptop[[#This Row],[PrimaryStorageType]]=laptop[[#This Row],[SecondaryStorageType]],laptop[[#This Row],[PrimaryStorageType]],"SSD &amp; HDD")</f>
        <v>SSD &amp; HDD</v>
      </c>
      <c r="Y1127" t="s">
        <v>63</v>
      </c>
      <c r="Z1127" s="4" t="str">
        <f>_xlfn.CONCAT(laptop[[#This Row],[CPU_company]]," ",laptop[[#This Row],[GPU_model]])</f>
        <v>Intel HD Graphics 520</v>
      </c>
    </row>
    <row r="1128" spans="1:26" x14ac:dyDescent="0.25">
      <c r="A1128" t="s">
        <v>73</v>
      </c>
      <c r="B1128" t="s">
        <v>132</v>
      </c>
      <c r="C1128" t="s">
        <v>90</v>
      </c>
      <c r="D1128">
        <v>10.1</v>
      </c>
      <c r="E1128">
        <v>4</v>
      </c>
      <c r="F1128" t="s">
        <v>48</v>
      </c>
      <c r="G1128">
        <v>0.69</v>
      </c>
      <c r="H1128" s="16">
        <v>479</v>
      </c>
      <c r="I1128" t="s">
        <v>26</v>
      </c>
      <c r="J1128">
        <v>1920</v>
      </c>
      <c r="K1128">
        <v>1200</v>
      </c>
      <c r="L1128" t="s">
        <v>28</v>
      </c>
      <c r="M1128" t="s">
        <v>28</v>
      </c>
      <c r="N1128" t="s">
        <v>27</v>
      </c>
      <c r="O1128" t="s">
        <v>29</v>
      </c>
      <c r="P1128">
        <v>1.44</v>
      </c>
      <c r="Q1128" t="s">
        <v>134</v>
      </c>
      <c r="R1128" t="str">
        <f>_xlfn.CONCAT(laptop[[#This Row],[CPU_company]]," ",laptop[[#This Row],[CPU_model]])</f>
        <v>Intel Atom x5-Z8550</v>
      </c>
      <c r="S1128">
        <v>64</v>
      </c>
      <c r="T1128">
        <v>0</v>
      </c>
      <c r="U1128">
        <f>laptop[[#This Row],[PrimaryStorage]]+laptop[[#This Row],[SecondaryStorage]]</f>
        <v>64</v>
      </c>
      <c r="V1128" t="s">
        <v>34</v>
      </c>
      <c r="W1128" t="s">
        <v>27</v>
      </c>
      <c r="X1128" t="str">
        <f>IF(laptop[[#This Row],[PrimaryStorageType]]=laptop[[#This Row],[SecondaryStorageType]],laptop[[#This Row],[PrimaryStorageType]],"SSD &amp; HDD")</f>
        <v>SSD &amp; HDD</v>
      </c>
      <c r="Y1128" t="s">
        <v>81</v>
      </c>
      <c r="Z1128" s="4" t="str">
        <f>_xlfn.CONCAT(laptop[[#This Row],[CPU_company]]," ",laptop[[#This Row],[GPU_model]])</f>
        <v>Intel HD Graphics 400</v>
      </c>
    </row>
    <row r="1129" spans="1:26" x14ac:dyDescent="0.25">
      <c r="A1129" t="s">
        <v>36</v>
      </c>
      <c r="B1129" t="s">
        <v>639</v>
      </c>
      <c r="C1129" t="s">
        <v>24</v>
      </c>
      <c r="D1129">
        <v>12.5</v>
      </c>
      <c r="E1129">
        <v>8</v>
      </c>
      <c r="F1129" t="s">
        <v>480</v>
      </c>
      <c r="G1129">
        <v>1.26</v>
      </c>
      <c r="H1129" s="16">
        <v>1895</v>
      </c>
      <c r="I1129" t="s">
        <v>26</v>
      </c>
      <c r="J1129">
        <v>1366</v>
      </c>
      <c r="K1129">
        <v>768</v>
      </c>
      <c r="L1129" t="s">
        <v>27</v>
      </c>
      <c r="M1129" t="s">
        <v>27</v>
      </c>
      <c r="N1129" t="s">
        <v>27</v>
      </c>
      <c r="O1129" t="s">
        <v>29</v>
      </c>
      <c r="P1129">
        <v>2.4</v>
      </c>
      <c r="Q1129" t="s">
        <v>562</v>
      </c>
      <c r="R1129" t="str">
        <f>_xlfn.CONCAT(laptop[[#This Row],[CPU_company]]," ",laptop[[#This Row],[CPU_model]])</f>
        <v>Intel Core i5 6300U</v>
      </c>
      <c r="S1129">
        <v>256</v>
      </c>
      <c r="T1129">
        <v>0</v>
      </c>
      <c r="U1129">
        <f>laptop[[#This Row],[PrimaryStorage]]+laptop[[#This Row],[SecondaryStorage]]</f>
        <v>256</v>
      </c>
      <c r="V1129" t="s">
        <v>31</v>
      </c>
      <c r="W1129" t="s">
        <v>27</v>
      </c>
      <c r="X1129" t="str">
        <f>IF(laptop[[#This Row],[PrimaryStorageType]]=laptop[[#This Row],[SecondaryStorageType]],laptop[[#This Row],[PrimaryStorageType]],"SSD &amp; HDD")</f>
        <v>SSD &amp; HDD</v>
      </c>
      <c r="Y1129" t="s">
        <v>63</v>
      </c>
      <c r="Z1129" s="4" t="str">
        <f>_xlfn.CONCAT(laptop[[#This Row],[CPU_company]]," ",laptop[[#This Row],[GPU_model]])</f>
        <v>Intel HD Graphics 520</v>
      </c>
    </row>
    <row r="1130" spans="1:26" x14ac:dyDescent="0.25">
      <c r="A1130" t="s">
        <v>73</v>
      </c>
      <c r="B1130" t="s">
        <v>82</v>
      </c>
      <c r="C1130" t="s">
        <v>83</v>
      </c>
      <c r="D1130">
        <v>15.6</v>
      </c>
      <c r="E1130">
        <v>8</v>
      </c>
      <c r="F1130" t="s">
        <v>39</v>
      </c>
      <c r="G1130">
        <v>2.4</v>
      </c>
      <c r="H1130" s="16">
        <v>989</v>
      </c>
      <c r="I1130" t="s">
        <v>40</v>
      </c>
      <c r="J1130">
        <v>1920</v>
      </c>
      <c r="K1130">
        <v>1080</v>
      </c>
      <c r="L1130" t="s">
        <v>27</v>
      </c>
      <c r="M1130" t="s">
        <v>28</v>
      </c>
      <c r="N1130" t="s">
        <v>27</v>
      </c>
      <c r="O1130" t="s">
        <v>29</v>
      </c>
      <c r="P1130">
        <v>2.5</v>
      </c>
      <c r="Q1130" t="s">
        <v>84</v>
      </c>
      <c r="R1130" t="str">
        <f>_xlfn.CONCAT(laptop[[#This Row],[CPU_company]]," ",laptop[[#This Row],[CPU_model]])</f>
        <v>Intel Core i5 7300HQ</v>
      </c>
      <c r="S1130">
        <v>128</v>
      </c>
      <c r="T1130">
        <v>1024</v>
      </c>
      <c r="U1130">
        <f>laptop[[#This Row],[PrimaryStorage]]+laptop[[#This Row],[SecondaryStorage]]</f>
        <v>1152</v>
      </c>
      <c r="V1130" t="s">
        <v>31</v>
      </c>
      <c r="W1130" t="s">
        <v>51</v>
      </c>
      <c r="X1130" t="str">
        <f>IF(laptop[[#This Row],[PrimaryStorageType]]=laptop[[#This Row],[SecondaryStorageType]],laptop[[#This Row],[PrimaryStorageType]],"SSD &amp; HDD")</f>
        <v>SSD &amp; HDD</v>
      </c>
      <c r="Y1130" t="s">
        <v>119</v>
      </c>
      <c r="Z1130" s="4" t="str">
        <f>_xlfn.CONCAT(laptop[[#This Row],[CPU_company]]," ",laptop[[#This Row],[GPU_model]])</f>
        <v>Intel GeForce GTX 1060</v>
      </c>
    </row>
    <row r="1131" spans="1:26" x14ac:dyDescent="0.25">
      <c r="A1131" t="s">
        <v>36</v>
      </c>
      <c r="B1131" t="s">
        <v>813</v>
      </c>
      <c r="C1131" t="s">
        <v>83</v>
      </c>
      <c r="D1131">
        <v>17.3</v>
      </c>
      <c r="E1131">
        <v>8</v>
      </c>
      <c r="F1131" t="s">
        <v>48</v>
      </c>
      <c r="G1131">
        <v>3.35</v>
      </c>
      <c r="H1131" s="16">
        <v>1129</v>
      </c>
      <c r="I1131" t="s">
        <v>40</v>
      </c>
      <c r="J1131">
        <v>1920</v>
      </c>
      <c r="K1131">
        <v>1080</v>
      </c>
      <c r="L1131" t="s">
        <v>27</v>
      </c>
      <c r="M1131" t="s">
        <v>28</v>
      </c>
      <c r="N1131" t="s">
        <v>27</v>
      </c>
      <c r="O1131" t="s">
        <v>29</v>
      </c>
      <c r="P1131">
        <v>2.2999999999999998</v>
      </c>
      <c r="Q1131" t="s">
        <v>601</v>
      </c>
      <c r="R1131" t="str">
        <f>_xlfn.CONCAT(laptop[[#This Row],[CPU_company]]," ",laptop[[#This Row],[CPU_model]])</f>
        <v>Intel Core i5 6300HQ</v>
      </c>
      <c r="S1131">
        <v>128</v>
      </c>
      <c r="T1131">
        <v>1024</v>
      </c>
      <c r="U1131">
        <f>laptop[[#This Row],[PrimaryStorage]]+laptop[[#This Row],[SecondaryStorage]]</f>
        <v>1152</v>
      </c>
      <c r="V1131" t="s">
        <v>31</v>
      </c>
      <c r="W1131" t="s">
        <v>51</v>
      </c>
      <c r="X1131" t="str">
        <f>IF(laptop[[#This Row],[PrimaryStorageType]]=laptop[[#This Row],[SecondaryStorageType]],laptop[[#This Row],[PrimaryStorageType]],"SSD &amp; HDD")</f>
        <v>SSD &amp; HDD</v>
      </c>
      <c r="Y1131" t="s">
        <v>119</v>
      </c>
      <c r="Z1131" s="4" t="str">
        <f>_xlfn.CONCAT(laptop[[#This Row],[CPU_company]]," ",laptop[[#This Row],[GPU_model]])</f>
        <v>Intel GeForce GTX 1060</v>
      </c>
    </row>
    <row r="1132" spans="1:26" x14ac:dyDescent="0.25">
      <c r="A1132" t="s">
        <v>36</v>
      </c>
      <c r="B1132" t="s">
        <v>814</v>
      </c>
      <c r="C1132" t="s">
        <v>38</v>
      </c>
      <c r="D1132">
        <v>15.6</v>
      </c>
      <c r="E1132">
        <v>8</v>
      </c>
      <c r="F1132" t="s">
        <v>48</v>
      </c>
      <c r="G1132">
        <v>2.04</v>
      </c>
      <c r="H1132" s="16">
        <v>629</v>
      </c>
      <c r="I1132" t="s">
        <v>26</v>
      </c>
      <c r="J1132">
        <v>1366</v>
      </c>
      <c r="K1132">
        <v>768</v>
      </c>
      <c r="L1132" t="s">
        <v>27</v>
      </c>
      <c r="M1132" t="s">
        <v>27</v>
      </c>
      <c r="N1132" t="s">
        <v>27</v>
      </c>
      <c r="O1132" t="s">
        <v>29</v>
      </c>
      <c r="P1132">
        <v>2.7</v>
      </c>
      <c r="Q1132" t="s">
        <v>71</v>
      </c>
      <c r="R1132" t="str">
        <f>_xlfn.CONCAT(laptop[[#This Row],[CPU_company]]," ",laptop[[#This Row],[CPU_model]])</f>
        <v>Intel Core i7 7500U</v>
      </c>
      <c r="S1132">
        <v>2048</v>
      </c>
      <c r="T1132">
        <v>0</v>
      </c>
      <c r="U1132">
        <f>laptop[[#This Row],[PrimaryStorage]]+laptop[[#This Row],[SecondaryStorage]]</f>
        <v>2048</v>
      </c>
      <c r="V1132" t="s">
        <v>51</v>
      </c>
      <c r="W1132" t="s">
        <v>27</v>
      </c>
      <c r="X1132" t="str">
        <f>IF(laptop[[#This Row],[PrimaryStorageType]]=laptop[[#This Row],[SecondaryStorageType]],laptop[[#This Row],[PrimaryStorageType]],"SSD &amp; HDD")</f>
        <v>SSD &amp; HDD</v>
      </c>
      <c r="Y1132" t="s">
        <v>42</v>
      </c>
      <c r="Z1132" s="4" t="str">
        <f>_xlfn.CONCAT(laptop[[#This Row],[CPU_company]]," ",laptop[[#This Row],[GPU_model]])</f>
        <v>Intel HD Graphics 620</v>
      </c>
    </row>
    <row r="1133" spans="1:26" x14ac:dyDescent="0.25">
      <c r="A1133" t="s">
        <v>73</v>
      </c>
      <c r="B1133" t="s">
        <v>815</v>
      </c>
      <c r="C1133" t="s">
        <v>90</v>
      </c>
      <c r="D1133">
        <v>14</v>
      </c>
      <c r="E1133">
        <v>8</v>
      </c>
      <c r="F1133" t="s">
        <v>480</v>
      </c>
      <c r="G1133">
        <v>1.8</v>
      </c>
      <c r="H1133" s="16">
        <v>2050.38</v>
      </c>
      <c r="I1133" t="s">
        <v>40</v>
      </c>
      <c r="J1133">
        <v>1920</v>
      </c>
      <c r="K1133">
        <v>1080</v>
      </c>
      <c r="L1133" t="s">
        <v>28</v>
      </c>
      <c r="M1133" t="s">
        <v>28</v>
      </c>
      <c r="N1133" t="s">
        <v>27</v>
      </c>
      <c r="O1133" t="s">
        <v>29</v>
      </c>
      <c r="P1133">
        <v>2.6</v>
      </c>
      <c r="Q1133" t="s">
        <v>309</v>
      </c>
      <c r="R1133" t="str">
        <f>_xlfn.CONCAT(laptop[[#This Row],[CPU_company]]," ",laptop[[#This Row],[CPU_model]])</f>
        <v>Intel Core i7 6600U</v>
      </c>
      <c r="S1133">
        <v>512</v>
      </c>
      <c r="T1133">
        <v>0</v>
      </c>
      <c r="U1133">
        <f>laptop[[#This Row],[PrimaryStorage]]+laptop[[#This Row],[SecondaryStorage]]</f>
        <v>512</v>
      </c>
      <c r="V1133" t="s">
        <v>31</v>
      </c>
      <c r="W1133" t="s">
        <v>27</v>
      </c>
      <c r="X1133" t="str">
        <f>IF(laptop[[#This Row],[PrimaryStorageType]]=laptop[[#This Row],[SecondaryStorageType]],laptop[[#This Row],[PrimaryStorageType]],"SSD &amp; HDD")</f>
        <v>SSD &amp; HDD</v>
      </c>
      <c r="Y1133" t="s">
        <v>816</v>
      </c>
      <c r="Z1133" s="4" t="str">
        <f>_xlfn.CONCAT(laptop[[#This Row],[CPU_company]]," ",laptop[[#This Row],[GPU_model]])</f>
        <v>Intel Quadro M500M</v>
      </c>
    </row>
    <row r="1134" spans="1:26" x14ac:dyDescent="0.25">
      <c r="A1134" t="s">
        <v>55</v>
      </c>
      <c r="B1134" t="s">
        <v>817</v>
      </c>
      <c r="C1134" t="s">
        <v>38</v>
      </c>
      <c r="D1134">
        <v>14</v>
      </c>
      <c r="E1134">
        <v>4</v>
      </c>
      <c r="F1134" t="s">
        <v>48</v>
      </c>
      <c r="G1134">
        <v>1.5</v>
      </c>
      <c r="H1134" s="16">
        <v>278</v>
      </c>
      <c r="I1134" t="s">
        <v>26</v>
      </c>
      <c r="J1134">
        <v>1366</v>
      </c>
      <c r="K1134">
        <v>768</v>
      </c>
      <c r="L1134" t="s">
        <v>27</v>
      </c>
      <c r="M1134" t="s">
        <v>27</v>
      </c>
      <c r="N1134" t="s">
        <v>27</v>
      </c>
      <c r="O1134" t="s">
        <v>29</v>
      </c>
      <c r="P1134">
        <v>1.1000000000000001</v>
      </c>
      <c r="Q1134" t="s">
        <v>109</v>
      </c>
      <c r="R1134" t="str">
        <f>_xlfn.CONCAT(laptop[[#This Row],[CPU_company]]," ",laptop[[#This Row],[CPU_model]])</f>
        <v>Intel Celeron Dual Core N3350</v>
      </c>
      <c r="S1134">
        <v>32</v>
      </c>
      <c r="T1134">
        <v>0</v>
      </c>
      <c r="U1134">
        <f>laptop[[#This Row],[PrimaryStorage]]+laptop[[#This Row],[SecondaryStorage]]</f>
        <v>32</v>
      </c>
      <c r="V1134" t="s">
        <v>34</v>
      </c>
      <c r="W1134" t="s">
        <v>27</v>
      </c>
      <c r="X1134" t="str">
        <f>IF(laptop[[#This Row],[PrimaryStorageType]]=laptop[[#This Row],[SecondaryStorageType]],laptop[[#This Row],[PrimaryStorageType]],"SSD &amp; HDD")</f>
        <v>SSD &amp; HDD</v>
      </c>
      <c r="Y1134" t="s">
        <v>110</v>
      </c>
      <c r="Z1134" s="4" t="str">
        <f>_xlfn.CONCAT(laptop[[#This Row],[CPU_company]]," ",laptop[[#This Row],[GPU_model]])</f>
        <v>Intel HD Graphics 500</v>
      </c>
    </row>
    <row r="1135" spans="1:26" x14ac:dyDescent="0.25">
      <c r="A1135" t="s">
        <v>36</v>
      </c>
      <c r="B1135" t="s">
        <v>37</v>
      </c>
      <c r="C1135" t="s">
        <v>24</v>
      </c>
      <c r="D1135">
        <v>15.6</v>
      </c>
      <c r="E1135">
        <v>8</v>
      </c>
      <c r="F1135" t="s">
        <v>48</v>
      </c>
      <c r="G1135">
        <v>1.84</v>
      </c>
      <c r="H1135" s="16">
        <v>752</v>
      </c>
      <c r="I1135" t="s">
        <v>40</v>
      </c>
      <c r="J1135">
        <v>1920</v>
      </c>
      <c r="K1135">
        <v>1080</v>
      </c>
      <c r="L1135" t="s">
        <v>27</v>
      </c>
      <c r="M1135" t="s">
        <v>27</v>
      </c>
      <c r="N1135" t="s">
        <v>27</v>
      </c>
      <c r="O1135" t="s">
        <v>29</v>
      </c>
      <c r="P1135">
        <v>2.7</v>
      </c>
      <c r="Q1135" t="s">
        <v>71</v>
      </c>
      <c r="R1135" t="str">
        <f>_xlfn.CONCAT(laptop[[#This Row],[CPU_company]]," ",laptop[[#This Row],[CPU_model]])</f>
        <v>Intel Core i7 7500U</v>
      </c>
      <c r="S1135">
        <v>256</v>
      </c>
      <c r="T1135">
        <v>0</v>
      </c>
      <c r="U1135">
        <f>laptop[[#This Row],[PrimaryStorage]]+laptop[[#This Row],[SecondaryStorage]]</f>
        <v>256</v>
      </c>
      <c r="V1135" t="s">
        <v>31</v>
      </c>
      <c r="W1135" t="s">
        <v>27</v>
      </c>
      <c r="X1135" t="str">
        <f>IF(laptop[[#This Row],[PrimaryStorageType]]=laptop[[#This Row],[SecondaryStorageType]],laptop[[#This Row],[PrimaryStorageType]],"SSD &amp; HDD")</f>
        <v>SSD &amp; HDD</v>
      </c>
      <c r="Y1135" t="s">
        <v>42</v>
      </c>
      <c r="Z1135" s="4" t="str">
        <f>_xlfn.CONCAT(laptop[[#This Row],[CPU_company]]," ",laptop[[#This Row],[GPU_model]])</f>
        <v>Intel HD Graphics 620</v>
      </c>
    </row>
    <row r="1136" spans="1:26" x14ac:dyDescent="0.25">
      <c r="A1136" t="s">
        <v>46</v>
      </c>
      <c r="B1136" t="s">
        <v>262</v>
      </c>
      <c r="C1136" t="s">
        <v>38</v>
      </c>
      <c r="D1136">
        <v>15.6</v>
      </c>
      <c r="E1136">
        <v>4</v>
      </c>
      <c r="F1136" t="s">
        <v>48</v>
      </c>
      <c r="G1136">
        <v>2.23</v>
      </c>
      <c r="H1136" s="16">
        <v>616</v>
      </c>
      <c r="I1136" t="s">
        <v>40</v>
      </c>
      <c r="J1136">
        <v>1920</v>
      </c>
      <c r="K1136">
        <v>1080</v>
      </c>
      <c r="L1136" t="s">
        <v>27</v>
      </c>
      <c r="M1136" t="s">
        <v>27</v>
      </c>
      <c r="N1136" t="s">
        <v>27</v>
      </c>
      <c r="O1136" t="s">
        <v>29</v>
      </c>
      <c r="P1136">
        <v>2.5</v>
      </c>
      <c r="Q1136" t="s">
        <v>41</v>
      </c>
      <c r="R1136" t="str">
        <f>_xlfn.CONCAT(laptop[[#This Row],[CPU_company]]," ",laptop[[#This Row],[CPU_model]])</f>
        <v>Intel Core i5 7200U</v>
      </c>
      <c r="S1136">
        <v>1024</v>
      </c>
      <c r="T1136">
        <v>0</v>
      </c>
      <c r="U1136">
        <f>laptop[[#This Row],[PrimaryStorage]]+laptop[[#This Row],[SecondaryStorage]]</f>
        <v>1024</v>
      </c>
      <c r="V1136" t="s">
        <v>51</v>
      </c>
      <c r="W1136" t="s">
        <v>27</v>
      </c>
      <c r="X1136" t="str">
        <f>IF(laptop[[#This Row],[PrimaryStorageType]]=laptop[[#This Row],[SecondaryStorageType]],laptop[[#This Row],[PrimaryStorageType]],"SSD &amp; HDD")</f>
        <v>SSD &amp; HDD</v>
      </c>
      <c r="Y1136" t="s">
        <v>76</v>
      </c>
      <c r="Z1136" s="4" t="str">
        <f>_xlfn.CONCAT(laptop[[#This Row],[CPU_company]]," ",laptop[[#This Row],[GPU_model]])</f>
        <v>Intel GeForce 940MX</v>
      </c>
    </row>
    <row r="1137" spans="1:26" x14ac:dyDescent="0.25">
      <c r="A1137" t="s">
        <v>73</v>
      </c>
      <c r="B1137" t="s">
        <v>818</v>
      </c>
      <c r="C1137" t="s">
        <v>38</v>
      </c>
      <c r="D1137">
        <v>15.6</v>
      </c>
      <c r="E1137">
        <v>16</v>
      </c>
      <c r="F1137" t="s">
        <v>48</v>
      </c>
      <c r="G1137">
        <v>2.5</v>
      </c>
      <c r="H1137" s="16">
        <v>1099</v>
      </c>
      <c r="I1137" t="s">
        <v>40</v>
      </c>
      <c r="J1137">
        <v>1920</v>
      </c>
      <c r="K1137">
        <v>1080</v>
      </c>
      <c r="L1137" t="s">
        <v>27</v>
      </c>
      <c r="M1137" t="s">
        <v>27</v>
      </c>
      <c r="N1137" t="s">
        <v>27</v>
      </c>
      <c r="O1137" t="s">
        <v>29</v>
      </c>
      <c r="P1137">
        <v>2.5</v>
      </c>
      <c r="Q1137" t="s">
        <v>274</v>
      </c>
      <c r="R1137" t="str">
        <f>_xlfn.CONCAT(laptop[[#This Row],[CPU_company]]," ",laptop[[#This Row],[CPU_model]])</f>
        <v>Intel Core i7 6500U</v>
      </c>
      <c r="S1137">
        <v>1024</v>
      </c>
      <c r="T1137">
        <v>0</v>
      </c>
      <c r="U1137">
        <f>laptop[[#This Row],[PrimaryStorage]]+laptop[[#This Row],[SecondaryStorage]]</f>
        <v>1024</v>
      </c>
      <c r="V1137" t="s">
        <v>223</v>
      </c>
      <c r="W1137" t="s">
        <v>27</v>
      </c>
      <c r="X1137" t="str">
        <f>IF(laptop[[#This Row],[PrimaryStorageType]]=laptop[[#This Row],[SecondaryStorageType]],laptop[[#This Row],[PrimaryStorageType]],"SSD &amp; HDD")</f>
        <v>SSD &amp; HDD</v>
      </c>
      <c r="Y1137" t="s">
        <v>819</v>
      </c>
      <c r="Z1137" s="4" t="str">
        <f>_xlfn.CONCAT(laptop[[#This Row],[CPU_company]]," ",laptop[[#This Row],[GPU_model]])</f>
        <v>Intel Radeon R7 M360</v>
      </c>
    </row>
    <row r="1138" spans="1:26" x14ac:dyDescent="0.25">
      <c r="A1138" t="s">
        <v>36</v>
      </c>
      <c r="B1138" t="s">
        <v>506</v>
      </c>
      <c r="C1138" t="s">
        <v>265</v>
      </c>
      <c r="D1138">
        <v>17.3</v>
      </c>
      <c r="E1138">
        <v>8</v>
      </c>
      <c r="F1138" t="s">
        <v>480</v>
      </c>
      <c r="G1138">
        <v>3</v>
      </c>
      <c r="H1138" s="16">
        <v>3949.4</v>
      </c>
      <c r="I1138" t="s">
        <v>40</v>
      </c>
      <c r="J1138">
        <v>1920</v>
      </c>
      <c r="K1138">
        <v>1080</v>
      </c>
      <c r="L1138" t="s">
        <v>27</v>
      </c>
      <c r="M1138" t="s">
        <v>28</v>
      </c>
      <c r="N1138" t="s">
        <v>27</v>
      </c>
      <c r="O1138" t="s">
        <v>29</v>
      </c>
      <c r="P1138">
        <v>2.6</v>
      </c>
      <c r="Q1138" t="s">
        <v>447</v>
      </c>
      <c r="R1138" t="str">
        <f>_xlfn.CONCAT(laptop[[#This Row],[CPU_company]]," ",laptop[[#This Row],[CPU_model]])</f>
        <v>Intel Core i7 6700HQ</v>
      </c>
      <c r="S1138">
        <v>256</v>
      </c>
      <c r="T1138">
        <v>0</v>
      </c>
      <c r="U1138">
        <f>laptop[[#This Row],[PrimaryStorage]]+laptop[[#This Row],[SecondaryStorage]]</f>
        <v>256</v>
      </c>
      <c r="V1138" t="s">
        <v>31</v>
      </c>
      <c r="W1138" t="s">
        <v>27</v>
      </c>
      <c r="X1138" t="str">
        <f>IF(laptop[[#This Row],[PrimaryStorageType]]=laptop[[#This Row],[SecondaryStorageType]],laptop[[#This Row],[PrimaryStorageType]],"SSD &amp; HDD")</f>
        <v>SSD &amp; HDD</v>
      </c>
      <c r="Y1138" t="s">
        <v>820</v>
      </c>
      <c r="Z1138" s="4" t="str">
        <f>_xlfn.CONCAT(laptop[[#This Row],[CPU_company]]," ",laptop[[#This Row],[GPU_model]])</f>
        <v>Intel Quadro M3000M</v>
      </c>
    </row>
    <row r="1139" spans="1:26" x14ac:dyDescent="0.25">
      <c r="A1139" t="s">
        <v>65</v>
      </c>
      <c r="B1139" t="s">
        <v>200</v>
      </c>
      <c r="C1139" t="s">
        <v>38</v>
      </c>
      <c r="D1139">
        <v>15.6</v>
      </c>
      <c r="E1139">
        <v>8</v>
      </c>
      <c r="F1139" t="s">
        <v>48</v>
      </c>
      <c r="G1139">
        <v>2.5</v>
      </c>
      <c r="H1139" s="16">
        <v>784</v>
      </c>
      <c r="I1139" t="s">
        <v>26</v>
      </c>
      <c r="J1139">
        <v>1366</v>
      </c>
      <c r="K1139">
        <v>768</v>
      </c>
      <c r="L1139" t="s">
        <v>27</v>
      </c>
      <c r="M1139" t="s">
        <v>27</v>
      </c>
      <c r="N1139" t="s">
        <v>27</v>
      </c>
      <c r="O1139" t="s">
        <v>29</v>
      </c>
      <c r="P1139">
        <v>2.5</v>
      </c>
      <c r="Q1139" t="s">
        <v>41</v>
      </c>
      <c r="R1139" t="str">
        <f>_xlfn.CONCAT(laptop[[#This Row],[CPU_company]]," ",laptop[[#This Row],[CPU_model]])</f>
        <v>Intel Core i5 7200U</v>
      </c>
      <c r="S1139">
        <v>1024</v>
      </c>
      <c r="T1139">
        <v>0</v>
      </c>
      <c r="U1139">
        <f>laptop[[#This Row],[PrimaryStorage]]+laptop[[#This Row],[SecondaryStorage]]</f>
        <v>1024</v>
      </c>
      <c r="V1139" t="s">
        <v>51</v>
      </c>
      <c r="W1139" t="s">
        <v>27</v>
      </c>
      <c r="X1139" t="str">
        <f>IF(laptop[[#This Row],[PrimaryStorageType]]=laptop[[#This Row],[SecondaryStorageType]],laptop[[#This Row],[PrimaryStorageType]],"SSD &amp; HDD")</f>
        <v>SSD &amp; HDD</v>
      </c>
      <c r="Y1139" t="s">
        <v>201</v>
      </c>
      <c r="Z1139" s="4" t="str">
        <f>_xlfn.CONCAT(laptop[[#This Row],[CPU_company]]," ",laptop[[#This Row],[GPU_model]])</f>
        <v>Intel Radeon R7 M445</v>
      </c>
    </row>
    <row r="1140" spans="1:26" x14ac:dyDescent="0.25">
      <c r="A1140" t="s">
        <v>141</v>
      </c>
      <c r="B1140" t="s">
        <v>771</v>
      </c>
      <c r="C1140" t="s">
        <v>83</v>
      </c>
      <c r="D1140">
        <v>17.3</v>
      </c>
      <c r="E1140">
        <v>16</v>
      </c>
      <c r="F1140" t="s">
        <v>48</v>
      </c>
      <c r="G1140">
        <v>3.78</v>
      </c>
      <c r="H1140" s="16">
        <v>2399</v>
      </c>
      <c r="I1140" t="s">
        <v>40</v>
      </c>
      <c r="J1140">
        <v>1920</v>
      </c>
      <c r="K1140">
        <v>1080</v>
      </c>
      <c r="L1140" t="s">
        <v>27</v>
      </c>
      <c r="M1140" t="s">
        <v>27</v>
      </c>
      <c r="N1140" t="s">
        <v>27</v>
      </c>
      <c r="O1140" t="s">
        <v>29</v>
      </c>
      <c r="P1140">
        <v>2.7</v>
      </c>
      <c r="Q1140" t="s">
        <v>388</v>
      </c>
      <c r="R1140" t="str">
        <f>_xlfn.CONCAT(laptop[[#This Row],[CPU_company]]," ",laptop[[#This Row],[CPU_model]])</f>
        <v>Intel Core i7 6820HQ</v>
      </c>
      <c r="S1140">
        <v>256</v>
      </c>
      <c r="T1140">
        <v>1024</v>
      </c>
      <c r="U1140">
        <f>laptop[[#This Row],[PrimaryStorage]]+laptop[[#This Row],[SecondaryStorage]]</f>
        <v>1280</v>
      </c>
      <c r="V1140" t="s">
        <v>31</v>
      </c>
      <c r="W1140" t="s">
        <v>51</v>
      </c>
      <c r="X1140" t="str">
        <f>IF(laptop[[#This Row],[PrimaryStorageType]]=laptop[[#This Row],[SecondaryStorageType]],laptop[[#This Row],[PrimaryStorageType]],"SSD &amp; HDD")</f>
        <v>SSD &amp; HDD</v>
      </c>
      <c r="Y1140" t="s">
        <v>297</v>
      </c>
      <c r="Z1140" s="4" t="str">
        <f>_xlfn.CONCAT(laptop[[#This Row],[CPU_company]]," ",laptop[[#This Row],[GPU_model]])</f>
        <v>Intel GeForce GTX 980M</v>
      </c>
    </row>
    <row r="1141" spans="1:26" x14ac:dyDescent="0.25">
      <c r="A1141" t="s">
        <v>36</v>
      </c>
      <c r="B1141" t="s">
        <v>527</v>
      </c>
      <c r="C1141" t="s">
        <v>24</v>
      </c>
      <c r="D1141">
        <v>15.6</v>
      </c>
      <c r="E1141">
        <v>8</v>
      </c>
      <c r="F1141" t="s">
        <v>480</v>
      </c>
      <c r="G1141">
        <v>1.88</v>
      </c>
      <c r="H1141" s="16">
        <v>2171.7199999999998</v>
      </c>
      <c r="I1141" t="s">
        <v>40</v>
      </c>
      <c r="J1141">
        <v>1920</v>
      </c>
      <c r="K1141">
        <v>1080</v>
      </c>
      <c r="L1141" t="s">
        <v>27</v>
      </c>
      <c r="M1141" t="s">
        <v>27</v>
      </c>
      <c r="N1141" t="s">
        <v>27</v>
      </c>
      <c r="O1141" t="s">
        <v>29</v>
      </c>
      <c r="P1141">
        <v>2.5</v>
      </c>
      <c r="Q1141" t="s">
        <v>274</v>
      </c>
      <c r="R1141" t="str">
        <f>_xlfn.CONCAT(laptop[[#This Row],[CPU_company]]," ",laptop[[#This Row],[CPU_model]])</f>
        <v>Intel Core i7 6500U</v>
      </c>
      <c r="S1141">
        <v>256</v>
      </c>
      <c r="T1141">
        <v>0</v>
      </c>
      <c r="U1141">
        <f>laptop[[#This Row],[PrimaryStorage]]+laptop[[#This Row],[SecondaryStorage]]</f>
        <v>256</v>
      </c>
      <c r="V1141" t="s">
        <v>31</v>
      </c>
      <c r="W1141" t="s">
        <v>27</v>
      </c>
      <c r="X1141" t="str">
        <f>IF(laptop[[#This Row],[PrimaryStorageType]]=laptop[[#This Row],[SecondaryStorageType]],laptop[[#This Row],[PrimaryStorageType]],"SSD &amp; HDD")</f>
        <v>SSD &amp; HDD</v>
      </c>
      <c r="Y1141" t="s">
        <v>63</v>
      </c>
      <c r="Z1141" s="4" t="str">
        <f>_xlfn.CONCAT(laptop[[#This Row],[CPU_company]]," ",laptop[[#This Row],[GPU_model]])</f>
        <v>Intel HD Graphics 520</v>
      </c>
    </row>
    <row r="1142" spans="1:26" x14ac:dyDescent="0.25">
      <c r="A1142" t="s">
        <v>73</v>
      </c>
      <c r="B1142" t="s">
        <v>308</v>
      </c>
      <c r="C1142" t="s">
        <v>90</v>
      </c>
      <c r="D1142">
        <v>14</v>
      </c>
      <c r="E1142">
        <v>16</v>
      </c>
      <c r="F1142" t="s">
        <v>48</v>
      </c>
      <c r="G1142">
        <v>2.8</v>
      </c>
      <c r="H1142" s="16">
        <v>2440</v>
      </c>
      <c r="I1142" t="s">
        <v>26</v>
      </c>
      <c r="J1142">
        <v>2560</v>
      </c>
      <c r="K1142">
        <v>1440</v>
      </c>
      <c r="L1142" t="s">
        <v>28</v>
      </c>
      <c r="M1142" t="s">
        <v>28</v>
      </c>
      <c r="N1142" t="s">
        <v>27</v>
      </c>
      <c r="O1142" t="s">
        <v>29</v>
      </c>
      <c r="P1142">
        <v>2.6</v>
      </c>
      <c r="Q1142" t="s">
        <v>309</v>
      </c>
      <c r="R1142" t="str">
        <f>_xlfn.CONCAT(laptop[[#This Row],[CPU_company]]," ",laptop[[#This Row],[CPU_model]])</f>
        <v>Intel Core i7 6600U</v>
      </c>
      <c r="S1142">
        <v>512</v>
      </c>
      <c r="T1142">
        <v>0</v>
      </c>
      <c r="U1142">
        <f>laptop[[#This Row],[PrimaryStorage]]+laptop[[#This Row],[SecondaryStorage]]</f>
        <v>512</v>
      </c>
      <c r="V1142" t="s">
        <v>31</v>
      </c>
      <c r="W1142" t="s">
        <v>27</v>
      </c>
      <c r="X1142" t="str">
        <f>IF(laptop[[#This Row],[PrimaryStorageType]]=laptop[[#This Row],[SecondaryStorageType]],laptop[[#This Row],[PrimaryStorageType]],"SSD &amp; HDD")</f>
        <v>SSD &amp; HDD</v>
      </c>
      <c r="Y1142" t="s">
        <v>63</v>
      </c>
      <c r="Z1142" s="4" t="str">
        <f>_xlfn.CONCAT(laptop[[#This Row],[CPU_company]]," ",laptop[[#This Row],[GPU_model]])</f>
        <v>Intel HD Graphics 520</v>
      </c>
    </row>
    <row r="1143" spans="1:26" x14ac:dyDescent="0.25">
      <c r="A1143" t="s">
        <v>141</v>
      </c>
      <c r="B1143" t="s">
        <v>821</v>
      </c>
      <c r="C1143" t="s">
        <v>83</v>
      </c>
      <c r="D1143">
        <v>15.6</v>
      </c>
      <c r="E1143">
        <v>8</v>
      </c>
      <c r="F1143" t="s">
        <v>48</v>
      </c>
      <c r="G1143">
        <v>2.4</v>
      </c>
      <c r="H1143" s="16">
        <v>1142.8</v>
      </c>
      <c r="I1143" t="s">
        <v>40</v>
      </c>
      <c r="J1143">
        <v>1920</v>
      </c>
      <c r="K1143">
        <v>1080</v>
      </c>
      <c r="L1143" t="s">
        <v>27</v>
      </c>
      <c r="M1143" t="s">
        <v>27</v>
      </c>
      <c r="N1143" t="s">
        <v>27</v>
      </c>
      <c r="O1143" t="s">
        <v>29</v>
      </c>
      <c r="P1143">
        <v>2.8</v>
      </c>
      <c r="Q1143" t="s">
        <v>118</v>
      </c>
      <c r="R1143" t="str">
        <f>_xlfn.CONCAT(laptop[[#This Row],[CPU_company]]," ",laptop[[#This Row],[CPU_model]])</f>
        <v>Intel Core i7 7700HQ</v>
      </c>
      <c r="S1143">
        <v>128</v>
      </c>
      <c r="T1143">
        <v>1024</v>
      </c>
      <c r="U1143">
        <f>laptop[[#This Row],[PrimaryStorage]]+laptop[[#This Row],[SecondaryStorage]]</f>
        <v>1152</v>
      </c>
      <c r="V1143" t="s">
        <v>31</v>
      </c>
      <c r="W1143" t="s">
        <v>51</v>
      </c>
      <c r="X1143" t="str">
        <f>IF(laptop[[#This Row],[PrimaryStorageType]]=laptop[[#This Row],[SecondaryStorageType]],laptop[[#This Row],[PrimaryStorageType]],"SSD &amp; HDD")</f>
        <v>SSD &amp; HDD</v>
      </c>
      <c r="Y1143" t="s">
        <v>85</v>
      </c>
      <c r="Z1143" s="4" t="str">
        <f>_xlfn.CONCAT(laptop[[#This Row],[CPU_company]]," ",laptop[[#This Row],[GPU_model]])</f>
        <v>Intel GeForce GTX 1050</v>
      </c>
    </row>
    <row r="1144" spans="1:26" x14ac:dyDescent="0.25">
      <c r="A1144" t="s">
        <v>36</v>
      </c>
      <c r="B1144" t="s">
        <v>809</v>
      </c>
      <c r="C1144" t="s">
        <v>90</v>
      </c>
      <c r="D1144">
        <v>13.3</v>
      </c>
      <c r="E1144">
        <v>8</v>
      </c>
      <c r="F1144" t="s">
        <v>48</v>
      </c>
      <c r="G1144">
        <v>1.48</v>
      </c>
      <c r="H1144" s="16">
        <v>1629</v>
      </c>
      <c r="I1144" t="s">
        <v>40</v>
      </c>
      <c r="J1144">
        <v>1920</v>
      </c>
      <c r="K1144">
        <v>1080</v>
      </c>
      <c r="L1144" t="s">
        <v>28</v>
      </c>
      <c r="M1144" t="s">
        <v>27</v>
      </c>
      <c r="N1144" t="s">
        <v>27</v>
      </c>
      <c r="O1144" t="s">
        <v>29</v>
      </c>
      <c r="P1144">
        <v>2.4</v>
      </c>
      <c r="Q1144" t="s">
        <v>562</v>
      </c>
      <c r="R1144" t="str">
        <f>_xlfn.CONCAT(laptop[[#This Row],[CPU_company]]," ",laptop[[#This Row],[CPU_model]])</f>
        <v>Intel Core i5 6300U</v>
      </c>
      <c r="S1144">
        <v>256</v>
      </c>
      <c r="T1144">
        <v>0</v>
      </c>
      <c r="U1144">
        <f>laptop[[#This Row],[PrimaryStorage]]+laptop[[#This Row],[SecondaryStorage]]</f>
        <v>256</v>
      </c>
      <c r="V1144" t="s">
        <v>31</v>
      </c>
      <c r="W1144" t="s">
        <v>27</v>
      </c>
      <c r="X1144" t="str">
        <f>IF(laptop[[#This Row],[PrimaryStorageType]]=laptop[[#This Row],[SecondaryStorageType]],laptop[[#This Row],[PrimaryStorageType]],"SSD &amp; HDD")</f>
        <v>SSD &amp; HDD</v>
      </c>
      <c r="Y1144" t="s">
        <v>63</v>
      </c>
      <c r="Z1144" s="4" t="str">
        <f>_xlfn.CONCAT(laptop[[#This Row],[CPU_company]]," ",laptop[[#This Row],[GPU_model]])</f>
        <v>Intel HD Graphics 520</v>
      </c>
    </row>
    <row r="1145" spans="1:26" x14ac:dyDescent="0.25">
      <c r="A1145" t="s">
        <v>36</v>
      </c>
      <c r="B1145" t="s">
        <v>614</v>
      </c>
      <c r="C1145" t="s">
        <v>265</v>
      </c>
      <c r="D1145">
        <v>15.6</v>
      </c>
      <c r="E1145">
        <v>8</v>
      </c>
      <c r="F1145" t="s">
        <v>480</v>
      </c>
      <c r="G1145">
        <v>2.59</v>
      </c>
      <c r="H1145" s="16">
        <v>2229</v>
      </c>
      <c r="I1145" t="s">
        <v>40</v>
      </c>
      <c r="J1145">
        <v>1920</v>
      </c>
      <c r="K1145">
        <v>1080</v>
      </c>
      <c r="L1145" t="s">
        <v>27</v>
      </c>
      <c r="M1145" t="s">
        <v>28</v>
      </c>
      <c r="N1145" t="s">
        <v>27</v>
      </c>
      <c r="O1145" t="s">
        <v>29</v>
      </c>
      <c r="P1145">
        <v>2.6</v>
      </c>
      <c r="Q1145" t="s">
        <v>447</v>
      </c>
      <c r="R1145" t="str">
        <f>_xlfn.CONCAT(laptop[[#This Row],[CPU_company]]," ",laptop[[#This Row],[CPU_model]])</f>
        <v>Intel Core i7 6700HQ</v>
      </c>
      <c r="S1145">
        <v>256</v>
      </c>
      <c r="T1145">
        <v>0</v>
      </c>
      <c r="U1145">
        <f>laptop[[#This Row],[PrimaryStorage]]+laptop[[#This Row],[SecondaryStorage]]</f>
        <v>256</v>
      </c>
      <c r="V1145" t="s">
        <v>31</v>
      </c>
      <c r="W1145" t="s">
        <v>27</v>
      </c>
      <c r="X1145" t="str">
        <f>IF(laptop[[#This Row],[PrimaryStorageType]]=laptop[[#This Row],[SecondaryStorageType]],laptop[[#This Row],[PrimaryStorageType]],"SSD &amp; HDD")</f>
        <v>SSD &amp; HDD</v>
      </c>
      <c r="Y1145" t="s">
        <v>632</v>
      </c>
      <c r="Z1145" s="4" t="str">
        <f>_xlfn.CONCAT(laptop[[#This Row],[CPU_company]]," ",laptop[[#This Row],[GPU_model]])</f>
        <v>Intel Quadro M1000M</v>
      </c>
    </row>
    <row r="1146" spans="1:26" x14ac:dyDescent="0.25">
      <c r="A1146" t="s">
        <v>36</v>
      </c>
      <c r="B1146" t="s">
        <v>809</v>
      </c>
      <c r="C1146" t="s">
        <v>90</v>
      </c>
      <c r="D1146">
        <v>13.3</v>
      </c>
      <c r="E1146">
        <v>8</v>
      </c>
      <c r="F1146" t="s">
        <v>48</v>
      </c>
      <c r="G1146">
        <v>1.48</v>
      </c>
      <c r="H1146" s="16">
        <v>1799</v>
      </c>
      <c r="I1146" t="s">
        <v>26</v>
      </c>
      <c r="J1146">
        <v>2560</v>
      </c>
      <c r="K1146">
        <v>1440</v>
      </c>
      <c r="L1146" t="s">
        <v>28</v>
      </c>
      <c r="M1146" t="s">
        <v>27</v>
      </c>
      <c r="N1146" t="s">
        <v>27</v>
      </c>
      <c r="O1146" t="s">
        <v>29</v>
      </c>
      <c r="P1146">
        <v>2.6</v>
      </c>
      <c r="Q1146" t="s">
        <v>309</v>
      </c>
      <c r="R1146" t="str">
        <f>_xlfn.CONCAT(laptop[[#This Row],[CPU_company]]," ",laptop[[#This Row],[CPU_model]])</f>
        <v>Intel Core i7 6600U</v>
      </c>
      <c r="S1146">
        <v>256</v>
      </c>
      <c r="T1146">
        <v>0</v>
      </c>
      <c r="U1146">
        <f>laptop[[#This Row],[PrimaryStorage]]+laptop[[#This Row],[SecondaryStorage]]</f>
        <v>256</v>
      </c>
      <c r="V1146" t="s">
        <v>31</v>
      </c>
      <c r="W1146" t="s">
        <v>27</v>
      </c>
      <c r="X1146" t="str">
        <f>IF(laptop[[#This Row],[PrimaryStorageType]]=laptop[[#This Row],[SecondaryStorageType]],laptop[[#This Row],[PrimaryStorageType]],"SSD &amp; HDD")</f>
        <v>SSD &amp; HDD</v>
      </c>
      <c r="Y1146" t="s">
        <v>63</v>
      </c>
      <c r="Z1146" s="4" t="str">
        <f>_xlfn.CONCAT(laptop[[#This Row],[CPU_company]]," ",laptop[[#This Row],[GPU_model]])</f>
        <v>Intel HD Graphics 520</v>
      </c>
    </row>
    <row r="1147" spans="1:26" x14ac:dyDescent="0.25">
      <c r="A1147" t="s">
        <v>36</v>
      </c>
      <c r="B1147" t="s">
        <v>729</v>
      </c>
      <c r="C1147" t="s">
        <v>265</v>
      </c>
      <c r="D1147">
        <v>15.6</v>
      </c>
      <c r="E1147">
        <v>8</v>
      </c>
      <c r="F1147" t="s">
        <v>480</v>
      </c>
      <c r="G1147">
        <v>2</v>
      </c>
      <c r="H1147" s="16">
        <v>1899</v>
      </c>
      <c r="I1147" t="s">
        <v>40</v>
      </c>
      <c r="J1147">
        <v>1920</v>
      </c>
      <c r="K1147">
        <v>1080</v>
      </c>
      <c r="L1147" t="s">
        <v>27</v>
      </c>
      <c r="M1147" t="s">
        <v>27</v>
      </c>
      <c r="N1147" t="s">
        <v>27</v>
      </c>
      <c r="O1147" t="s">
        <v>29</v>
      </c>
      <c r="P1147">
        <v>2.6</v>
      </c>
      <c r="Q1147" t="s">
        <v>447</v>
      </c>
      <c r="R1147" t="str">
        <f>_xlfn.CONCAT(laptop[[#This Row],[CPU_company]]," ",laptop[[#This Row],[CPU_model]])</f>
        <v>Intel Core i7 6700HQ</v>
      </c>
      <c r="S1147">
        <v>256</v>
      </c>
      <c r="T1147">
        <v>0</v>
      </c>
      <c r="U1147">
        <f>laptop[[#This Row],[PrimaryStorage]]+laptop[[#This Row],[SecondaryStorage]]</f>
        <v>256</v>
      </c>
      <c r="V1147" t="s">
        <v>31</v>
      </c>
      <c r="W1147" t="s">
        <v>27</v>
      </c>
      <c r="X1147" t="str">
        <f>IF(laptop[[#This Row],[PrimaryStorageType]]=laptop[[#This Row],[SecondaryStorageType]],laptop[[#This Row],[PrimaryStorageType]],"SSD &amp; HDD")</f>
        <v>SSD &amp; HDD</v>
      </c>
      <c r="Y1147" t="s">
        <v>632</v>
      </c>
      <c r="Z1147" s="4" t="str">
        <f>_xlfn.CONCAT(laptop[[#This Row],[CPU_company]]," ",laptop[[#This Row],[GPU_model]])</f>
        <v>Intel Quadro M1000M</v>
      </c>
    </row>
    <row r="1148" spans="1:26" x14ac:dyDescent="0.25">
      <c r="A1148" t="s">
        <v>36</v>
      </c>
      <c r="B1148" t="s">
        <v>639</v>
      </c>
      <c r="C1148" t="s">
        <v>24</v>
      </c>
      <c r="D1148">
        <v>12.5</v>
      </c>
      <c r="E1148">
        <v>8</v>
      </c>
      <c r="F1148" t="s">
        <v>480</v>
      </c>
      <c r="G1148">
        <v>1.26</v>
      </c>
      <c r="H1148" s="16">
        <v>2296.9499999999998</v>
      </c>
      <c r="I1148" t="s">
        <v>40</v>
      </c>
      <c r="J1148">
        <v>1920</v>
      </c>
      <c r="K1148">
        <v>1080</v>
      </c>
      <c r="L1148" t="s">
        <v>27</v>
      </c>
      <c r="M1148" t="s">
        <v>27</v>
      </c>
      <c r="N1148" t="s">
        <v>27</v>
      </c>
      <c r="O1148" t="s">
        <v>29</v>
      </c>
      <c r="P1148">
        <v>2.5</v>
      </c>
      <c r="Q1148" t="s">
        <v>274</v>
      </c>
      <c r="R1148" t="str">
        <f>_xlfn.CONCAT(laptop[[#This Row],[CPU_company]]," ",laptop[[#This Row],[CPU_model]])</f>
        <v>Intel Core i7 6500U</v>
      </c>
      <c r="S1148">
        <v>256</v>
      </c>
      <c r="T1148">
        <v>0</v>
      </c>
      <c r="U1148">
        <f>laptop[[#This Row],[PrimaryStorage]]+laptop[[#This Row],[SecondaryStorage]]</f>
        <v>256</v>
      </c>
      <c r="V1148" t="s">
        <v>31</v>
      </c>
      <c r="W1148" t="s">
        <v>27</v>
      </c>
      <c r="X1148" t="str">
        <f>IF(laptop[[#This Row],[PrimaryStorageType]]=laptop[[#This Row],[SecondaryStorageType]],laptop[[#This Row],[PrimaryStorageType]],"SSD &amp; HDD")</f>
        <v>SSD &amp; HDD</v>
      </c>
      <c r="Y1148" t="s">
        <v>63</v>
      </c>
      <c r="Z1148" s="4" t="str">
        <f>_xlfn.CONCAT(laptop[[#This Row],[CPU_company]]," ",laptop[[#This Row],[GPU_model]])</f>
        <v>Intel HD Graphics 520</v>
      </c>
    </row>
    <row r="1149" spans="1:26" x14ac:dyDescent="0.25">
      <c r="A1149" t="s">
        <v>65</v>
      </c>
      <c r="B1149" t="s">
        <v>471</v>
      </c>
      <c r="C1149" t="s">
        <v>38</v>
      </c>
      <c r="D1149">
        <v>15.6</v>
      </c>
      <c r="E1149">
        <v>8</v>
      </c>
      <c r="F1149" t="s">
        <v>48</v>
      </c>
      <c r="G1149">
        <v>2.1800000000000002</v>
      </c>
      <c r="H1149" s="16">
        <v>1009.9</v>
      </c>
      <c r="I1149" t="s">
        <v>40</v>
      </c>
      <c r="J1149">
        <v>1920</v>
      </c>
      <c r="K1149">
        <v>1080</v>
      </c>
      <c r="L1149" t="s">
        <v>27</v>
      </c>
      <c r="M1149" t="s">
        <v>27</v>
      </c>
      <c r="N1149" t="s">
        <v>27</v>
      </c>
      <c r="O1149" t="s">
        <v>29</v>
      </c>
      <c r="P1149">
        <v>2.7</v>
      </c>
      <c r="Q1149" t="s">
        <v>71</v>
      </c>
      <c r="R1149" t="str">
        <f>_xlfn.CONCAT(laptop[[#This Row],[CPU_company]]," ",laptop[[#This Row],[CPU_model]])</f>
        <v>Intel Core i7 7500U</v>
      </c>
      <c r="S1149">
        <v>256</v>
      </c>
      <c r="T1149">
        <v>0</v>
      </c>
      <c r="U1149">
        <f>laptop[[#This Row],[PrimaryStorage]]+laptop[[#This Row],[SecondaryStorage]]</f>
        <v>256</v>
      </c>
      <c r="V1149" t="s">
        <v>31</v>
      </c>
      <c r="W1149" t="s">
        <v>27</v>
      </c>
      <c r="X1149" t="str">
        <f>IF(laptop[[#This Row],[PrimaryStorageType]]=laptop[[#This Row],[SecondaryStorageType]],laptop[[#This Row],[PrimaryStorageType]],"SSD &amp; HDD")</f>
        <v>SSD &amp; HDD</v>
      </c>
      <c r="Y1149" t="s">
        <v>76</v>
      </c>
      <c r="Z1149" s="4" t="str">
        <f>_xlfn.CONCAT(laptop[[#This Row],[CPU_company]]," ",laptop[[#This Row],[GPU_model]])</f>
        <v>Intel GeForce 940MX</v>
      </c>
    </row>
    <row r="1150" spans="1:26" x14ac:dyDescent="0.25">
      <c r="A1150" t="s">
        <v>36</v>
      </c>
      <c r="B1150" t="s">
        <v>527</v>
      </c>
      <c r="C1150" t="s">
        <v>38</v>
      </c>
      <c r="D1150">
        <v>15.6</v>
      </c>
      <c r="E1150">
        <v>8</v>
      </c>
      <c r="F1150" t="s">
        <v>480</v>
      </c>
      <c r="G1150">
        <v>1.88</v>
      </c>
      <c r="H1150" s="16">
        <v>1579</v>
      </c>
      <c r="I1150" t="s">
        <v>40</v>
      </c>
      <c r="J1150">
        <v>1920</v>
      </c>
      <c r="K1150">
        <v>1080</v>
      </c>
      <c r="L1150" t="s">
        <v>27</v>
      </c>
      <c r="M1150" t="s">
        <v>27</v>
      </c>
      <c r="N1150" t="s">
        <v>27</v>
      </c>
      <c r="O1150" t="s">
        <v>29</v>
      </c>
      <c r="P1150">
        <v>2.2999999999999998</v>
      </c>
      <c r="Q1150" t="s">
        <v>212</v>
      </c>
      <c r="R1150" t="str">
        <f>_xlfn.CONCAT(laptop[[#This Row],[CPU_company]]," ",laptop[[#This Row],[CPU_model]])</f>
        <v>Intel Core i5 6200U</v>
      </c>
      <c r="S1150">
        <v>256</v>
      </c>
      <c r="T1150">
        <v>0</v>
      </c>
      <c r="U1150">
        <f>laptop[[#This Row],[PrimaryStorage]]+laptop[[#This Row],[SecondaryStorage]]</f>
        <v>256</v>
      </c>
      <c r="V1150" t="s">
        <v>31</v>
      </c>
      <c r="W1150" t="s">
        <v>27</v>
      </c>
      <c r="X1150" t="str">
        <f>IF(laptop[[#This Row],[PrimaryStorageType]]=laptop[[#This Row],[SecondaryStorageType]],laptop[[#This Row],[PrimaryStorageType]],"SSD &amp; HDD")</f>
        <v>SSD &amp; HDD</v>
      </c>
      <c r="Y1150" t="s">
        <v>63</v>
      </c>
      <c r="Z1150" s="4" t="str">
        <f>_xlfn.CONCAT(laptop[[#This Row],[CPU_company]]," ",laptop[[#This Row],[GPU_model]])</f>
        <v>Intel HD Graphics 520</v>
      </c>
    </row>
    <row r="1151" spans="1:26" x14ac:dyDescent="0.25">
      <c r="A1151" t="s">
        <v>73</v>
      </c>
      <c r="B1151" t="s">
        <v>308</v>
      </c>
      <c r="C1151" t="s">
        <v>90</v>
      </c>
      <c r="D1151">
        <v>14</v>
      </c>
      <c r="E1151">
        <v>8</v>
      </c>
      <c r="F1151" t="s">
        <v>48</v>
      </c>
      <c r="G1151">
        <v>1.27</v>
      </c>
      <c r="H1151" s="16">
        <v>2339</v>
      </c>
      <c r="I1151" t="s">
        <v>26</v>
      </c>
      <c r="J1151">
        <v>2560</v>
      </c>
      <c r="K1151">
        <v>1440</v>
      </c>
      <c r="L1151" t="s">
        <v>28</v>
      </c>
      <c r="M1151" t="s">
        <v>28</v>
      </c>
      <c r="N1151" t="s">
        <v>27</v>
      </c>
      <c r="O1151" t="s">
        <v>29</v>
      </c>
      <c r="P1151">
        <v>2.5</v>
      </c>
      <c r="Q1151" t="s">
        <v>274</v>
      </c>
      <c r="R1151" t="str">
        <f>_xlfn.CONCAT(laptop[[#This Row],[CPU_company]]," ",laptop[[#This Row],[CPU_model]])</f>
        <v>Intel Core i7 6500U</v>
      </c>
      <c r="S1151">
        <v>256</v>
      </c>
      <c r="T1151">
        <v>0</v>
      </c>
      <c r="U1151">
        <f>laptop[[#This Row],[PrimaryStorage]]+laptop[[#This Row],[SecondaryStorage]]</f>
        <v>256</v>
      </c>
      <c r="V1151" t="s">
        <v>31</v>
      </c>
      <c r="W1151" t="s">
        <v>27</v>
      </c>
      <c r="X1151" t="str">
        <f>IF(laptop[[#This Row],[PrimaryStorageType]]=laptop[[#This Row],[SecondaryStorageType]],laptop[[#This Row],[PrimaryStorageType]],"SSD &amp; HDD")</f>
        <v>SSD &amp; HDD</v>
      </c>
      <c r="Y1151" t="s">
        <v>63</v>
      </c>
      <c r="Z1151" s="4" t="str">
        <f>_xlfn.CONCAT(laptop[[#This Row],[CPU_company]]," ",laptop[[#This Row],[GPU_model]])</f>
        <v>Intel HD Graphics 520</v>
      </c>
    </row>
    <row r="1152" spans="1:26" x14ac:dyDescent="0.25">
      <c r="A1152" t="s">
        <v>73</v>
      </c>
      <c r="B1152" t="s">
        <v>822</v>
      </c>
      <c r="C1152" t="s">
        <v>38</v>
      </c>
      <c r="D1152">
        <v>15.6</v>
      </c>
      <c r="E1152">
        <v>4</v>
      </c>
      <c r="F1152" t="s">
        <v>39</v>
      </c>
      <c r="G1152">
        <v>1.9</v>
      </c>
      <c r="H1152" s="16">
        <v>339</v>
      </c>
      <c r="I1152" t="s">
        <v>26</v>
      </c>
      <c r="J1152">
        <v>1366</v>
      </c>
      <c r="K1152">
        <v>768</v>
      </c>
      <c r="L1152" t="s">
        <v>27</v>
      </c>
      <c r="M1152" t="s">
        <v>27</v>
      </c>
      <c r="N1152" t="s">
        <v>27</v>
      </c>
      <c r="O1152" t="s">
        <v>29</v>
      </c>
      <c r="P1152">
        <v>2</v>
      </c>
      <c r="Q1152" t="s">
        <v>62</v>
      </c>
      <c r="R1152" t="str">
        <f>_xlfn.CONCAT(laptop[[#This Row],[CPU_company]]," ",laptop[[#This Row],[CPU_model]])</f>
        <v>Intel Core i3 6006U</v>
      </c>
      <c r="S1152">
        <v>1024</v>
      </c>
      <c r="T1152">
        <v>0</v>
      </c>
      <c r="U1152">
        <f>laptop[[#This Row],[PrimaryStorage]]+laptop[[#This Row],[SecondaryStorage]]</f>
        <v>1024</v>
      </c>
      <c r="V1152" t="s">
        <v>51</v>
      </c>
      <c r="W1152" t="s">
        <v>27</v>
      </c>
      <c r="X1152" t="str">
        <f>IF(laptop[[#This Row],[PrimaryStorageType]]=laptop[[#This Row],[SecondaryStorageType]],laptop[[#This Row],[PrimaryStorageType]],"SSD &amp; HDD")</f>
        <v>SSD &amp; HDD</v>
      </c>
      <c r="Y1152" t="s">
        <v>63</v>
      </c>
      <c r="Z1152" s="4" t="str">
        <f>_xlfn.CONCAT(laptop[[#This Row],[CPU_company]]," ",laptop[[#This Row],[GPU_model]])</f>
        <v>Intel HD Graphics 520</v>
      </c>
    </row>
    <row r="1153" spans="1:26" x14ac:dyDescent="0.25">
      <c r="A1153" t="s">
        <v>36</v>
      </c>
      <c r="B1153" t="s">
        <v>823</v>
      </c>
      <c r="C1153" t="s">
        <v>38</v>
      </c>
      <c r="D1153">
        <v>15.6</v>
      </c>
      <c r="E1153">
        <v>4</v>
      </c>
      <c r="F1153" t="s">
        <v>48</v>
      </c>
      <c r="G1153">
        <v>1.86</v>
      </c>
      <c r="H1153" s="16">
        <v>297</v>
      </c>
      <c r="I1153" t="s">
        <v>26</v>
      </c>
      <c r="J1153">
        <v>1366</v>
      </c>
      <c r="K1153">
        <v>768</v>
      </c>
      <c r="L1153" t="s">
        <v>27</v>
      </c>
      <c r="M1153" t="s">
        <v>27</v>
      </c>
      <c r="N1153" t="s">
        <v>27</v>
      </c>
      <c r="O1153" t="s">
        <v>49</v>
      </c>
      <c r="P1153">
        <v>1.8</v>
      </c>
      <c r="Q1153" t="s">
        <v>489</v>
      </c>
      <c r="R1153" t="str">
        <f>_xlfn.CONCAT(laptop[[#This Row],[CPU_company]]," ",laptop[[#This Row],[CPU_model]])</f>
        <v>AMD E-Series 7110</v>
      </c>
      <c r="S1153">
        <v>500</v>
      </c>
      <c r="T1153">
        <v>0</v>
      </c>
      <c r="U1153">
        <f>laptop[[#This Row],[PrimaryStorage]]+laptop[[#This Row],[SecondaryStorage]]</f>
        <v>500</v>
      </c>
      <c r="V1153" t="s">
        <v>51</v>
      </c>
      <c r="W1153" t="s">
        <v>27</v>
      </c>
      <c r="X1153" t="str">
        <f>IF(laptop[[#This Row],[PrimaryStorageType]]=laptop[[#This Row],[SecondaryStorageType]],laptop[[#This Row],[PrimaryStorageType]],"SSD &amp; HDD")</f>
        <v>SSD &amp; HDD</v>
      </c>
      <c r="Y1153" t="s">
        <v>490</v>
      </c>
      <c r="Z1153" s="4" t="str">
        <f>_xlfn.CONCAT(laptop[[#This Row],[CPU_company]]," ",laptop[[#This Row],[GPU_model]])</f>
        <v>AMD Radeon R2 Graphics</v>
      </c>
    </row>
    <row r="1154" spans="1:26" x14ac:dyDescent="0.25">
      <c r="A1154" t="s">
        <v>73</v>
      </c>
      <c r="B1154" t="s">
        <v>824</v>
      </c>
      <c r="C1154" t="s">
        <v>38</v>
      </c>
      <c r="D1154">
        <v>15.6</v>
      </c>
      <c r="E1154">
        <v>8</v>
      </c>
      <c r="F1154" t="s">
        <v>39</v>
      </c>
      <c r="G1154">
        <v>2.3199999999999998</v>
      </c>
      <c r="H1154" s="16">
        <v>599</v>
      </c>
      <c r="I1154" t="s">
        <v>40</v>
      </c>
      <c r="J1154">
        <v>1920</v>
      </c>
      <c r="K1154">
        <v>1080</v>
      </c>
      <c r="L1154" t="s">
        <v>27</v>
      </c>
      <c r="M1154" t="s">
        <v>27</v>
      </c>
      <c r="N1154" t="s">
        <v>27</v>
      </c>
      <c r="O1154" t="s">
        <v>29</v>
      </c>
      <c r="P1154">
        <v>2.2999999999999998</v>
      </c>
      <c r="Q1154" t="s">
        <v>212</v>
      </c>
      <c r="R1154" t="str">
        <f>_xlfn.CONCAT(laptop[[#This Row],[CPU_company]]," ",laptop[[#This Row],[CPU_model]])</f>
        <v>Intel Core i5 6200U</v>
      </c>
      <c r="S1154">
        <v>1024</v>
      </c>
      <c r="T1154">
        <v>0</v>
      </c>
      <c r="U1154">
        <f>laptop[[#This Row],[PrimaryStorage]]+laptop[[#This Row],[SecondaryStorage]]</f>
        <v>1024</v>
      </c>
      <c r="V1154" t="s">
        <v>51</v>
      </c>
      <c r="W1154" t="s">
        <v>27</v>
      </c>
      <c r="X1154" t="str">
        <f>IF(laptop[[#This Row],[PrimaryStorageType]]=laptop[[#This Row],[SecondaryStorageType]],laptop[[#This Row],[PrimaryStorageType]],"SSD &amp; HDD")</f>
        <v>SSD &amp; HDD</v>
      </c>
      <c r="Y1154" t="s">
        <v>786</v>
      </c>
      <c r="Z1154" s="4" t="str">
        <f>_xlfn.CONCAT(laptop[[#This Row],[CPU_company]]," ",laptop[[#This Row],[GPU_model]])</f>
        <v>Intel Radeon R5 M330</v>
      </c>
    </row>
    <row r="1155" spans="1:26" x14ac:dyDescent="0.25">
      <c r="A1155" t="s">
        <v>65</v>
      </c>
      <c r="B1155" t="s">
        <v>222</v>
      </c>
      <c r="C1155" t="s">
        <v>83</v>
      </c>
      <c r="D1155">
        <v>15.6</v>
      </c>
      <c r="E1155">
        <v>8</v>
      </c>
      <c r="F1155" t="s">
        <v>48</v>
      </c>
      <c r="G1155">
        <v>2.62</v>
      </c>
      <c r="H1155" s="16">
        <v>1199</v>
      </c>
      <c r="I1155" t="s">
        <v>40</v>
      </c>
      <c r="J1155">
        <v>1920</v>
      </c>
      <c r="K1155">
        <v>1080</v>
      </c>
      <c r="L1155" t="s">
        <v>27</v>
      </c>
      <c r="M1155" t="s">
        <v>27</v>
      </c>
      <c r="N1155" t="s">
        <v>27</v>
      </c>
      <c r="O1155" t="s">
        <v>29</v>
      </c>
      <c r="P1155">
        <v>2.8</v>
      </c>
      <c r="Q1155" t="s">
        <v>118</v>
      </c>
      <c r="R1155" t="str">
        <f>_xlfn.CONCAT(laptop[[#This Row],[CPU_company]]," ",laptop[[#This Row],[CPU_model]])</f>
        <v>Intel Core i7 7700HQ</v>
      </c>
      <c r="S1155">
        <v>1024</v>
      </c>
      <c r="T1155">
        <v>0</v>
      </c>
      <c r="U1155">
        <f>laptop[[#This Row],[PrimaryStorage]]+laptop[[#This Row],[SecondaryStorage]]</f>
        <v>1024</v>
      </c>
      <c r="V1155" t="s">
        <v>51</v>
      </c>
      <c r="W1155" t="s">
        <v>27</v>
      </c>
      <c r="X1155" t="str">
        <f>IF(laptop[[#This Row],[PrimaryStorageType]]=laptop[[#This Row],[SecondaryStorageType]],laptop[[#This Row],[PrimaryStorageType]],"SSD &amp; HDD")</f>
        <v>SSD &amp; HDD</v>
      </c>
      <c r="Y1155" t="s">
        <v>704</v>
      </c>
      <c r="Z1155" s="4" t="str">
        <f>_xlfn.CONCAT(laptop[[#This Row],[CPU_company]]," ",laptop[[#This Row],[GPU_model]])</f>
        <v>Intel GeForce GTX 1050Ti</v>
      </c>
    </row>
    <row r="1156" spans="1:26" x14ac:dyDescent="0.25">
      <c r="A1156" t="s">
        <v>65</v>
      </c>
      <c r="B1156" t="s">
        <v>249</v>
      </c>
      <c r="C1156" t="s">
        <v>38</v>
      </c>
      <c r="D1156">
        <v>15.6</v>
      </c>
      <c r="E1156">
        <v>8</v>
      </c>
      <c r="F1156" t="s">
        <v>48</v>
      </c>
      <c r="G1156">
        <v>2.04</v>
      </c>
      <c r="H1156" s="16">
        <v>2250.6799999999998</v>
      </c>
      <c r="I1156" t="s">
        <v>215</v>
      </c>
      <c r="J1156">
        <v>3840</v>
      </c>
      <c r="K1156">
        <v>2160</v>
      </c>
      <c r="L1156" t="s">
        <v>28</v>
      </c>
      <c r="M1156" t="s">
        <v>28</v>
      </c>
      <c r="N1156" t="s">
        <v>27</v>
      </c>
      <c r="O1156" t="s">
        <v>29</v>
      </c>
      <c r="P1156">
        <v>2.2999999999999998</v>
      </c>
      <c r="Q1156" t="s">
        <v>601</v>
      </c>
      <c r="R1156" t="str">
        <f>_xlfn.CONCAT(laptop[[#This Row],[CPU_company]]," ",laptop[[#This Row],[CPU_model]])</f>
        <v>Intel Core i5 6300HQ</v>
      </c>
      <c r="S1156">
        <v>256</v>
      </c>
      <c r="T1156">
        <v>0</v>
      </c>
      <c r="U1156">
        <f>laptop[[#This Row],[PrimaryStorage]]+laptop[[#This Row],[SecondaryStorage]]</f>
        <v>256</v>
      </c>
      <c r="V1156" t="s">
        <v>31</v>
      </c>
      <c r="W1156" t="s">
        <v>27</v>
      </c>
      <c r="X1156" t="str">
        <f>IF(laptop[[#This Row],[PrimaryStorageType]]=laptop[[#This Row],[SecondaryStorageType]],laptop[[#This Row],[PrimaryStorageType]],"SSD &amp; HDD")</f>
        <v>SSD &amp; HDD</v>
      </c>
      <c r="Y1156" t="s">
        <v>825</v>
      </c>
      <c r="Z1156" s="4" t="str">
        <f>_xlfn.CONCAT(laptop[[#This Row],[CPU_company]]," ",laptop[[#This Row],[GPU_model]])</f>
        <v>Intel GeForce 960M</v>
      </c>
    </row>
    <row r="1157" spans="1:26" x14ac:dyDescent="0.25">
      <c r="A1157" t="s">
        <v>36</v>
      </c>
      <c r="B1157" t="s">
        <v>826</v>
      </c>
      <c r="C1157" t="s">
        <v>38</v>
      </c>
      <c r="D1157">
        <v>15.6</v>
      </c>
      <c r="E1157">
        <v>4</v>
      </c>
      <c r="F1157" t="s">
        <v>48</v>
      </c>
      <c r="G1157">
        <v>1.91</v>
      </c>
      <c r="H1157" s="16">
        <v>478.89</v>
      </c>
      <c r="I1157" t="s">
        <v>40</v>
      </c>
      <c r="J1157">
        <v>1920</v>
      </c>
      <c r="K1157">
        <v>1080</v>
      </c>
      <c r="L1157" t="s">
        <v>27</v>
      </c>
      <c r="M1157" t="s">
        <v>27</v>
      </c>
      <c r="N1157" t="s">
        <v>27</v>
      </c>
      <c r="O1157" t="s">
        <v>49</v>
      </c>
      <c r="P1157">
        <v>2.5</v>
      </c>
      <c r="Q1157" t="s">
        <v>301</v>
      </c>
      <c r="R1157" t="str">
        <f>_xlfn.CONCAT(laptop[[#This Row],[CPU_company]]," ",laptop[[#This Row],[CPU_model]])</f>
        <v>AMD A6-Series A6-9220</v>
      </c>
      <c r="S1157">
        <v>256</v>
      </c>
      <c r="T1157">
        <v>0</v>
      </c>
      <c r="U1157">
        <f>laptop[[#This Row],[PrimaryStorage]]+laptop[[#This Row],[SecondaryStorage]]</f>
        <v>256</v>
      </c>
      <c r="V1157" t="s">
        <v>31</v>
      </c>
      <c r="W1157" t="s">
        <v>27</v>
      </c>
      <c r="X1157" t="str">
        <f>IF(laptop[[#This Row],[PrimaryStorageType]]=laptop[[#This Row],[SecondaryStorageType]],laptop[[#This Row],[PrimaryStorageType]],"SSD &amp; HDD")</f>
        <v>SSD &amp; HDD</v>
      </c>
      <c r="Y1157" t="s">
        <v>138</v>
      </c>
      <c r="Z1157" s="4" t="str">
        <f>_xlfn.CONCAT(laptop[[#This Row],[CPU_company]]," ",laptop[[#This Row],[GPU_model]])</f>
        <v>AMD Radeon 520</v>
      </c>
    </row>
    <row r="1158" spans="1:26" x14ac:dyDescent="0.25">
      <c r="A1158" t="s">
        <v>141</v>
      </c>
      <c r="B1158" t="s">
        <v>827</v>
      </c>
      <c r="C1158" t="s">
        <v>83</v>
      </c>
      <c r="D1158">
        <v>17.3</v>
      </c>
      <c r="E1158">
        <v>16</v>
      </c>
      <c r="F1158" t="s">
        <v>48</v>
      </c>
      <c r="G1158">
        <v>2.7</v>
      </c>
      <c r="H1158" s="16">
        <v>1492.8</v>
      </c>
      <c r="I1158" t="s">
        <v>40</v>
      </c>
      <c r="J1158">
        <v>1920</v>
      </c>
      <c r="K1158">
        <v>1080</v>
      </c>
      <c r="L1158" t="s">
        <v>27</v>
      </c>
      <c r="M1158" t="s">
        <v>27</v>
      </c>
      <c r="N1158" t="s">
        <v>27</v>
      </c>
      <c r="O1158" t="s">
        <v>29</v>
      </c>
      <c r="P1158">
        <v>2.8</v>
      </c>
      <c r="Q1158" t="s">
        <v>118</v>
      </c>
      <c r="R1158" t="str">
        <f>_xlfn.CONCAT(laptop[[#This Row],[CPU_company]]," ",laptop[[#This Row],[CPU_model]])</f>
        <v>Intel Core i7 7700HQ</v>
      </c>
      <c r="S1158">
        <v>256</v>
      </c>
      <c r="T1158">
        <v>1024</v>
      </c>
      <c r="U1158">
        <f>laptop[[#This Row],[PrimaryStorage]]+laptop[[#This Row],[SecondaryStorage]]</f>
        <v>1280</v>
      </c>
      <c r="V1158" t="s">
        <v>31</v>
      </c>
      <c r="W1158" t="s">
        <v>51</v>
      </c>
      <c r="X1158" t="str">
        <f>IF(laptop[[#This Row],[PrimaryStorageType]]=laptop[[#This Row],[SecondaryStorageType]],laptop[[#This Row],[PrimaryStorageType]],"SSD &amp; HDD")</f>
        <v>SSD &amp; HDD</v>
      </c>
      <c r="Y1158" t="s">
        <v>149</v>
      </c>
      <c r="Z1158" s="4" t="str">
        <f>_xlfn.CONCAT(laptop[[#This Row],[CPU_company]]," ",laptop[[#This Row],[GPU_model]])</f>
        <v>Intel GeForce GTX 1050 Ti</v>
      </c>
    </row>
    <row r="1159" spans="1:26" x14ac:dyDescent="0.25">
      <c r="A1159" t="s">
        <v>73</v>
      </c>
      <c r="B1159" t="s">
        <v>828</v>
      </c>
      <c r="C1159" t="s">
        <v>24</v>
      </c>
      <c r="D1159">
        <v>14</v>
      </c>
      <c r="E1159">
        <v>12</v>
      </c>
      <c r="F1159" t="s">
        <v>480</v>
      </c>
      <c r="G1159">
        <v>1.4</v>
      </c>
      <c r="H1159" s="16">
        <v>2299</v>
      </c>
      <c r="I1159" t="s">
        <v>40</v>
      </c>
      <c r="J1159">
        <v>1920</v>
      </c>
      <c r="K1159">
        <v>1080</v>
      </c>
      <c r="L1159" t="s">
        <v>27</v>
      </c>
      <c r="M1159" t="s">
        <v>27</v>
      </c>
      <c r="N1159" t="s">
        <v>27</v>
      </c>
      <c r="O1159" t="s">
        <v>29</v>
      </c>
      <c r="P1159">
        <v>2.6</v>
      </c>
      <c r="Q1159" t="s">
        <v>309</v>
      </c>
      <c r="R1159" t="str">
        <f>_xlfn.CONCAT(laptop[[#This Row],[CPU_company]]," ",laptop[[#This Row],[CPU_model]])</f>
        <v>Intel Core i7 6600U</v>
      </c>
      <c r="S1159">
        <v>512</v>
      </c>
      <c r="T1159">
        <v>0</v>
      </c>
      <c r="U1159">
        <f>laptop[[#This Row],[PrimaryStorage]]+laptop[[#This Row],[SecondaryStorage]]</f>
        <v>512</v>
      </c>
      <c r="V1159" t="s">
        <v>31</v>
      </c>
      <c r="W1159" t="s">
        <v>27</v>
      </c>
      <c r="X1159" t="str">
        <f>IF(laptop[[#This Row],[PrimaryStorageType]]=laptop[[#This Row],[SecondaryStorageType]],laptop[[#This Row],[PrimaryStorageType]],"SSD &amp; HDD")</f>
        <v>SSD &amp; HDD</v>
      </c>
      <c r="Y1159" t="s">
        <v>63</v>
      </c>
      <c r="Z1159" s="4" t="str">
        <f>_xlfn.CONCAT(laptop[[#This Row],[CPU_company]]," ",laptop[[#This Row],[GPU_model]])</f>
        <v>Intel HD Graphics 520</v>
      </c>
    </row>
    <row r="1160" spans="1:26" x14ac:dyDescent="0.25">
      <c r="A1160" t="s">
        <v>73</v>
      </c>
      <c r="B1160" t="s">
        <v>829</v>
      </c>
      <c r="C1160" t="s">
        <v>38</v>
      </c>
      <c r="D1160">
        <v>15.6</v>
      </c>
      <c r="E1160">
        <v>8</v>
      </c>
      <c r="F1160" t="s">
        <v>48</v>
      </c>
      <c r="G1160">
        <v>2.5</v>
      </c>
      <c r="H1160" s="16">
        <v>788.49</v>
      </c>
      <c r="I1160" t="s">
        <v>40</v>
      </c>
      <c r="J1160">
        <v>1920</v>
      </c>
      <c r="K1160">
        <v>1080</v>
      </c>
      <c r="L1160" t="s">
        <v>27</v>
      </c>
      <c r="M1160" t="s">
        <v>27</v>
      </c>
      <c r="N1160" t="s">
        <v>27</v>
      </c>
      <c r="O1160" t="s">
        <v>29</v>
      </c>
      <c r="P1160">
        <v>2.2999999999999998</v>
      </c>
      <c r="Q1160" t="s">
        <v>212</v>
      </c>
      <c r="R1160" t="str">
        <f>_xlfn.CONCAT(laptop[[#This Row],[CPU_company]]," ",laptop[[#This Row],[CPU_model]])</f>
        <v>Intel Core i5 6200U</v>
      </c>
      <c r="S1160">
        <v>1024</v>
      </c>
      <c r="T1160">
        <v>0</v>
      </c>
      <c r="U1160">
        <f>laptop[[#This Row],[PrimaryStorage]]+laptop[[#This Row],[SecondaryStorage]]</f>
        <v>1024</v>
      </c>
      <c r="V1160" t="s">
        <v>223</v>
      </c>
      <c r="W1160" t="s">
        <v>27</v>
      </c>
      <c r="X1160" t="str">
        <f>IF(laptop[[#This Row],[PrimaryStorageType]]=laptop[[#This Row],[SecondaryStorageType]],laptop[[#This Row],[PrimaryStorageType]],"SSD &amp; HDD")</f>
        <v>SSD &amp; HDD</v>
      </c>
      <c r="Y1160" t="s">
        <v>786</v>
      </c>
      <c r="Z1160" s="4" t="str">
        <f>_xlfn.CONCAT(laptop[[#This Row],[CPU_company]]," ",laptop[[#This Row],[GPU_model]])</f>
        <v>Intel Radeon R5 M330</v>
      </c>
    </row>
    <row r="1161" spans="1:26" x14ac:dyDescent="0.25">
      <c r="A1161" t="s">
        <v>36</v>
      </c>
      <c r="B1161" t="s">
        <v>809</v>
      </c>
      <c r="C1161" t="s">
        <v>90</v>
      </c>
      <c r="D1161">
        <v>13.3</v>
      </c>
      <c r="E1161">
        <v>8</v>
      </c>
      <c r="F1161" t="s">
        <v>48</v>
      </c>
      <c r="G1161">
        <v>1.48</v>
      </c>
      <c r="H1161" s="16">
        <v>2041</v>
      </c>
      <c r="I1161" t="s">
        <v>26</v>
      </c>
      <c r="J1161">
        <v>2560</v>
      </c>
      <c r="K1161">
        <v>1440</v>
      </c>
      <c r="L1161" t="s">
        <v>28</v>
      </c>
      <c r="M1161" t="s">
        <v>27</v>
      </c>
      <c r="N1161" t="s">
        <v>27</v>
      </c>
      <c r="O1161" t="s">
        <v>29</v>
      </c>
      <c r="P1161">
        <v>2.6</v>
      </c>
      <c r="Q1161" t="s">
        <v>309</v>
      </c>
      <c r="R1161" t="str">
        <f>_xlfn.CONCAT(laptop[[#This Row],[CPU_company]]," ",laptop[[#This Row],[CPU_model]])</f>
        <v>Intel Core i7 6600U</v>
      </c>
      <c r="S1161">
        <v>512</v>
      </c>
      <c r="T1161">
        <v>0</v>
      </c>
      <c r="U1161">
        <f>laptop[[#This Row],[PrimaryStorage]]+laptop[[#This Row],[SecondaryStorage]]</f>
        <v>512</v>
      </c>
      <c r="V1161" t="s">
        <v>31</v>
      </c>
      <c r="W1161" t="s">
        <v>27</v>
      </c>
      <c r="X1161" t="str">
        <f>IF(laptop[[#This Row],[PrimaryStorageType]]=laptop[[#This Row],[SecondaryStorageType]],laptop[[#This Row],[PrimaryStorageType]],"SSD &amp; HDD")</f>
        <v>SSD &amp; HDD</v>
      </c>
      <c r="Y1161" t="s">
        <v>63</v>
      </c>
      <c r="Z1161" s="4" t="str">
        <f>_xlfn.CONCAT(laptop[[#This Row],[CPU_company]]," ",laptop[[#This Row],[GPU_model]])</f>
        <v>Intel HD Graphics 520</v>
      </c>
    </row>
    <row r="1162" spans="1:26" x14ac:dyDescent="0.25">
      <c r="A1162" t="s">
        <v>73</v>
      </c>
      <c r="B1162" t="s">
        <v>738</v>
      </c>
      <c r="C1162" t="s">
        <v>24</v>
      </c>
      <c r="D1162">
        <v>14</v>
      </c>
      <c r="E1162">
        <v>8</v>
      </c>
      <c r="F1162" t="s">
        <v>480</v>
      </c>
      <c r="G1162">
        <v>1.7</v>
      </c>
      <c r="H1162" s="16">
        <v>1499</v>
      </c>
      <c r="I1162" t="s">
        <v>40</v>
      </c>
      <c r="J1162">
        <v>1920</v>
      </c>
      <c r="K1162">
        <v>1080</v>
      </c>
      <c r="L1162" t="s">
        <v>27</v>
      </c>
      <c r="M1162" t="s">
        <v>27</v>
      </c>
      <c r="N1162" t="s">
        <v>27</v>
      </c>
      <c r="O1162" t="s">
        <v>29</v>
      </c>
      <c r="P1162">
        <v>2.6</v>
      </c>
      <c r="Q1162" t="s">
        <v>309</v>
      </c>
      <c r="R1162" t="str">
        <f>_xlfn.CONCAT(laptop[[#This Row],[CPU_company]]," ",laptop[[#This Row],[CPU_model]])</f>
        <v>Intel Core i7 6600U</v>
      </c>
      <c r="S1162">
        <v>256</v>
      </c>
      <c r="T1162">
        <v>0</v>
      </c>
      <c r="U1162">
        <f>laptop[[#This Row],[PrimaryStorage]]+laptop[[#This Row],[SecondaryStorage]]</f>
        <v>256</v>
      </c>
      <c r="V1162" t="s">
        <v>31</v>
      </c>
      <c r="W1162" t="s">
        <v>27</v>
      </c>
      <c r="X1162" t="str">
        <f>IF(laptop[[#This Row],[PrimaryStorageType]]=laptop[[#This Row],[SecondaryStorageType]],laptop[[#This Row],[PrimaryStorageType]],"SSD &amp; HDD")</f>
        <v>SSD &amp; HDD</v>
      </c>
      <c r="Y1162" t="s">
        <v>63</v>
      </c>
      <c r="Z1162" s="4" t="str">
        <f>_xlfn.CONCAT(laptop[[#This Row],[CPU_company]]," ",laptop[[#This Row],[GPU_model]])</f>
        <v>Intel HD Graphics 520</v>
      </c>
    </row>
    <row r="1163" spans="1:26" x14ac:dyDescent="0.25">
      <c r="A1163" t="s">
        <v>141</v>
      </c>
      <c r="B1163" t="s">
        <v>830</v>
      </c>
      <c r="C1163" t="s">
        <v>83</v>
      </c>
      <c r="D1163">
        <v>14</v>
      </c>
      <c r="E1163">
        <v>16</v>
      </c>
      <c r="F1163" t="s">
        <v>48</v>
      </c>
      <c r="G1163">
        <v>1.7</v>
      </c>
      <c r="H1163" s="16">
        <v>1769</v>
      </c>
      <c r="I1163" t="s">
        <v>40</v>
      </c>
      <c r="J1163">
        <v>1920</v>
      </c>
      <c r="K1163">
        <v>1080</v>
      </c>
      <c r="L1163" t="s">
        <v>27</v>
      </c>
      <c r="M1163" t="s">
        <v>27</v>
      </c>
      <c r="N1163" t="s">
        <v>27</v>
      </c>
      <c r="O1163" t="s">
        <v>29</v>
      </c>
      <c r="P1163">
        <v>2.6</v>
      </c>
      <c r="Q1163" t="s">
        <v>447</v>
      </c>
      <c r="R1163" t="str">
        <f>_xlfn.CONCAT(laptop[[#This Row],[CPU_company]]," ",laptop[[#This Row],[CPU_model]])</f>
        <v>Intel Core i7 6700HQ</v>
      </c>
      <c r="S1163">
        <v>256</v>
      </c>
      <c r="T1163">
        <v>1024</v>
      </c>
      <c r="U1163">
        <f>laptop[[#This Row],[PrimaryStorage]]+laptop[[#This Row],[SecondaryStorage]]</f>
        <v>1280</v>
      </c>
      <c r="V1163" t="s">
        <v>31</v>
      </c>
      <c r="W1163" t="s">
        <v>51</v>
      </c>
      <c r="X1163" t="str">
        <f>IF(laptop[[#This Row],[PrimaryStorageType]]=laptop[[#This Row],[SecondaryStorageType]],laptop[[#This Row],[PrimaryStorageType]],"SSD &amp; HDD")</f>
        <v>SSD &amp; HDD</v>
      </c>
      <c r="Y1163" t="s">
        <v>530</v>
      </c>
      <c r="Z1163" s="4" t="str">
        <f>_xlfn.CONCAT(laptop[[#This Row],[CPU_company]]," ",laptop[[#This Row],[GPU_model]])</f>
        <v>Intel GeForce GTX 970M</v>
      </c>
    </row>
    <row r="1164" spans="1:26" x14ac:dyDescent="0.25">
      <c r="A1164" t="s">
        <v>36</v>
      </c>
      <c r="B1164" t="s">
        <v>831</v>
      </c>
      <c r="C1164" t="s">
        <v>83</v>
      </c>
      <c r="D1164">
        <v>15.6</v>
      </c>
      <c r="E1164">
        <v>8</v>
      </c>
      <c r="F1164" t="s">
        <v>48</v>
      </c>
      <c r="G1164">
        <v>2.62</v>
      </c>
      <c r="H1164" s="16">
        <v>899</v>
      </c>
      <c r="I1164" t="s">
        <v>40</v>
      </c>
      <c r="J1164">
        <v>1920</v>
      </c>
      <c r="K1164">
        <v>1080</v>
      </c>
      <c r="L1164" t="s">
        <v>27</v>
      </c>
      <c r="M1164" t="s">
        <v>28</v>
      </c>
      <c r="N1164" t="s">
        <v>27</v>
      </c>
      <c r="O1164" t="s">
        <v>29</v>
      </c>
      <c r="P1164">
        <v>2.8</v>
      </c>
      <c r="Q1164" t="s">
        <v>118</v>
      </c>
      <c r="R1164" t="str">
        <f>_xlfn.CONCAT(laptop[[#This Row],[CPU_company]]," ",laptop[[#This Row],[CPU_model]])</f>
        <v>Intel Core i7 7700HQ</v>
      </c>
      <c r="S1164">
        <v>1024</v>
      </c>
      <c r="T1164">
        <v>0</v>
      </c>
      <c r="U1164">
        <f>laptop[[#This Row],[PrimaryStorage]]+laptop[[#This Row],[SecondaryStorage]]</f>
        <v>1024</v>
      </c>
      <c r="V1164" t="s">
        <v>51</v>
      </c>
      <c r="W1164" t="s">
        <v>27</v>
      </c>
      <c r="X1164" t="str">
        <f>IF(laptop[[#This Row],[PrimaryStorageType]]=laptop[[#This Row],[SecondaryStorageType]],laptop[[#This Row],[PrimaryStorageType]],"SSD &amp; HDD")</f>
        <v>SSD &amp; HDD</v>
      </c>
      <c r="Y1164" t="s">
        <v>85</v>
      </c>
      <c r="Z1164" s="4" t="str">
        <f>_xlfn.CONCAT(laptop[[#This Row],[CPU_company]]," ",laptop[[#This Row],[GPU_model]])</f>
        <v>Intel GeForce GTX 1050</v>
      </c>
    </row>
    <row r="1165" spans="1:26" x14ac:dyDescent="0.25">
      <c r="A1165" t="s">
        <v>73</v>
      </c>
      <c r="B1165" t="s">
        <v>832</v>
      </c>
      <c r="C1165" t="s">
        <v>38</v>
      </c>
      <c r="D1165">
        <v>15.6</v>
      </c>
      <c r="E1165">
        <v>8</v>
      </c>
      <c r="F1165" t="s">
        <v>48</v>
      </c>
      <c r="G1165">
        <v>2.2000000000000002</v>
      </c>
      <c r="H1165" s="16">
        <v>459</v>
      </c>
      <c r="I1165" t="s">
        <v>26</v>
      </c>
      <c r="J1165">
        <v>1366</v>
      </c>
      <c r="K1165">
        <v>768</v>
      </c>
      <c r="L1165" t="s">
        <v>27</v>
      </c>
      <c r="M1165" t="s">
        <v>27</v>
      </c>
      <c r="N1165" t="s">
        <v>27</v>
      </c>
      <c r="O1165" t="s">
        <v>29</v>
      </c>
      <c r="P1165">
        <v>2</v>
      </c>
      <c r="Q1165" t="s">
        <v>62</v>
      </c>
      <c r="R1165" t="str">
        <f>_xlfn.CONCAT(laptop[[#This Row],[CPU_company]]," ",laptop[[#This Row],[CPU_model]])</f>
        <v>Intel Core i3 6006U</v>
      </c>
      <c r="S1165">
        <v>1024</v>
      </c>
      <c r="T1165">
        <v>0</v>
      </c>
      <c r="U1165">
        <f>laptop[[#This Row],[PrimaryStorage]]+laptop[[#This Row],[SecondaryStorage]]</f>
        <v>1024</v>
      </c>
      <c r="V1165" t="s">
        <v>51</v>
      </c>
      <c r="W1165" t="s">
        <v>27</v>
      </c>
      <c r="X1165" t="str">
        <f>IF(laptop[[#This Row],[PrimaryStorageType]]=laptop[[#This Row],[SecondaryStorageType]],laptop[[#This Row],[PrimaryStorageType]],"SSD &amp; HDD")</f>
        <v>SSD &amp; HDD</v>
      </c>
      <c r="Y1165" t="s">
        <v>63</v>
      </c>
      <c r="Z1165" s="4" t="str">
        <f>_xlfn.CONCAT(laptop[[#This Row],[CPU_company]]," ",laptop[[#This Row],[GPU_model]])</f>
        <v>Intel HD Graphics 520</v>
      </c>
    </row>
    <row r="1166" spans="1:26" x14ac:dyDescent="0.25">
      <c r="A1166" t="s">
        <v>36</v>
      </c>
      <c r="B1166" t="s">
        <v>833</v>
      </c>
      <c r="C1166" t="s">
        <v>38</v>
      </c>
      <c r="D1166">
        <v>15.6</v>
      </c>
      <c r="E1166">
        <v>4</v>
      </c>
      <c r="F1166" t="s">
        <v>39</v>
      </c>
      <c r="G1166">
        <v>2.1</v>
      </c>
      <c r="H1166" s="16">
        <v>476.99</v>
      </c>
      <c r="I1166" t="s">
        <v>26</v>
      </c>
      <c r="J1166">
        <v>1366</v>
      </c>
      <c r="K1166">
        <v>768</v>
      </c>
      <c r="L1166" t="s">
        <v>27</v>
      </c>
      <c r="M1166" t="s">
        <v>27</v>
      </c>
      <c r="N1166" t="s">
        <v>27</v>
      </c>
      <c r="O1166" t="s">
        <v>29</v>
      </c>
      <c r="P1166">
        <v>2.2999999999999998</v>
      </c>
      <c r="Q1166" t="s">
        <v>212</v>
      </c>
      <c r="R1166" t="str">
        <f>_xlfn.CONCAT(laptop[[#This Row],[CPU_company]]," ",laptop[[#This Row],[CPU_model]])</f>
        <v>Intel Core i5 6200U</v>
      </c>
      <c r="S1166">
        <v>500</v>
      </c>
      <c r="T1166">
        <v>0</v>
      </c>
      <c r="U1166">
        <f>laptop[[#This Row],[PrimaryStorage]]+laptop[[#This Row],[SecondaryStorage]]</f>
        <v>500</v>
      </c>
      <c r="V1166" t="s">
        <v>51</v>
      </c>
      <c r="W1166" t="s">
        <v>27</v>
      </c>
      <c r="X1166" t="str">
        <f>IF(laptop[[#This Row],[PrimaryStorageType]]=laptop[[#This Row],[SecondaryStorageType]],laptop[[#This Row],[PrimaryStorageType]],"SSD &amp; HDD")</f>
        <v>SSD &amp; HDD</v>
      </c>
      <c r="Y1166" t="s">
        <v>63</v>
      </c>
      <c r="Z1166" s="4" t="str">
        <f>_xlfn.CONCAT(laptop[[#This Row],[CPU_company]]," ",laptop[[#This Row],[GPU_model]])</f>
        <v>Intel HD Graphics 520</v>
      </c>
    </row>
    <row r="1167" spans="1:26" x14ac:dyDescent="0.25">
      <c r="A1167" t="s">
        <v>65</v>
      </c>
      <c r="B1167" t="s">
        <v>222</v>
      </c>
      <c r="C1167" t="s">
        <v>83</v>
      </c>
      <c r="D1167">
        <v>15.6</v>
      </c>
      <c r="E1167">
        <v>8</v>
      </c>
      <c r="F1167" t="s">
        <v>48</v>
      </c>
      <c r="G1167">
        <v>2.62</v>
      </c>
      <c r="H1167" s="16">
        <v>1498</v>
      </c>
      <c r="I1167" t="s">
        <v>215</v>
      </c>
      <c r="J1167">
        <v>3840</v>
      </c>
      <c r="K1167">
        <v>2160</v>
      </c>
      <c r="L1167" t="s">
        <v>27</v>
      </c>
      <c r="M1167" t="s">
        <v>27</v>
      </c>
      <c r="N1167" t="s">
        <v>27</v>
      </c>
      <c r="O1167" t="s">
        <v>29</v>
      </c>
      <c r="P1167">
        <v>2.8</v>
      </c>
      <c r="Q1167" t="s">
        <v>118</v>
      </c>
      <c r="R1167" t="str">
        <f>_xlfn.CONCAT(laptop[[#This Row],[CPU_company]]," ",laptop[[#This Row],[CPU_model]])</f>
        <v>Intel Core i7 7700HQ</v>
      </c>
      <c r="S1167">
        <v>128</v>
      </c>
      <c r="T1167">
        <v>1024</v>
      </c>
      <c r="U1167">
        <f>laptop[[#This Row],[PrimaryStorage]]+laptop[[#This Row],[SecondaryStorage]]</f>
        <v>1152</v>
      </c>
      <c r="V1167" t="s">
        <v>31</v>
      </c>
      <c r="W1167" t="s">
        <v>51</v>
      </c>
      <c r="X1167" t="str">
        <f>IF(laptop[[#This Row],[PrimaryStorageType]]=laptop[[#This Row],[SecondaryStorageType]],laptop[[#This Row],[PrimaryStorageType]],"SSD &amp; HDD")</f>
        <v>SSD &amp; HDD</v>
      </c>
      <c r="Y1167" t="s">
        <v>149</v>
      </c>
      <c r="Z1167" s="4" t="str">
        <f>_xlfn.CONCAT(laptop[[#This Row],[CPU_company]]," ",laptop[[#This Row],[GPU_model]])</f>
        <v>Intel GeForce GTX 1050 Ti</v>
      </c>
    </row>
    <row r="1168" spans="1:26" x14ac:dyDescent="0.25">
      <c r="A1168" t="s">
        <v>73</v>
      </c>
      <c r="B1168" t="s">
        <v>493</v>
      </c>
      <c r="C1168" t="s">
        <v>38</v>
      </c>
      <c r="D1168">
        <v>15.6</v>
      </c>
      <c r="E1168">
        <v>8</v>
      </c>
      <c r="F1168" t="s">
        <v>48</v>
      </c>
      <c r="G1168">
        <v>1.95</v>
      </c>
      <c r="H1168" s="16">
        <v>1390</v>
      </c>
      <c r="I1168" t="s">
        <v>40</v>
      </c>
      <c r="J1168">
        <v>1920</v>
      </c>
      <c r="K1168">
        <v>1080</v>
      </c>
      <c r="L1168" t="s">
        <v>27</v>
      </c>
      <c r="M1168" t="s">
        <v>28</v>
      </c>
      <c r="N1168" t="s">
        <v>27</v>
      </c>
      <c r="O1168" t="s">
        <v>29</v>
      </c>
      <c r="P1168">
        <v>2.5</v>
      </c>
      <c r="Q1168" t="s">
        <v>41</v>
      </c>
      <c r="R1168" t="str">
        <f>_xlfn.CONCAT(laptop[[#This Row],[CPU_company]]," ",laptop[[#This Row],[CPU_model]])</f>
        <v>Intel Core i5 7200U</v>
      </c>
      <c r="S1168">
        <v>256</v>
      </c>
      <c r="T1168">
        <v>0</v>
      </c>
      <c r="U1168">
        <f>laptop[[#This Row],[PrimaryStorage]]+laptop[[#This Row],[SecondaryStorage]]</f>
        <v>256</v>
      </c>
      <c r="V1168" t="s">
        <v>31</v>
      </c>
      <c r="W1168" t="s">
        <v>27</v>
      </c>
      <c r="X1168" t="str">
        <f>IF(laptop[[#This Row],[PrimaryStorageType]]=laptop[[#This Row],[SecondaryStorageType]],laptop[[#This Row],[PrimaryStorageType]],"SSD &amp; HDD")</f>
        <v>SSD &amp; HDD</v>
      </c>
      <c r="Y1168" t="s">
        <v>42</v>
      </c>
      <c r="Z1168" s="4" t="str">
        <f>_xlfn.CONCAT(laptop[[#This Row],[CPU_company]]," ",laptop[[#This Row],[GPU_model]])</f>
        <v>Intel HD Graphics 620</v>
      </c>
    </row>
    <row r="1169" spans="1:26" x14ac:dyDescent="0.25">
      <c r="A1169" t="s">
        <v>73</v>
      </c>
      <c r="B1169" t="s">
        <v>834</v>
      </c>
      <c r="C1169" t="s">
        <v>38</v>
      </c>
      <c r="D1169">
        <v>15.6</v>
      </c>
      <c r="E1169">
        <v>4</v>
      </c>
      <c r="F1169" t="s">
        <v>48</v>
      </c>
      <c r="G1169">
        <v>2.2000000000000002</v>
      </c>
      <c r="H1169" s="16">
        <v>468</v>
      </c>
      <c r="I1169" t="s">
        <v>40</v>
      </c>
      <c r="J1169">
        <v>1920</v>
      </c>
      <c r="K1169">
        <v>1080</v>
      </c>
      <c r="L1169" t="s">
        <v>27</v>
      </c>
      <c r="M1169" t="s">
        <v>27</v>
      </c>
      <c r="N1169" t="s">
        <v>27</v>
      </c>
      <c r="O1169" t="s">
        <v>29</v>
      </c>
      <c r="P1169">
        <v>2</v>
      </c>
      <c r="Q1169" t="s">
        <v>62</v>
      </c>
      <c r="R1169" t="str">
        <f>_xlfn.CONCAT(laptop[[#This Row],[CPU_company]]," ",laptop[[#This Row],[CPU_model]])</f>
        <v>Intel Core i3 6006U</v>
      </c>
      <c r="S1169">
        <v>1024</v>
      </c>
      <c r="T1169">
        <v>0</v>
      </c>
      <c r="U1169">
        <f>laptop[[#This Row],[PrimaryStorage]]+laptop[[#This Row],[SecondaryStorage]]</f>
        <v>1024</v>
      </c>
      <c r="V1169" t="s">
        <v>51</v>
      </c>
      <c r="W1169" t="s">
        <v>27</v>
      </c>
      <c r="X1169" t="str">
        <f>IF(laptop[[#This Row],[PrimaryStorageType]]=laptop[[#This Row],[SecondaryStorageType]],laptop[[#This Row],[PrimaryStorageType]],"SSD &amp; HDD")</f>
        <v>SSD &amp; HDD</v>
      </c>
      <c r="Y1169" t="s">
        <v>277</v>
      </c>
      <c r="Z1169" s="4" t="str">
        <f>_xlfn.CONCAT(laptop[[#This Row],[CPU_company]]," ",laptop[[#This Row],[GPU_model]])</f>
        <v xml:space="preserve">Intel GeForce 920MX </v>
      </c>
    </row>
    <row r="1170" spans="1:26" x14ac:dyDescent="0.25">
      <c r="A1170" t="s">
        <v>36</v>
      </c>
      <c r="B1170" t="s">
        <v>835</v>
      </c>
      <c r="C1170" t="s">
        <v>38</v>
      </c>
      <c r="D1170">
        <v>14</v>
      </c>
      <c r="E1170">
        <v>2</v>
      </c>
      <c r="F1170" t="s">
        <v>48</v>
      </c>
      <c r="G1170">
        <v>1.44</v>
      </c>
      <c r="H1170" s="16">
        <v>249</v>
      </c>
      <c r="I1170" t="s">
        <v>26</v>
      </c>
      <c r="J1170">
        <v>1366</v>
      </c>
      <c r="K1170">
        <v>768</v>
      </c>
      <c r="L1170" t="s">
        <v>27</v>
      </c>
      <c r="M1170" t="s">
        <v>27</v>
      </c>
      <c r="N1170" t="s">
        <v>27</v>
      </c>
      <c r="O1170" t="s">
        <v>29</v>
      </c>
      <c r="P1170">
        <v>1.6</v>
      </c>
      <c r="Q1170" t="s">
        <v>151</v>
      </c>
      <c r="R1170" t="str">
        <f>_xlfn.CONCAT(laptop[[#This Row],[CPU_company]]," ",laptop[[#This Row],[CPU_model]])</f>
        <v>Intel Celeron Dual Core N3060</v>
      </c>
      <c r="S1170">
        <v>32</v>
      </c>
      <c r="T1170">
        <v>0</v>
      </c>
      <c r="U1170">
        <f>laptop[[#This Row],[PrimaryStorage]]+laptop[[#This Row],[SecondaryStorage]]</f>
        <v>32</v>
      </c>
      <c r="V1170" t="s">
        <v>34</v>
      </c>
      <c r="W1170" t="s">
        <v>27</v>
      </c>
      <c r="X1170" t="str">
        <f>IF(laptop[[#This Row],[PrimaryStorageType]]=laptop[[#This Row],[SecondaryStorageType]],laptop[[#This Row],[PrimaryStorageType]],"SSD &amp; HDD")</f>
        <v>SSD &amp; HDD</v>
      </c>
      <c r="Y1170" t="s">
        <v>81</v>
      </c>
      <c r="Z1170" s="4" t="str">
        <f>_xlfn.CONCAT(laptop[[#This Row],[CPU_company]]," ",laptop[[#This Row],[GPU_model]])</f>
        <v>Intel HD Graphics 400</v>
      </c>
    </row>
    <row r="1171" spans="1:26" x14ac:dyDescent="0.25">
      <c r="A1171" t="s">
        <v>141</v>
      </c>
      <c r="B1171" t="s">
        <v>836</v>
      </c>
      <c r="C1171" t="s">
        <v>83</v>
      </c>
      <c r="D1171">
        <v>15.6</v>
      </c>
      <c r="E1171">
        <v>8</v>
      </c>
      <c r="F1171" t="s">
        <v>48</v>
      </c>
      <c r="G1171">
        <v>2.2000000000000002</v>
      </c>
      <c r="H1171" s="16">
        <v>839</v>
      </c>
      <c r="I1171" t="s">
        <v>40</v>
      </c>
      <c r="J1171">
        <v>1920</v>
      </c>
      <c r="K1171">
        <v>1080</v>
      </c>
      <c r="L1171" t="s">
        <v>27</v>
      </c>
      <c r="M1171" t="s">
        <v>28</v>
      </c>
      <c r="N1171" t="s">
        <v>27</v>
      </c>
      <c r="O1171" t="s">
        <v>29</v>
      </c>
      <c r="P1171">
        <v>2.7</v>
      </c>
      <c r="Q1171" t="s">
        <v>71</v>
      </c>
      <c r="R1171" t="str">
        <f>_xlfn.CONCAT(laptop[[#This Row],[CPU_company]]," ",laptop[[#This Row],[CPU_model]])</f>
        <v>Intel Core i7 7500U</v>
      </c>
      <c r="S1171">
        <v>1024</v>
      </c>
      <c r="T1171">
        <v>0</v>
      </c>
      <c r="U1171">
        <f>laptop[[#This Row],[PrimaryStorage]]+laptop[[#This Row],[SecondaryStorage]]</f>
        <v>1024</v>
      </c>
      <c r="V1171" t="s">
        <v>51</v>
      </c>
      <c r="W1171" t="s">
        <v>27</v>
      </c>
      <c r="X1171" t="str">
        <f>IF(laptop[[#This Row],[PrimaryStorageType]]=laptop[[#This Row],[SecondaryStorageType]],laptop[[#This Row],[PrimaryStorageType]],"SSD &amp; HDD")</f>
        <v>SSD &amp; HDD</v>
      </c>
      <c r="Y1171" t="s">
        <v>85</v>
      </c>
      <c r="Z1171" s="4" t="str">
        <f>_xlfn.CONCAT(laptop[[#This Row],[CPU_company]]," ",laptop[[#This Row],[GPU_model]])</f>
        <v>Intel GeForce GTX 1050</v>
      </c>
    </row>
    <row r="1172" spans="1:26" x14ac:dyDescent="0.25">
      <c r="A1172" t="s">
        <v>36</v>
      </c>
      <c r="B1172" t="s">
        <v>776</v>
      </c>
      <c r="C1172" t="s">
        <v>38</v>
      </c>
      <c r="D1172">
        <v>15.6</v>
      </c>
      <c r="E1172">
        <v>8</v>
      </c>
      <c r="F1172" t="s">
        <v>48</v>
      </c>
      <c r="G1172">
        <v>1.96</v>
      </c>
      <c r="H1172" s="16">
        <v>679</v>
      </c>
      <c r="I1172" t="s">
        <v>40</v>
      </c>
      <c r="J1172">
        <v>1920</v>
      </c>
      <c r="K1172">
        <v>1080</v>
      </c>
      <c r="L1172" t="s">
        <v>27</v>
      </c>
      <c r="M1172" t="s">
        <v>27</v>
      </c>
      <c r="N1172" t="s">
        <v>27</v>
      </c>
      <c r="O1172" t="s">
        <v>29</v>
      </c>
      <c r="P1172">
        <v>2.5</v>
      </c>
      <c r="Q1172" t="s">
        <v>274</v>
      </c>
      <c r="R1172" t="str">
        <f>_xlfn.CONCAT(laptop[[#This Row],[CPU_company]]," ",laptop[[#This Row],[CPU_model]])</f>
        <v>Intel Core i7 6500U</v>
      </c>
      <c r="S1172">
        <v>256</v>
      </c>
      <c r="T1172">
        <v>0</v>
      </c>
      <c r="U1172">
        <f>laptop[[#This Row],[PrimaryStorage]]+laptop[[#This Row],[SecondaryStorage]]</f>
        <v>256</v>
      </c>
      <c r="V1172" t="s">
        <v>31</v>
      </c>
      <c r="W1172" t="s">
        <v>27</v>
      </c>
      <c r="X1172" t="str">
        <f>IF(laptop[[#This Row],[PrimaryStorageType]]=laptop[[#This Row],[SecondaryStorageType]],laptop[[#This Row],[PrimaryStorageType]],"SSD &amp; HDD")</f>
        <v>SSD &amp; HDD</v>
      </c>
      <c r="Y1172" t="s">
        <v>63</v>
      </c>
      <c r="Z1172" s="4" t="str">
        <f>_xlfn.CONCAT(laptop[[#This Row],[CPU_company]]," ",laptop[[#This Row],[GPU_model]])</f>
        <v>Intel HD Graphics 520</v>
      </c>
    </row>
    <row r="1173" spans="1:26" x14ac:dyDescent="0.25">
      <c r="A1173" t="s">
        <v>36</v>
      </c>
      <c r="B1173" t="s">
        <v>114</v>
      </c>
      <c r="C1173" t="s">
        <v>38</v>
      </c>
      <c r="D1173">
        <v>15.6</v>
      </c>
      <c r="E1173">
        <v>16</v>
      </c>
      <c r="F1173" t="s">
        <v>48</v>
      </c>
      <c r="G1173">
        <v>2.1</v>
      </c>
      <c r="H1173" s="16">
        <v>1159</v>
      </c>
      <c r="I1173" t="s">
        <v>40</v>
      </c>
      <c r="J1173">
        <v>1920</v>
      </c>
      <c r="K1173">
        <v>1080</v>
      </c>
      <c r="L1173" t="s">
        <v>27</v>
      </c>
      <c r="M1173" t="s">
        <v>27</v>
      </c>
      <c r="N1173" t="s">
        <v>27</v>
      </c>
      <c r="O1173" t="s">
        <v>29</v>
      </c>
      <c r="P1173">
        <v>1.8</v>
      </c>
      <c r="Q1173" t="s">
        <v>57</v>
      </c>
      <c r="R1173" t="str">
        <f>_xlfn.CONCAT(laptop[[#This Row],[CPU_company]]," ",laptop[[#This Row],[CPU_model]])</f>
        <v>Intel Core i7 8550U</v>
      </c>
      <c r="S1173">
        <v>512</v>
      </c>
      <c r="T1173">
        <v>0</v>
      </c>
      <c r="U1173">
        <f>laptop[[#This Row],[PrimaryStorage]]+laptop[[#This Row],[SecondaryStorage]]</f>
        <v>512</v>
      </c>
      <c r="V1173" t="s">
        <v>31</v>
      </c>
      <c r="W1173" t="s">
        <v>27</v>
      </c>
      <c r="X1173" t="str">
        <f>IF(laptop[[#This Row],[PrimaryStorageType]]=laptop[[#This Row],[SecondaryStorageType]],laptop[[#This Row],[PrimaryStorageType]],"SSD &amp; HDD")</f>
        <v>SSD &amp; HDD</v>
      </c>
      <c r="Y1173" t="s">
        <v>61</v>
      </c>
      <c r="Z1173" s="4" t="str">
        <f>_xlfn.CONCAT(laptop[[#This Row],[CPU_company]]," ",laptop[[#This Row],[GPU_model]])</f>
        <v>Intel UHD Graphics 620</v>
      </c>
    </row>
    <row r="1174" spans="1:26" x14ac:dyDescent="0.25">
      <c r="A1174" t="s">
        <v>55</v>
      </c>
      <c r="B1174" t="s">
        <v>837</v>
      </c>
      <c r="C1174" t="s">
        <v>38</v>
      </c>
      <c r="D1174">
        <v>15.6</v>
      </c>
      <c r="E1174">
        <v>4</v>
      </c>
      <c r="F1174" t="s">
        <v>48</v>
      </c>
      <c r="G1174">
        <v>2.2000000000000002</v>
      </c>
      <c r="H1174" s="16">
        <v>369</v>
      </c>
      <c r="I1174" t="s">
        <v>26</v>
      </c>
      <c r="J1174">
        <v>1366</v>
      </c>
      <c r="K1174">
        <v>768</v>
      </c>
      <c r="L1174" t="s">
        <v>27</v>
      </c>
      <c r="M1174" t="s">
        <v>27</v>
      </c>
      <c r="N1174" t="s">
        <v>27</v>
      </c>
      <c r="O1174" t="s">
        <v>29</v>
      </c>
      <c r="P1174">
        <v>1.6</v>
      </c>
      <c r="Q1174" t="s">
        <v>590</v>
      </c>
      <c r="R1174" t="str">
        <f>_xlfn.CONCAT(laptop[[#This Row],[CPU_company]]," ",laptop[[#This Row],[CPU_model]])</f>
        <v>Intel Celeron Dual Core N3050</v>
      </c>
      <c r="S1174">
        <v>500</v>
      </c>
      <c r="T1174">
        <v>0</v>
      </c>
      <c r="U1174">
        <f>laptop[[#This Row],[PrimaryStorage]]+laptop[[#This Row],[SecondaryStorage]]</f>
        <v>500</v>
      </c>
      <c r="V1174" t="s">
        <v>51</v>
      </c>
      <c r="W1174" t="s">
        <v>27</v>
      </c>
      <c r="X1174" t="str">
        <f>IF(laptop[[#This Row],[PrimaryStorageType]]=laptop[[#This Row],[SecondaryStorageType]],laptop[[#This Row],[PrimaryStorageType]],"SSD &amp; HDD")</f>
        <v>SSD &amp; HDD</v>
      </c>
      <c r="Y1174" t="s">
        <v>102</v>
      </c>
      <c r="Z1174" s="4" t="str">
        <f>_xlfn.CONCAT(laptop[[#This Row],[CPU_company]]," ",laptop[[#This Row],[GPU_model]])</f>
        <v>Intel HD Graphics</v>
      </c>
    </row>
    <row r="1175" spans="1:26" x14ac:dyDescent="0.25">
      <c r="A1175" t="s">
        <v>73</v>
      </c>
      <c r="B1175" t="s">
        <v>838</v>
      </c>
      <c r="C1175" t="s">
        <v>38</v>
      </c>
      <c r="D1175">
        <v>15.6</v>
      </c>
      <c r="E1175">
        <v>4</v>
      </c>
      <c r="F1175" t="s">
        <v>39</v>
      </c>
      <c r="G1175">
        <v>2.1</v>
      </c>
      <c r="H1175" s="16">
        <v>398</v>
      </c>
      <c r="I1175" t="s">
        <v>26</v>
      </c>
      <c r="J1175">
        <v>1366</v>
      </c>
      <c r="K1175">
        <v>768</v>
      </c>
      <c r="L1175" t="s">
        <v>27</v>
      </c>
      <c r="M1175" t="s">
        <v>27</v>
      </c>
      <c r="N1175" t="s">
        <v>27</v>
      </c>
      <c r="O1175" t="s">
        <v>29</v>
      </c>
      <c r="P1175">
        <v>2.2999999999999998</v>
      </c>
      <c r="Q1175" t="s">
        <v>212</v>
      </c>
      <c r="R1175" t="str">
        <f>_xlfn.CONCAT(laptop[[#This Row],[CPU_company]]," ",laptop[[#This Row],[CPU_model]])</f>
        <v>Intel Core i5 6200U</v>
      </c>
      <c r="S1175">
        <v>500</v>
      </c>
      <c r="T1175">
        <v>0</v>
      </c>
      <c r="U1175">
        <f>laptop[[#This Row],[PrimaryStorage]]+laptop[[#This Row],[SecondaryStorage]]</f>
        <v>500</v>
      </c>
      <c r="V1175" t="s">
        <v>51</v>
      </c>
      <c r="W1175" t="s">
        <v>27</v>
      </c>
      <c r="X1175" t="str">
        <f>IF(laptop[[#This Row],[PrimaryStorageType]]=laptop[[#This Row],[SecondaryStorageType]],laptop[[#This Row],[PrimaryStorageType]],"SSD &amp; HDD")</f>
        <v>SSD &amp; HDD</v>
      </c>
      <c r="Y1175" t="s">
        <v>63</v>
      </c>
      <c r="Z1175" s="4" t="str">
        <f>_xlfn.CONCAT(laptop[[#This Row],[CPU_company]]," ",laptop[[#This Row],[GPU_model]])</f>
        <v>Intel HD Graphics 520</v>
      </c>
    </row>
    <row r="1176" spans="1:26" x14ac:dyDescent="0.25">
      <c r="A1176" t="s">
        <v>73</v>
      </c>
      <c r="B1176" t="s">
        <v>710</v>
      </c>
      <c r="C1176" t="s">
        <v>38</v>
      </c>
      <c r="D1176">
        <v>15.6</v>
      </c>
      <c r="E1176">
        <v>8</v>
      </c>
      <c r="F1176" t="s">
        <v>39</v>
      </c>
      <c r="G1176">
        <v>2.2000000000000002</v>
      </c>
      <c r="H1176" s="16">
        <v>709</v>
      </c>
      <c r="I1176" t="s">
        <v>40</v>
      </c>
      <c r="J1176">
        <v>1920</v>
      </c>
      <c r="K1176">
        <v>1080</v>
      </c>
      <c r="L1176" t="s">
        <v>27</v>
      </c>
      <c r="M1176" t="s">
        <v>27</v>
      </c>
      <c r="N1176" t="s">
        <v>27</v>
      </c>
      <c r="O1176" t="s">
        <v>29</v>
      </c>
      <c r="P1176">
        <v>2.7</v>
      </c>
      <c r="Q1176" t="s">
        <v>71</v>
      </c>
      <c r="R1176" t="str">
        <f>_xlfn.CONCAT(laptop[[#This Row],[CPU_company]]," ",laptop[[#This Row],[CPU_model]])</f>
        <v>Intel Core i7 7500U</v>
      </c>
      <c r="S1176">
        <v>1024</v>
      </c>
      <c r="T1176">
        <v>0</v>
      </c>
      <c r="U1176">
        <f>laptop[[#This Row],[PrimaryStorage]]+laptop[[#This Row],[SecondaryStorage]]</f>
        <v>1024</v>
      </c>
      <c r="V1176" t="s">
        <v>51</v>
      </c>
      <c r="W1176" t="s">
        <v>27</v>
      </c>
      <c r="X1176" t="str">
        <f>IF(laptop[[#This Row],[PrimaryStorageType]]=laptop[[#This Row],[SecondaryStorageType]],laptop[[#This Row],[PrimaryStorageType]],"SSD &amp; HDD")</f>
        <v>SSD &amp; HDD</v>
      </c>
      <c r="Y1176" t="s">
        <v>76</v>
      </c>
      <c r="Z1176" s="4" t="str">
        <f>_xlfn.CONCAT(laptop[[#This Row],[CPU_company]]," ",laptop[[#This Row],[GPU_model]])</f>
        <v>Intel GeForce 940MX</v>
      </c>
    </row>
    <row r="1177" spans="1:26" x14ac:dyDescent="0.25">
      <c r="A1177" t="s">
        <v>55</v>
      </c>
      <c r="B1177" t="s">
        <v>839</v>
      </c>
      <c r="C1177" t="s">
        <v>38</v>
      </c>
      <c r="D1177">
        <v>14</v>
      </c>
      <c r="E1177">
        <v>4</v>
      </c>
      <c r="F1177" t="s">
        <v>48</v>
      </c>
      <c r="G1177">
        <v>2</v>
      </c>
      <c r="H1177" s="16">
        <v>769</v>
      </c>
      <c r="I1177" t="s">
        <v>40</v>
      </c>
      <c r="J1177">
        <v>1920</v>
      </c>
      <c r="K1177">
        <v>1080</v>
      </c>
      <c r="L1177" t="s">
        <v>27</v>
      </c>
      <c r="M1177" t="s">
        <v>27</v>
      </c>
      <c r="N1177" t="s">
        <v>27</v>
      </c>
      <c r="O1177" t="s">
        <v>29</v>
      </c>
      <c r="P1177">
        <v>2.4</v>
      </c>
      <c r="Q1177" t="s">
        <v>75</v>
      </c>
      <c r="R1177" t="str">
        <f>_xlfn.CONCAT(laptop[[#This Row],[CPU_company]]," ",laptop[[#This Row],[CPU_model]])</f>
        <v>Intel Core i3 7100U</v>
      </c>
      <c r="S1177">
        <v>256</v>
      </c>
      <c r="T1177">
        <v>0</v>
      </c>
      <c r="U1177">
        <f>laptop[[#This Row],[PrimaryStorage]]+laptop[[#This Row],[SecondaryStorage]]</f>
        <v>256</v>
      </c>
      <c r="V1177" t="s">
        <v>31</v>
      </c>
      <c r="W1177" t="s">
        <v>27</v>
      </c>
      <c r="X1177" t="str">
        <f>IF(laptop[[#This Row],[PrimaryStorageType]]=laptop[[#This Row],[SecondaryStorageType]],laptop[[#This Row],[PrimaryStorageType]],"SSD &amp; HDD")</f>
        <v>SSD &amp; HDD</v>
      </c>
      <c r="Y1177" t="s">
        <v>42</v>
      </c>
      <c r="Z1177" s="4" t="str">
        <f>_xlfn.CONCAT(laptop[[#This Row],[CPU_company]]," ",laptop[[#This Row],[GPU_model]])</f>
        <v>Intel HD Graphics 620</v>
      </c>
    </row>
    <row r="1178" spans="1:26" x14ac:dyDescent="0.25">
      <c r="A1178" t="s">
        <v>73</v>
      </c>
      <c r="B1178" t="s">
        <v>840</v>
      </c>
      <c r="C1178" t="s">
        <v>38</v>
      </c>
      <c r="D1178">
        <v>15.6</v>
      </c>
      <c r="E1178">
        <v>4</v>
      </c>
      <c r="F1178" t="s">
        <v>480</v>
      </c>
      <c r="G1178">
        <v>2.3199999999999998</v>
      </c>
      <c r="H1178" s="16">
        <v>825</v>
      </c>
      <c r="I1178" t="s">
        <v>40</v>
      </c>
      <c r="J1178">
        <v>1920</v>
      </c>
      <c r="K1178">
        <v>1080</v>
      </c>
      <c r="L1178" t="s">
        <v>27</v>
      </c>
      <c r="M1178" t="s">
        <v>27</v>
      </c>
      <c r="N1178" t="s">
        <v>27</v>
      </c>
      <c r="O1178" t="s">
        <v>29</v>
      </c>
      <c r="P1178">
        <v>2.5</v>
      </c>
      <c r="Q1178" t="s">
        <v>274</v>
      </c>
      <c r="R1178" t="str">
        <f>_xlfn.CONCAT(laptop[[#This Row],[CPU_company]]," ",laptop[[#This Row],[CPU_model]])</f>
        <v>Intel Core i7 6500U</v>
      </c>
      <c r="S1178">
        <v>1024</v>
      </c>
      <c r="T1178">
        <v>0</v>
      </c>
      <c r="U1178">
        <f>laptop[[#This Row],[PrimaryStorage]]+laptop[[#This Row],[SecondaryStorage]]</f>
        <v>1024</v>
      </c>
      <c r="V1178" t="s">
        <v>223</v>
      </c>
      <c r="W1178" t="s">
        <v>27</v>
      </c>
      <c r="X1178" t="str">
        <f>IF(laptop[[#This Row],[PrimaryStorageType]]=laptop[[#This Row],[SecondaryStorageType]],laptop[[#This Row],[PrimaryStorageType]],"SSD &amp; HDD")</f>
        <v>SSD &amp; HDD</v>
      </c>
      <c r="Y1178" t="s">
        <v>63</v>
      </c>
      <c r="Z1178" s="4" t="str">
        <f>_xlfn.CONCAT(laptop[[#This Row],[CPU_company]]," ",laptop[[#This Row],[GPU_model]])</f>
        <v>Intel HD Graphics 520</v>
      </c>
    </row>
    <row r="1179" spans="1:26" x14ac:dyDescent="0.25">
      <c r="A1179" t="s">
        <v>73</v>
      </c>
      <c r="B1179" t="s">
        <v>559</v>
      </c>
      <c r="C1179" t="s">
        <v>83</v>
      </c>
      <c r="D1179">
        <v>15.6</v>
      </c>
      <c r="E1179">
        <v>16</v>
      </c>
      <c r="F1179" t="s">
        <v>48</v>
      </c>
      <c r="G1179">
        <v>3.31</v>
      </c>
      <c r="H1179" s="16">
        <v>1305</v>
      </c>
      <c r="I1179" t="s">
        <v>40</v>
      </c>
      <c r="J1179">
        <v>1920</v>
      </c>
      <c r="K1179">
        <v>1080</v>
      </c>
      <c r="L1179" t="s">
        <v>27</v>
      </c>
      <c r="M1179" t="s">
        <v>28</v>
      </c>
      <c r="N1179" t="s">
        <v>27</v>
      </c>
      <c r="O1179" t="s">
        <v>29</v>
      </c>
      <c r="P1179">
        <v>2.6</v>
      </c>
      <c r="Q1179" t="s">
        <v>447</v>
      </c>
      <c r="R1179" t="str">
        <f>_xlfn.CONCAT(laptop[[#This Row],[CPU_company]]," ",laptop[[#This Row],[CPU_model]])</f>
        <v>Intel Core i7 6700HQ</v>
      </c>
      <c r="S1179">
        <v>512</v>
      </c>
      <c r="T1179">
        <v>0</v>
      </c>
      <c r="U1179">
        <f>laptop[[#This Row],[PrimaryStorage]]+laptop[[#This Row],[SecondaryStorage]]</f>
        <v>512</v>
      </c>
      <c r="V1179" t="s">
        <v>31</v>
      </c>
      <c r="W1179" t="s">
        <v>27</v>
      </c>
      <c r="X1179" t="str">
        <f>IF(laptop[[#This Row],[PrimaryStorageType]]=laptop[[#This Row],[SecondaryStorageType]],laptop[[#This Row],[PrimaryStorageType]],"SSD &amp; HDD")</f>
        <v>SSD &amp; HDD</v>
      </c>
      <c r="Y1179" t="s">
        <v>560</v>
      </c>
      <c r="Z1179" s="4" t="str">
        <f>_xlfn.CONCAT(laptop[[#This Row],[CPU_company]]," ",laptop[[#This Row],[GPU_model]])</f>
        <v>Intel GeForce GTX 960</v>
      </c>
    </row>
    <row r="1180" spans="1:26" x14ac:dyDescent="0.25">
      <c r="A1180" t="s">
        <v>141</v>
      </c>
      <c r="B1180" t="s">
        <v>841</v>
      </c>
      <c r="C1180" t="s">
        <v>83</v>
      </c>
      <c r="D1180">
        <v>15.6</v>
      </c>
      <c r="E1180">
        <v>16</v>
      </c>
      <c r="F1180" t="s">
        <v>48</v>
      </c>
      <c r="G1180">
        <v>1.91</v>
      </c>
      <c r="H1180" s="16">
        <v>2153.37</v>
      </c>
      <c r="I1180" t="s">
        <v>40</v>
      </c>
      <c r="J1180">
        <v>1920</v>
      </c>
      <c r="K1180">
        <v>1080</v>
      </c>
      <c r="L1180" t="s">
        <v>27</v>
      </c>
      <c r="M1180" t="s">
        <v>27</v>
      </c>
      <c r="N1180" t="s">
        <v>27</v>
      </c>
      <c r="O1180" t="s">
        <v>29</v>
      </c>
      <c r="P1180">
        <v>2.6</v>
      </c>
      <c r="Q1180" t="s">
        <v>447</v>
      </c>
      <c r="R1180" t="str">
        <f>_xlfn.CONCAT(laptop[[#This Row],[CPU_company]]," ",laptop[[#This Row],[CPU_model]])</f>
        <v>Intel Core i7 6700HQ</v>
      </c>
      <c r="S1180">
        <v>128</v>
      </c>
      <c r="T1180">
        <v>1024</v>
      </c>
      <c r="U1180">
        <f>laptop[[#This Row],[PrimaryStorage]]+laptop[[#This Row],[SecondaryStorage]]</f>
        <v>1152</v>
      </c>
      <c r="V1180" t="s">
        <v>31</v>
      </c>
      <c r="W1180" t="s">
        <v>51</v>
      </c>
      <c r="X1180" t="str">
        <f>IF(laptop[[#This Row],[PrimaryStorageType]]=laptop[[#This Row],[SecondaryStorageType]],laptop[[#This Row],[PrimaryStorageType]],"SSD &amp; HDD")</f>
        <v>SSD &amp; HDD</v>
      </c>
      <c r="Y1180" t="s">
        <v>530</v>
      </c>
      <c r="Z1180" s="4" t="str">
        <f>_xlfn.CONCAT(laptop[[#This Row],[CPU_company]]," ",laptop[[#This Row],[GPU_model]])</f>
        <v>Intel GeForce GTX 970M</v>
      </c>
    </row>
    <row r="1181" spans="1:26" x14ac:dyDescent="0.25">
      <c r="A1181" t="s">
        <v>36</v>
      </c>
      <c r="B1181" t="s">
        <v>114</v>
      </c>
      <c r="C1181" t="s">
        <v>38</v>
      </c>
      <c r="D1181">
        <v>15.6</v>
      </c>
      <c r="E1181">
        <v>4</v>
      </c>
      <c r="F1181" t="s">
        <v>48</v>
      </c>
      <c r="G1181">
        <v>2.0699999999999998</v>
      </c>
      <c r="H1181" s="16">
        <v>650</v>
      </c>
      <c r="I1181" t="s">
        <v>26</v>
      </c>
      <c r="J1181">
        <v>1366</v>
      </c>
      <c r="K1181">
        <v>768</v>
      </c>
      <c r="L1181" t="s">
        <v>27</v>
      </c>
      <c r="M1181" t="s">
        <v>27</v>
      </c>
      <c r="N1181" t="s">
        <v>27</v>
      </c>
      <c r="O1181" t="s">
        <v>29</v>
      </c>
      <c r="P1181">
        <v>2.2999999999999998</v>
      </c>
      <c r="Q1181" t="s">
        <v>450</v>
      </c>
      <c r="R1181" t="str">
        <f>_xlfn.CONCAT(laptop[[#This Row],[CPU_company]]," ",laptop[[#This Row],[CPU_model]])</f>
        <v>Intel Core i3 6100U</v>
      </c>
      <c r="S1181">
        <v>500</v>
      </c>
      <c r="T1181">
        <v>0</v>
      </c>
      <c r="U1181">
        <f>laptop[[#This Row],[PrimaryStorage]]+laptop[[#This Row],[SecondaryStorage]]</f>
        <v>500</v>
      </c>
      <c r="V1181" t="s">
        <v>51</v>
      </c>
      <c r="W1181" t="s">
        <v>27</v>
      </c>
      <c r="X1181" t="str">
        <f>IF(laptop[[#This Row],[PrimaryStorageType]]=laptop[[#This Row],[SecondaryStorageType]],laptop[[#This Row],[PrimaryStorageType]],"SSD &amp; HDD")</f>
        <v>SSD &amp; HDD</v>
      </c>
      <c r="Y1181" t="s">
        <v>63</v>
      </c>
      <c r="Z1181" s="4" t="str">
        <f>_xlfn.CONCAT(laptop[[#This Row],[CPU_company]]," ",laptop[[#This Row],[GPU_model]])</f>
        <v>Intel HD Graphics 520</v>
      </c>
    </row>
    <row r="1182" spans="1:26" x14ac:dyDescent="0.25">
      <c r="A1182" t="s">
        <v>73</v>
      </c>
      <c r="B1182" t="s">
        <v>308</v>
      </c>
      <c r="C1182" t="s">
        <v>90</v>
      </c>
      <c r="D1182">
        <v>14</v>
      </c>
      <c r="E1182">
        <v>8</v>
      </c>
      <c r="F1182" t="s">
        <v>48</v>
      </c>
      <c r="G1182">
        <v>1.36</v>
      </c>
      <c r="H1182" s="16">
        <v>1637</v>
      </c>
      <c r="I1182" t="s">
        <v>26</v>
      </c>
      <c r="J1182">
        <v>2560</v>
      </c>
      <c r="K1182">
        <v>1440</v>
      </c>
      <c r="L1182" t="s">
        <v>28</v>
      </c>
      <c r="M1182" t="s">
        <v>28</v>
      </c>
      <c r="N1182" t="s">
        <v>27</v>
      </c>
      <c r="O1182" t="s">
        <v>29</v>
      </c>
      <c r="P1182">
        <v>2.2999999999999998</v>
      </c>
      <c r="Q1182" t="s">
        <v>212</v>
      </c>
      <c r="R1182" t="str">
        <f>_xlfn.CONCAT(laptop[[#This Row],[CPU_company]]," ",laptop[[#This Row],[CPU_model]])</f>
        <v>Intel Core i5 6200U</v>
      </c>
      <c r="S1182">
        <v>256</v>
      </c>
      <c r="T1182">
        <v>0</v>
      </c>
      <c r="U1182">
        <f>laptop[[#This Row],[PrimaryStorage]]+laptop[[#This Row],[SecondaryStorage]]</f>
        <v>256</v>
      </c>
      <c r="V1182" t="s">
        <v>31</v>
      </c>
      <c r="W1182" t="s">
        <v>27</v>
      </c>
      <c r="X1182" t="str">
        <f>IF(laptop[[#This Row],[PrimaryStorageType]]=laptop[[#This Row],[SecondaryStorageType]],laptop[[#This Row],[PrimaryStorageType]],"SSD &amp; HDD")</f>
        <v>SSD &amp; HDD</v>
      </c>
      <c r="Y1182" t="s">
        <v>63</v>
      </c>
      <c r="Z1182" s="4" t="str">
        <f>_xlfn.CONCAT(laptop[[#This Row],[CPU_company]]," ",laptop[[#This Row],[GPU_model]])</f>
        <v>Intel HD Graphics 520</v>
      </c>
    </row>
    <row r="1183" spans="1:26" x14ac:dyDescent="0.25">
      <c r="A1183" t="s">
        <v>73</v>
      </c>
      <c r="B1183" t="s">
        <v>533</v>
      </c>
      <c r="C1183" t="s">
        <v>24</v>
      </c>
      <c r="D1183">
        <v>15.6</v>
      </c>
      <c r="E1183">
        <v>6</v>
      </c>
      <c r="F1183" t="s">
        <v>48</v>
      </c>
      <c r="G1183">
        <v>1.54</v>
      </c>
      <c r="H1183" s="16">
        <v>831</v>
      </c>
      <c r="I1183" t="s">
        <v>40</v>
      </c>
      <c r="J1183">
        <v>1920</v>
      </c>
      <c r="K1183">
        <v>1080</v>
      </c>
      <c r="L1183" t="s">
        <v>27</v>
      </c>
      <c r="M1183" t="s">
        <v>27</v>
      </c>
      <c r="N1183" t="s">
        <v>27</v>
      </c>
      <c r="O1183" t="s">
        <v>29</v>
      </c>
      <c r="P1183">
        <v>2.7</v>
      </c>
      <c r="Q1183" t="s">
        <v>71</v>
      </c>
      <c r="R1183" t="str">
        <f>_xlfn.CONCAT(laptop[[#This Row],[CPU_company]]," ",laptop[[#This Row],[CPU_model]])</f>
        <v>Intel Core i7 7500U</v>
      </c>
      <c r="S1183">
        <v>256</v>
      </c>
      <c r="T1183">
        <v>0</v>
      </c>
      <c r="U1183">
        <f>laptop[[#This Row],[PrimaryStorage]]+laptop[[#This Row],[SecondaryStorage]]</f>
        <v>256</v>
      </c>
      <c r="V1183" t="s">
        <v>31</v>
      </c>
      <c r="W1183" t="s">
        <v>27</v>
      </c>
      <c r="X1183" t="str">
        <f>IF(laptop[[#This Row],[PrimaryStorageType]]=laptop[[#This Row],[SecondaryStorageType]],laptop[[#This Row],[PrimaryStorageType]],"SSD &amp; HDD")</f>
        <v>SSD &amp; HDD</v>
      </c>
      <c r="Y1183" t="s">
        <v>178</v>
      </c>
      <c r="Z1183" s="4" t="str">
        <f>_xlfn.CONCAT(laptop[[#This Row],[CPU_company]]," ",laptop[[#This Row],[GPU_model]])</f>
        <v>Intel GeForce 920M</v>
      </c>
    </row>
    <row r="1184" spans="1:26" x14ac:dyDescent="0.25">
      <c r="A1184" t="s">
        <v>65</v>
      </c>
      <c r="B1184" t="s">
        <v>471</v>
      </c>
      <c r="C1184" t="s">
        <v>38</v>
      </c>
      <c r="D1184">
        <v>15.6</v>
      </c>
      <c r="E1184">
        <v>8</v>
      </c>
      <c r="F1184" t="s">
        <v>111</v>
      </c>
      <c r="G1184">
        <v>1.98</v>
      </c>
      <c r="H1184" s="16">
        <v>895.01</v>
      </c>
      <c r="I1184" t="s">
        <v>40</v>
      </c>
      <c r="J1184">
        <v>1920</v>
      </c>
      <c r="K1184">
        <v>1080</v>
      </c>
      <c r="L1184" t="s">
        <v>27</v>
      </c>
      <c r="M1184" t="s">
        <v>27</v>
      </c>
      <c r="N1184" t="s">
        <v>27</v>
      </c>
      <c r="O1184" t="s">
        <v>29</v>
      </c>
      <c r="P1184">
        <v>2.7</v>
      </c>
      <c r="Q1184" t="s">
        <v>71</v>
      </c>
      <c r="R1184" t="str">
        <f>_xlfn.CONCAT(laptop[[#This Row],[CPU_company]]," ",laptop[[#This Row],[CPU_model]])</f>
        <v>Intel Core i7 7500U</v>
      </c>
      <c r="S1184">
        <v>256</v>
      </c>
      <c r="T1184">
        <v>0</v>
      </c>
      <c r="U1184">
        <f>laptop[[#This Row],[PrimaryStorage]]+laptop[[#This Row],[SecondaryStorage]]</f>
        <v>256</v>
      </c>
      <c r="V1184" t="s">
        <v>31</v>
      </c>
      <c r="W1184" t="s">
        <v>27</v>
      </c>
      <c r="X1184" t="str">
        <f>IF(laptop[[#This Row],[PrimaryStorageType]]=laptop[[#This Row],[SecondaryStorageType]],laptop[[#This Row],[PrimaryStorageType]],"SSD &amp; HDD")</f>
        <v>SSD &amp; HDD</v>
      </c>
      <c r="Y1184" t="s">
        <v>371</v>
      </c>
      <c r="Z1184" s="4" t="str">
        <f>_xlfn.CONCAT(laptop[[#This Row],[CPU_company]]," ",laptop[[#This Row],[GPU_model]])</f>
        <v>Intel GeForce GT 940MX</v>
      </c>
    </row>
    <row r="1185" spans="1:26" x14ac:dyDescent="0.25">
      <c r="A1185" t="s">
        <v>46</v>
      </c>
      <c r="B1185" t="s">
        <v>47</v>
      </c>
      <c r="C1185" t="s">
        <v>38</v>
      </c>
      <c r="D1185">
        <v>15.6</v>
      </c>
      <c r="E1185">
        <v>4</v>
      </c>
      <c r="F1185" t="s">
        <v>48</v>
      </c>
      <c r="G1185">
        <v>2.1</v>
      </c>
      <c r="H1185" s="16">
        <v>333</v>
      </c>
      <c r="I1185" t="s">
        <v>26</v>
      </c>
      <c r="J1185">
        <v>1366</v>
      </c>
      <c r="K1185">
        <v>768</v>
      </c>
      <c r="L1185" t="s">
        <v>27</v>
      </c>
      <c r="M1185" t="s">
        <v>27</v>
      </c>
      <c r="N1185" t="s">
        <v>27</v>
      </c>
      <c r="O1185" t="s">
        <v>29</v>
      </c>
      <c r="P1185">
        <v>2</v>
      </c>
      <c r="Q1185" t="s">
        <v>109</v>
      </c>
      <c r="R1185" t="str">
        <f>_xlfn.CONCAT(laptop[[#This Row],[CPU_company]]," ",laptop[[#This Row],[CPU_model]])</f>
        <v>Intel Celeron Dual Core N3350</v>
      </c>
      <c r="S1185">
        <v>500</v>
      </c>
      <c r="T1185">
        <v>0</v>
      </c>
      <c r="U1185">
        <f>laptop[[#This Row],[PrimaryStorage]]+laptop[[#This Row],[SecondaryStorage]]</f>
        <v>500</v>
      </c>
      <c r="V1185" t="s">
        <v>51</v>
      </c>
      <c r="W1185" t="s">
        <v>27</v>
      </c>
      <c r="X1185" t="str">
        <f>IF(laptop[[#This Row],[PrimaryStorageType]]=laptop[[#This Row],[SecondaryStorageType]],laptop[[#This Row],[PrimaryStorageType]],"SSD &amp; HDD")</f>
        <v>SSD &amp; HDD</v>
      </c>
      <c r="Y1185" t="s">
        <v>110</v>
      </c>
      <c r="Z1185" s="4" t="str">
        <f>_xlfn.CONCAT(laptop[[#This Row],[CPU_company]]," ",laptop[[#This Row],[GPU_model]])</f>
        <v>Intel HD Graphics 500</v>
      </c>
    </row>
    <row r="1186" spans="1:26" x14ac:dyDescent="0.25">
      <c r="A1186" t="s">
        <v>36</v>
      </c>
      <c r="B1186" t="s">
        <v>842</v>
      </c>
      <c r="C1186" t="s">
        <v>38</v>
      </c>
      <c r="D1186">
        <v>15.6</v>
      </c>
      <c r="E1186">
        <v>6</v>
      </c>
      <c r="F1186" t="s">
        <v>48</v>
      </c>
      <c r="G1186">
        <v>2.1800000000000002</v>
      </c>
      <c r="H1186" s="16">
        <v>799</v>
      </c>
      <c r="I1186" t="s">
        <v>40</v>
      </c>
      <c r="J1186">
        <v>1920</v>
      </c>
      <c r="K1186">
        <v>1080</v>
      </c>
      <c r="L1186" t="s">
        <v>27</v>
      </c>
      <c r="M1186" t="s">
        <v>28</v>
      </c>
      <c r="N1186" t="s">
        <v>27</v>
      </c>
      <c r="O1186" t="s">
        <v>29</v>
      </c>
      <c r="P1186">
        <v>2.6</v>
      </c>
      <c r="Q1186" t="s">
        <v>447</v>
      </c>
      <c r="R1186" t="str">
        <f>_xlfn.CONCAT(laptop[[#This Row],[CPU_company]]," ",laptop[[#This Row],[CPU_model]])</f>
        <v>Intel Core i7 6700HQ</v>
      </c>
      <c r="S1186">
        <v>1024</v>
      </c>
      <c r="T1186">
        <v>0</v>
      </c>
      <c r="U1186">
        <f>laptop[[#This Row],[PrimaryStorage]]+laptop[[#This Row],[SecondaryStorage]]</f>
        <v>1024</v>
      </c>
      <c r="V1186" t="s">
        <v>51</v>
      </c>
      <c r="W1186" t="s">
        <v>27</v>
      </c>
      <c r="X1186" t="str">
        <f>IF(laptop[[#This Row],[PrimaryStorageType]]=laptop[[#This Row],[SecondaryStorageType]],laptop[[#This Row],[PrimaryStorageType]],"SSD &amp; HDD")</f>
        <v>SSD &amp; HDD</v>
      </c>
      <c r="Y1186" t="s">
        <v>483</v>
      </c>
      <c r="Z1186" s="4" t="str">
        <f>_xlfn.CONCAT(laptop[[#This Row],[CPU_company]]," ",laptop[[#This Row],[GPU_model]])</f>
        <v>Intel GeForce GTX 960M</v>
      </c>
    </row>
    <row r="1187" spans="1:26" x14ac:dyDescent="0.25">
      <c r="A1187" t="s">
        <v>55</v>
      </c>
      <c r="B1187" t="s">
        <v>843</v>
      </c>
      <c r="C1187" t="s">
        <v>83</v>
      </c>
      <c r="D1187">
        <v>15.6</v>
      </c>
      <c r="E1187">
        <v>8</v>
      </c>
      <c r="F1187" t="s">
        <v>48</v>
      </c>
      <c r="G1187">
        <v>2.5910000000000002</v>
      </c>
      <c r="H1187" s="16">
        <v>909</v>
      </c>
      <c r="I1187" t="s">
        <v>40</v>
      </c>
      <c r="J1187">
        <v>1920</v>
      </c>
      <c r="K1187">
        <v>1080</v>
      </c>
      <c r="L1187" t="s">
        <v>27</v>
      </c>
      <c r="M1187" t="s">
        <v>28</v>
      </c>
      <c r="N1187" t="s">
        <v>27</v>
      </c>
      <c r="O1187" t="s">
        <v>29</v>
      </c>
      <c r="P1187">
        <v>2.6</v>
      </c>
      <c r="Q1187" t="s">
        <v>447</v>
      </c>
      <c r="R1187" t="str">
        <f>_xlfn.CONCAT(laptop[[#This Row],[CPU_company]]," ",laptop[[#This Row],[CPU_model]])</f>
        <v>Intel Core i7 6700HQ</v>
      </c>
      <c r="S1187">
        <v>256</v>
      </c>
      <c r="T1187">
        <v>1024</v>
      </c>
      <c r="U1187">
        <f>laptop[[#This Row],[PrimaryStorage]]+laptop[[#This Row],[SecondaryStorage]]</f>
        <v>1280</v>
      </c>
      <c r="V1187" t="s">
        <v>31</v>
      </c>
      <c r="W1187" t="s">
        <v>51</v>
      </c>
      <c r="X1187" t="str">
        <f>IF(laptop[[#This Row],[PrimaryStorageType]]=laptop[[#This Row],[SecondaryStorageType]],laptop[[#This Row],[PrimaryStorageType]],"SSD &amp; HDD")</f>
        <v>SSD &amp; HDD</v>
      </c>
      <c r="Y1187" t="s">
        <v>483</v>
      </c>
      <c r="Z1187" s="4" t="str">
        <f>_xlfn.CONCAT(laptop[[#This Row],[CPU_company]]," ",laptop[[#This Row],[GPU_model]])</f>
        <v>Intel GeForce GTX 960M</v>
      </c>
    </row>
    <row r="1188" spans="1:26" x14ac:dyDescent="0.25">
      <c r="A1188" t="s">
        <v>65</v>
      </c>
      <c r="B1188" t="s">
        <v>775</v>
      </c>
      <c r="C1188" t="s">
        <v>90</v>
      </c>
      <c r="D1188">
        <v>15.6</v>
      </c>
      <c r="E1188">
        <v>16</v>
      </c>
      <c r="F1188" t="s">
        <v>48</v>
      </c>
      <c r="G1188">
        <v>2.09</v>
      </c>
      <c r="H1188" s="16">
        <v>1179</v>
      </c>
      <c r="I1188" t="s">
        <v>40</v>
      </c>
      <c r="J1188">
        <v>1920</v>
      </c>
      <c r="K1188">
        <v>1080</v>
      </c>
      <c r="L1188" t="s">
        <v>28</v>
      </c>
      <c r="M1188" t="s">
        <v>27</v>
      </c>
      <c r="N1188" t="s">
        <v>27</v>
      </c>
      <c r="O1188" t="s">
        <v>29</v>
      </c>
      <c r="P1188">
        <v>2.7</v>
      </c>
      <c r="Q1188" t="s">
        <v>71</v>
      </c>
      <c r="R1188" t="str">
        <f>_xlfn.CONCAT(laptop[[#This Row],[CPU_company]]," ",laptop[[#This Row],[CPU_model]])</f>
        <v>Intel Core i7 7500U</v>
      </c>
      <c r="S1188">
        <v>512</v>
      </c>
      <c r="T1188">
        <v>0</v>
      </c>
      <c r="U1188">
        <f>laptop[[#This Row],[PrimaryStorage]]+laptop[[#This Row],[SecondaryStorage]]</f>
        <v>512</v>
      </c>
      <c r="V1188" t="s">
        <v>31</v>
      </c>
      <c r="W1188" t="s">
        <v>27</v>
      </c>
      <c r="X1188" t="str">
        <f>IF(laptop[[#This Row],[PrimaryStorageType]]=laptop[[#This Row],[SecondaryStorageType]],laptop[[#This Row],[PrimaryStorageType]],"SSD &amp; HDD")</f>
        <v>SSD &amp; HDD</v>
      </c>
      <c r="Y1188" t="s">
        <v>42</v>
      </c>
      <c r="Z1188" s="4" t="str">
        <f>_xlfn.CONCAT(laptop[[#This Row],[CPU_company]]," ",laptop[[#This Row],[GPU_model]])</f>
        <v>Intel HD Graphics 620</v>
      </c>
    </row>
    <row r="1189" spans="1:26" x14ac:dyDescent="0.25">
      <c r="A1189" t="s">
        <v>46</v>
      </c>
      <c r="B1189" t="s">
        <v>262</v>
      </c>
      <c r="C1189" t="s">
        <v>38</v>
      </c>
      <c r="D1189">
        <v>15.6</v>
      </c>
      <c r="E1189">
        <v>4</v>
      </c>
      <c r="F1189" t="s">
        <v>48</v>
      </c>
      <c r="G1189">
        <v>2.23</v>
      </c>
      <c r="H1189" s="16">
        <v>691</v>
      </c>
      <c r="I1189" t="s">
        <v>40</v>
      </c>
      <c r="J1189">
        <v>1920</v>
      </c>
      <c r="K1189">
        <v>1080</v>
      </c>
      <c r="L1189" t="s">
        <v>27</v>
      </c>
      <c r="M1189" t="s">
        <v>27</v>
      </c>
      <c r="N1189" t="s">
        <v>27</v>
      </c>
      <c r="O1189" t="s">
        <v>29</v>
      </c>
      <c r="P1189">
        <v>2.5</v>
      </c>
      <c r="Q1189" t="s">
        <v>41</v>
      </c>
      <c r="R1189" t="str">
        <f>_xlfn.CONCAT(laptop[[#This Row],[CPU_company]]," ",laptop[[#This Row],[CPU_model]])</f>
        <v>Intel Core i5 7200U</v>
      </c>
      <c r="S1189">
        <v>256</v>
      </c>
      <c r="T1189">
        <v>0</v>
      </c>
      <c r="U1189">
        <f>laptop[[#This Row],[PrimaryStorage]]+laptop[[#This Row],[SecondaryStorage]]</f>
        <v>256</v>
      </c>
      <c r="V1189" t="s">
        <v>31</v>
      </c>
      <c r="W1189" t="s">
        <v>27</v>
      </c>
      <c r="X1189" t="str">
        <f>IF(laptop[[#This Row],[PrimaryStorageType]]=laptop[[#This Row],[SecondaryStorageType]],laptop[[#This Row],[PrimaryStorageType]],"SSD &amp; HDD")</f>
        <v>SSD &amp; HDD</v>
      </c>
      <c r="Y1189" t="s">
        <v>76</v>
      </c>
      <c r="Z1189" s="4" t="str">
        <f>_xlfn.CONCAT(laptop[[#This Row],[CPU_company]]," ",laptop[[#This Row],[GPU_model]])</f>
        <v>Intel GeForce 940MX</v>
      </c>
    </row>
    <row r="1190" spans="1:26" x14ac:dyDescent="0.25">
      <c r="A1190" t="s">
        <v>65</v>
      </c>
      <c r="B1190" t="s">
        <v>77</v>
      </c>
      <c r="C1190" t="s">
        <v>24</v>
      </c>
      <c r="D1190">
        <v>13.3</v>
      </c>
      <c r="E1190">
        <v>8</v>
      </c>
      <c r="F1190" t="s">
        <v>111</v>
      </c>
      <c r="G1190">
        <v>1.23</v>
      </c>
      <c r="H1190" s="16">
        <v>1099</v>
      </c>
      <c r="I1190" t="s">
        <v>107</v>
      </c>
      <c r="J1190">
        <v>3200</v>
      </c>
      <c r="K1190">
        <v>1800</v>
      </c>
      <c r="L1190" t="s">
        <v>28</v>
      </c>
      <c r="M1190" t="s">
        <v>27</v>
      </c>
      <c r="N1190" t="s">
        <v>27</v>
      </c>
      <c r="O1190" t="s">
        <v>29</v>
      </c>
      <c r="P1190">
        <v>2.4</v>
      </c>
      <c r="Q1190" t="s">
        <v>562</v>
      </c>
      <c r="R1190" t="str">
        <f>_xlfn.CONCAT(laptop[[#This Row],[CPU_company]]," ",laptop[[#This Row],[CPU_model]])</f>
        <v>Intel Core i5 6300U</v>
      </c>
      <c r="S1190">
        <v>256</v>
      </c>
      <c r="T1190">
        <v>0</v>
      </c>
      <c r="U1190">
        <f>laptop[[#This Row],[PrimaryStorage]]+laptop[[#This Row],[SecondaryStorage]]</f>
        <v>256</v>
      </c>
      <c r="V1190" t="s">
        <v>31</v>
      </c>
      <c r="W1190" t="s">
        <v>27</v>
      </c>
      <c r="X1190" t="str">
        <f>IF(laptop[[#This Row],[PrimaryStorageType]]=laptop[[#This Row],[SecondaryStorageType]],laptop[[#This Row],[PrimaryStorageType]],"SSD &amp; HDD")</f>
        <v>SSD &amp; HDD</v>
      </c>
      <c r="Y1190" t="s">
        <v>63</v>
      </c>
      <c r="Z1190" s="4" t="str">
        <f>_xlfn.CONCAT(laptop[[#This Row],[CPU_company]]," ",laptop[[#This Row],[GPU_model]])</f>
        <v>Intel HD Graphics 520</v>
      </c>
    </row>
    <row r="1191" spans="1:26" x14ac:dyDescent="0.25">
      <c r="A1191" t="s">
        <v>46</v>
      </c>
      <c r="B1191" t="s">
        <v>651</v>
      </c>
      <c r="C1191" t="s">
        <v>83</v>
      </c>
      <c r="D1191">
        <v>17.3</v>
      </c>
      <c r="E1191">
        <v>16</v>
      </c>
      <c r="F1191" t="s">
        <v>48</v>
      </c>
      <c r="G1191">
        <v>4.2</v>
      </c>
      <c r="H1191" s="16">
        <v>2599</v>
      </c>
      <c r="I1191" t="s">
        <v>40</v>
      </c>
      <c r="J1191">
        <v>1920</v>
      </c>
      <c r="K1191">
        <v>1080</v>
      </c>
      <c r="L1191" t="s">
        <v>27</v>
      </c>
      <c r="M1191" t="s">
        <v>28</v>
      </c>
      <c r="N1191" t="s">
        <v>27</v>
      </c>
      <c r="O1191" t="s">
        <v>29</v>
      </c>
      <c r="P1191">
        <v>2.8</v>
      </c>
      <c r="Q1191" t="s">
        <v>118</v>
      </c>
      <c r="R1191" t="str">
        <f>_xlfn.CONCAT(laptop[[#This Row],[CPU_company]]," ",laptop[[#This Row],[CPU_model]])</f>
        <v>Intel Core i7 7700HQ</v>
      </c>
      <c r="S1191">
        <v>256</v>
      </c>
      <c r="T1191">
        <v>1024</v>
      </c>
      <c r="U1191">
        <f>laptop[[#This Row],[PrimaryStorage]]+laptop[[#This Row],[SecondaryStorage]]</f>
        <v>1280</v>
      </c>
      <c r="V1191" t="s">
        <v>31</v>
      </c>
      <c r="W1191" t="s">
        <v>51</v>
      </c>
      <c r="X1191" t="str">
        <f>IF(laptop[[#This Row],[PrimaryStorageType]]=laptop[[#This Row],[SecondaryStorageType]],laptop[[#This Row],[PrimaryStorageType]],"SSD &amp; HDD")</f>
        <v>SSD &amp; HDD</v>
      </c>
      <c r="Y1191" t="s">
        <v>143</v>
      </c>
      <c r="Z1191" s="4" t="str">
        <f>_xlfn.CONCAT(laptop[[#This Row],[CPU_company]]," ",laptop[[#This Row],[GPU_model]])</f>
        <v>Intel GeForce GTX 1070</v>
      </c>
    </row>
    <row r="1192" spans="1:26" x14ac:dyDescent="0.25">
      <c r="A1192" t="s">
        <v>73</v>
      </c>
      <c r="B1192" t="s">
        <v>82</v>
      </c>
      <c r="C1192" t="s">
        <v>83</v>
      </c>
      <c r="D1192">
        <v>15.6</v>
      </c>
      <c r="E1192">
        <v>8</v>
      </c>
      <c r="F1192" t="s">
        <v>48</v>
      </c>
      <c r="G1192">
        <v>2.4</v>
      </c>
      <c r="H1192" s="16">
        <v>819</v>
      </c>
      <c r="I1192" t="s">
        <v>40</v>
      </c>
      <c r="J1192">
        <v>1920</v>
      </c>
      <c r="K1192">
        <v>1080</v>
      </c>
      <c r="L1192" t="s">
        <v>27</v>
      </c>
      <c r="M1192" t="s">
        <v>28</v>
      </c>
      <c r="N1192" t="s">
        <v>27</v>
      </c>
      <c r="O1192" t="s">
        <v>29</v>
      </c>
      <c r="P1192">
        <v>2.5</v>
      </c>
      <c r="Q1192" t="s">
        <v>84</v>
      </c>
      <c r="R1192" t="str">
        <f>_xlfn.CONCAT(laptop[[#This Row],[CPU_company]]," ",laptop[[#This Row],[CPU_model]])</f>
        <v>Intel Core i5 7300HQ</v>
      </c>
      <c r="S1192">
        <v>1024</v>
      </c>
      <c r="T1192">
        <v>0</v>
      </c>
      <c r="U1192">
        <f>laptop[[#This Row],[PrimaryStorage]]+laptop[[#This Row],[SecondaryStorage]]</f>
        <v>1024</v>
      </c>
      <c r="V1192" t="s">
        <v>51</v>
      </c>
      <c r="W1192" t="s">
        <v>27</v>
      </c>
      <c r="X1192" t="str">
        <f>IF(laptop[[#This Row],[PrimaryStorageType]]=laptop[[#This Row],[SecondaryStorageType]],laptop[[#This Row],[PrimaryStorageType]],"SSD &amp; HDD")</f>
        <v>SSD &amp; HDD</v>
      </c>
      <c r="Y1192" t="s">
        <v>85</v>
      </c>
      <c r="Z1192" s="4" t="str">
        <f>_xlfn.CONCAT(laptop[[#This Row],[CPU_company]]," ",laptop[[#This Row],[GPU_model]])</f>
        <v>Intel GeForce GTX 1050</v>
      </c>
    </row>
    <row r="1193" spans="1:26" x14ac:dyDescent="0.25">
      <c r="A1193" t="s">
        <v>413</v>
      </c>
      <c r="B1193" t="s">
        <v>844</v>
      </c>
      <c r="C1193" t="s">
        <v>90</v>
      </c>
      <c r="D1193">
        <v>12.3</v>
      </c>
      <c r="E1193">
        <v>4</v>
      </c>
      <c r="F1193" t="s">
        <v>317</v>
      </c>
      <c r="G1193">
        <v>1.1499999999999999</v>
      </c>
      <c r="H1193" s="16">
        <v>659</v>
      </c>
      <c r="I1193" t="s">
        <v>26</v>
      </c>
      <c r="J1193">
        <v>2400</v>
      </c>
      <c r="K1193">
        <v>1600</v>
      </c>
      <c r="L1193" t="s">
        <v>28</v>
      </c>
      <c r="M1193" t="s">
        <v>28</v>
      </c>
      <c r="N1193" t="s">
        <v>27</v>
      </c>
      <c r="O1193" t="s">
        <v>413</v>
      </c>
      <c r="P1193">
        <v>2</v>
      </c>
      <c r="Q1193" t="s">
        <v>845</v>
      </c>
      <c r="R1193" t="str">
        <f>_xlfn.CONCAT(laptop[[#This Row],[CPU_company]]," ",laptop[[#This Row],[CPU_model]])</f>
        <v>Samsung Cortex A72&amp;A53</v>
      </c>
      <c r="S1193">
        <v>32</v>
      </c>
      <c r="T1193">
        <v>0</v>
      </c>
      <c r="U1193">
        <f>laptop[[#This Row],[PrimaryStorage]]+laptop[[#This Row],[SecondaryStorage]]</f>
        <v>32</v>
      </c>
      <c r="V1193" t="s">
        <v>34</v>
      </c>
      <c r="W1193" t="s">
        <v>27</v>
      </c>
      <c r="X1193" t="str">
        <f>IF(laptop[[#This Row],[PrimaryStorageType]]=laptop[[#This Row],[SecondaryStorageType]],laptop[[#This Row],[PrimaryStorageType]],"SSD &amp; HDD")</f>
        <v>SSD &amp; HDD</v>
      </c>
      <c r="Y1193" t="s">
        <v>846</v>
      </c>
      <c r="Z1193" s="4" t="str">
        <f>_xlfn.CONCAT(laptop[[#This Row],[CPU_company]]," ",laptop[[#This Row],[GPU_model]])</f>
        <v>Samsung Mali T860 MP4</v>
      </c>
    </row>
    <row r="1194" spans="1:26" x14ac:dyDescent="0.25">
      <c r="A1194" t="s">
        <v>36</v>
      </c>
      <c r="B1194" t="s">
        <v>37</v>
      </c>
      <c r="C1194" t="s">
        <v>38</v>
      </c>
      <c r="D1194">
        <v>15.6</v>
      </c>
      <c r="E1194">
        <v>4</v>
      </c>
      <c r="F1194" t="s">
        <v>48</v>
      </c>
      <c r="G1194">
        <v>1.86</v>
      </c>
      <c r="H1194" s="16">
        <v>485</v>
      </c>
      <c r="I1194" t="s">
        <v>26</v>
      </c>
      <c r="J1194">
        <v>1366</v>
      </c>
      <c r="K1194">
        <v>768</v>
      </c>
      <c r="L1194" t="s">
        <v>27</v>
      </c>
      <c r="M1194" t="s">
        <v>27</v>
      </c>
      <c r="N1194" t="s">
        <v>27</v>
      </c>
      <c r="O1194" t="s">
        <v>29</v>
      </c>
      <c r="P1194">
        <v>2.5</v>
      </c>
      <c r="Q1194" t="s">
        <v>41</v>
      </c>
      <c r="R1194" t="str">
        <f>_xlfn.CONCAT(laptop[[#This Row],[CPU_company]]," ",laptop[[#This Row],[CPU_model]])</f>
        <v>Intel Core i5 7200U</v>
      </c>
      <c r="S1194">
        <v>500</v>
      </c>
      <c r="T1194">
        <v>0</v>
      </c>
      <c r="U1194">
        <f>laptop[[#This Row],[PrimaryStorage]]+laptop[[#This Row],[SecondaryStorage]]</f>
        <v>500</v>
      </c>
      <c r="V1194" t="s">
        <v>51</v>
      </c>
      <c r="W1194" t="s">
        <v>27</v>
      </c>
      <c r="X1194" t="str">
        <f>IF(laptop[[#This Row],[PrimaryStorageType]]=laptop[[#This Row],[SecondaryStorageType]],laptop[[#This Row],[PrimaryStorageType]],"SSD &amp; HDD")</f>
        <v>SSD &amp; HDD</v>
      </c>
      <c r="Y1194" t="s">
        <v>42</v>
      </c>
      <c r="Z1194" s="4" t="str">
        <f>_xlfn.CONCAT(laptop[[#This Row],[CPU_company]]," ",laptop[[#This Row],[GPU_model]])</f>
        <v>Intel HD Graphics 620</v>
      </c>
    </row>
    <row r="1195" spans="1:26" x14ac:dyDescent="0.25">
      <c r="A1195" t="s">
        <v>22</v>
      </c>
      <c r="B1195" t="s">
        <v>68</v>
      </c>
      <c r="C1195" t="s">
        <v>24</v>
      </c>
      <c r="D1195">
        <v>12</v>
      </c>
      <c r="E1195">
        <v>8</v>
      </c>
      <c r="F1195" t="s">
        <v>53</v>
      </c>
      <c r="G1195">
        <v>0.92</v>
      </c>
      <c r="H1195" s="16">
        <v>1163</v>
      </c>
      <c r="I1195" t="s">
        <v>26</v>
      </c>
      <c r="J1195">
        <v>2304</v>
      </c>
      <c r="K1195">
        <v>1440</v>
      </c>
      <c r="L1195" t="s">
        <v>27</v>
      </c>
      <c r="M1195" t="s">
        <v>28</v>
      </c>
      <c r="N1195" t="s">
        <v>28</v>
      </c>
      <c r="O1195" t="s">
        <v>29</v>
      </c>
      <c r="P1195">
        <v>1.1000000000000001</v>
      </c>
      <c r="Q1195" t="s">
        <v>656</v>
      </c>
      <c r="R1195" t="str">
        <f>_xlfn.CONCAT(laptop[[#This Row],[CPU_company]]," ",laptop[[#This Row],[CPU_model]])</f>
        <v>Intel Core M</v>
      </c>
      <c r="S1195">
        <v>256</v>
      </c>
      <c r="T1195">
        <v>0</v>
      </c>
      <c r="U1195">
        <f>laptop[[#This Row],[PrimaryStorage]]+laptop[[#This Row],[SecondaryStorage]]</f>
        <v>256</v>
      </c>
      <c r="V1195" t="s">
        <v>34</v>
      </c>
      <c r="W1195" t="s">
        <v>27</v>
      </c>
      <c r="X1195" t="str">
        <f>IF(laptop[[#This Row],[PrimaryStorageType]]=laptop[[#This Row],[SecondaryStorageType]],laptop[[#This Row],[PrimaryStorageType]],"SSD &amp; HDD")</f>
        <v>SSD &amp; HDD</v>
      </c>
      <c r="Y1195" t="s">
        <v>657</v>
      </c>
      <c r="Z1195" s="4" t="str">
        <f>_xlfn.CONCAT(laptop[[#This Row],[CPU_company]]," ",laptop[[#This Row],[GPU_model]])</f>
        <v>Intel HD Graphics 5300</v>
      </c>
    </row>
    <row r="1196" spans="1:26" x14ac:dyDescent="0.25">
      <c r="A1196" t="s">
        <v>65</v>
      </c>
      <c r="B1196" t="s">
        <v>778</v>
      </c>
      <c r="C1196" t="s">
        <v>90</v>
      </c>
      <c r="D1196">
        <v>13.3</v>
      </c>
      <c r="E1196">
        <v>8</v>
      </c>
      <c r="F1196" t="s">
        <v>48</v>
      </c>
      <c r="G1196">
        <v>1.6</v>
      </c>
      <c r="H1196" s="16">
        <v>1199</v>
      </c>
      <c r="I1196" t="s">
        <v>40</v>
      </c>
      <c r="J1196">
        <v>1920</v>
      </c>
      <c r="K1196">
        <v>1080</v>
      </c>
      <c r="L1196" t="s">
        <v>28</v>
      </c>
      <c r="M1196" t="s">
        <v>28</v>
      </c>
      <c r="N1196" t="s">
        <v>27</v>
      </c>
      <c r="O1196" t="s">
        <v>29</v>
      </c>
      <c r="P1196">
        <v>2.5</v>
      </c>
      <c r="Q1196" t="s">
        <v>41</v>
      </c>
      <c r="R1196" t="str">
        <f>_xlfn.CONCAT(laptop[[#This Row],[CPU_company]]," ",laptop[[#This Row],[CPU_model]])</f>
        <v>Intel Core i5 7200U</v>
      </c>
      <c r="S1196">
        <v>256</v>
      </c>
      <c r="T1196">
        <v>0</v>
      </c>
      <c r="U1196">
        <f>laptop[[#This Row],[PrimaryStorage]]+laptop[[#This Row],[SecondaryStorage]]</f>
        <v>256</v>
      </c>
      <c r="V1196" t="s">
        <v>31</v>
      </c>
      <c r="W1196" t="s">
        <v>27</v>
      </c>
      <c r="X1196" t="str">
        <f>IF(laptop[[#This Row],[PrimaryStorageType]]=laptop[[#This Row],[SecondaryStorageType]],laptop[[#This Row],[PrimaryStorageType]],"SSD &amp; HDD")</f>
        <v>SSD &amp; HDD</v>
      </c>
      <c r="Y1196" t="s">
        <v>42</v>
      </c>
      <c r="Z1196" s="4" t="str">
        <f>_xlfn.CONCAT(laptop[[#This Row],[CPU_company]]," ",laptop[[#This Row],[GPU_model]])</f>
        <v>Intel HD Graphics 620</v>
      </c>
    </row>
    <row r="1197" spans="1:26" x14ac:dyDescent="0.25">
      <c r="A1197" t="s">
        <v>36</v>
      </c>
      <c r="B1197" t="s">
        <v>847</v>
      </c>
      <c r="C1197" t="s">
        <v>38</v>
      </c>
      <c r="D1197">
        <v>15.6</v>
      </c>
      <c r="E1197">
        <v>12</v>
      </c>
      <c r="F1197" t="s">
        <v>48</v>
      </c>
      <c r="G1197">
        <v>2.21</v>
      </c>
      <c r="H1197" s="16">
        <v>1327</v>
      </c>
      <c r="I1197" t="s">
        <v>40</v>
      </c>
      <c r="J1197">
        <v>1920</v>
      </c>
      <c r="K1197">
        <v>1080</v>
      </c>
      <c r="L1197" t="s">
        <v>27</v>
      </c>
      <c r="M1197" t="s">
        <v>28</v>
      </c>
      <c r="N1197" t="s">
        <v>27</v>
      </c>
      <c r="O1197" t="s">
        <v>29</v>
      </c>
      <c r="P1197">
        <v>2.8</v>
      </c>
      <c r="Q1197" t="s">
        <v>118</v>
      </c>
      <c r="R1197" t="str">
        <f>_xlfn.CONCAT(laptop[[#This Row],[CPU_company]]," ",laptop[[#This Row],[CPU_model]])</f>
        <v>Intel Core i7 7700HQ</v>
      </c>
      <c r="S1197">
        <v>128</v>
      </c>
      <c r="T1197">
        <v>1024</v>
      </c>
      <c r="U1197">
        <f>laptop[[#This Row],[PrimaryStorage]]+laptop[[#This Row],[SecondaryStorage]]</f>
        <v>1152</v>
      </c>
      <c r="V1197" t="s">
        <v>31</v>
      </c>
      <c r="W1197" t="s">
        <v>51</v>
      </c>
      <c r="X1197" t="str">
        <f>IF(laptop[[#This Row],[PrimaryStorageType]]=laptop[[#This Row],[SecondaryStorageType]],laptop[[#This Row],[PrimaryStorageType]],"SSD &amp; HDD")</f>
        <v>SSD &amp; HDD</v>
      </c>
      <c r="Y1197" t="s">
        <v>85</v>
      </c>
      <c r="Z1197" s="4" t="str">
        <f>_xlfn.CONCAT(laptop[[#This Row],[CPU_company]]," ",laptop[[#This Row],[GPU_model]])</f>
        <v>Intel GeForce GTX 1050</v>
      </c>
    </row>
    <row r="1198" spans="1:26" x14ac:dyDescent="0.25">
      <c r="A1198" t="s">
        <v>73</v>
      </c>
      <c r="B1198" t="s">
        <v>848</v>
      </c>
      <c r="C1198" t="s">
        <v>38</v>
      </c>
      <c r="D1198">
        <v>15.6</v>
      </c>
      <c r="E1198">
        <v>4</v>
      </c>
      <c r="F1198" t="s">
        <v>39</v>
      </c>
      <c r="G1198">
        <v>1.9</v>
      </c>
      <c r="H1198" s="16">
        <v>368</v>
      </c>
      <c r="I1198" t="s">
        <v>26</v>
      </c>
      <c r="J1198">
        <v>1366</v>
      </c>
      <c r="K1198">
        <v>768</v>
      </c>
      <c r="L1198" t="s">
        <v>27</v>
      </c>
      <c r="M1198" t="s">
        <v>27</v>
      </c>
      <c r="N1198" t="s">
        <v>27</v>
      </c>
      <c r="O1198" t="s">
        <v>29</v>
      </c>
      <c r="P1198">
        <v>2</v>
      </c>
      <c r="Q1198" t="s">
        <v>62</v>
      </c>
      <c r="R1198" t="str">
        <f>_xlfn.CONCAT(laptop[[#This Row],[CPU_company]]," ",laptop[[#This Row],[CPU_model]])</f>
        <v>Intel Core i3 6006U</v>
      </c>
      <c r="S1198">
        <v>1024</v>
      </c>
      <c r="T1198">
        <v>0</v>
      </c>
      <c r="U1198">
        <f>laptop[[#This Row],[PrimaryStorage]]+laptop[[#This Row],[SecondaryStorage]]</f>
        <v>1024</v>
      </c>
      <c r="V1198" t="s">
        <v>51</v>
      </c>
      <c r="W1198" t="s">
        <v>27</v>
      </c>
      <c r="X1198" t="str">
        <f>IF(laptop[[#This Row],[PrimaryStorageType]]=laptop[[#This Row],[SecondaryStorageType]],laptop[[#This Row],[PrimaryStorageType]],"SSD &amp; HDD")</f>
        <v>SSD &amp; HDD</v>
      </c>
      <c r="Y1198" t="s">
        <v>67</v>
      </c>
      <c r="Z1198" s="4" t="str">
        <f>_xlfn.CONCAT(laptop[[#This Row],[CPU_company]]," ",laptop[[#This Row],[GPU_model]])</f>
        <v>Intel Radeon R5 M430</v>
      </c>
    </row>
    <row r="1199" spans="1:26" x14ac:dyDescent="0.25">
      <c r="A1199" t="s">
        <v>55</v>
      </c>
      <c r="B1199" t="s">
        <v>849</v>
      </c>
      <c r="C1199" t="s">
        <v>83</v>
      </c>
      <c r="D1199">
        <v>17.3</v>
      </c>
      <c r="E1199">
        <v>16</v>
      </c>
      <c r="F1199" t="s">
        <v>48</v>
      </c>
      <c r="G1199">
        <v>4.3</v>
      </c>
      <c r="H1199" s="16">
        <v>2150</v>
      </c>
      <c r="I1199" t="s">
        <v>40</v>
      </c>
      <c r="J1199">
        <v>1920</v>
      </c>
      <c r="K1199">
        <v>1080</v>
      </c>
      <c r="L1199" t="s">
        <v>27</v>
      </c>
      <c r="M1199" t="s">
        <v>28</v>
      </c>
      <c r="N1199" t="s">
        <v>27</v>
      </c>
      <c r="O1199" t="s">
        <v>29</v>
      </c>
      <c r="P1199">
        <v>2.6</v>
      </c>
      <c r="Q1199" t="s">
        <v>447</v>
      </c>
      <c r="R1199" t="str">
        <f>_xlfn.CONCAT(laptop[[#This Row],[CPU_company]]," ",laptop[[#This Row],[CPU_model]])</f>
        <v>Intel Core i7 6700HQ</v>
      </c>
      <c r="S1199">
        <v>512</v>
      </c>
      <c r="T1199">
        <v>1024</v>
      </c>
      <c r="U1199">
        <f>laptop[[#This Row],[PrimaryStorage]]+laptop[[#This Row],[SecondaryStorage]]</f>
        <v>1536</v>
      </c>
      <c r="V1199" t="s">
        <v>31</v>
      </c>
      <c r="W1199" t="s">
        <v>51</v>
      </c>
      <c r="X1199" t="str">
        <f>IF(laptop[[#This Row],[PrimaryStorageType]]=laptop[[#This Row],[SecondaryStorageType]],laptop[[#This Row],[PrimaryStorageType]],"SSD &amp; HDD")</f>
        <v>SSD &amp; HDD</v>
      </c>
      <c r="Y1199" t="s">
        <v>297</v>
      </c>
      <c r="Z1199" s="4" t="str">
        <f>_xlfn.CONCAT(laptop[[#This Row],[CPU_company]]," ",laptop[[#This Row],[GPU_model]])</f>
        <v>Intel GeForce GTX 980M</v>
      </c>
    </row>
    <row r="1200" spans="1:26" x14ac:dyDescent="0.25">
      <c r="A1200" t="s">
        <v>46</v>
      </c>
      <c r="B1200" t="s">
        <v>47</v>
      </c>
      <c r="C1200" t="s">
        <v>38</v>
      </c>
      <c r="D1200">
        <v>15.6</v>
      </c>
      <c r="E1200">
        <v>4</v>
      </c>
      <c r="F1200" t="s">
        <v>111</v>
      </c>
      <c r="G1200">
        <v>2.1</v>
      </c>
      <c r="H1200" s="16">
        <v>272</v>
      </c>
      <c r="I1200" t="s">
        <v>26</v>
      </c>
      <c r="J1200">
        <v>1366</v>
      </c>
      <c r="K1200">
        <v>768</v>
      </c>
      <c r="L1200" t="s">
        <v>27</v>
      </c>
      <c r="M1200" t="s">
        <v>27</v>
      </c>
      <c r="N1200" t="s">
        <v>27</v>
      </c>
      <c r="O1200" t="s">
        <v>29</v>
      </c>
      <c r="P1200">
        <v>2</v>
      </c>
      <c r="Q1200" t="s">
        <v>109</v>
      </c>
      <c r="R1200" t="str">
        <f>_xlfn.CONCAT(laptop[[#This Row],[CPU_company]]," ",laptop[[#This Row],[CPU_model]])</f>
        <v>Intel Celeron Dual Core N3350</v>
      </c>
      <c r="S1200">
        <v>1024</v>
      </c>
      <c r="T1200">
        <v>0</v>
      </c>
      <c r="U1200">
        <f>laptop[[#This Row],[PrimaryStorage]]+laptop[[#This Row],[SecondaryStorage]]</f>
        <v>1024</v>
      </c>
      <c r="V1200" t="s">
        <v>51</v>
      </c>
      <c r="W1200" t="s">
        <v>27</v>
      </c>
      <c r="X1200" t="str">
        <f>IF(laptop[[#This Row],[PrimaryStorageType]]=laptop[[#This Row],[SecondaryStorageType]],laptop[[#This Row],[PrimaryStorageType]],"SSD &amp; HDD")</f>
        <v>SSD &amp; HDD</v>
      </c>
      <c r="Y1200" t="s">
        <v>110</v>
      </c>
      <c r="Z1200" s="4" t="str">
        <f>_xlfn.CONCAT(laptop[[#This Row],[CPU_company]]," ",laptop[[#This Row],[GPU_model]])</f>
        <v>Intel HD Graphics 500</v>
      </c>
    </row>
    <row r="1201" spans="1:26" x14ac:dyDescent="0.25">
      <c r="A1201" t="s">
        <v>141</v>
      </c>
      <c r="B1201" t="s">
        <v>850</v>
      </c>
      <c r="C1201" t="s">
        <v>83</v>
      </c>
      <c r="D1201">
        <v>17.3</v>
      </c>
      <c r="E1201">
        <v>16</v>
      </c>
      <c r="F1201" t="s">
        <v>48</v>
      </c>
      <c r="G1201">
        <v>2.4300000000000002</v>
      </c>
      <c r="H1201" s="16">
        <v>2048.9</v>
      </c>
      <c r="I1201" t="s">
        <v>40</v>
      </c>
      <c r="J1201">
        <v>1920</v>
      </c>
      <c r="K1201">
        <v>1080</v>
      </c>
      <c r="L1201" t="s">
        <v>27</v>
      </c>
      <c r="M1201" t="s">
        <v>27</v>
      </c>
      <c r="N1201" t="s">
        <v>27</v>
      </c>
      <c r="O1201" t="s">
        <v>29</v>
      </c>
      <c r="P1201">
        <v>2.8</v>
      </c>
      <c r="Q1201" t="s">
        <v>118</v>
      </c>
      <c r="R1201" t="str">
        <f>_xlfn.CONCAT(laptop[[#This Row],[CPU_company]]," ",laptop[[#This Row],[CPU_model]])</f>
        <v>Intel Core i7 7700HQ</v>
      </c>
      <c r="S1201">
        <v>256</v>
      </c>
      <c r="T1201">
        <v>1024</v>
      </c>
      <c r="U1201">
        <f>laptop[[#This Row],[PrimaryStorage]]+laptop[[#This Row],[SecondaryStorage]]</f>
        <v>1280</v>
      </c>
      <c r="V1201" t="s">
        <v>31</v>
      </c>
      <c r="W1201" t="s">
        <v>51</v>
      </c>
      <c r="X1201" t="str">
        <f>IF(laptop[[#This Row],[PrimaryStorageType]]=laptop[[#This Row],[SecondaryStorageType]],laptop[[#This Row],[PrimaryStorageType]],"SSD &amp; HDD")</f>
        <v>SSD &amp; HDD</v>
      </c>
      <c r="Y1201" t="s">
        <v>119</v>
      </c>
      <c r="Z1201" s="4" t="str">
        <f>_xlfn.CONCAT(laptop[[#This Row],[CPU_company]]," ",laptop[[#This Row],[GPU_model]])</f>
        <v>Intel GeForce GTX 1060</v>
      </c>
    </row>
    <row r="1202" spans="1:26" x14ac:dyDescent="0.25">
      <c r="A1202" t="s">
        <v>65</v>
      </c>
      <c r="B1202" t="s">
        <v>200</v>
      </c>
      <c r="C1202" t="s">
        <v>38</v>
      </c>
      <c r="D1202">
        <v>15.6</v>
      </c>
      <c r="E1202">
        <v>4</v>
      </c>
      <c r="F1202" t="s">
        <v>48</v>
      </c>
      <c r="G1202">
        <v>2.2999999999999998</v>
      </c>
      <c r="H1202" s="16">
        <v>499</v>
      </c>
      <c r="I1202" t="s">
        <v>26</v>
      </c>
      <c r="J1202">
        <v>1366</v>
      </c>
      <c r="K1202">
        <v>768</v>
      </c>
      <c r="L1202" t="s">
        <v>27</v>
      </c>
      <c r="M1202" t="s">
        <v>27</v>
      </c>
      <c r="N1202" t="s">
        <v>27</v>
      </c>
      <c r="O1202" t="s">
        <v>29</v>
      </c>
      <c r="P1202">
        <v>2</v>
      </c>
      <c r="Q1202" t="s">
        <v>62</v>
      </c>
      <c r="R1202" t="str">
        <f>_xlfn.CONCAT(laptop[[#This Row],[CPU_company]]," ",laptop[[#This Row],[CPU_model]])</f>
        <v>Intel Core i3 6006U</v>
      </c>
      <c r="S1202">
        <v>128</v>
      </c>
      <c r="T1202">
        <v>0</v>
      </c>
      <c r="U1202">
        <f>laptop[[#This Row],[PrimaryStorage]]+laptop[[#This Row],[SecondaryStorage]]</f>
        <v>128</v>
      </c>
      <c r="V1202" t="s">
        <v>31</v>
      </c>
      <c r="W1202" t="s">
        <v>27</v>
      </c>
      <c r="X1202" t="str">
        <f>IF(laptop[[#This Row],[PrimaryStorageType]]=laptop[[#This Row],[SecondaryStorageType]],laptop[[#This Row],[PrimaryStorageType]],"SSD &amp; HDD")</f>
        <v>SSD &amp; HDD</v>
      </c>
      <c r="Y1202" t="s">
        <v>585</v>
      </c>
      <c r="Z1202" s="4" t="str">
        <f>_xlfn.CONCAT(laptop[[#This Row],[CPU_company]]," ",laptop[[#This Row],[GPU_model]])</f>
        <v>Intel Radeon R7 M440</v>
      </c>
    </row>
    <row r="1203" spans="1:26" x14ac:dyDescent="0.25">
      <c r="A1203" t="s">
        <v>73</v>
      </c>
      <c r="B1203" t="s">
        <v>832</v>
      </c>
      <c r="C1203" t="s">
        <v>38</v>
      </c>
      <c r="D1203">
        <v>15.6</v>
      </c>
      <c r="E1203">
        <v>8</v>
      </c>
      <c r="F1203" t="s">
        <v>39</v>
      </c>
      <c r="G1203">
        <v>2.2000000000000002</v>
      </c>
      <c r="H1203" s="16">
        <v>629</v>
      </c>
      <c r="I1203" t="s">
        <v>26</v>
      </c>
      <c r="J1203">
        <v>1366</v>
      </c>
      <c r="K1203">
        <v>768</v>
      </c>
      <c r="L1203" t="s">
        <v>27</v>
      </c>
      <c r="M1203" t="s">
        <v>27</v>
      </c>
      <c r="N1203" t="s">
        <v>27</v>
      </c>
      <c r="O1203" t="s">
        <v>29</v>
      </c>
      <c r="P1203">
        <v>2.5</v>
      </c>
      <c r="Q1203" t="s">
        <v>274</v>
      </c>
      <c r="R1203" t="str">
        <f>_xlfn.CONCAT(laptop[[#This Row],[CPU_company]]," ",laptop[[#This Row],[CPU_model]])</f>
        <v>Intel Core i7 6500U</v>
      </c>
      <c r="S1203">
        <v>500</v>
      </c>
      <c r="T1203">
        <v>0</v>
      </c>
      <c r="U1203">
        <f>laptop[[#This Row],[PrimaryStorage]]+laptop[[#This Row],[SecondaryStorage]]</f>
        <v>500</v>
      </c>
      <c r="V1203" t="s">
        <v>51</v>
      </c>
      <c r="W1203" t="s">
        <v>27</v>
      </c>
      <c r="X1203" t="str">
        <f>IF(laptop[[#This Row],[PrimaryStorageType]]=laptop[[#This Row],[SecondaryStorageType]],laptop[[#This Row],[PrimaryStorageType]],"SSD &amp; HDD")</f>
        <v>SSD &amp; HDD</v>
      </c>
      <c r="Y1203" t="s">
        <v>131</v>
      </c>
      <c r="Z1203" s="4" t="str">
        <f>_xlfn.CONCAT(laptop[[#This Row],[CPU_company]]," ",laptop[[#This Row],[GPU_model]])</f>
        <v>Intel GeForce 920MX</v>
      </c>
    </row>
    <row r="1204" spans="1:26" x14ac:dyDescent="0.25">
      <c r="A1204" t="s">
        <v>65</v>
      </c>
      <c r="B1204" t="s">
        <v>231</v>
      </c>
      <c r="C1204" t="s">
        <v>90</v>
      </c>
      <c r="D1204">
        <v>15.6</v>
      </c>
      <c r="E1204">
        <v>16</v>
      </c>
      <c r="F1204" t="s">
        <v>48</v>
      </c>
      <c r="G1204">
        <v>2</v>
      </c>
      <c r="H1204" s="16">
        <v>1285</v>
      </c>
      <c r="I1204" t="s">
        <v>40</v>
      </c>
      <c r="J1204">
        <v>1920</v>
      </c>
      <c r="K1204">
        <v>1080</v>
      </c>
      <c r="L1204" t="s">
        <v>28</v>
      </c>
      <c r="M1204" t="s">
        <v>27</v>
      </c>
      <c r="N1204" t="s">
        <v>27</v>
      </c>
      <c r="O1204" t="s">
        <v>29</v>
      </c>
      <c r="P1204">
        <v>1.8</v>
      </c>
      <c r="Q1204" t="s">
        <v>57</v>
      </c>
      <c r="R1204" t="str">
        <f>_xlfn.CONCAT(laptop[[#This Row],[CPU_company]]," ",laptop[[#This Row],[CPU_model]])</f>
        <v>Intel Core i7 8550U</v>
      </c>
      <c r="S1204">
        <v>512</v>
      </c>
      <c r="T1204">
        <v>0</v>
      </c>
      <c r="U1204">
        <f>laptop[[#This Row],[PrimaryStorage]]+laptop[[#This Row],[SecondaryStorage]]</f>
        <v>512</v>
      </c>
      <c r="V1204" t="s">
        <v>31</v>
      </c>
      <c r="W1204" t="s">
        <v>27</v>
      </c>
      <c r="X1204" t="str">
        <f>IF(laptop[[#This Row],[PrimaryStorageType]]=laptop[[#This Row],[SecondaryStorageType]],laptop[[#This Row],[PrimaryStorageType]],"SSD &amp; HDD")</f>
        <v>SSD &amp; HDD</v>
      </c>
      <c r="Y1204" t="s">
        <v>61</v>
      </c>
      <c r="Z1204" s="4" t="str">
        <f>_xlfn.CONCAT(laptop[[#This Row],[CPU_company]]," ",laptop[[#This Row],[GPU_model]])</f>
        <v>Intel UHD Graphics 620</v>
      </c>
    </row>
    <row r="1205" spans="1:26" x14ac:dyDescent="0.25">
      <c r="A1205" t="s">
        <v>65</v>
      </c>
      <c r="B1205" t="s">
        <v>77</v>
      </c>
      <c r="C1205" t="s">
        <v>24</v>
      </c>
      <c r="D1205">
        <v>13.3</v>
      </c>
      <c r="E1205">
        <v>16</v>
      </c>
      <c r="F1205" t="s">
        <v>48</v>
      </c>
      <c r="G1205">
        <v>1.2</v>
      </c>
      <c r="H1205" s="16">
        <v>2680</v>
      </c>
      <c r="I1205" t="s">
        <v>107</v>
      </c>
      <c r="J1205">
        <v>3200</v>
      </c>
      <c r="K1205">
        <v>1800</v>
      </c>
      <c r="L1205" t="s">
        <v>28</v>
      </c>
      <c r="M1205" t="s">
        <v>27</v>
      </c>
      <c r="N1205" t="s">
        <v>27</v>
      </c>
      <c r="O1205" t="s">
        <v>29</v>
      </c>
      <c r="P1205">
        <v>2.7</v>
      </c>
      <c r="Q1205" t="s">
        <v>71</v>
      </c>
      <c r="R1205" t="str">
        <f>_xlfn.CONCAT(laptop[[#This Row],[CPU_company]]," ",laptop[[#This Row],[CPU_model]])</f>
        <v>Intel Core i7 7500U</v>
      </c>
      <c r="S1205">
        <v>512</v>
      </c>
      <c r="T1205">
        <v>0</v>
      </c>
      <c r="U1205">
        <f>laptop[[#This Row],[PrimaryStorage]]+laptop[[#This Row],[SecondaryStorage]]</f>
        <v>512</v>
      </c>
      <c r="V1205" t="s">
        <v>31</v>
      </c>
      <c r="W1205" t="s">
        <v>27</v>
      </c>
      <c r="X1205" t="str">
        <f>IF(laptop[[#This Row],[PrimaryStorageType]]=laptop[[#This Row],[SecondaryStorageType]],laptop[[#This Row],[PrimaryStorageType]],"SSD &amp; HDD")</f>
        <v>SSD &amp; HDD</v>
      </c>
      <c r="Y1205" t="s">
        <v>42</v>
      </c>
      <c r="Z1205" s="4" t="str">
        <f>_xlfn.CONCAT(laptop[[#This Row],[CPU_company]]," ",laptop[[#This Row],[GPU_model]])</f>
        <v>Intel HD Graphics 620</v>
      </c>
    </row>
    <row r="1206" spans="1:26" x14ac:dyDescent="0.25">
      <c r="A1206" t="s">
        <v>55</v>
      </c>
      <c r="B1206" t="s">
        <v>851</v>
      </c>
      <c r="C1206" t="s">
        <v>83</v>
      </c>
      <c r="D1206">
        <v>15.6</v>
      </c>
      <c r="E1206">
        <v>8</v>
      </c>
      <c r="F1206" t="s">
        <v>48</v>
      </c>
      <c r="G1206">
        <v>2.2000000000000002</v>
      </c>
      <c r="H1206" s="16">
        <v>1169</v>
      </c>
      <c r="I1206" t="s">
        <v>40</v>
      </c>
      <c r="J1206">
        <v>1920</v>
      </c>
      <c r="K1206">
        <v>1080</v>
      </c>
      <c r="L1206" t="s">
        <v>27</v>
      </c>
      <c r="M1206" t="s">
        <v>27</v>
      </c>
      <c r="N1206" t="s">
        <v>27</v>
      </c>
      <c r="O1206" t="s">
        <v>29</v>
      </c>
      <c r="P1206">
        <v>2.6</v>
      </c>
      <c r="Q1206" t="s">
        <v>447</v>
      </c>
      <c r="R1206" t="str">
        <f>_xlfn.CONCAT(laptop[[#This Row],[CPU_company]]," ",laptop[[#This Row],[CPU_model]])</f>
        <v>Intel Core i7 6700HQ</v>
      </c>
      <c r="S1206">
        <v>1024</v>
      </c>
      <c r="T1206">
        <v>0</v>
      </c>
      <c r="U1206">
        <f>laptop[[#This Row],[PrimaryStorage]]+laptop[[#This Row],[SecondaryStorage]]</f>
        <v>1024</v>
      </c>
      <c r="V1206" t="s">
        <v>51</v>
      </c>
      <c r="W1206" t="s">
        <v>27</v>
      </c>
      <c r="X1206" t="str">
        <f>IF(laptop[[#This Row],[PrimaryStorageType]]=laptop[[#This Row],[SecondaryStorageType]],laptop[[#This Row],[PrimaryStorageType]],"SSD &amp; HDD")</f>
        <v>SSD &amp; HDD</v>
      </c>
      <c r="Y1206" t="s">
        <v>119</v>
      </c>
      <c r="Z1206" s="4" t="str">
        <f>_xlfn.CONCAT(laptop[[#This Row],[CPU_company]]," ",laptop[[#This Row],[GPU_model]])</f>
        <v>Intel GeForce GTX 1060</v>
      </c>
    </row>
    <row r="1207" spans="1:26" x14ac:dyDescent="0.25">
      <c r="A1207" t="s">
        <v>65</v>
      </c>
      <c r="B1207" t="s">
        <v>200</v>
      </c>
      <c r="C1207" t="s">
        <v>38</v>
      </c>
      <c r="D1207">
        <v>15.6</v>
      </c>
      <c r="E1207">
        <v>8</v>
      </c>
      <c r="F1207" t="s">
        <v>48</v>
      </c>
      <c r="G1207">
        <v>2.36</v>
      </c>
      <c r="H1207" s="16">
        <v>889</v>
      </c>
      <c r="I1207" t="s">
        <v>40</v>
      </c>
      <c r="J1207">
        <v>1920</v>
      </c>
      <c r="K1207">
        <v>1080</v>
      </c>
      <c r="L1207" t="s">
        <v>27</v>
      </c>
      <c r="M1207" t="s">
        <v>27</v>
      </c>
      <c r="N1207" t="s">
        <v>27</v>
      </c>
      <c r="O1207" t="s">
        <v>29</v>
      </c>
      <c r="P1207">
        <v>2.5</v>
      </c>
      <c r="Q1207" t="s">
        <v>41</v>
      </c>
      <c r="R1207" t="str">
        <f>_xlfn.CONCAT(laptop[[#This Row],[CPU_company]]," ",laptop[[#This Row],[CPU_model]])</f>
        <v>Intel Core i5 7200U</v>
      </c>
      <c r="S1207">
        <v>256</v>
      </c>
      <c r="T1207">
        <v>0</v>
      </c>
      <c r="U1207">
        <f>laptop[[#This Row],[PrimaryStorage]]+laptop[[#This Row],[SecondaryStorage]]</f>
        <v>256</v>
      </c>
      <c r="V1207" t="s">
        <v>31</v>
      </c>
      <c r="W1207" t="s">
        <v>27</v>
      </c>
      <c r="X1207" t="str">
        <f>IF(laptop[[#This Row],[PrimaryStorageType]]=laptop[[#This Row],[SecondaryStorageType]],laptop[[#This Row],[PrimaryStorageType]],"SSD &amp; HDD")</f>
        <v>SSD &amp; HDD</v>
      </c>
      <c r="Y1207" t="s">
        <v>201</v>
      </c>
      <c r="Z1207" s="4" t="str">
        <f>_xlfn.CONCAT(laptop[[#This Row],[CPU_company]]," ",laptop[[#This Row],[GPU_model]])</f>
        <v>Intel Radeon R7 M445</v>
      </c>
    </row>
    <row r="1208" spans="1:26" x14ac:dyDescent="0.25">
      <c r="A1208" t="s">
        <v>36</v>
      </c>
      <c r="B1208" t="s">
        <v>852</v>
      </c>
      <c r="C1208" t="s">
        <v>38</v>
      </c>
      <c r="D1208">
        <v>15.6</v>
      </c>
      <c r="E1208">
        <v>8</v>
      </c>
      <c r="F1208" t="s">
        <v>48</v>
      </c>
      <c r="G1208">
        <v>1.91</v>
      </c>
      <c r="H1208" s="16">
        <v>579</v>
      </c>
      <c r="I1208" t="s">
        <v>26</v>
      </c>
      <c r="J1208">
        <v>1366</v>
      </c>
      <c r="K1208">
        <v>768</v>
      </c>
      <c r="L1208" t="s">
        <v>27</v>
      </c>
      <c r="M1208" t="s">
        <v>27</v>
      </c>
      <c r="N1208" t="s">
        <v>27</v>
      </c>
      <c r="O1208" t="s">
        <v>29</v>
      </c>
      <c r="P1208">
        <v>2.5</v>
      </c>
      <c r="Q1208" t="s">
        <v>41</v>
      </c>
      <c r="R1208" t="str">
        <f>_xlfn.CONCAT(laptop[[#This Row],[CPU_company]]," ",laptop[[#This Row],[CPU_model]])</f>
        <v>Intel Core i5 7200U</v>
      </c>
      <c r="S1208">
        <v>256</v>
      </c>
      <c r="T1208">
        <v>0</v>
      </c>
      <c r="U1208">
        <f>laptop[[#This Row],[PrimaryStorage]]+laptop[[#This Row],[SecondaryStorage]]</f>
        <v>256</v>
      </c>
      <c r="V1208" t="s">
        <v>31</v>
      </c>
      <c r="W1208" t="s">
        <v>27</v>
      </c>
      <c r="X1208" t="str">
        <f>IF(laptop[[#This Row],[PrimaryStorageType]]=laptop[[#This Row],[SecondaryStorageType]],laptop[[#This Row],[PrimaryStorageType]],"SSD &amp; HDD")</f>
        <v>SSD &amp; HDD</v>
      </c>
      <c r="Y1208" t="s">
        <v>42</v>
      </c>
      <c r="Z1208" s="4" t="str">
        <f>_xlfn.CONCAT(laptop[[#This Row],[CPU_company]]," ",laptop[[#This Row],[GPU_model]])</f>
        <v>Intel HD Graphics 620</v>
      </c>
    </row>
    <row r="1209" spans="1:26" x14ac:dyDescent="0.25">
      <c r="A1209" t="s">
        <v>73</v>
      </c>
      <c r="B1209" t="s">
        <v>165</v>
      </c>
      <c r="C1209" t="s">
        <v>38</v>
      </c>
      <c r="D1209">
        <v>15.6</v>
      </c>
      <c r="E1209">
        <v>4</v>
      </c>
      <c r="F1209" t="s">
        <v>48</v>
      </c>
      <c r="G1209">
        <v>2.2000000000000002</v>
      </c>
      <c r="H1209" s="16">
        <v>299</v>
      </c>
      <c r="I1209" t="s">
        <v>26</v>
      </c>
      <c r="J1209">
        <v>1366</v>
      </c>
      <c r="K1209">
        <v>768</v>
      </c>
      <c r="L1209" t="s">
        <v>27</v>
      </c>
      <c r="M1209" t="s">
        <v>27</v>
      </c>
      <c r="N1209" t="s">
        <v>27</v>
      </c>
      <c r="O1209" t="s">
        <v>49</v>
      </c>
      <c r="P1209">
        <v>2.2000000000000002</v>
      </c>
      <c r="Q1209" t="s">
        <v>853</v>
      </c>
      <c r="R1209" t="str">
        <f>_xlfn.CONCAT(laptop[[#This Row],[CPU_company]]," ",laptop[[#This Row],[CPU_model]])</f>
        <v>AMD E-Series 9000</v>
      </c>
      <c r="S1209">
        <v>500</v>
      </c>
      <c r="T1209">
        <v>0</v>
      </c>
      <c r="U1209">
        <f>laptop[[#This Row],[PrimaryStorage]]+laptop[[#This Row],[SecondaryStorage]]</f>
        <v>500</v>
      </c>
      <c r="V1209" t="s">
        <v>51</v>
      </c>
      <c r="W1209" t="s">
        <v>27</v>
      </c>
      <c r="X1209" t="str">
        <f>IF(laptop[[#This Row],[PrimaryStorageType]]=laptop[[#This Row],[SecondaryStorageType]],laptop[[#This Row],[PrimaryStorageType]],"SSD &amp; HDD")</f>
        <v>SSD &amp; HDD</v>
      </c>
      <c r="Y1209" t="s">
        <v>490</v>
      </c>
      <c r="Z1209" s="4" t="str">
        <f>_xlfn.CONCAT(laptop[[#This Row],[CPU_company]]," ",laptop[[#This Row],[GPU_model]])</f>
        <v>AMD Radeon R2 Graphics</v>
      </c>
    </row>
    <row r="1210" spans="1:26" x14ac:dyDescent="0.25">
      <c r="A1210" t="s">
        <v>46</v>
      </c>
      <c r="B1210" t="s">
        <v>854</v>
      </c>
      <c r="C1210" t="s">
        <v>38</v>
      </c>
      <c r="D1210">
        <v>17.3</v>
      </c>
      <c r="E1210">
        <v>8</v>
      </c>
      <c r="F1210" t="s">
        <v>48</v>
      </c>
      <c r="G1210">
        <v>3.3</v>
      </c>
      <c r="H1210" s="16">
        <v>629</v>
      </c>
      <c r="I1210" t="s">
        <v>26</v>
      </c>
      <c r="J1210">
        <v>1600</v>
      </c>
      <c r="K1210">
        <v>900</v>
      </c>
      <c r="L1210" t="s">
        <v>27</v>
      </c>
      <c r="M1210" t="s">
        <v>27</v>
      </c>
      <c r="N1210" t="s">
        <v>27</v>
      </c>
      <c r="O1210" t="s">
        <v>29</v>
      </c>
      <c r="P1210">
        <v>2</v>
      </c>
      <c r="Q1210" t="s">
        <v>62</v>
      </c>
      <c r="R1210" t="str">
        <f>_xlfn.CONCAT(laptop[[#This Row],[CPU_company]]," ",laptop[[#This Row],[CPU_model]])</f>
        <v>Intel Core i3 6006U</v>
      </c>
      <c r="S1210">
        <v>1024</v>
      </c>
      <c r="T1210">
        <v>0</v>
      </c>
      <c r="U1210">
        <f>laptop[[#This Row],[PrimaryStorage]]+laptop[[#This Row],[SecondaryStorage]]</f>
        <v>1024</v>
      </c>
      <c r="V1210" t="s">
        <v>51</v>
      </c>
      <c r="W1210" t="s">
        <v>27</v>
      </c>
      <c r="X1210" t="str">
        <f>IF(laptop[[#This Row],[PrimaryStorageType]]=laptop[[#This Row],[SecondaryStorageType]],laptop[[#This Row],[PrimaryStorageType]],"SSD &amp; HDD")</f>
        <v>SSD &amp; HDD</v>
      </c>
      <c r="Y1210" t="s">
        <v>76</v>
      </c>
      <c r="Z1210" s="4" t="str">
        <f>_xlfn.CONCAT(laptop[[#This Row],[CPU_company]]," ",laptop[[#This Row],[GPU_model]])</f>
        <v>Intel GeForce 940MX</v>
      </c>
    </row>
    <row r="1211" spans="1:26" x14ac:dyDescent="0.25">
      <c r="A1211" t="s">
        <v>55</v>
      </c>
      <c r="B1211" t="s">
        <v>126</v>
      </c>
      <c r="C1211" t="s">
        <v>83</v>
      </c>
      <c r="D1211">
        <v>15.6</v>
      </c>
      <c r="E1211">
        <v>16</v>
      </c>
      <c r="F1211" t="s">
        <v>48</v>
      </c>
      <c r="G1211">
        <v>2.2000000000000002</v>
      </c>
      <c r="H1211" s="16">
        <v>2449</v>
      </c>
      <c r="I1211" t="s">
        <v>40</v>
      </c>
      <c r="J1211">
        <v>1920</v>
      </c>
      <c r="K1211">
        <v>1080</v>
      </c>
      <c r="L1211" t="s">
        <v>27</v>
      </c>
      <c r="M1211" t="s">
        <v>27</v>
      </c>
      <c r="N1211" t="s">
        <v>27</v>
      </c>
      <c r="O1211" t="s">
        <v>29</v>
      </c>
      <c r="P1211">
        <v>2.8</v>
      </c>
      <c r="Q1211" t="s">
        <v>118</v>
      </c>
      <c r="R1211" t="str">
        <f>_xlfn.CONCAT(laptop[[#This Row],[CPU_company]]," ",laptop[[#This Row],[CPU_model]])</f>
        <v>Intel Core i7 7700HQ</v>
      </c>
      <c r="S1211">
        <v>256</v>
      </c>
      <c r="T1211">
        <v>1024</v>
      </c>
      <c r="U1211">
        <f>laptop[[#This Row],[PrimaryStorage]]+laptop[[#This Row],[SecondaryStorage]]</f>
        <v>1280</v>
      </c>
      <c r="V1211" t="s">
        <v>31</v>
      </c>
      <c r="W1211" t="s">
        <v>51</v>
      </c>
      <c r="X1211" t="str">
        <f>IF(laptop[[#This Row],[PrimaryStorageType]]=laptop[[#This Row],[SecondaryStorageType]],laptop[[#This Row],[PrimaryStorageType]],"SSD &amp; HDD")</f>
        <v>SSD &amp; HDD</v>
      </c>
      <c r="Y1211" t="s">
        <v>143</v>
      </c>
      <c r="Z1211" s="4" t="str">
        <f>_xlfn.CONCAT(laptop[[#This Row],[CPU_company]]," ",laptop[[#This Row],[GPU_model]])</f>
        <v>Intel GeForce GTX 1070</v>
      </c>
    </row>
    <row r="1212" spans="1:26" x14ac:dyDescent="0.25">
      <c r="A1212" t="s">
        <v>22</v>
      </c>
      <c r="B1212" t="s">
        <v>68</v>
      </c>
      <c r="C1212" t="s">
        <v>24</v>
      </c>
      <c r="D1212">
        <v>12</v>
      </c>
      <c r="E1212">
        <v>8</v>
      </c>
      <c r="F1212" t="s">
        <v>53</v>
      </c>
      <c r="G1212">
        <v>0.92</v>
      </c>
      <c r="H1212" s="16">
        <v>1279</v>
      </c>
      <c r="I1212" t="s">
        <v>26</v>
      </c>
      <c r="J1212">
        <v>2304</v>
      </c>
      <c r="K1212">
        <v>1440</v>
      </c>
      <c r="L1212" t="s">
        <v>27</v>
      </c>
      <c r="M1212" t="s">
        <v>28</v>
      </c>
      <c r="N1212" t="s">
        <v>28</v>
      </c>
      <c r="O1212" t="s">
        <v>29</v>
      </c>
      <c r="P1212">
        <v>1.2</v>
      </c>
      <c r="Q1212" t="s">
        <v>656</v>
      </c>
      <c r="R1212" t="str">
        <f>_xlfn.CONCAT(laptop[[#This Row],[CPU_company]]," ",laptop[[#This Row],[CPU_model]])</f>
        <v>Intel Core M</v>
      </c>
      <c r="S1212">
        <v>512</v>
      </c>
      <c r="T1212">
        <v>0</v>
      </c>
      <c r="U1212">
        <f>laptop[[#This Row],[PrimaryStorage]]+laptop[[#This Row],[SecondaryStorage]]</f>
        <v>512</v>
      </c>
      <c r="V1212" t="s">
        <v>34</v>
      </c>
      <c r="W1212" t="s">
        <v>27</v>
      </c>
      <c r="X1212" t="str">
        <f>IF(laptop[[#This Row],[PrimaryStorageType]]=laptop[[#This Row],[SecondaryStorageType]],laptop[[#This Row],[PrimaryStorageType]],"SSD &amp; HDD")</f>
        <v>SSD &amp; HDD</v>
      </c>
      <c r="Y1212" t="s">
        <v>217</v>
      </c>
      <c r="Z1212" s="4" t="str">
        <f>_xlfn.CONCAT(laptop[[#This Row],[CPU_company]]," ",laptop[[#This Row],[GPU_model]])</f>
        <v>Intel HD Graphics 515</v>
      </c>
    </row>
    <row r="1213" spans="1:26" x14ac:dyDescent="0.25">
      <c r="A1213" t="s">
        <v>55</v>
      </c>
      <c r="B1213" t="s">
        <v>855</v>
      </c>
      <c r="C1213" t="s">
        <v>38</v>
      </c>
      <c r="D1213">
        <v>15.6</v>
      </c>
      <c r="E1213">
        <v>16</v>
      </c>
      <c r="F1213" t="s">
        <v>48</v>
      </c>
      <c r="G1213">
        <v>2.2000000000000002</v>
      </c>
      <c r="H1213" s="16">
        <v>1749</v>
      </c>
      <c r="I1213" t="s">
        <v>40</v>
      </c>
      <c r="J1213">
        <v>1920</v>
      </c>
      <c r="K1213">
        <v>1080</v>
      </c>
      <c r="L1213" t="s">
        <v>27</v>
      </c>
      <c r="M1213" t="s">
        <v>27</v>
      </c>
      <c r="N1213" t="s">
        <v>27</v>
      </c>
      <c r="O1213" t="s">
        <v>29</v>
      </c>
      <c r="P1213">
        <v>2.8</v>
      </c>
      <c r="Q1213" t="s">
        <v>118</v>
      </c>
      <c r="R1213" t="str">
        <f>_xlfn.CONCAT(laptop[[#This Row],[CPU_company]]," ",laptop[[#This Row],[CPU_model]])</f>
        <v>Intel Core i7 7700HQ</v>
      </c>
      <c r="S1213">
        <v>128</v>
      </c>
      <c r="T1213">
        <v>1024</v>
      </c>
      <c r="U1213">
        <f>laptop[[#This Row],[PrimaryStorage]]+laptop[[#This Row],[SecondaryStorage]]</f>
        <v>1152</v>
      </c>
      <c r="V1213" t="s">
        <v>31</v>
      </c>
      <c r="W1213" t="s">
        <v>51</v>
      </c>
      <c r="X1213" t="str">
        <f>IF(laptop[[#This Row],[PrimaryStorageType]]=laptop[[#This Row],[SecondaryStorageType]],laptop[[#This Row],[PrimaryStorageType]],"SSD &amp; HDD")</f>
        <v>SSD &amp; HDD</v>
      </c>
      <c r="Y1213" t="s">
        <v>119</v>
      </c>
      <c r="Z1213" s="4" t="str">
        <f>_xlfn.CONCAT(laptop[[#This Row],[CPU_company]]," ",laptop[[#This Row],[GPU_model]])</f>
        <v>Intel GeForce GTX 1060</v>
      </c>
    </row>
    <row r="1214" spans="1:26" x14ac:dyDescent="0.25">
      <c r="A1214" t="s">
        <v>141</v>
      </c>
      <c r="B1214" t="s">
        <v>702</v>
      </c>
      <c r="C1214" t="s">
        <v>83</v>
      </c>
      <c r="D1214">
        <v>17.3</v>
      </c>
      <c r="E1214">
        <v>16</v>
      </c>
      <c r="F1214" t="s">
        <v>48</v>
      </c>
      <c r="G1214">
        <v>2.4300000000000002</v>
      </c>
      <c r="H1214" s="16">
        <v>1948.99</v>
      </c>
      <c r="I1214" t="s">
        <v>40</v>
      </c>
      <c r="J1214">
        <v>1920</v>
      </c>
      <c r="K1214">
        <v>1080</v>
      </c>
      <c r="L1214" t="s">
        <v>27</v>
      </c>
      <c r="M1214" t="s">
        <v>28</v>
      </c>
      <c r="N1214" t="s">
        <v>27</v>
      </c>
      <c r="O1214" t="s">
        <v>29</v>
      </c>
      <c r="P1214">
        <v>2.6</v>
      </c>
      <c r="Q1214" t="s">
        <v>447</v>
      </c>
      <c r="R1214" t="str">
        <f>_xlfn.CONCAT(laptop[[#This Row],[CPU_company]]," ",laptop[[#This Row],[CPU_model]])</f>
        <v>Intel Core i7 6700HQ</v>
      </c>
      <c r="S1214">
        <v>256</v>
      </c>
      <c r="T1214">
        <v>1024</v>
      </c>
      <c r="U1214">
        <f>laptop[[#This Row],[PrimaryStorage]]+laptop[[#This Row],[SecondaryStorage]]</f>
        <v>1280</v>
      </c>
      <c r="V1214" t="s">
        <v>31</v>
      </c>
      <c r="W1214" t="s">
        <v>51</v>
      </c>
      <c r="X1214" t="str">
        <f>IF(laptop[[#This Row],[PrimaryStorageType]]=laptop[[#This Row],[SecondaryStorageType]],laptop[[#This Row],[PrimaryStorageType]],"SSD &amp; HDD")</f>
        <v>SSD &amp; HDD</v>
      </c>
      <c r="Y1214" t="s">
        <v>119</v>
      </c>
      <c r="Z1214" s="4" t="str">
        <f>_xlfn.CONCAT(laptop[[#This Row],[CPU_company]]," ",laptop[[#This Row],[GPU_model]])</f>
        <v>Intel GeForce GTX 1060</v>
      </c>
    </row>
    <row r="1215" spans="1:26" x14ac:dyDescent="0.25">
      <c r="A1215" t="s">
        <v>65</v>
      </c>
      <c r="B1215" t="s">
        <v>742</v>
      </c>
      <c r="C1215" t="s">
        <v>90</v>
      </c>
      <c r="D1215">
        <v>15.6</v>
      </c>
      <c r="E1215">
        <v>8</v>
      </c>
      <c r="F1215" t="s">
        <v>48</v>
      </c>
      <c r="G1215">
        <v>2.1909999999999998</v>
      </c>
      <c r="H1215" s="16">
        <v>999</v>
      </c>
      <c r="I1215" t="s">
        <v>40</v>
      </c>
      <c r="J1215">
        <v>1920</v>
      </c>
      <c r="K1215">
        <v>1080</v>
      </c>
      <c r="L1215" t="s">
        <v>28</v>
      </c>
      <c r="M1215" t="s">
        <v>28</v>
      </c>
      <c r="N1215" t="s">
        <v>27</v>
      </c>
      <c r="O1215" t="s">
        <v>29</v>
      </c>
      <c r="P1215">
        <v>2.5</v>
      </c>
      <c r="Q1215" t="s">
        <v>41</v>
      </c>
      <c r="R1215" t="str">
        <f>_xlfn.CONCAT(laptop[[#This Row],[CPU_company]]," ",laptop[[#This Row],[CPU_model]])</f>
        <v>Intel Core i5 7200U</v>
      </c>
      <c r="S1215">
        <v>256</v>
      </c>
      <c r="T1215">
        <v>0</v>
      </c>
      <c r="U1215">
        <f>laptop[[#This Row],[PrimaryStorage]]+laptop[[#This Row],[SecondaryStorage]]</f>
        <v>256</v>
      </c>
      <c r="V1215" t="s">
        <v>31</v>
      </c>
      <c r="W1215" t="s">
        <v>27</v>
      </c>
      <c r="X1215" t="str">
        <f>IF(laptop[[#This Row],[PrimaryStorageType]]=laptop[[#This Row],[SecondaryStorageType]],laptop[[#This Row],[PrimaryStorageType]],"SSD &amp; HDD")</f>
        <v>SSD &amp; HDD</v>
      </c>
      <c r="Y1215" t="s">
        <v>42</v>
      </c>
      <c r="Z1215" s="4" t="str">
        <f>_xlfn.CONCAT(laptop[[#This Row],[CPU_company]]," ",laptop[[#This Row],[GPU_model]])</f>
        <v>Intel HD Graphics 620</v>
      </c>
    </row>
    <row r="1216" spans="1:26" x14ac:dyDescent="0.25">
      <c r="A1216" t="s">
        <v>55</v>
      </c>
      <c r="B1216" t="s">
        <v>379</v>
      </c>
      <c r="C1216" t="s">
        <v>83</v>
      </c>
      <c r="D1216">
        <v>17.3</v>
      </c>
      <c r="E1216">
        <v>16</v>
      </c>
      <c r="F1216" t="s">
        <v>48</v>
      </c>
      <c r="G1216">
        <v>2.9</v>
      </c>
      <c r="H1216" s="16">
        <v>1949</v>
      </c>
      <c r="I1216" t="s">
        <v>40</v>
      </c>
      <c r="J1216">
        <v>1920</v>
      </c>
      <c r="K1216">
        <v>1080</v>
      </c>
      <c r="L1216" t="s">
        <v>27</v>
      </c>
      <c r="M1216" t="s">
        <v>27</v>
      </c>
      <c r="N1216" t="s">
        <v>27</v>
      </c>
      <c r="O1216" t="s">
        <v>29</v>
      </c>
      <c r="P1216">
        <v>2.8</v>
      </c>
      <c r="Q1216" t="s">
        <v>118</v>
      </c>
      <c r="R1216" t="str">
        <f>_xlfn.CONCAT(laptop[[#This Row],[CPU_company]]," ",laptop[[#This Row],[CPU_model]])</f>
        <v>Intel Core i7 7700HQ</v>
      </c>
      <c r="S1216">
        <v>256</v>
      </c>
      <c r="T1216">
        <v>1024</v>
      </c>
      <c r="U1216">
        <f>laptop[[#This Row],[PrimaryStorage]]+laptop[[#This Row],[SecondaryStorage]]</f>
        <v>1280</v>
      </c>
      <c r="V1216" t="s">
        <v>31</v>
      </c>
      <c r="W1216" t="s">
        <v>51</v>
      </c>
      <c r="X1216" t="str">
        <f>IF(laptop[[#This Row],[PrimaryStorageType]]=laptop[[#This Row],[SecondaryStorageType]],laptop[[#This Row],[PrimaryStorageType]],"SSD &amp; HDD")</f>
        <v>SSD &amp; HDD</v>
      </c>
      <c r="Y1216" t="s">
        <v>119</v>
      </c>
      <c r="Z1216" s="4" t="str">
        <f>_xlfn.CONCAT(laptop[[#This Row],[CPU_company]]," ",laptop[[#This Row],[GPU_model]])</f>
        <v>Intel GeForce GTX 1060</v>
      </c>
    </row>
    <row r="1217" spans="1:26" x14ac:dyDescent="0.25">
      <c r="A1217" t="s">
        <v>46</v>
      </c>
      <c r="B1217" t="s">
        <v>856</v>
      </c>
      <c r="C1217" t="s">
        <v>79</v>
      </c>
      <c r="D1217">
        <v>11.6</v>
      </c>
      <c r="E1217">
        <v>2</v>
      </c>
      <c r="F1217" t="s">
        <v>317</v>
      </c>
      <c r="G1217">
        <v>1.3</v>
      </c>
      <c r="H1217" s="16">
        <v>174</v>
      </c>
      <c r="I1217" t="s">
        <v>26</v>
      </c>
      <c r="J1217">
        <v>1366</v>
      </c>
      <c r="K1217">
        <v>768</v>
      </c>
      <c r="L1217" t="s">
        <v>27</v>
      </c>
      <c r="M1217" t="s">
        <v>27</v>
      </c>
      <c r="N1217" t="s">
        <v>27</v>
      </c>
      <c r="O1217" t="s">
        <v>29</v>
      </c>
      <c r="P1217">
        <v>1.5</v>
      </c>
      <c r="Q1217" t="s">
        <v>318</v>
      </c>
      <c r="R1217" t="str">
        <f>_xlfn.CONCAT(laptop[[#This Row],[CPU_company]]," ",laptop[[#This Row],[CPU_model]])</f>
        <v>Intel Celeron Dual Core 3205U</v>
      </c>
      <c r="S1217">
        <v>32</v>
      </c>
      <c r="T1217">
        <v>0</v>
      </c>
      <c r="U1217">
        <f>laptop[[#This Row],[PrimaryStorage]]+laptop[[#This Row],[SecondaryStorage]]</f>
        <v>32</v>
      </c>
      <c r="V1217" t="s">
        <v>31</v>
      </c>
      <c r="W1217" t="s">
        <v>27</v>
      </c>
      <c r="X1217" t="str">
        <f>IF(laptop[[#This Row],[PrimaryStorageType]]=laptop[[#This Row],[SecondaryStorageType]],laptop[[#This Row],[PrimaryStorageType]],"SSD &amp; HDD")</f>
        <v>SSD &amp; HDD</v>
      </c>
      <c r="Y1217" t="s">
        <v>102</v>
      </c>
      <c r="Z1217" s="4" t="str">
        <f>_xlfn.CONCAT(laptop[[#This Row],[CPU_company]]," ",laptop[[#This Row],[GPU_model]])</f>
        <v>Intel HD Graphics</v>
      </c>
    </row>
    <row r="1218" spans="1:26" x14ac:dyDescent="0.25">
      <c r="A1218" t="s">
        <v>46</v>
      </c>
      <c r="B1218" t="s">
        <v>857</v>
      </c>
      <c r="C1218" t="s">
        <v>38</v>
      </c>
      <c r="D1218">
        <v>17.3</v>
      </c>
      <c r="E1218">
        <v>4</v>
      </c>
      <c r="F1218" t="s">
        <v>48</v>
      </c>
      <c r="G1218">
        <v>3.3</v>
      </c>
      <c r="H1218" s="16">
        <v>598</v>
      </c>
      <c r="I1218" t="s">
        <v>26</v>
      </c>
      <c r="J1218">
        <v>1600</v>
      </c>
      <c r="K1218">
        <v>900</v>
      </c>
      <c r="L1218" t="s">
        <v>27</v>
      </c>
      <c r="M1218" t="s">
        <v>27</v>
      </c>
      <c r="N1218" t="s">
        <v>27</v>
      </c>
      <c r="O1218" t="s">
        <v>29</v>
      </c>
      <c r="P1218">
        <v>2</v>
      </c>
      <c r="Q1218" t="s">
        <v>62</v>
      </c>
      <c r="R1218" t="str">
        <f>_xlfn.CONCAT(laptop[[#This Row],[CPU_company]]," ",laptop[[#This Row],[CPU_model]])</f>
        <v>Intel Core i3 6006U</v>
      </c>
      <c r="S1218">
        <v>1024</v>
      </c>
      <c r="T1218">
        <v>0</v>
      </c>
      <c r="U1218">
        <f>laptop[[#This Row],[PrimaryStorage]]+laptop[[#This Row],[SecondaryStorage]]</f>
        <v>1024</v>
      </c>
      <c r="V1218" t="s">
        <v>51</v>
      </c>
      <c r="W1218" t="s">
        <v>27</v>
      </c>
      <c r="X1218" t="str">
        <f>IF(laptop[[#This Row],[PrimaryStorageType]]=laptop[[#This Row],[SecondaryStorageType]],laptop[[#This Row],[PrimaryStorageType]],"SSD &amp; HDD")</f>
        <v>SSD &amp; HDD</v>
      </c>
      <c r="Y1218" t="s">
        <v>76</v>
      </c>
      <c r="Z1218" s="4" t="str">
        <f>_xlfn.CONCAT(laptop[[#This Row],[CPU_company]]," ",laptop[[#This Row],[GPU_model]])</f>
        <v>Intel GeForce 940MX</v>
      </c>
    </row>
    <row r="1219" spans="1:26" x14ac:dyDescent="0.25">
      <c r="A1219" t="s">
        <v>73</v>
      </c>
      <c r="B1219" t="s">
        <v>271</v>
      </c>
      <c r="C1219" t="s">
        <v>38</v>
      </c>
      <c r="D1219">
        <v>17.3</v>
      </c>
      <c r="E1219">
        <v>8</v>
      </c>
      <c r="F1219" t="s">
        <v>39</v>
      </c>
      <c r="G1219">
        <v>2.8</v>
      </c>
      <c r="H1219" s="16">
        <v>539</v>
      </c>
      <c r="I1219" t="s">
        <v>26</v>
      </c>
      <c r="J1219">
        <v>1600</v>
      </c>
      <c r="K1219">
        <v>900</v>
      </c>
      <c r="L1219" t="s">
        <v>27</v>
      </c>
      <c r="M1219" t="s">
        <v>27</v>
      </c>
      <c r="N1219" t="s">
        <v>27</v>
      </c>
      <c r="O1219" t="s">
        <v>29</v>
      </c>
      <c r="P1219">
        <v>2.5</v>
      </c>
      <c r="Q1219" t="s">
        <v>41</v>
      </c>
      <c r="R1219" t="str">
        <f>_xlfn.CONCAT(laptop[[#This Row],[CPU_company]]," ",laptop[[#This Row],[CPU_model]])</f>
        <v>Intel Core i5 7200U</v>
      </c>
      <c r="S1219">
        <v>1024</v>
      </c>
      <c r="T1219">
        <v>0</v>
      </c>
      <c r="U1219">
        <f>laptop[[#This Row],[PrimaryStorage]]+laptop[[#This Row],[SecondaryStorage]]</f>
        <v>1024</v>
      </c>
      <c r="V1219" t="s">
        <v>51</v>
      </c>
      <c r="W1219" t="s">
        <v>27</v>
      </c>
      <c r="X1219" t="str">
        <f>IF(laptop[[#This Row],[PrimaryStorageType]]=laptop[[#This Row],[SecondaryStorageType]],laptop[[#This Row],[PrimaryStorageType]],"SSD &amp; HDD")</f>
        <v>SSD &amp; HDD</v>
      </c>
      <c r="Y1219" t="s">
        <v>42</v>
      </c>
      <c r="Z1219" s="4" t="str">
        <f>_xlfn.CONCAT(laptop[[#This Row],[CPU_company]]," ",laptop[[#This Row],[GPU_model]])</f>
        <v>Intel HD Graphics 620</v>
      </c>
    </row>
    <row r="1220" spans="1:26" x14ac:dyDescent="0.25">
      <c r="A1220" t="s">
        <v>73</v>
      </c>
      <c r="B1220" t="s">
        <v>559</v>
      </c>
      <c r="C1220" t="s">
        <v>83</v>
      </c>
      <c r="D1220">
        <v>15.6</v>
      </c>
      <c r="E1220">
        <v>8</v>
      </c>
      <c r="F1220" t="s">
        <v>48</v>
      </c>
      <c r="G1220">
        <v>2.6</v>
      </c>
      <c r="H1220" s="16">
        <v>1272</v>
      </c>
      <c r="I1220" t="s">
        <v>40</v>
      </c>
      <c r="J1220">
        <v>1920</v>
      </c>
      <c r="K1220">
        <v>1080</v>
      </c>
      <c r="L1220" t="s">
        <v>27</v>
      </c>
      <c r="M1220" t="s">
        <v>28</v>
      </c>
      <c r="N1220" t="s">
        <v>27</v>
      </c>
      <c r="O1220" t="s">
        <v>29</v>
      </c>
      <c r="P1220">
        <v>2.6</v>
      </c>
      <c r="Q1220" t="s">
        <v>447</v>
      </c>
      <c r="R1220" t="str">
        <f>_xlfn.CONCAT(laptop[[#This Row],[CPU_company]]," ",laptop[[#This Row],[CPU_model]])</f>
        <v>Intel Core i7 6700HQ</v>
      </c>
      <c r="S1220">
        <v>128</v>
      </c>
      <c r="T1220">
        <v>1024</v>
      </c>
      <c r="U1220">
        <f>laptop[[#This Row],[PrimaryStorage]]+laptop[[#This Row],[SecondaryStorage]]</f>
        <v>1152</v>
      </c>
      <c r="V1220" t="s">
        <v>31</v>
      </c>
      <c r="W1220" t="s">
        <v>51</v>
      </c>
      <c r="X1220" t="str">
        <f>IF(laptop[[#This Row],[PrimaryStorageType]]=laptop[[#This Row],[SecondaryStorageType]],laptop[[#This Row],[PrimaryStorageType]],"SSD &amp; HDD")</f>
        <v>SSD &amp; HDD</v>
      </c>
      <c r="Y1220" t="s">
        <v>537</v>
      </c>
      <c r="Z1220" s="4" t="str">
        <f>_xlfn.CONCAT(laptop[[#This Row],[CPU_company]]," ",laptop[[#This Row],[GPU_model]])</f>
        <v>Intel GeForce GTX 960&lt;U+039C&gt;</v>
      </c>
    </row>
    <row r="1221" spans="1:26" x14ac:dyDescent="0.25">
      <c r="A1221" t="s">
        <v>46</v>
      </c>
      <c r="B1221" t="s">
        <v>858</v>
      </c>
      <c r="C1221" t="s">
        <v>90</v>
      </c>
      <c r="D1221">
        <v>14</v>
      </c>
      <c r="E1221">
        <v>8</v>
      </c>
      <c r="F1221" t="s">
        <v>48</v>
      </c>
      <c r="G1221">
        <v>1.2</v>
      </c>
      <c r="H1221" s="16">
        <v>1149</v>
      </c>
      <c r="I1221" t="s">
        <v>40</v>
      </c>
      <c r="J1221">
        <v>1920</v>
      </c>
      <c r="K1221">
        <v>1080</v>
      </c>
      <c r="L1221" t="s">
        <v>28</v>
      </c>
      <c r="M1221" t="s">
        <v>28</v>
      </c>
      <c r="N1221" t="s">
        <v>27</v>
      </c>
      <c r="O1221" t="s">
        <v>29</v>
      </c>
      <c r="P1221">
        <v>1.3</v>
      </c>
      <c r="Q1221" t="s">
        <v>423</v>
      </c>
      <c r="R1221" t="str">
        <f>_xlfn.CONCAT(laptop[[#This Row],[CPU_company]]," ",laptop[[#This Row],[CPU_model]])</f>
        <v>Intel Core i7 7Y75</v>
      </c>
      <c r="S1221">
        <v>256</v>
      </c>
      <c r="T1221">
        <v>0</v>
      </c>
      <c r="U1221">
        <f>laptop[[#This Row],[PrimaryStorage]]+laptop[[#This Row],[SecondaryStorage]]</f>
        <v>256</v>
      </c>
      <c r="V1221" t="s">
        <v>31</v>
      </c>
      <c r="W1221" t="s">
        <v>27</v>
      </c>
      <c r="X1221" t="str">
        <f>IF(laptop[[#This Row],[PrimaryStorageType]]=laptop[[#This Row],[SecondaryStorageType]],laptop[[#This Row],[PrimaryStorageType]],"SSD &amp; HDD")</f>
        <v>SSD &amp; HDD</v>
      </c>
      <c r="Y1221" t="s">
        <v>70</v>
      </c>
      <c r="Z1221" s="4" t="str">
        <f>_xlfn.CONCAT(laptop[[#This Row],[CPU_company]]," ",laptop[[#This Row],[GPU_model]])</f>
        <v>Intel HD Graphics 615</v>
      </c>
    </row>
    <row r="1222" spans="1:26" x14ac:dyDescent="0.25">
      <c r="A1222" t="s">
        <v>73</v>
      </c>
      <c r="B1222" t="s">
        <v>859</v>
      </c>
      <c r="C1222" t="s">
        <v>38</v>
      </c>
      <c r="D1222">
        <v>15.6</v>
      </c>
      <c r="E1222">
        <v>8</v>
      </c>
      <c r="F1222" t="s">
        <v>48</v>
      </c>
      <c r="G1222">
        <v>2.2999999999999998</v>
      </c>
      <c r="H1222" s="16">
        <v>1529</v>
      </c>
      <c r="I1222" t="s">
        <v>40</v>
      </c>
      <c r="J1222">
        <v>1920</v>
      </c>
      <c r="K1222">
        <v>1080</v>
      </c>
      <c r="L1222" t="s">
        <v>27</v>
      </c>
      <c r="M1222" t="s">
        <v>28</v>
      </c>
      <c r="N1222" t="s">
        <v>27</v>
      </c>
      <c r="O1222" t="s">
        <v>29</v>
      </c>
      <c r="P1222">
        <v>2.6</v>
      </c>
      <c r="Q1222" t="s">
        <v>309</v>
      </c>
      <c r="R1222" t="str">
        <f>_xlfn.CONCAT(laptop[[#This Row],[CPU_company]]," ",laptop[[#This Row],[CPU_model]])</f>
        <v>Intel Core i7 6600U</v>
      </c>
      <c r="S1222">
        <v>256</v>
      </c>
      <c r="T1222">
        <v>0</v>
      </c>
      <c r="U1222">
        <f>laptop[[#This Row],[PrimaryStorage]]+laptop[[#This Row],[SecondaryStorage]]</f>
        <v>256</v>
      </c>
      <c r="V1222" t="s">
        <v>31</v>
      </c>
      <c r="W1222" t="s">
        <v>27</v>
      </c>
      <c r="X1222" t="str">
        <f>IF(laptop[[#This Row],[PrimaryStorageType]]=laptop[[#This Row],[SecondaryStorageType]],laptop[[#This Row],[PrimaryStorageType]],"SSD &amp; HDD")</f>
        <v>SSD &amp; HDD</v>
      </c>
      <c r="Y1222" t="s">
        <v>63</v>
      </c>
      <c r="Z1222" s="4" t="str">
        <f>_xlfn.CONCAT(laptop[[#This Row],[CPU_company]]," ",laptop[[#This Row],[GPU_model]])</f>
        <v>Intel HD Graphics 520</v>
      </c>
    </row>
    <row r="1223" spans="1:26" x14ac:dyDescent="0.25">
      <c r="A1223" t="s">
        <v>141</v>
      </c>
      <c r="B1223" t="s">
        <v>860</v>
      </c>
      <c r="C1223" t="s">
        <v>83</v>
      </c>
      <c r="D1223">
        <v>15.6</v>
      </c>
      <c r="E1223">
        <v>8</v>
      </c>
      <c r="F1223" t="s">
        <v>48</v>
      </c>
      <c r="G1223">
        <v>2.2000000000000002</v>
      </c>
      <c r="H1223" s="16">
        <v>1476.11</v>
      </c>
      <c r="I1223" t="s">
        <v>40</v>
      </c>
      <c r="J1223">
        <v>1920</v>
      </c>
      <c r="K1223">
        <v>1080</v>
      </c>
      <c r="L1223" t="s">
        <v>27</v>
      </c>
      <c r="M1223" t="s">
        <v>27</v>
      </c>
      <c r="N1223" t="s">
        <v>27</v>
      </c>
      <c r="O1223" t="s">
        <v>29</v>
      </c>
      <c r="P1223">
        <v>2.6</v>
      </c>
      <c r="Q1223" t="s">
        <v>447</v>
      </c>
      <c r="R1223" t="str">
        <f>_xlfn.CONCAT(laptop[[#This Row],[CPU_company]]," ",laptop[[#This Row],[CPU_model]])</f>
        <v>Intel Core i7 6700HQ</v>
      </c>
      <c r="S1223">
        <v>128</v>
      </c>
      <c r="T1223">
        <v>1024</v>
      </c>
      <c r="U1223">
        <f>laptop[[#This Row],[PrimaryStorage]]+laptop[[#This Row],[SecondaryStorage]]</f>
        <v>1152</v>
      </c>
      <c r="V1223" t="s">
        <v>31</v>
      </c>
      <c r="W1223" t="s">
        <v>51</v>
      </c>
      <c r="X1223" t="str">
        <f>IF(laptop[[#This Row],[PrimaryStorageType]]=laptop[[#This Row],[SecondaryStorageType]],laptop[[#This Row],[PrimaryStorageType]],"SSD &amp; HDD")</f>
        <v>SSD &amp; HDD</v>
      </c>
      <c r="Y1223" t="s">
        <v>119</v>
      </c>
      <c r="Z1223" s="4" t="str">
        <f>_xlfn.CONCAT(laptop[[#This Row],[CPU_company]]," ",laptop[[#This Row],[GPU_model]])</f>
        <v>Intel GeForce GTX 1060</v>
      </c>
    </row>
    <row r="1224" spans="1:26" x14ac:dyDescent="0.25">
      <c r="A1224" t="s">
        <v>36</v>
      </c>
      <c r="B1224" t="s">
        <v>861</v>
      </c>
      <c r="C1224" t="s">
        <v>38</v>
      </c>
      <c r="D1224">
        <v>15.6</v>
      </c>
      <c r="E1224">
        <v>6</v>
      </c>
      <c r="F1224" t="s">
        <v>48</v>
      </c>
      <c r="G1224">
        <v>2.1</v>
      </c>
      <c r="H1224" s="16">
        <v>529</v>
      </c>
      <c r="I1224" t="s">
        <v>40</v>
      </c>
      <c r="J1224">
        <v>1920</v>
      </c>
      <c r="K1224">
        <v>1080</v>
      </c>
      <c r="L1224" t="s">
        <v>27</v>
      </c>
      <c r="M1224" t="s">
        <v>27</v>
      </c>
      <c r="N1224" t="s">
        <v>27</v>
      </c>
      <c r="O1224" t="s">
        <v>49</v>
      </c>
      <c r="P1224">
        <v>2.7</v>
      </c>
      <c r="Q1224" t="s">
        <v>350</v>
      </c>
      <c r="R1224" t="str">
        <f>_xlfn.CONCAT(laptop[[#This Row],[CPU_company]]," ",laptop[[#This Row],[CPU_model]])</f>
        <v>AMD A12-Series 9720P</v>
      </c>
      <c r="S1224">
        <v>1024</v>
      </c>
      <c r="T1224">
        <v>0</v>
      </c>
      <c r="U1224">
        <f>laptop[[#This Row],[PrimaryStorage]]+laptop[[#This Row],[SecondaryStorage]]</f>
        <v>1024</v>
      </c>
      <c r="V1224" t="s">
        <v>51</v>
      </c>
      <c r="W1224" t="s">
        <v>27</v>
      </c>
      <c r="X1224" t="str">
        <f>IF(laptop[[#This Row],[PrimaryStorageType]]=laptop[[#This Row],[SecondaryStorageType]],laptop[[#This Row],[PrimaryStorageType]],"SSD &amp; HDD")</f>
        <v>SSD &amp; HDD</v>
      </c>
      <c r="Y1224" t="s">
        <v>94</v>
      </c>
      <c r="Z1224" s="4" t="str">
        <f>_xlfn.CONCAT(laptop[[#This Row],[CPU_company]]," ",laptop[[#This Row],[GPU_model]])</f>
        <v>AMD Radeon 530</v>
      </c>
    </row>
    <row r="1225" spans="1:26" x14ac:dyDescent="0.25">
      <c r="A1225" t="s">
        <v>65</v>
      </c>
      <c r="B1225" t="s">
        <v>862</v>
      </c>
      <c r="C1225" t="s">
        <v>24</v>
      </c>
      <c r="D1225">
        <v>12.5</v>
      </c>
      <c r="E1225">
        <v>8</v>
      </c>
      <c r="F1225" t="s">
        <v>480</v>
      </c>
      <c r="G1225">
        <v>1.26</v>
      </c>
      <c r="H1225" s="16">
        <v>1713.37</v>
      </c>
      <c r="I1225" t="s">
        <v>40</v>
      </c>
      <c r="J1225">
        <v>1920</v>
      </c>
      <c r="K1225">
        <v>1080</v>
      </c>
      <c r="L1225" t="s">
        <v>28</v>
      </c>
      <c r="M1225" t="s">
        <v>27</v>
      </c>
      <c r="N1225" t="s">
        <v>27</v>
      </c>
      <c r="O1225" t="s">
        <v>29</v>
      </c>
      <c r="P1225">
        <v>2.4</v>
      </c>
      <c r="Q1225" t="s">
        <v>562</v>
      </c>
      <c r="R1225" t="str">
        <f>_xlfn.CONCAT(laptop[[#This Row],[CPU_company]]," ",laptop[[#This Row],[CPU_model]])</f>
        <v>Intel Core i5 6300U</v>
      </c>
      <c r="S1225">
        <v>256</v>
      </c>
      <c r="T1225">
        <v>0</v>
      </c>
      <c r="U1225">
        <f>laptop[[#This Row],[PrimaryStorage]]+laptop[[#This Row],[SecondaryStorage]]</f>
        <v>256</v>
      </c>
      <c r="V1225" t="s">
        <v>31</v>
      </c>
      <c r="W1225" t="s">
        <v>27</v>
      </c>
      <c r="X1225" t="str">
        <f>IF(laptop[[#This Row],[PrimaryStorageType]]=laptop[[#This Row],[SecondaryStorageType]],laptop[[#This Row],[PrimaryStorageType]],"SSD &amp; HDD")</f>
        <v>SSD &amp; HDD</v>
      </c>
      <c r="Y1225" t="s">
        <v>63</v>
      </c>
      <c r="Z1225" s="4" t="str">
        <f>_xlfn.CONCAT(laptop[[#This Row],[CPU_company]]," ",laptop[[#This Row],[GPU_model]])</f>
        <v>Intel HD Graphics 520</v>
      </c>
    </row>
    <row r="1226" spans="1:26" x14ac:dyDescent="0.25">
      <c r="A1226" t="s">
        <v>65</v>
      </c>
      <c r="B1226" t="s">
        <v>775</v>
      </c>
      <c r="C1226" t="s">
        <v>90</v>
      </c>
      <c r="D1226">
        <v>15</v>
      </c>
      <c r="E1226">
        <v>4</v>
      </c>
      <c r="F1226" t="s">
        <v>48</v>
      </c>
      <c r="G1226">
        <v>2.08</v>
      </c>
      <c r="H1226" s="16">
        <v>509</v>
      </c>
      <c r="I1226" t="s">
        <v>40</v>
      </c>
      <c r="J1226">
        <v>1920</v>
      </c>
      <c r="K1226">
        <v>1080</v>
      </c>
      <c r="L1226" t="s">
        <v>28</v>
      </c>
      <c r="M1226" t="s">
        <v>27</v>
      </c>
      <c r="N1226" t="s">
        <v>27</v>
      </c>
      <c r="O1226" t="s">
        <v>29</v>
      </c>
      <c r="P1226">
        <v>2.4</v>
      </c>
      <c r="Q1226" t="s">
        <v>75</v>
      </c>
      <c r="R1226" t="str">
        <f>_xlfn.CONCAT(laptop[[#This Row],[CPU_company]]," ",laptop[[#This Row],[CPU_model]])</f>
        <v>Intel Core i3 7100U</v>
      </c>
      <c r="S1226">
        <v>500</v>
      </c>
      <c r="T1226">
        <v>0</v>
      </c>
      <c r="U1226">
        <f>laptop[[#This Row],[PrimaryStorage]]+laptop[[#This Row],[SecondaryStorage]]</f>
        <v>500</v>
      </c>
      <c r="V1226" t="s">
        <v>51</v>
      </c>
      <c r="W1226" t="s">
        <v>27</v>
      </c>
      <c r="X1226" t="str">
        <f>IF(laptop[[#This Row],[PrimaryStorageType]]=laptop[[#This Row],[SecondaryStorageType]],laptop[[#This Row],[PrimaryStorageType]],"SSD &amp; HDD")</f>
        <v>SSD &amp; HDD</v>
      </c>
      <c r="Y1226" t="s">
        <v>42</v>
      </c>
      <c r="Z1226" s="4" t="str">
        <f>_xlfn.CONCAT(laptop[[#This Row],[CPU_company]]," ",laptop[[#This Row],[GPU_model]])</f>
        <v>Intel HD Graphics 620</v>
      </c>
    </row>
    <row r="1227" spans="1:26" x14ac:dyDescent="0.25">
      <c r="A1227" t="s">
        <v>55</v>
      </c>
      <c r="B1227" t="s">
        <v>863</v>
      </c>
      <c r="C1227" t="s">
        <v>38</v>
      </c>
      <c r="D1227">
        <v>15.6</v>
      </c>
      <c r="E1227">
        <v>4</v>
      </c>
      <c r="F1227" t="s">
        <v>48</v>
      </c>
      <c r="G1227">
        <v>2.65</v>
      </c>
      <c r="H1227" s="16">
        <v>309</v>
      </c>
      <c r="I1227" t="s">
        <v>26</v>
      </c>
      <c r="J1227">
        <v>1366</v>
      </c>
      <c r="K1227">
        <v>768</v>
      </c>
      <c r="L1227" t="s">
        <v>27</v>
      </c>
      <c r="M1227" t="s">
        <v>27</v>
      </c>
      <c r="N1227" t="s">
        <v>27</v>
      </c>
      <c r="O1227" t="s">
        <v>29</v>
      </c>
      <c r="P1227">
        <v>1.6</v>
      </c>
      <c r="Q1227" t="s">
        <v>346</v>
      </c>
      <c r="R1227" t="str">
        <f>_xlfn.CONCAT(laptop[[#This Row],[CPU_company]]," ",laptop[[#This Row],[CPU_model]])</f>
        <v>Intel Pentium Quad Core N3710</v>
      </c>
      <c r="S1227">
        <v>1024</v>
      </c>
      <c r="T1227">
        <v>0</v>
      </c>
      <c r="U1227">
        <f>laptop[[#This Row],[PrimaryStorage]]+laptop[[#This Row],[SecondaryStorage]]</f>
        <v>1024</v>
      </c>
      <c r="V1227" t="s">
        <v>51</v>
      </c>
      <c r="W1227" t="s">
        <v>27</v>
      </c>
      <c r="X1227" t="str">
        <f>IF(laptop[[#This Row],[PrimaryStorageType]]=laptop[[#This Row],[SecondaryStorageType]],laptop[[#This Row],[PrimaryStorageType]],"SSD &amp; HDD")</f>
        <v>SSD &amp; HDD</v>
      </c>
      <c r="Y1227" t="s">
        <v>347</v>
      </c>
      <c r="Z1227" s="4" t="str">
        <f>_xlfn.CONCAT(laptop[[#This Row],[CPU_company]]," ",laptop[[#This Row],[GPU_model]])</f>
        <v>Intel HD Graphics 405</v>
      </c>
    </row>
    <row r="1228" spans="1:26" x14ac:dyDescent="0.25">
      <c r="A1228" t="s">
        <v>65</v>
      </c>
      <c r="B1228" t="s">
        <v>77</v>
      </c>
      <c r="C1228" t="s">
        <v>24</v>
      </c>
      <c r="D1228">
        <v>13.3</v>
      </c>
      <c r="E1228">
        <v>8</v>
      </c>
      <c r="F1228" t="s">
        <v>48</v>
      </c>
      <c r="G1228">
        <v>1.29</v>
      </c>
      <c r="H1228" s="16">
        <v>1477</v>
      </c>
      <c r="I1228" t="s">
        <v>107</v>
      </c>
      <c r="J1228">
        <v>3200</v>
      </c>
      <c r="K1228">
        <v>1800</v>
      </c>
      <c r="L1228" t="s">
        <v>28</v>
      </c>
      <c r="M1228" t="s">
        <v>27</v>
      </c>
      <c r="N1228" t="s">
        <v>27</v>
      </c>
      <c r="O1228" t="s">
        <v>29</v>
      </c>
      <c r="P1228">
        <v>2.7</v>
      </c>
      <c r="Q1228" t="s">
        <v>71</v>
      </c>
      <c r="R1228" t="str">
        <f>_xlfn.CONCAT(laptop[[#This Row],[CPU_company]]," ",laptop[[#This Row],[CPU_model]])</f>
        <v>Intel Core i7 7500U</v>
      </c>
      <c r="S1228">
        <v>256</v>
      </c>
      <c r="T1228">
        <v>0</v>
      </c>
      <c r="U1228">
        <f>laptop[[#This Row],[PrimaryStorage]]+laptop[[#This Row],[SecondaryStorage]]</f>
        <v>256</v>
      </c>
      <c r="V1228" t="s">
        <v>31</v>
      </c>
      <c r="W1228" t="s">
        <v>27</v>
      </c>
      <c r="X1228" t="str">
        <f>IF(laptop[[#This Row],[PrimaryStorageType]]=laptop[[#This Row],[SecondaryStorageType]],laptop[[#This Row],[PrimaryStorageType]],"SSD &amp; HDD")</f>
        <v>SSD &amp; HDD</v>
      </c>
      <c r="Y1228" t="s">
        <v>42</v>
      </c>
      <c r="Z1228" s="4" t="str">
        <f>_xlfn.CONCAT(laptop[[#This Row],[CPU_company]]," ",laptop[[#This Row],[GPU_model]])</f>
        <v>Intel HD Graphics 620</v>
      </c>
    </row>
    <row r="1229" spans="1:26" x14ac:dyDescent="0.25">
      <c r="A1229" t="s">
        <v>65</v>
      </c>
      <c r="B1229" t="s">
        <v>305</v>
      </c>
      <c r="C1229" t="s">
        <v>38</v>
      </c>
      <c r="D1229">
        <v>15.6</v>
      </c>
      <c r="E1229">
        <v>4</v>
      </c>
      <c r="F1229" t="s">
        <v>111</v>
      </c>
      <c r="G1229">
        <v>2.1800000000000002</v>
      </c>
      <c r="H1229" s="16">
        <v>521.86</v>
      </c>
      <c r="I1229" t="s">
        <v>26</v>
      </c>
      <c r="J1229">
        <v>1366</v>
      </c>
      <c r="K1229">
        <v>768</v>
      </c>
      <c r="L1229" t="s">
        <v>27</v>
      </c>
      <c r="M1229" t="s">
        <v>27</v>
      </c>
      <c r="N1229" t="s">
        <v>27</v>
      </c>
      <c r="O1229" t="s">
        <v>29</v>
      </c>
      <c r="P1229">
        <v>2.5</v>
      </c>
      <c r="Q1229" t="s">
        <v>41</v>
      </c>
      <c r="R1229" t="str">
        <f>_xlfn.CONCAT(laptop[[#This Row],[CPU_company]]," ",laptop[[#This Row],[CPU_model]])</f>
        <v>Intel Core i5 7200U</v>
      </c>
      <c r="S1229">
        <v>1024</v>
      </c>
      <c r="T1229">
        <v>0</v>
      </c>
      <c r="U1229">
        <f>laptop[[#This Row],[PrimaryStorage]]+laptop[[#This Row],[SecondaryStorage]]</f>
        <v>1024</v>
      </c>
      <c r="V1229" t="s">
        <v>51</v>
      </c>
      <c r="W1229" t="s">
        <v>27</v>
      </c>
      <c r="X1229" t="str">
        <f>IF(laptop[[#This Row],[PrimaryStorageType]]=laptop[[#This Row],[SecondaryStorageType]],laptop[[#This Row],[PrimaryStorageType]],"SSD &amp; HDD")</f>
        <v>SSD &amp; HDD</v>
      </c>
      <c r="Y1229" t="s">
        <v>63</v>
      </c>
      <c r="Z1229" s="4" t="str">
        <f>_xlfn.CONCAT(laptop[[#This Row],[CPU_company]]," ",laptop[[#This Row],[GPU_model]])</f>
        <v>Intel HD Graphics 520</v>
      </c>
    </row>
    <row r="1230" spans="1:26" x14ac:dyDescent="0.25">
      <c r="A1230" t="s">
        <v>73</v>
      </c>
      <c r="B1230" t="s">
        <v>559</v>
      </c>
      <c r="C1230" t="s">
        <v>83</v>
      </c>
      <c r="D1230">
        <v>15.6</v>
      </c>
      <c r="E1230">
        <v>16</v>
      </c>
      <c r="F1230" t="s">
        <v>48</v>
      </c>
      <c r="G1230">
        <v>2.6</v>
      </c>
      <c r="H1230" s="16">
        <v>1029</v>
      </c>
      <c r="I1230" t="s">
        <v>40</v>
      </c>
      <c r="J1230">
        <v>1920</v>
      </c>
      <c r="K1230">
        <v>1080</v>
      </c>
      <c r="L1230" t="s">
        <v>28</v>
      </c>
      <c r="M1230" t="s">
        <v>28</v>
      </c>
      <c r="N1230" t="s">
        <v>27</v>
      </c>
      <c r="O1230" t="s">
        <v>29</v>
      </c>
      <c r="P1230">
        <v>2.6</v>
      </c>
      <c r="Q1230" t="s">
        <v>447</v>
      </c>
      <c r="R1230" t="str">
        <f>_xlfn.CONCAT(laptop[[#This Row],[CPU_company]]," ",laptop[[#This Row],[CPU_model]])</f>
        <v>Intel Core i7 6700HQ</v>
      </c>
      <c r="S1230">
        <v>128</v>
      </c>
      <c r="T1230">
        <v>1024</v>
      </c>
      <c r="U1230">
        <f>laptop[[#This Row],[PrimaryStorage]]+laptop[[#This Row],[SecondaryStorage]]</f>
        <v>1152</v>
      </c>
      <c r="V1230" t="s">
        <v>31</v>
      </c>
      <c r="W1230" t="s">
        <v>51</v>
      </c>
      <c r="X1230" t="str">
        <f>IF(laptop[[#This Row],[PrimaryStorageType]]=laptop[[#This Row],[SecondaryStorageType]],laptop[[#This Row],[PrimaryStorageType]],"SSD &amp; HDD")</f>
        <v>SSD &amp; HDD</v>
      </c>
      <c r="Y1230" t="s">
        <v>483</v>
      </c>
      <c r="Z1230" s="4" t="str">
        <f>_xlfn.CONCAT(laptop[[#This Row],[CPU_company]]," ",laptop[[#This Row],[GPU_model]])</f>
        <v>Intel GeForce GTX 960M</v>
      </c>
    </row>
    <row r="1231" spans="1:26" x14ac:dyDescent="0.25">
      <c r="A1231" t="s">
        <v>141</v>
      </c>
      <c r="B1231" t="s">
        <v>864</v>
      </c>
      <c r="C1231" t="s">
        <v>83</v>
      </c>
      <c r="D1231">
        <v>15.6</v>
      </c>
      <c r="E1231">
        <v>8</v>
      </c>
      <c r="F1231" t="s">
        <v>48</v>
      </c>
      <c r="G1231">
        <v>2.2000000000000002</v>
      </c>
      <c r="H1231" s="16">
        <v>1149</v>
      </c>
      <c r="I1231" t="s">
        <v>40</v>
      </c>
      <c r="J1231">
        <v>1920</v>
      </c>
      <c r="K1231">
        <v>1080</v>
      </c>
      <c r="L1231" t="s">
        <v>27</v>
      </c>
      <c r="M1231" t="s">
        <v>27</v>
      </c>
      <c r="N1231" t="s">
        <v>27</v>
      </c>
      <c r="O1231" t="s">
        <v>29</v>
      </c>
      <c r="P1231">
        <v>2.8</v>
      </c>
      <c r="Q1231" t="s">
        <v>118</v>
      </c>
      <c r="R1231" t="str">
        <f>_xlfn.CONCAT(laptop[[#This Row],[CPU_company]]," ",laptop[[#This Row],[CPU_model]])</f>
        <v>Intel Core i7 7700HQ</v>
      </c>
      <c r="S1231">
        <v>128</v>
      </c>
      <c r="T1231">
        <v>1024</v>
      </c>
      <c r="U1231">
        <f>laptop[[#This Row],[PrimaryStorage]]+laptop[[#This Row],[SecondaryStorage]]</f>
        <v>1152</v>
      </c>
      <c r="V1231" t="s">
        <v>31</v>
      </c>
      <c r="W1231" t="s">
        <v>51</v>
      </c>
      <c r="X1231" t="str">
        <f>IF(laptop[[#This Row],[PrimaryStorageType]]=laptop[[#This Row],[SecondaryStorageType]],laptop[[#This Row],[PrimaryStorageType]],"SSD &amp; HDD")</f>
        <v>SSD &amp; HDD</v>
      </c>
      <c r="Y1231" t="s">
        <v>85</v>
      </c>
      <c r="Z1231" s="4" t="str">
        <f>_xlfn.CONCAT(laptop[[#This Row],[CPU_company]]," ",laptop[[#This Row],[GPU_model]])</f>
        <v>Intel GeForce GTX 1050</v>
      </c>
    </row>
    <row r="1232" spans="1:26" x14ac:dyDescent="0.25">
      <c r="A1232" t="s">
        <v>73</v>
      </c>
      <c r="B1232" t="s">
        <v>190</v>
      </c>
      <c r="C1232" t="s">
        <v>79</v>
      </c>
      <c r="D1232">
        <v>12.5</v>
      </c>
      <c r="E1232">
        <v>16</v>
      </c>
      <c r="F1232" t="s">
        <v>48</v>
      </c>
      <c r="G1232">
        <v>1.3</v>
      </c>
      <c r="H1232" s="16">
        <v>1650</v>
      </c>
      <c r="I1232" t="s">
        <v>40</v>
      </c>
      <c r="J1232">
        <v>1920</v>
      </c>
      <c r="K1232">
        <v>1080</v>
      </c>
      <c r="L1232" t="s">
        <v>28</v>
      </c>
      <c r="M1232" t="s">
        <v>28</v>
      </c>
      <c r="N1232" t="s">
        <v>27</v>
      </c>
      <c r="O1232" t="s">
        <v>29</v>
      </c>
      <c r="P1232">
        <v>2.5</v>
      </c>
      <c r="Q1232" t="s">
        <v>274</v>
      </c>
      <c r="R1232" t="str">
        <f>_xlfn.CONCAT(laptop[[#This Row],[CPU_company]]," ",laptop[[#This Row],[CPU_model]])</f>
        <v>Intel Core i7 6500U</v>
      </c>
      <c r="S1232">
        <v>512</v>
      </c>
      <c r="T1232">
        <v>0</v>
      </c>
      <c r="U1232">
        <f>laptop[[#This Row],[PrimaryStorage]]+laptop[[#This Row],[SecondaryStorage]]</f>
        <v>512</v>
      </c>
      <c r="V1232" t="s">
        <v>31</v>
      </c>
      <c r="W1232" t="s">
        <v>27</v>
      </c>
      <c r="X1232" t="str">
        <f>IF(laptop[[#This Row],[PrimaryStorageType]]=laptop[[#This Row],[SecondaryStorageType]],laptop[[#This Row],[PrimaryStorageType]],"SSD &amp; HDD")</f>
        <v>SSD &amp; HDD</v>
      </c>
      <c r="Y1232" t="s">
        <v>63</v>
      </c>
      <c r="Z1232" s="4" t="str">
        <f>_xlfn.CONCAT(laptop[[#This Row],[CPU_company]]," ",laptop[[#This Row],[GPU_model]])</f>
        <v>Intel HD Graphics 520</v>
      </c>
    </row>
    <row r="1233" spans="1:26" x14ac:dyDescent="0.25">
      <c r="A1233" t="s">
        <v>256</v>
      </c>
      <c r="B1233" t="s">
        <v>257</v>
      </c>
      <c r="C1233" t="s">
        <v>83</v>
      </c>
      <c r="D1233">
        <v>14</v>
      </c>
      <c r="E1233">
        <v>16</v>
      </c>
      <c r="F1233" t="s">
        <v>48</v>
      </c>
      <c r="G1233">
        <v>1.95</v>
      </c>
      <c r="H1233" s="16">
        <v>3499</v>
      </c>
      <c r="I1233" t="s">
        <v>40</v>
      </c>
      <c r="J1233">
        <v>1920</v>
      </c>
      <c r="K1233">
        <v>1080</v>
      </c>
      <c r="L1233" t="s">
        <v>27</v>
      </c>
      <c r="M1233" t="s">
        <v>27</v>
      </c>
      <c r="N1233" t="s">
        <v>27</v>
      </c>
      <c r="O1233" t="s">
        <v>29</v>
      </c>
      <c r="P1233">
        <v>2.8</v>
      </c>
      <c r="Q1233" t="s">
        <v>118</v>
      </c>
      <c r="R1233" t="str">
        <f>_xlfn.CONCAT(laptop[[#This Row],[CPU_company]]," ",laptop[[#This Row],[CPU_model]])</f>
        <v>Intel Core i7 7700HQ</v>
      </c>
      <c r="S1233">
        <v>1024</v>
      </c>
      <c r="T1233">
        <v>0</v>
      </c>
      <c r="U1233">
        <f>laptop[[#This Row],[PrimaryStorage]]+laptop[[#This Row],[SecondaryStorage]]</f>
        <v>1024</v>
      </c>
      <c r="V1233" t="s">
        <v>31</v>
      </c>
      <c r="W1233" t="s">
        <v>27</v>
      </c>
      <c r="X1233" t="str">
        <f>IF(laptop[[#This Row],[PrimaryStorageType]]=laptop[[#This Row],[SecondaryStorageType]],laptop[[#This Row],[PrimaryStorageType]],"SSD &amp; HDD")</f>
        <v>SSD &amp; HDD</v>
      </c>
      <c r="Y1233" t="s">
        <v>119</v>
      </c>
      <c r="Z1233" s="4" t="str">
        <f>_xlfn.CONCAT(laptop[[#This Row],[CPU_company]]," ",laptop[[#This Row],[GPU_model]])</f>
        <v>Intel GeForce GTX 1060</v>
      </c>
    </row>
    <row r="1234" spans="1:26" x14ac:dyDescent="0.25">
      <c r="A1234" t="s">
        <v>65</v>
      </c>
      <c r="B1234" t="s">
        <v>66</v>
      </c>
      <c r="C1234" t="s">
        <v>38</v>
      </c>
      <c r="D1234">
        <v>15.6</v>
      </c>
      <c r="E1234">
        <v>8</v>
      </c>
      <c r="F1234" t="s">
        <v>48</v>
      </c>
      <c r="G1234">
        <v>2.2999999999999998</v>
      </c>
      <c r="H1234" s="16">
        <v>469.01</v>
      </c>
      <c r="I1234" t="s">
        <v>26</v>
      </c>
      <c r="J1234">
        <v>1366</v>
      </c>
      <c r="K1234">
        <v>768</v>
      </c>
      <c r="L1234" t="s">
        <v>28</v>
      </c>
      <c r="M1234" t="s">
        <v>27</v>
      </c>
      <c r="N1234" t="s">
        <v>27</v>
      </c>
      <c r="O1234" t="s">
        <v>29</v>
      </c>
      <c r="P1234">
        <v>2.4</v>
      </c>
      <c r="Q1234" t="s">
        <v>75</v>
      </c>
      <c r="R1234" t="str">
        <f>_xlfn.CONCAT(laptop[[#This Row],[CPU_company]]," ",laptop[[#This Row],[CPU_model]])</f>
        <v>Intel Core i3 7100U</v>
      </c>
      <c r="S1234">
        <v>1024</v>
      </c>
      <c r="T1234">
        <v>0</v>
      </c>
      <c r="U1234">
        <f>laptop[[#This Row],[PrimaryStorage]]+laptop[[#This Row],[SecondaryStorage]]</f>
        <v>1024</v>
      </c>
      <c r="V1234" t="s">
        <v>51</v>
      </c>
      <c r="W1234" t="s">
        <v>27</v>
      </c>
      <c r="X1234" t="str">
        <f>IF(laptop[[#This Row],[PrimaryStorageType]]=laptop[[#This Row],[SecondaryStorageType]],laptop[[#This Row],[PrimaryStorageType]],"SSD &amp; HDD")</f>
        <v>SSD &amp; HDD</v>
      </c>
      <c r="Y1234" t="s">
        <v>42</v>
      </c>
      <c r="Z1234" s="4" t="str">
        <f>_xlfn.CONCAT(laptop[[#This Row],[CPU_company]]," ",laptop[[#This Row],[GPU_model]])</f>
        <v>Intel HD Graphics 620</v>
      </c>
    </row>
    <row r="1235" spans="1:26" x14ac:dyDescent="0.25">
      <c r="A1235" t="s">
        <v>141</v>
      </c>
      <c r="B1235" t="s">
        <v>865</v>
      </c>
      <c r="C1235" t="s">
        <v>83</v>
      </c>
      <c r="D1235">
        <v>17.3</v>
      </c>
      <c r="E1235">
        <v>16</v>
      </c>
      <c r="F1235" t="s">
        <v>48</v>
      </c>
      <c r="G1235">
        <v>2.7</v>
      </c>
      <c r="H1235" s="16">
        <v>1598</v>
      </c>
      <c r="I1235" t="s">
        <v>40</v>
      </c>
      <c r="J1235">
        <v>1920</v>
      </c>
      <c r="K1235">
        <v>1080</v>
      </c>
      <c r="L1235" t="s">
        <v>27</v>
      </c>
      <c r="M1235" t="s">
        <v>27</v>
      </c>
      <c r="N1235" t="s">
        <v>27</v>
      </c>
      <c r="O1235" t="s">
        <v>29</v>
      </c>
      <c r="P1235">
        <v>2.8</v>
      </c>
      <c r="Q1235" t="s">
        <v>118</v>
      </c>
      <c r="R1235" t="str">
        <f>_xlfn.CONCAT(laptop[[#This Row],[CPU_company]]," ",laptop[[#This Row],[CPU_model]])</f>
        <v>Intel Core i7 7700HQ</v>
      </c>
      <c r="S1235">
        <v>256</v>
      </c>
      <c r="T1235">
        <v>1024</v>
      </c>
      <c r="U1235">
        <f>laptop[[#This Row],[PrimaryStorage]]+laptop[[#This Row],[SecondaryStorage]]</f>
        <v>1280</v>
      </c>
      <c r="V1235" t="s">
        <v>31</v>
      </c>
      <c r="W1235" t="s">
        <v>51</v>
      </c>
      <c r="X1235" t="str">
        <f>IF(laptop[[#This Row],[PrimaryStorageType]]=laptop[[#This Row],[SecondaryStorageType]],laptop[[#This Row],[PrimaryStorageType]],"SSD &amp; HDD")</f>
        <v>SSD &amp; HDD</v>
      </c>
      <c r="Y1235" t="s">
        <v>119</v>
      </c>
      <c r="Z1235" s="4" t="str">
        <f>_xlfn.CONCAT(laptop[[#This Row],[CPU_company]]," ",laptop[[#This Row],[GPU_model]])</f>
        <v>Intel GeForce GTX 1060</v>
      </c>
    </row>
    <row r="1236" spans="1:26" x14ac:dyDescent="0.25">
      <c r="A1236" t="s">
        <v>22</v>
      </c>
      <c r="B1236" t="s">
        <v>92</v>
      </c>
      <c r="C1236" t="s">
        <v>24</v>
      </c>
      <c r="D1236">
        <v>11.6</v>
      </c>
      <c r="E1236">
        <v>4</v>
      </c>
      <c r="F1236" t="s">
        <v>53</v>
      </c>
      <c r="G1236">
        <v>1.08</v>
      </c>
      <c r="H1236" s="16">
        <v>959</v>
      </c>
      <c r="I1236" t="s">
        <v>26</v>
      </c>
      <c r="J1236">
        <v>1366</v>
      </c>
      <c r="K1236">
        <v>768</v>
      </c>
      <c r="L1236" t="s">
        <v>27</v>
      </c>
      <c r="M1236" t="s">
        <v>27</v>
      </c>
      <c r="N1236" t="s">
        <v>27</v>
      </c>
      <c r="O1236" t="s">
        <v>29</v>
      </c>
      <c r="P1236">
        <v>1.6</v>
      </c>
      <c r="Q1236" t="s">
        <v>30</v>
      </c>
      <c r="R1236" t="str">
        <f>_xlfn.CONCAT(laptop[[#This Row],[CPU_company]]," ",laptop[[#This Row],[CPU_model]])</f>
        <v>Intel Core i5</v>
      </c>
      <c r="S1236">
        <v>256</v>
      </c>
      <c r="T1236">
        <v>0</v>
      </c>
      <c r="U1236">
        <f>laptop[[#This Row],[PrimaryStorage]]+laptop[[#This Row],[SecondaryStorage]]</f>
        <v>256</v>
      </c>
      <c r="V1236" t="s">
        <v>34</v>
      </c>
      <c r="W1236" t="s">
        <v>27</v>
      </c>
      <c r="X1236" t="str">
        <f>IF(laptop[[#This Row],[PrimaryStorageType]]=laptop[[#This Row],[SecondaryStorageType]],laptop[[#This Row],[PrimaryStorageType]],"SSD &amp; HDD")</f>
        <v>SSD &amp; HDD</v>
      </c>
      <c r="Y1236" t="s">
        <v>35</v>
      </c>
      <c r="Z1236" s="4" t="str">
        <f>_xlfn.CONCAT(laptop[[#This Row],[CPU_company]]," ",laptop[[#This Row],[GPU_model]])</f>
        <v>Intel HD Graphics 6000</v>
      </c>
    </row>
    <row r="1237" spans="1:26" x14ac:dyDescent="0.25">
      <c r="A1237" t="s">
        <v>36</v>
      </c>
      <c r="B1237" t="s">
        <v>866</v>
      </c>
      <c r="C1237" t="s">
        <v>38</v>
      </c>
      <c r="D1237">
        <v>15.6</v>
      </c>
      <c r="E1237">
        <v>4</v>
      </c>
      <c r="F1237" t="s">
        <v>48</v>
      </c>
      <c r="G1237">
        <v>2.1</v>
      </c>
      <c r="H1237" s="16">
        <v>478</v>
      </c>
      <c r="I1237" t="s">
        <v>40</v>
      </c>
      <c r="J1237">
        <v>1920</v>
      </c>
      <c r="K1237">
        <v>1080</v>
      </c>
      <c r="L1237" t="s">
        <v>27</v>
      </c>
      <c r="M1237" t="s">
        <v>27</v>
      </c>
      <c r="N1237" t="s">
        <v>27</v>
      </c>
      <c r="O1237" t="s">
        <v>29</v>
      </c>
      <c r="P1237">
        <v>2</v>
      </c>
      <c r="Q1237" t="s">
        <v>62</v>
      </c>
      <c r="R1237" t="str">
        <f>_xlfn.CONCAT(laptop[[#This Row],[CPU_company]]," ",laptop[[#This Row],[CPU_model]])</f>
        <v>Intel Core i3 6006U</v>
      </c>
      <c r="S1237">
        <v>1024</v>
      </c>
      <c r="T1237">
        <v>0</v>
      </c>
      <c r="U1237">
        <f>laptop[[#This Row],[PrimaryStorage]]+laptop[[#This Row],[SecondaryStorage]]</f>
        <v>1024</v>
      </c>
      <c r="V1237" t="s">
        <v>51</v>
      </c>
      <c r="W1237" t="s">
        <v>27</v>
      </c>
      <c r="X1237" t="str">
        <f>IF(laptop[[#This Row],[PrimaryStorageType]]=laptop[[#This Row],[SecondaryStorageType]],laptop[[#This Row],[PrimaryStorageType]],"SSD &amp; HDD")</f>
        <v>SSD &amp; HDD</v>
      </c>
      <c r="Y1237" t="s">
        <v>63</v>
      </c>
      <c r="Z1237" s="4" t="str">
        <f>_xlfn.CONCAT(laptop[[#This Row],[CPU_company]]," ",laptop[[#This Row],[GPU_model]])</f>
        <v>Intel HD Graphics 520</v>
      </c>
    </row>
    <row r="1238" spans="1:26" x14ac:dyDescent="0.25">
      <c r="A1238" t="s">
        <v>36</v>
      </c>
      <c r="B1238" t="s">
        <v>226</v>
      </c>
      <c r="C1238" t="s">
        <v>24</v>
      </c>
      <c r="D1238">
        <v>14</v>
      </c>
      <c r="E1238">
        <v>8</v>
      </c>
      <c r="F1238" t="s">
        <v>480</v>
      </c>
      <c r="G1238">
        <v>1.54</v>
      </c>
      <c r="H1238" s="16">
        <v>2198.19</v>
      </c>
      <c r="I1238" t="s">
        <v>26</v>
      </c>
      <c r="J1238">
        <v>2560</v>
      </c>
      <c r="K1238">
        <v>1440</v>
      </c>
      <c r="L1238" t="s">
        <v>27</v>
      </c>
      <c r="M1238" t="s">
        <v>27</v>
      </c>
      <c r="N1238" t="s">
        <v>27</v>
      </c>
      <c r="O1238" t="s">
        <v>29</v>
      </c>
      <c r="P1238">
        <v>2.5</v>
      </c>
      <c r="Q1238" t="s">
        <v>274</v>
      </c>
      <c r="R1238" t="str">
        <f>_xlfn.CONCAT(laptop[[#This Row],[CPU_company]]," ",laptop[[#This Row],[CPU_model]])</f>
        <v>Intel Core i7 6500U</v>
      </c>
      <c r="S1238">
        <v>256</v>
      </c>
      <c r="T1238">
        <v>0</v>
      </c>
      <c r="U1238">
        <f>laptop[[#This Row],[PrimaryStorage]]+laptop[[#This Row],[SecondaryStorage]]</f>
        <v>256</v>
      </c>
      <c r="V1238" t="s">
        <v>31</v>
      </c>
      <c r="W1238" t="s">
        <v>27</v>
      </c>
      <c r="X1238" t="str">
        <f>IF(laptop[[#This Row],[PrimaryStorageType]]=laptop[[#This Row],[SecondaryStorageType]],laptop[[#This Row],[PrimaryStorageType]],"SSD &amp; HDD")</f>
        <v>SSD &amp; HDD</v>
      </c>
      <c r="Y1238" t="s">
        <v>63</v>
      </c>
      <c r="Z1238" s="4" t="str">
        <f>_xlfn.CONCAT(laptop[[#This Row],[CPU_company]]," ",laptop[[#This Row],[GPU_model]])</f>
        <v>Intel HD Graphics 520</v>
      </c>
    </row>
    <row r="1239" spans="1:26" x14ac:dyDescent="0.25">
      <c r="A1239" t="s">
        <v>65</v>
      </c>
      <c r="B1239" t="s">
        <v>806</v>
      </c>
      <c r="C1239" t="s">
        <v>38</v>
      </c>
      <c r="D1239">
        <v>15.6</v>
      </c>
      <c r="E1239">
        <v>4</v>
      </c>
      <c r="F1239" t="s">
        <v>480</v>
      </c>
      <c r="G1239">
        <v>2.2400000000000002</v>
      </c>
      <c r="H1239" s="16">
        <v>737</v>
      </c>
      <c r="I1239" t="s">
        <v>26</v>
      </c>
      <c r="J1239">
        <v>1366</v>
      </c>
      <c r="K1239">
        <v>768</v>
      </c>
      <c r="L1239" t="s">
        <v>27</v>
      </c>
      <c r="M1239" t="s">
        <v>27</v>
      </c>
      <c r="N1239" t="s">
        <v>27</v>
      </c>
      <c r="O1239" t="s">
        <v>29</v>
      </c>
      <c r="P1239">
        <v>2.2999999999999998</v>
      </c>
      <c r="Q1239" t="s">
        <v>212</v>
      </c>
      <c r="R1239" t="str">
        <f>_xlfn.CONCAT(laptop[[#This Row],[CPU_company]]," ",laptop[[#This Row],[CPU_model]])</f>
        <v>Intel Core i5 6200U</v>
      </c>
      <c r="S1239">
        <v>500</v>
      </c>
      <c r="T1239">
        <v>0</v>
      </c>
      <c r="U1239">
        <f>laptop[[#This Row],[PrimaryStorage]]+laptop[[#This Row],[SecondaryStorage]]</f>
        <v>500</v>
      </c>
      <c r="V1239" t="s">
        <v>51</v>
      </c>
      <c r="W1239" t="s">
        <v>27</v>
      </c>
      <c r="X1239" t="str">
        <f>IF(laptop[[#This Row],[PrimaryStorageType]]=laptop[[#This Row],[SecondaryStorageType]],laptop[[#This Row],[PrimaryStorageType]],"SSD &amp; HDD")</f>
        <v>SSD &amp; HDD</v>
      </c>
      <c r="Y1239" t="s">
        <v>63</v>
      </c>
      <c r="Z1239" s="4" t="str">
        <f>_xlfn.CONCAT(laptop[[#This Row],[CPU_company]]," ",laptop[[#This Row],[GPU_model]])</f>
        <v>Intel HD Graphics 520</v>
      </c>
    </row>
    <row r="1240" spans="1:26" x14ac:dyDescent="0.25">
      <c r="A1240" t="s">
        <v>141</v>
      </c>
      <c r="B1240" t="s">
        <v>867</v>
      </c>
      <c r="C1240" t="s">
        <v>83</v>
      </c>
      <c r="D1240">
        <v>15.6</v>
      </c>
      <c r="E1240">
        <v>8</v>
      </c>
      <c r="F1240" t="s">
        <v>48</v>
      </c>
      <c r="G1240">
        <v>2.2999999999999998</v>
      </c>
      <c r="H1240" s="16">
        <v>1169</v>
      </c>
      <c r="I1240" t="s">
        <v>40</v>
      </c>
      <c r="J1240">
        <v>1920</v>
      </c>
      <c r="K1240">
        <v>1080</v>
      </c>
      <c r="L1240" t="s">
        <v>27</v>
      </c>
      <c r="M1240" t="s">
        <v>27</v>
      </c>
      <c r="N1240" t="s">
        <v>27</v>
      </c>
      <c r="O1240" t="s">
        <v>29</v>
      </c>
      <c r="P1240">
        <v>2.6</v>
      </c>
      <c r="Q1240" t="s">
        <v>447</v>
      </c>
      <c r="R1240" t="str">
        <f>_xlfn.CONCAT(laptop[[#This Row],[CPU_company]]," ",laptop[[#This Row],[CPU_model]])</f>
        <v>Intel Core i7 6700HQ</v>
      </c>
      <c r="S1240">
        <v>128</v>
      </c>
      <c r="T1240">
        <v>1024</v>
      </c>
      <c r="U1240">
        <f>laptop[[#This Row],[PrimaryStorage]]+laptop[[#This Row],[SecondaryStorage]]</f>
        <v>1152</v>
      </c>
      <c r="V1240" t="s">
        <v>31</v>
      </c>
      <c r="W1240" t="s">
        <v>51</v>
      </c>
      <c r="X1240" t="str">
        <f>IF(laptop[[#This Row],[PrimaryStorageType]]=laptop[[#This Row],[SecondaryStorageType]],laptop[[#This Row],[PrimaryStorageType]],"SSD &amp; HDD")</f>
        <v>SSD &amp; HDD</v>
      </c>
      <c r="Y1240" t="s">
        <v>483</v>
      </c>
      <c r="Z1240" s="4" t="str">
        <f>_xlfn.CONCAT(laptop[[#This Row],[CPU_company]]," ",laptop[[#This Row],[GPU_model]])</f>
        <v>Intel GeForce GTX 960M</v>
      </c>
    </row>
    <row r="1241" spans="1:26" x14ac:dyDescent="0.25">
      <c r="A1241" t="s">
        <v>73</v>
      </c>
      <c r="B1241" t="s">
        <v>341</v>
      </c>
      <c r="C1241" t="s">
        <v>38</v>
      </c>
      <c r="D1241">
        <v>13.3</v>
      </c>
      <c r="E1241">
        <v>16</v>
      </c>
      <c r="F1241" t="s">
        <v>48</v>
      </c>
      <c r="G1241">
        <v>1.4</v>
      </c>
      <c r="H1241" s="16">
        <v>1499</v>
      </c>
      <c r="I1241" t="s">
        <v>40</v>
      </c>
      <c r="J1241">
        <v>1920</v>
      </c>
      <c r="K1241">
        <v>1080</v>
      </c>
      <c r="L1241" t="s">
        <v>27</v>
      </c>
      <c r="M1241" t="s">
        <v>28</v>
      </c>
      <c r="N1241" t="s">
        <v>27</v>
      </c>
      <c r="O1241" t="s">
        <v>29</v>
      </c>
      <c r="P1241">
        <v>2.7</v>
      </c>
      <c r="Q1241" t="s">
        <v>71</v>
      </c>
      <c r="R1241" t="str">
        <f>_xlfn.CONCAT(laptop[[#This Row],[CPU_company]]," ",laptop[[#This Row],[CPU_model]])</f>
        <v>Intel Core i7 7500U</v>
      </c>
      <c r="S1241">
        <v>512</v>
      </c>
      <c r="T1241">
        <v>0</v>
      </c>
      <c r="U1241">
        <f>laptop[[#This Row],[PrimaryStorage]]+laptop[[#This Row],[SecondaryStorage]]</f>
        <v>512</v>
      </c>
      <c r="V1241" t="s">
        <v>31</v>
      </c>
      <c r="W1241" t="s">
        <v>27</v>
      </c>
      <c r="X1241" t="str">
        <f>IF(laptop[[#This Row],[PrimaryStorageType]]=laptop[[#This Row],[SecondaryStorageType]],laptop[[#This Row],[PrimaryStorageType]],"SSD &amp; HDD")</f>
        <v>SSD &amp; HDD</v>
      </c>
      <c r="Y1241" t="s">
        <v>42</v>
      </c>
      <c r="Z1241" s="4" t="str">
        <f>_xlfn.CONCAT(laptop[[#This Row],[CPU_company]]," ",laptop[[#This Row],[GPU_model]])</f>
        <v>Intel HD Graphics 620</v>
      </c>
    </row>
    <row r="1242" spans="1:26" x14ac:dyDescent="0.25">
      <c r="A1242" t="s">
        <v>73</v>
      </c>
      <c r="B1242" t="s">
        <v>362</v>
      </c>
      <c r="C1242" t="s">
        <v>38</v>
      </c>
      <c r="D1242">
        <v>15.6</v>
      </c>
      <c r="E1242">
        <v>6</v>
      </c>
      <c r="F1242" t="s">
        <v>48</v>
      </c>
      <c r="G1242">
        <v>2.2000000000000002</v>
      </c>
      <c r="H1242" s="16">
        <v>597.57000000000005</v>
      </c>
      <c r="I1242" t="s">
        <v>40</v>
      </c>
      <c r="J1242">
        <v>1920</v>
      </c>
      <c r="K1242">
        <v>1080</v>
      </c>
      <c r="L1242" t="s">
        <v>27</v>
      </c>
      <c r="M1242" t="s">
        <v>27</v>
      </c>
      <c r="N1242" t="s">
        <v>27</v>
      </c>
      <c r="O1242" t="s">
        <v>49</v>
      </c>
      <c r="P1242">
        <v>3.6</v>
      </c>
      <c r="Q1242" t="s">
        <v>350</v>
      </c>
      <c r="R1242" t="str">
        <f>_xlfn.CONCAT(laptop[[#This Row],[CPU_company]]," ",laptop[[#This Row],[CPU_model]])</f>
        <v>AMD A12-Series 9720P</v>
      </c>
      <c r="S1242">
        <v>256</v>
      </c>
      <c r="T1242">
        <v>0</v>
      </c>
      <c r="U1242">
        <f>laptop[[#This Row],[PrimaryStorage]]+laptop[[#This Row],[SecondaryStorage]]</f>
        <v>256</v>
      </c>
      <c r="V1242" t="s">
        <v>31</v>
      </c>
      <c r="W1242" t="s">
        <v>27</v>
      </c>
      <c r="X1242" t="str">
        <f>IF(laptop[[#This Row],[PrimaryStorageType]]=laptop[[#This Row],[SecondaryStorageType]],laptop[[#This Row],[PrimaryStorageType]],"SSD &amp; HDD")</f>
        <v>SSD &amp; HDD</v>
      </c>
      <c r="Y1242" t="s">
        <v>94</v>
      </c>
      <c r="Z1242" s="4" t="str">
        <f>_xlfn.CONCAT(laptop[[#This Row],[CPU_company]]," ",laptop[[#This Row],[GPU_model]])</f>
        <v>AMD Radeon 530</v>
      </c>
    </row>
    <row r="1243" spans="1:26" x14ac:dyDescent="0.25">
      <c r="A1243" t="s">
        <v>55</v>
      </c>
      <c r="B1243" t="s">
        <v>868</v>
      </c>
      <c r="C1243" t="s">
        <v>24</v>
      </c>
      <c r="D1243">
        <v>13.3</v>
      </c>
      <c r="E1243">
        <v>8</v>
      </c>
      <c r="F1243" t="s">
        <v>48</v>
      </c>
      <c r="G1243">
        <v>1.45</v>
      </c>
      <c r="H1243" s="16">
        <v>1280</v>
      </c>
      <c r="I1243" t="s">
        <v>40</v>
      </c>
      <c r="J1243">
        <v>1920</v>
      </c>
      <c r="K1243">
        <v>1080</v>
      </c>
      <c r="L1243" t="s">
        <v>27</v>
      </c>
      <c r="M1243" t="s">
        <v>27</v>
      </c>
      <c r="N1243" t="s">
        <v>27</v>
      </c>
      <c r="O1243" t="s">
        <v>29</v>
      </c>
      <c r="P1243">
        <v>2.5</v>
      </c>
      <c r="Q1243" t="s">
        <v>274</v>
      </c>
      <c r="R1243" t="str">
        <f>_xlfn.CONCAT(laptop[[#This Row],[CPU_company]]," ",laptop[[#This Row],[CPU_model]])</f>
        <v>Intel Core i7 6500U</v>
      </c>
      <c r="S1243">
        <v>256</v>
      </c>
      <c r="T1243">
        <v>0</v>
      </c>
      <c r="U1243">
        <f>laptop[[#This Row],[PrimaryStorage]]+laptop[[#This Row],[SecondaryStorage]]</f>
        <v>256</v>
      </c>
      <c r="V1243" t="s">
        <v>31</v>
      </c>
      <c r="W1243" t="s">
        <v>27</v>
      </c>
      <c r="X1243" t="str">
        <f>IF(laptop[[#This Row],[PrimaryStorageType]]=laptop[[#This Row],[SecondaryStorageType]],laptop[[#This Row],[PrimaryStorageType]],"SSD &amp; HDD")</f>
        <v>SSD &amp; HDD</v>
      </c>
      <c r="Y1243" t="s">
        <v>63</v>
      </c>
      <c r="Z1243" s="4" t="str">
        <f>_xlfn.CONCAT(laptop[[#This Row],[CPU_company]]," ",laptop[[#This Row],[GPU_model]])</f>
        <v>Intel HD Graphics 520</v>
      </c>
    </row>
    <row r="1244" spans="1:26" x14ac:dyDescent="0.25">
      <c r="A1244" t="s">
        <v>46</v>
      </c>
      <c r="B1244" t="s">
        <v>429</v>
      </c>
      <c r="C1244" t="s">
        <v>38</v>
      </c>
      <c r="D1244">
        <v>15.6</v>
      </c>
      <c r="E1244">
        <v>4</v>
      </c>
      <c r="F1244" t="s">
        <v>111</v>
      </c>
      <c r="G1244">
        <v>2.4</v>
      </c>
      <c r="H1244" s="16">
        <v>361.8</v>
      </c>
      <c r="I1244" t="s">
        <v>26</v>
      </c>
      <c r="J1244">
        <v>1366</v>
      </c>
      <c r="K1244">
        <v>768</v>
      </c>
      <c r="L1244" t="s">
        <v>27</v>
      </c>
      <c r="M1244" t="s">
        <v>27</v>
      </c>
      <c r="N1244" t="s">
        <v>27</v>
      </c>
      <c r="O1244" t="s">
        <v>29</v>
      </c>
      <c r="P1244">
        <v>2</v>
      </c>
      <c r="Q1244" t="s">
        <v>62</v>
      </c>
      <c r="R1244" t="str">
        <f>_xlfn.CONCAT(laptop[[#This Row],[CPU_company]]," ",laptop[[#This Row],[CPU_model]])</f>
        <v>Intel Core i3 6006U</v>
      </c>
      <c r="S1244">
        <v>500</v>
      </c>
      <c r="T1244">
        <v>0</v>
      </c>
      <c r="U1244">
        <f>laptop[[#This Row],[PrimaryStorage]]+laptop[[#This Row],[SecondaryStorage]]</f>
        <v>500</v>
      </c>
      <c r="V1244" t="s">
        <v>51</v>
      </c>
      <c r="W1244" t="s">
        <v>27</v>
      </c>
      <c r="X1244" t="str">
        <f>IF(laptop[[#This Row],[PrimaryStorageType]]=laptop[[#This Row],[SecondaryStorageType]],laptop[[#This Row],[PrimaryStorageType]],"SSD &amp; HDD")</f>
        <v>SSD &amp; HDD</v>
      </c>
      <c r="Y1244" t="s">
        <v>63</v>
      </c>
      <c r="Z1244" s="4" t="str">
        <f>_xlfn.CONCAT(laptop[[#This Row],[CPU_company]]," ",laptop[[#This Row],[GPU_model]])</f>
        <v>Intel HD Graphics 520</v>
      </c>
    </row>
    <row r="1245" spans="1:26" x14ac:dyDescent="0.25">
      <c r="A1245" t="s">
        <v>65</v>
      </c>
      <c r="B1245" t="s">
        <v>869</v>
      </c>
      <c r="C1245" t="s">
        <v>90</v>
      </c>
      <c r="D1245">
        <v>17.3</v>
      </c>
      <c r="E1245">
        <v>16</v>
      </c>
      <c r="F1245" t="s">
        <v>48</v>
      </c>
      <c r="G1245">
        <v>2.77</v>
      </c>
      <c r="H1245" s="16">
        <v>1799</v>
      </c>
      <c r="I1245" t="s">
        <v>40</v>
      </c>
      <c r="J1245">
        <v>1920</v>
      </c>
      <c r="K1245">
        <v>1080</v>
      </c>
      <c r="L1245" t="s">
        <v>28</v>
      </c>
      <c r="M1245" t="s">
        <v>27</v>
      </c>
      <c r="N1245" t="s">
        <v>27</v>
      </c>
      <c r="O1245" t="s">
        <v>29</v>
      </c>
      <c r="P1245">
        <v>2.7</v>
      </c>
      <c r="Q1245" t="s">
        <v>71</v>
      </c>
      <c r="R1245" t="str">
        <f>_xlfn.CONCAT(laptop[[#This Row],[CPU_company]]," ",laptop[[#This Row],[CPU_model]])</f>
        <v>Intel Core i7 7500U</v>
      </c>
      <c r="S1245">
        <v>512</v>
      </c>
      <c r="T1245">
        <v>0</v>
      </c>
      <c r="U1245">
        <f>laptop[[#This Row],[PrimaryStorage]]+laptop[[#This Row],[SecondaryStorage]]</f>
        <v>512</v>
      </c>
      <c r="V1245" t="s">
        <v>31</v>
      </c>
      <c r="W1245" t="s">
        <v>27</v>
      </c>
      <c r="X1245" t="str">
        <f>IF(laptop[[#This Row],[PrimaryStorageType]]=laptop[[#This Row],[SecondaryStorageType]],laptop[[#This Row],[PrimaryStorageType]],"SSD &amp; HDD")</f>
        <v>SSD &amp; HDD</v>
      </c>
      <c r="Y1245" t="s">
        <v>76</v>
      </c>
      <c r="Z1245" s="4" t="str">
        <f>_xlfn.CONCAT(laptop[[#This Row],[CPU_company]]," ",laptop[[#This Row],[GPU_model]])</f>
        <v>Intel GeForce 940MX</v>
      </c>
    </row>
    <row r="1246" spans="1:26" x14ac:dyDescent="0.25">
      <c r="A1246" t="s">
        <v>36</v>
      </c>
      <c r="B1246" t="s">
        <v>226</v>
      </c>
      <c r="C1246" t="s">
        <v>38</v>
      </c>
      <c r="D1246">
        <v>14</v>
      </c>
      <c r="E1246">
        <v>4</v>
      </c>
      <c r="F1246" t="s">
        <v>480</v>
      </c>
      <c r="G1246">
        <v>1.54</v>
      </c>
      <c r="H1246" s="16">
        <v>1099.99</v>
      </c>
      <c r="I1246" t="s">
        <v>40</v>
      </c>
      <c r="J1246">
        <v>1920</v>
      </c>
      <c r="K1246">
        <v>1080</v>
      </c>
      <c r="L1246" t="s">
        <v>27</v>
      </c>
      <c r="M1246" t="s">
        <v>27</v>
      </c>
      <c r="N1246" t="s">
        <v>27</v>
      </c>
      <c r="O1246" t="s">
        <v>29</v>
      </c>
      <c r="P1246">
        <v>2.2999999999999998</v>
      </c>
      <c r="Q1246" t="s">
        <v>212</v>
      </c>
      <c r="R1246" t="str">
        <f>_xlfn.CONCAT(laptop[[#This Row],[CPU_company]]," ",laptop[[#This Row],[CPU_model]])</f>
        <v>Intel Core i5 6200U</v>
      </c>
      <c r="S1246">
        <v>256</v>
      </c>
      <c r="T1246">
        <v>0</v>
      </c>
      <c r="U1246">
        <f>laptop[[#This Row],[PrimaryStorage]]+laptop[[#This Row],[SecondaryStorage]]</f>
        <v>256</v>
      </c>
      <c r="V1246" t="s">
        <v>31</v>
      </c>
      <c r="W1246" t="s">
        <v>27</v>
      </c>
      <c r="X1246" t="str">
        <f>IF(laptop[[#This Row],[PrimaryStorageType]]=laptop[[#This Row],[SecondaryStorageType]],laptop[[#This Row],[PrimaryStorageType]],"SSD &amp; HDD")</f>
        <v>SSD &amp; HDD</v>
      </c>
      <c r="Y1246" t="s">
        <v>63</v>
      </c>
      <c r="Z1246" s="4" t="str">
        <f>_xlfn.CONCAT(laptop[[#This Row],[CPU_company]]," ",laptop[[#This Row],[GPU_model]])</f>
        <v>Intel HD Graphics 520</v>
      </c>
    </row>
    <row r="1247" spans="1:26" x14ac:dyDescent="0.25">
      <c r="A1247" t="s">
        <v>55</v>
      </c>
      <c r="B1247" t="s">
        <v>870</v>
      </c>
      <c r="C1247" t="s">
        <v>83</v>
      </c>
      <c r="D1247">
        <v>15.6</v>
      </c>
      <c r="E1247">
        <v>16</v>
      </c>
      <c r="F1247" t="s">
        <v>48</v>
      </c>
      <c r="G1247">
        <v>2.5</v>
      </c>
      <c r="H1247" s="16">
        <v>1600</v>
      </c>
      <c r="I1247" t="s">
        <v>40</v>
      </c>
      <c r="J1247">
        <v>1920</v>
      </c>
      <c r="K1247">
        <v>1080</v>
      </c>
      <c r="L1247" t="s">
        <v>27</v>
      </c>
      <c r="M1247" t="s">
        <v>28</v>
      </c>
      <c r="N1247" t="s">
        <v>27</v>
      </c>
      <c r="O1247" t="s">
        <v>29</v>
      </c>
      <c r="P1247">
        <v>2.8</v>
      </c>
      <c r="Q1247" t="s">
        <v>118</v>
      </c>
      <c r="R1247" t="str">
        <f>_xlfn.CONCAT(laptop[[#This Row],[CPU_company]]," ",laptop[[#This Row],[CPU_model]])</f>
        <v>Intel Core i7 7700HQ</v>
      </c>
      <c r="S1247">
        <v>256</v>
      </c>
      <c r="T1247">
        <v>1024</v>
      </c>
      <c r="U1247">
        <f>laptop[[#This Row],[PrimaryStorage]]+laptop[[#This Row],[SecondaryStorage]]</f>
        <v>1280</v>
      </c>
      <c r="V1247" t="s">
        <v>31</v>
      </c>
      <c r="W1247" t="s">
        <v>51</v>
      </c>
      <c r="X1247" t="str">
        <f>IF(laptop[[#This Row],[PrimaryStorageType]]=laptop[[#This Row],[SecondaryStorageType]],laptop[[#This Row],[PrimaryStorageType]],"SSD &amp; HDD")</f>
        <v>SSD &amp; HDD</v>
      </c>
      <c r="Y1247" t="s">
        <v>149</v>
      </c>
      <c r="Z1247" s="4" t="str">
        <f>_xlfn.CONCAT(laptop[[#This Row],[CPU_company]]," ",laptop[[#This Row],[GPU_model]])</f>
        <v>Intel GeForce GTX 1050 Ti</v>
      </c>
    </row>
    <row r="1248" spans="1:26" x14ac:dyDescent="0.25">
      <c r="A1248" t="s">
        <v>65</v>
      </c>
      <c r="B1248" t="s">
        <v>409</v>
      </c>
      <c r="C1248" t="s">
        <v>38</v>
      </c>
      <c r="D1248">
        <v>14</v>
      </c>
      <c r="E1248">
        <v>4</v>
      </c>
      <c r="F1248" t="s">
        <v>48</v>
      </c>
      <c r="G1248">
        <v>1.6</v>
      </c>
      <c r="H1248" s="16">
        <v>875</v>
      </c>
      <c r="I1248" t="s">
        <v>26</v>
      </c>
      <c r="J1248">
        <v>1366</v>
      </c>
      <c r="K1248">
        <v>768</v>
      </c>
      <c r="L1248" t="s">
        <v>27</v>
      </c>
      <c r="M1248" t="s">
        <v>27</v>
      </c>
      <c r="N1248" t="s">
        <v>27</v>
      </c>
      <c r="O1248" t="s">
        <v>29</v>
      </c>
      <c r="P1248">
        <v>2.5</v>
      </c>
      <c r="Q1248" t="s">
        <v>41</v>
      </c>
      <c r="R1248" t="str">
        <f>_xlfn.CONCAT(laptop[[#This Row],[CPU_company]]," ",laptop[[#This Row],[CPU_model]])</f>
        <v>Intel Core i5 7200U</v>
      </c>
      <c r="S1248">
        <v>500</v>
      </c>
      <c r="T1248">
        <v>0</v>
      </c>
      <c r="U1248">
        <f>laptop[[#This Row],[PrimaryStorage]]+laptop[[#This Row],[SecondaryStorage]]</f>
        <v>500</v>
      </c>
      <c r="V1248" t="s">
        <v>51</v>
      </c>
      <c r="W1248" t="s">
        <v>27</v>
      </c>
      <c r="X1248" t="str">
        <f>IF(laptop[[#This Row],[PrimaryStorageType]]=laptop[[#This Row],[SecondaryStorageType]],laptop[[#This Row],[PrimaryStorageType]],"SSD &amp; HDD")</f>
        <v>SSD &amp; HDD</v>
      </c>
      <c r="Y1248" t="s">
        <v>42</v>
      </c>
      <c r="Z1248" s="4" t="str">
        <f>_xlfn.CONCAT(laptop[[#This Row],[CPU_company]]," ",laptop[[#This Row],[GPU_model]])</f>
        <v>Intel HD Graphics 620</v>
      </c>
    </row>
    <row r="1249" spans="1:26" x14ac:dyDescent="0.25">
      <c r="A1249" t="s">
        <v>55</v>
      </c>
      <c r="B1249" t="s">
        <v>871</v>
      </c>
      <c r="C1249" t="s">
        <v>83</v>
      </c>
      <c r="D1249">
        <v>15.6</v>
      </c>
      <c r="E1249">
        <v>16</v>
      </c>
      <c r="F1249" t="s">
        <v>48</v>
      </c>
      <c r="G1249">
        <v>2.34</v>
      </c>
      <c r="H1249" s="16">
        <v>2325</v>
      </c>
      <c r="I1249" t="s">
        <v>40</v>
      </c>
      <c r="J1249">
        <v>1920</v>
      </c>
      <c r="K1249">
        <v>1080</v>
      </c>
      <c r="L1249" t="s">
        <v>27</v>
      </c>
      <c r="M1249" t="s">
        <v>28</v>
      </c>
      <c r="N1249" t="s">
        <v>27</v>
      </c>
      <c r="O1249" t="s">
        <v>29</v>
      </c>
      <c r="P1249">
        <v>2.6</v>
      </c>
      <c r="Q1249" t="s">
        <v>447</v>
      </c>
      <c r="R1249" t="str">
        <f>_xlfn.CONCAT(laptop[[#This Row],[CPU_company]]," ",laptop[[#This Row],[CPU_model]])</f>
        <v>Intel Core i7 6700HQ</v>
      </c>
      <c r="S1249">
        <v>256</v>
      </c>
      <c r="T1249">
        <v>1024</v>
      </c>
      <c r="U1249">
        <f>laptop[[#This Row],[PrimaryStorage]]+laptop[[#This Row],[SecondaryStorage]]</f>
        <v>1280</v>
      </c>
      <c r="V1249" t="s">
        <v>31</v>
      </c>
      <c r="W1249" t="s">
        <v>51</v>
      </c>
      <c r="X1249" t="str">
        <f>IF(laptop[[#This Row],[PrimaryStorageType]]=laptop[[#This Row],[SecondaryStorageType]],laptop[[#This Row],[PrimaryStorageType]],"SSD &amp; HDD")</f>
        <v>SSD &amp; HDD</v>
      </c>
      <c r="Y1249" t="s">
        <v>143</v>
      </c>
      <c r="Z1249" s="4" t="str">
        <f>_xlfn.CONCAT(laptop[[#This Row],[CPU_company]]," ",laptop[[#This Row],[GPU_model]])</f>
        <v>Intel GeForce GTX 1070</v>
      </c>
    </row>
    <row r="1250" spans="1:26" x14ac:dyDescent="0.25">
      <c r="A1250" t="s">
        <v>73</v>
      </c>
      <c r="B1250" t="s">
        <v>872</v>
      </c>
      <c r="C1250" t="s">
        <v>38</v>
      </c>
      <c r="D1250">
        <v>15.6</v>
      </c>
      <c r="E1250">
        <v>8</v>
      </c>
      <c r="F1250" t="s">
        <v>39</v>
      </c>
      <c r="G1250">
        <v>2.2999999999999998</v>
      </c>
      <c r="H1250" s="16">
        <v>573</v>
      </c>
      <c r="I1250" t="s">
        <v>40</v>
      </c>
      <c r="J1250">
        <v>1920</v>
      </c>
      <c r="K1250">
        <v>1080</v>
      </c>
      <c r="L1250" t="s">
        <v>27</v>
      </c>
      <c r="M1250" t="s">
        <v>28</v>
      </c>
      <c r="N1250" t="s">
        <v>27</v>
      </c>
      <c r="O1250" t="s">
        <v>29</v>
      </c>
      <c r="P1250">
        <v>2.5</v>
      </c>
      <c r="Q1250" t="s">
        <v>41</v>
      </c>
      <c r="R1250" t="str">
        <f>_xlfn.CONCAT(laptop[[#This Row],[CPU_company]]," ",laptop[[#This Row],[CPU_model]])</f>
        <v>Intel Core i5 7200U</v>
      </c>
      <c r="S1250">
        <v>256</v>
      </c>
      <c r="T1250">
        <v>0</v>
      </c>
      <c r="U1250">
        <f>laptop[[#This Row],[PrimaryStorage]]+laptop[[#This Row],[SecondaryStorage]]</f>
        <v>256</v>
      </c>
      <c r="V1250" t="s">
        <v>31</v>
      </c>
      <c r="W1250" t="s">
        <v>27</v>
      </c>
      <c r="X1250" t="str">
        <f>IF(laptop[[#This Row],[PrimaryStorageType]]=laptop[[#This Row],[SecondaryStorageType]],laptop[[#This Row],[PrimaryStorageType]],"SSD &amp; HDD")</f>
        <v>SSD &amp; HDD</v>
      </c>
      <c r="Y1250" t="s">
        <v>42</v>
      </c>
      <c r="Z1250" s="4" t="str">
        <f>_xlfn.CONCAT(laptop[[#This Row],[CPU_company]]," ",laptop[[#This Row],[GPU_model]])</f>
        <v>Intel HD Graphics 620</v>
      </c>
    </row>
    <row r="1251" spans="1:26" x14ac:dyDescent="0.25">
      <c r="A1251" t="s">
        <v>65</v>
      </c>
      <c r="B1251" t="s">
        <v>77</v>
      </c>
      <c r="C1251" t="s">
        <v>90</v>
      </c>
      <c r="D1251">
        <v>13.3</v>
      </c>
      <c r="E1251">
        <v>8</v>
      </c>
      <c r="F1251" t="s">
        <v>48</v>
      </c>
      <c r="G1251">
        <v>1.24</v>
      </c>
      <c r="H1251" s="16">
        <v>1813</v>
      </c>
      <c r="I1251" t="s">
        <v>107</v>
      </c>
      <c r="J1251">
        <v>3200</v>
      </c>
      <c r="K1251">
        <v>1800</v>
      </c>
      <c r="L1251" t="s">
        <v>28</v>
      </c>
      <c r="M1251" t="s">
        <v>27</v>
      </c>
      <c r="N1251" t="s">
        <v>27</v>
      </c>
      <c r="O1251" t="s">
        <v>29</v>
      </c>
      <c r="P1251">
        <v>1.2</v>
      </c>
      <c r="Q1251" t="s">
        <v>251</v>
      </c>
      <c r="R1251" t="str">
        <f>_xlfn.CONCAT(laptop[[#This Row],[CPU_company]]," ",laptop[[#This Row],[CPU_model]])</f>
        <v>Intel Core i5 7Y54</v>
      </c>
      <c r="S1251">
        <v>256</v>
      </c>
      <c r="T1251">
        <v>0</v>
      </c>
      <c r="U1251">
        <f>laptop[[#This Row],[PrimaryStorage]]+laptop[[#This Row],[SecondaryStorage]]</f>
        <v>256</v>
      </c>
      <c r="V1251" t="s">
        <v>31</v>
      </c>
      <c r="W1251" t="s">
        <v>27</v>
      </c>
      <c r="X1251" t="str">
        <f>IF(laptop[[#This Row],[PrimaryStorageType]]=laptop[[#This Row],[SecondaryStorageType]],laptop[[#This Row],[PrimaryStorageType]],"SSD &amp; HDD")</f>
        <v>SSD &amp; HDD</v>
      </c>
      <c r="Y1251" t="s">
        <v>70</v>
      </c>
      <c r="Z1251" s="4" t="str">
        <f>_xlfn.CONCAT(laptop[[#This Row],[CPU_company]]," ",laptop[[#This Row],[GPU_model]])</f>
        <v>Intel HD Graphics 615</v>
      </c>
    </row>
    <row r="1252" spans="1:26" x14ac:dyDescent="0.25">
      <c r="A1252" t="s">
        <v>65</v>
      </c>
      <c r="B1252" t="s">
        <v>361</v>
      </c>
      <c r="C1252" t="s">
        <v>38</v>
      </c>
      <c r="D1252">
        <v>15.6</v>
      </c>
      <c r="E1252">
        <v>4</v>
      </c>
      <c r="F1252" t="s">
        <v>111</v>
      </c>
      <c r="G1252">
        <v>2.2000000000000002</v>
      </c>
      <c r="H1252" s="16">
        <v>324</v>
      </c>
      <c r="I1252" t="s">
        <v>26</v>
      </c>
      <c r="J1252">
        <v>1366</v>
      </c>
      <c r="K1252">
        <v>768</v>
      </c>
      <c r="L1252" t="s">
        <v>27</v>
      </c>
      <c r="M1252" t="s">
        <v>27</v>
      </c>
      <c r="N1252" t="s">
        <v>27</v>
      </c>
      <c r="O1252" t="s">
        <v>29</v>
      </c>
      <c r="P1252">
        <v>1.6</v>
      </c>
      <c r="Q1252" t="s">
        <v>346</v>
      </c>
      <c r="R1252" t="str">
        <f>_xlfn.CONCAT(laptop[[#This Row],[CPU_company]]," ",laptop[[#This Row],[CPU_model]])</f>
        <v>Intel Pentium Quad Core N3710</v>
      </c>
      <c r="S1252">
        <v>500</v>
      </c>
      <c r="T1252">
        <v>0</v>
      </c>
      <c r="U1252">
        <f>laptop[[#This Row],[PrimaryStorage]]+laptop[[#This Row],[SecondaryStorage]]</f>
        <v>500</v>
      </c>
      <c r="V1252" t="s">
        <v>51</v>
      </c>
      <c r="W1252" t="s">
        <v>27</v>
      </c>
      <c r="X1252" t="str">
        <f>IF(laptop[[#This Row],[PrimaryStorageType]]=laptop[[#This Row],[SecondaryStorageType]],laptop[[#This Row],[PrimaryStorageType]],"SSD &amp; HDD")</f>
        <v>SSD &amp; HDD</v>
      </c>
      <c r="Y1252" t="s">
        <v>102</v>
      </c>
      <c r="Z1252" s="4" t="str">
        <f>_xlfn.CONCAT(laptop[[#This Row],[CPU_company]]," ",laptop[[#This Row],[GPU_model]])</f>
        <v>Intel HD Graphics</v>
      </c>
    </row>
    <row r="1253" spans="1:26" x14ac:dyDescent="0.25">
      <c r="A1253" t="s">
        <v>36</v>
      </c>
      <c r="B1253" t="s">
        <v>86</v>
      </c>
      <c r="C1253" t="s">
        <v>38</v>
      </c>
      <c r="D1253">
        <v>15.6</v>
      </c>
      <c r="E1253">
        <v>4</v>
      </c>
      <c r="F1253" t="s">
        <v>48</v>
      </c>
      <c r="G1253">
        <v>1.86</v>
      </c>
      <c r="H1253" s="16">
        <v>399</v>
      </c>
      <c r="I1253" t="s">
        <v>26</v>
      </c>
      <c r="J1253">
        <v>1366</v>
      </c>
      <c r="K1253">
        <v>768</v>
      </c>
      <c r="L1253" t="s">
        <v>27</v>
      </c>
      <c r="M1253" t="s">
        <v>27</v>
      </c>
      <c r="N1253" t="s">
        <v>27</v>
      </c>
      <c r="O1253" t="s">
        <v>49</v>
      </c>
      <c r="P1253">
        <v>2.5</v>
      </c>
      <c r="Q1253" t="s">
        <v>106</v>
      </c>
      <c r="R1253" t="str">
        <f>_xlfn.CONCAT(laptop[[#This Row],[CPU_company]]," ",laptop[[#This Row],[CPU_model]])</f>
        <v>AMD A6-Series 9220</v>
      </c>
      <c r="S1253">
        <v>500</v>
      </c>
      <c r="T1253">
        <v>0</v>
      </c>
      <c r="U1253">
        <f>laptop[[#This Row],[PrimaryStorage]]+laptop[[#This Row],[SecondaryStorage]]</f>
        <v>500</v>
      </c>
      <c r="V1253" t="s">
        <v>51</v>
      </c>
      <c r="W1253" t="s">
        <v>27</v>
      </c>
      <c r="X1253" t="str">
        <f>IF(laptop[[#This Row],[PrimaryStorageType]]=laptop[[#This Row],[SecondaryStorageType]],laptop[[#This Row],[PrimaryStorageType]],"SSD &amp; HDD")</f>
        <v>SSD &amp; HDD</v>
      </c>
      <c r="Y1253" t="s">
        <v>135</v>
      </c>
      <c r="Z1253" s="4" t="str">
        <f>_xlfn.CONCAT(laptop[[#This Row],[CPU_company]]," ",laptop[[#This Row],[GPU_model]])</f>
        <v>AMD Radeon R4 Graphics</v>
      </c>
    </row>
    <row r="1254" spans="1:26" x14ac:dyDescent="0.25">
      <c r="A1254" t="s">
        <v>73</v>
      </c>
      <c r="B1254" t="s">
        <v>832</v>
      </c>
      <c r="C1254" t="s">
        <v>38</v>
      </c>
      <c r="D1254">
        <v>15.6</v>
      </c>
      <c r="E1254">
        <v>6</v>
      </c>
      <c r="F1254" t="s">
        <v>48</v>
      </c>
      <c r="G1254">
        <v>2.4</v>
      </c>
      <c r="H1254" s="16">
        <v>569</v>
      </c>
      <c r="I1254" t="s">
        <v>40</v>
      </c>
      <c r="J1254">
        <v>1920</v>
      </c>
      <c r="K1254">
        <v>1080</v>
      </c>
      <c r="L1254" t="s">
        <v>27</v>
      </c>
      <c r="M1254" t="s">
        <v>27</v>
      </c>
      <c r="N1254" t="s">
        <v>27</v>
      </c>
      <c r="O1254" t="s">
        <v>29</v>
      </c>
      <c r="P1254">
        <v>2.2999999999999998</v>
      </c>
      <c r="Q1254" t="s">
        <v>450</v>
      </c>
      <c r="R1254" t="str">
        <f>_xlfn.CONCAT(laptop[[#This Row],[CPU_company]]," ",laptop[[#This Row],[CPU_model]])</f>
        <v>Intel Core i3 6100U</v>
      </c>
      <c r="S1254">
        <v>128</v>
      </c>
      <c r="T1254">
        <v>0</v>
      </c>
      <c r="U1254">
        <f>laptop[[#This Row],[PrimaryStorage]]+laptop[[#This Row],[SecondaryStorage]]</f>
        <v>128</v>
      </c>
      <c r="V1254" t="s">
        <v>31</v>
      </c>
      <c r="W1254" t="s">
        <v>27</v>
      </c>
      <c r="X1254" t="str">
        <f>IF(laptop[[#This Row],[PrimaryStorageType]]=laptop[[#This Row],[SecondaryStorageType]],laptop[[#This Row],[PrimaryStorageType]],"SSD &amp; HDD")</f>
        <v>SSD &amp; HDD</v>
      </c>
      <c r="Y1254" t="s">
        <v>131</v>
      </c>
      <c r="Z1254" s="4" t="str">
        <f>_xlfn.CONCAT(laptop[[#This Row],[CPU_company]]," ",laptop[[#This Row],[GPU_model]])</f>
        <v>Intel GeForce 920MX</v>
      </c>
    </row>
    <row r="1255" spans="1:26" x14ac:dyDescent="0.25">
      <c r="A1255" t="s">
        <v>73</v>
      </c>
      <c r="B1255" t="s">
        <v>873</v>
      </c>
      <c r="C1255" t="s">
        <v>38</v>
      </c>
      <c r="D1255">
        <v>14</v>
      </c>
      <c r="E1255">
        <v>8</v>
      </c>
      <c r="F1255" t="s">
        <v>48</v>
      </c>
      <c r="G1255">
        <v>1.9</v>
      </c>
      <c r="H1255" s="16">
        <v>1072</v>
      </c>
      <c r="I1255" t="s">
        <v>40</v>
      </c>
      <c r="J1255">
        <v>1920</v>
      </c>
      <c r="K1255">
        <v>1080</v>
      </c>
      <c r="L1255" t="s">
        <v>27</v>
      </c>
      <c r="M1255" t="s">
        <v>28</v>
      </c>
      <c r="N1255" t="s">
        <v>27</v>
      </c>
      <c r="O1255" t="s">
        <v>29</v>
      </c>
      <c r="P1255">
        <v>2.2999999999999998</v>
      </c>
      <c r="Q1255" t="s">
        <v>212</v>
      </c>
      <c r="R1255" t="str">
        <f>_xlfn.CONCAT(laptop[[#This Row],[CPU_company]]," ",laptop[[#This Row],[CPU_model]])</f>
        <v>Intel Core i5 6200U</v>
      </c>
      <c r="S1255">
        <v>256</v>
      </c>
      <c r="T1255">
        <v>0</v>
      </c>
      <c r="U1255">
        <f>laptop[[#This Row],[PrimaryStorage]]+laptop[[#This Row],[SecondaryStorage]]</f>
        <v>256</v>
      </c>
      <c r="V1255" t="s">
        <v>31</v>
      </c>
      <c r="W1255" t="s">
        <v>27</v>
      </c>
      <c r="X1255" t="str">
        <f>IF(laptop[[#This Row],[PrimaryStorageType]]=laptop[[#This Row],[SecondaryStorageType]],laptop[[#This Row],[PrimaryStorageType]],"SSD &amp; HDD")</f>
        <v>SSD &amp; HDD</v>
      </c>
      <c r="Y1255" t="s">
        <v>63</v>
      </c>
      <c r="Z1255" s="4" t="str">
        <f>_xlfn.CONCAT(laptop[[#This Row],[CPU_company]]," ",laptop[[#This Row],[GPU_model]])</f>
        <v>Intel HD Graphics 520</v>
      </c>
    </row>
    <row r="1256" spans="1:26" x14ac:dyDescent="0.25">
      <c r="A1256" t="s">
        <v>65</v>
      </c>
      <c r="B1256" t="s">
        <v>361</v>
      </c>
      <c r="C1256" t="s">
        <v>38</v>
      </c>
      <c r="D1256">
        <v>15.6</v>
      </c>
      <c r="E1256">
        <v>4</v>
      </c>
      <c r="F1256" t="s">
        <v>48</v>
      </c>
      <c r="G1256">
        <v>2.2000000000000002</v>
      </c>
      <c r="H1256" s="16">
        <v>443.99</v>
      </c>
      <c r="I1256" t="s">
        <v>26</v>
      </c>
      <c r="J1256">
        <v>1366</v>
      </c>
      <c r="K1256">
        <v>768</v>
      </c>
      <c r="L1256" t="s">
        <v>27</v>
      </c>
      <c r="M1256" t="s">
        <v>27</v>
      </c>
      <c r="N1256" t="s">
        <v>27</v>
      </c>
      <c r="O1256" t="s">
        <v>29</v>
      </c>
      <c r="P1256">
        <v>1.6</v>
      </c>
      <c r="Q1256" t="s">
        <v>794</v>
      </c>
      <c r="R1256" t="str">
        <f>_xlfn.CONCAT(laptop[[#This Row],[CPU_company]]," ",laptop[[#This Row],[CPU_model]])</f>
        <v>Intel Pentium Quad Core N3700</v>
      </c>
      <c r="S1256">
        <v>500</v>
      </c>
      <c r="T1256">
        <v>0</v>
      </c>
      <c r="U1256">
        <f>laptop[[#This Row],[PrimaryStorage]]+laptop[[#This Row],[SecondaryStorage]]</f>
        <v>500</v>
      </c>
      <c r="V1256" t="s">
        <v>51</v>
      </c>
      <c r="W1256" t="s">
        <v>27</v>
      </c>
      <c r="X1256" t="str">
        <f>IF(laptop[[#This Row],[PrimaryStorageType]]=laptop[[#This Row],[SecondaryStorageType]],laptop[[#This Row],[PrimaryStorageType]],"SSD &amp; HDD")</f>
        <v>SSD &amp; HDD</v>
      </c>
      <c r="Y1256" t="s">
        <v>102</v>
      </c>
      <c r="Z1256" s="4" t="str">
        <f>_xlfn.CONCAT(laptop[[#This Row],[CPU_company]]," ",laptop[[#This Row],[GPU_model]])</f>
        <v>Intel HD Graphics</v>
      </c>
    </row>
    <row r="1257" spans="1:26" x14ac:dyDescent="0.25">
      <c r="A1257" t="s">
        <v>55</v>
      </c>
      <c r="B1257" t="s">
        <v>874</v>
      </c>
      <c r="C1257" t="s">
        <v>38</v>
      </c>
      <c r="D1257">
        <v>15.6</v>
      </c>
      <c r="E1257">
        <v>4</v>
      </c>
      <c r="F1257" t="s">
        <v>48</v>
      </c>
      <c r="G1257">
        <v>2</v>
      </c>
      <c r="H1257" s="16">
        <v>339</v>
      </c>
      <c r="I1257" t="s">
        <v>26</v>
      </c>
      <c r="J1257">
        <v>1366</v>
      </c>
      <c r="K1257">
        <v>768</v>
      </c>
      <c r="L1257" t="s">
        <v>27</v>
      </c>
      <c r="M1257" t="s">
        <v>27</v>
      </c>
      <c r="N1257" t="s">
        <v>27</v>
      </c>
      <c r="O1257" t="s">
        <v>29</v>
      </c>
      <c r="P1257">
        <v>1.1000000000000001</v>
      </c>
      <c r="Q1257" t="s">
        <v>109</v>
      </c>
      <c r="R1257" t="str">
        <f>_xlfn.CONCAT(laptop[[#This Row],[CPU_company]]," ",laptop[[#This Row],[CPU_model]])</f>
        <v>Intel Celeron Dual Core N3350</v>
      </c>
      <c r="S1257">
        <v>1024</v>
      </c>
      <c r="T1257">
        <v>0</v>
      </c>
      <c r="U1257">
        <f>laptop[[#This Row],[PrimaryStorage]]+laptop[[#This Row],[SecondaryStorage]]</f>
        <v>1024</v>
      </c>
      <c r="V1257" t="s">
        <v>51</v>
      </c>
      <c r="W1257" t="s">
        <v>27</v>
      </c>
      <c r="X1257" t="str">
        <f>IF(laptop[[#This Row],[PrimaryStorageType]]=laptop[[#This Row],[SecondaryStorageType]],laptop[[#This Row],[PrimaryStorageType]],"SSD &amp; HDD")</f>
        <v>SSD &amp; HDD</v>
      </c>
      <c r="Y1257" t="s">
        <v>110</v>
      </c>
      <c r="Z1257" s="4" t="str">
        <f>_xlfn.CONCAT(laptop[[#This Row],[CPU_company]]," ",laptop[[#This Row],[GPU_model]])</f>
        <v>Intel HD Graphics 500</v>
      </c>
    </row>
    <row r="1258" spans="1:26" x14ac:dyDescent="0.25">
      <c r="A1258" t="s">
        <v>55</v>
      </c>
      <c r="B1258" t="s">
        <v>875</v>
      </c>
      <c r="C1258" t="s">
        <v>83</v>
      </c>
      <c r="D1258">
        <v>17.3</v>
      </c>
      <c r="E1258">
        <v>16</v>
      </c>
      <c r="F1258" t="s">
        <v>48</v>
      </c>
      <c r="G1258">
        <v>4</v>
      </c>
      <c r="H1258" s="16">
        <v>1900</v>
      </c>
      <c r="I1258" t="s">
        <v>40</v>
      </c>
      <c r="J1258">
        <v>1920</v>
      </c>
      <c r="K1258">
        <v>1080</v>
      </c>
      <c r="L1258" t="s">
        <v>27</v>
      </c>
      <c r="M1258" t="s">
        <v>28</v>
      </c>
      <c r="N1258" t="s">
        <v>27</v>
      </c>
      <c r="O1258" t="s">
        <v>29</v>
      </c>
      <c r="P1258">
        <v>2.6</v>
      </c>
      <c r="Q1258" t="s">
        <v>447</v>
      </c>
      <c r="R1258" t="str">
        <f>_xlfn.CONCAT(laptop[[#This Row],[CPU_company]]," ",laptop[[#This Row],[CPU_model]])</f>
        <v>Intel Core i7 6700HQ</v>
      </c>
      <c r="S1258">
        <v>128</v>
      </c>
      <c r="T1258">
        <v>1024</v>
      </c>
      <c r="U1258">
        <f>laptop[[#This Row],[PrimaryStorage]]+laptop[[#This Row],[SecondaryStorage]]</f>
        <v>1152</v>
      </c>
      <c r="V1258" t="s">
        <v>31</v>
      </c>
      <c r="W1258" t="s">
        <v>51</v>
      </c>
      <c r="X1258" t="str">
        <f>IF(laptop[[#This Row],[PrimaryStorageType]]=laptop[[#This Row],[SecondaryStorageType]],laptop[[#This Row],[PrimaryStorageType]],"SSD &amp; HDD")</f>
        <v>SSD &amp; HDD</v>
      </c>
      <c r="Y1258" t="s">
        <v>530</v>
      </c>
      <c r="Z1258" s="4" t="str">
        <f>_xlfn.CONCAT(laptop[[#This Row],[CPU_company]]," ",laptop[[#This Row],[GPU_model]])</f>
        <v>Intel GeForce GTX 970M</v>
      </c>
    </row>
    <row r="1259" spans="1:26" x14ac:dyDescent="0.25">
      <c r="A1259" t="s">
        <v>65</v>
      </c>
      <c r="B1259" t="s">
        <v>305</v>
      </c>
      <c r="C1259" t="s">
        <v>38</v>
      </c>
      <c r="D1259">
        <v>15.6</v>
      </c>
      <c r="E1259">
        <v>4</v>
      </c>
      <c r="F1259" t="s">
        <v>48</v>
      </c>
      <c r="G1259">
        <v>2.29</v>
      </c>
      <c r="H1259" s="16">
        <v>490</v>
      </c>
      <c r="I1259" t="s">
        <v>26</v>
      </c>
      <c r="J1259">
        <v>1366</v>
      </c>
      <c r="K1259">
        <v>768</v>
      </c>
      <c r="L1259" t="s">
        <v>27</v>
      </c>
      <c r="M1259" t="s">
        <v>27</v>
      </c>
      <c r="N1259" t="s">
        <v>27</v>
      </c>
      <c r="O1259" t="s">
        <v>29</v>
      </c>
      <c r="P1259">
        <v>2</v>
      </c>
      <c r="Q1259" t="s">
        <v>62</v>
      </c>
      <c r="R1259" t="str">
        <f>_xlfn.CONCAT(laptop[[#This Row],[CPU_company]]," ",laptop[[#This Row],[CPU_model]])</f>
        <v>Intel Core i3 6006U</v>
      </c>
      <c r="S1259">
        <v>500</v>
      </c>
      <c r="T1259">
        <v>0</v>
      </c>
      <c r="U1259">
        <f>laptop[[#This Row],[PrimaryStorage]]+laptop[[#This Row],[SecondaryStorage]]</f>
        <v>500</v>
      </c>
      <c r="V1259" t="s">
        <v>51</v>
      </c>
      <c r="W1259" t="s">
        <v>27</v>
      </c>
      <c r="X1259" t="str">
        <f>IF(laptop[[#This Row],[PrimaryStorageType]]=laptop[[#This Row],[SecondaryStorageType]],laptop[[#This Row],[PrimaryStorageType]],"SSD &amp; HDD")</f>
        <v>SSD &amp; HDD</v>
      </c>
      <c r="Y1259" t="s">
        <v>63</v>
      </c>
      <c r="Z1259" s="4" t="str">
        <f>_xlfn.CONCAT(laptop[[#This Row],[CPU_company]]," ",laptop[[#This Row],[GPU_model]])</f>
        <v>Intel HD Graphics 520</v>
      </c>
    </row>
    <row r="1260" spans="1:26" x14ac:dyDescent="0.25">
      <c r="A1260" t="s">
        <v>73</v>
      </c>
      <c r="B1260" t="s">
        <v>876</v>
      </c>
      <c r="C1260" t="s">
        <v>38</v>
      </c>
      <c r="D1260">
        <v>15.6</v>
      </c>
      <c r="E1260">
        <v>8</v>
      </c>
      <c r="F1260" t="s">
        <v>480</v>
      </c>
      <c r="G1260">
        <v>2.3199999999999998</v>
      </c>
      <c r="H1260" s="16">
        <v>895</v>
      </c>
      <c r="I1260" t="s">
        <v>40</v>
      </c>
      <c r="J1260">
        <v>1920</v>
      </c>
      <c r="K1260">
        <v>1080</v>
      </c>
      <c r="L1260" t="s">
        <v>27</v>
      </c>
      <c r="M1260" t="s">
        <v>27</v>
      </c>
      <c r="N1260" t="s">
        <v>27</v>
      </c>
      <c r="O1260" t="s">
        <v>29</v>
      </c>
      <c r="P1260">
        <v>2.5</v>
      </c>
      <c r="Q1260" t="s">
        <v>274</v>
      </c>
      <c r="R1260" t="str">
        <f>_xlfn.CONCAT(laptop[[#This Row],[CPU_company]]," ",laptop[[#This Row],[CPU_model]])</f>
        <v>Intel Core i7 6500U</v>
      </c>
      <c r="S1260">
        <v>1024</v>
      </c>
      <c r="T1260">
        <v>0</v>
      </c>
      <c r="U1260">
        <f>laptop[[#This Row],[PrimaryStorage]]+laptop[[#This Row],[SecondaryStorage]]</f>
        <v>1024</v>
      </c>
      <c r="V1260" t="s">
        <v>223</v>
      </c>
      <c r="W1260" t="s">
        <v>27</v>
      </c>
      <c r="X1260" t="str">
        <f>IF(laptop[[#This Row],[PrimaryStorageType]]=laptop[[#This Row],[SecondaryStorageType]],laptop[[#This Row],[PrimaryStorageType]],"SSD &amp; HDD")</f>
        <v>SSD &amp; HDD</v>
      </c>
      <c r="Y1260" t="s">
        <v>786</v>
      </c>
      <c r="Z1260" s="4" t="str">
        <f>_xlfn.CONCAT(laptop[[#This Row],[CPU_company]]," ",laptop[[#This Row],[GPU_model]])</f>
        <v>Intel Radeon R5 M330</v>
      </c>
    </row>
    <row r="1261" spans="1:26" x14ac:dyDescent="0.25">
      <c r="A1261" t="s">
        <v>141</v>
      </c>
      <c r="B1261" t="s">
        <v>877</v>
      </c>
      <c r="C1261" t="s">
        <v>83</v>
      </c>
      <c r="D1261">
        <v>15.6</v>
      </c>
      <c r="E1261">
        <v>8</v>
      </c>
      <c r="F1261" t="s">
        <v>48</v>
      </c>
      <c r="G1261">
        <v>2.4</v>
      </c>
      <c r="H1261" s="16">
        <v>1229</v>
      </c>
      <c r="I1261" t="s">
        <v>40</v>
      </c>
      <c r="J1261">
        <v>1920</v>
      </c>
      <c r="K1261">
        <v>1080</v>
      </c>
      <c r="L1261" t="s">
        <v>27</v>
      </c>
      <c r="M1261" t="s">
        <v>27</v>
      </c>
      <c r="N1261" t="s">
        <v>27</v>
      </c>
      <c r="O1261" t="s">
        <v>29</v>
      </c>
      <c r="P1261">
        <v>2.6</v>
      </c>
      <c r="Q1261" t="s">
        <v>447</v>
      </c>
      <c r="R1261" t="str">
        <f>_xlfn.CONCAT(laptop[[#This Row],[CPU_company]]," ",laptop[[#This Row],[CPU_model]])</f>
        <v>Intel Core i7 6700HQ</v>
      </c>
      <c r="S1261">
        <v>128</v>
      </c>
      <c r="T1261">
        <v>1024</v>
      </c>
      <c r="U1261">
        <f>laptop[[#This Row],[PrimaryStorage]]+laptop[[#This Row],[SecondaryStorage]]</f>
        <v>1152</v>
      </c>
      <c r="V1261" t="s">
        <v>31</v>
      </c>
      <c r="W1261" t="s">
        <v>51</v>
      </c>
      <c r="X1261" t="str">
        <f>IF(laptop[[#This Row],[PrimaryStorageType]]=laptop[[#This Row],[SecondaryStorageType]],laptop[[#This Row],[PrimaryStorageType]],"SSD &amp; HDD")</f>
        <v>SSD &amp; HDD</v>
      </c>
      <c r="Y1261" t="s">
        <v>483</v>
      </c>
      <c r="Z1261" s="4" t="str">
        <f>_xlfn.CONCAT(laptop[[#This Row],[CPU_company]]," ",laptop[[#This Row],[GPU_model]])</f>
        <v>Intel GeForce GTX 960M</v>
      </c>
    </row>
    <row r="1262" spans="1:26" x14ac:dyDescent="0.25">
      <c r="A1262" t="s">
        <v>73</v>
      </c>
      <c r="B1262" t="s">
        <v>878</v>
      </c>
      <c r="C1262" t="s">
        <v>90</v>
      </c>
      <c r="D1262">
        <v>14</v>
      </c>
      <c r="E1262">
        <v>4</v>
      </c>
      <c r="F1262" t="s">
        <v>48</v>
      </c>
      <c r="G1262">
        <v>1.8</v>
      </c>
      <c r="H1262" s="16">
        <v>833.01</v>
      </c>
      <c r="I1262" t="s">
        <v>40</v>
      </c>
      <c r="J1262">
        <v>1920</v>
      </c>
      <c r="K1262">
        <v>1080</v>
      </c>
      <c r="L1262" t="s">
        <v>28</v>
      </c>
      <c r="M1262" t="s">
        <v>27</v>
      </c>
      <c r="N1262" t="s">
        <v>27</v>
      </c>
      <c r="O1262" t="s">
        <v>29</v>
      </c>
      <c r="P1262">
        <v>2.2999999999999998</v>
      </c>
      <c r="Q1262" t="s">
        <v>212</v>
      </c>
      <c r="R1262" t="str">
        <f>_xlfn.CONCAT(laptop[[#This Row],[CPU_company]]," ",laptop[[#This Row],[CPU_model]])</f>
        <v>Intel Core i5 6200U</v>
      </c>
      <c r="S1262">
        <v>128</v>
      </c>
      <c r="T1262">
        <v>0</v>
      </c>
      <c r="U1262">
        <f>laptop[[#This Row],[PrimaryStorage]]+laptop[[#This Row],[SecondaryStorage]]</f>
        <v>128</v>
      </c>
      <c r="V1262" t="s">
        <v>31</v>
      </c>
      <c r="W1262" t="s">
        <v>27</v>
      </c>
      <c r="X1262" t="str">
        <f>IF(laptop[[#This Row],[PrimaryStorageType]]=laptop[[#This Row],[SecondaryStorageType]],laptop[[#This Row],[PrimaryStorageType]],"SSD &amp; HDD")</f>
        <v>SSD &amp; HDD</v>
      </c>
      <c r="Y1262" t="s">
        <v>63</v>
      </c>
      <c r="Z1262" s="4" t="str">
        <f>_xlfn.CONCAT(laptop[[#This Row],[CPU_company]]," ",laptop[[#This Row],[GPU_model]])</f>
        <v>Intel HD Graphics 520</v>
      </c>
    </row>
    <row r="1263" spans="1:26" x14ac:dyDescent="0.25">
      <c r="A1263" t="s">
        <v>55</v>
      </c>
      <c r="B1263" t="s">
        <v>879</v>
      </c>
      <c r="C1263" t="s">
        <v>24</v>
      </c>
      <c r="D1263">
        <v>13.3</v>
      </c>
      <c r="E1263">
        <v>8</v>
      </c>
      <c r="F1263" t="s">
        <v>48</v>
      </c>
      <c r="G1263">
        <v>1.2</v>
      </c>
      <c r="H1263" s="16">
        <v>729</v>
      </c>
      <c r="I1263" t="s">
        <v>40</v>
      </c>
      <c r="J1263">
        <v>1920</v>
      </c>
      <c r="K1263">
        <v>1080</v>
      </c>
      <c r="L1263" t="s">
        <v>27</v>
      </c>
      <c r="M1263" t="s">
        <v>28</v>
      </c>
      <c r="N1263" t="s">
        <v>27</v>
      </c>
      <c r="O1263" t="s">
        <v>29</v>
      </c>
      <c r="P1263">
        <v>0.9</v>
      </c>
      <c r="Q1263" t="s">
        <v>880</v>
      </c>
      <c r="R1263" t="str">
        <f>_xlfn.CONCAT(laptop[[#This Row],[CPU_company]]," ",laptop[[#This Row],[CPU_model]])</f>
        <v>Intel Core M 6Y30</v>
      </c>
      <c r="S1263">
        <v>512</v>
      </c>
      <c r="T1263">
        <v>0</v>
      </c>
      <c r="U1263">
        <f>laptop[[#This Row],[PrimaryStorage]]+laptop[[#This Row],[SecondaryStorage]]</f>
        <v>512</v>
      </c>
      <c r="V1263" t="s">
        <v>31</v>
      </c>
      <c r="W1263" t="s">
        <v>27</v>
      </c>
      <c r="X1263" t="str">
        <f>IF(laptop[[#This Row],[PrimaryStorageType]]=laptop[[#This Row],[SecondaryStorageType]],laptop[[#This Row],[PrimaryStorageType]],"SSD &amp; HDD")</f>
        <v>SSD &amp; HDD</v>
      </c>
      <c r="Y1263" t="s">
        <v>217</v>
      </c>
      <c r="Z1263" s="4" t="str">
        <f>_xlfn.CONCAT(laptop[[#This Row],[CPU_company]]," ",laptop[[#This Row],[GPU_model]])</f>
        <v>Intel HD Graphics 515</v>
      </c>
    </row>
    <row r="1264" spans="1:26" x14ac:dyDescent="0.25">
      <c r="A1264" t="s">
        <v>65</v>
      </c>
      <c r="B1264" t="s">
        <v>66</v>
      </c>
      <c r="C1264" t="s">
        <v>38</v>
      </c>
      <c r="D1264">
        <v>15.6</v>
      </c>
      <c r="E1264">
        <v>6</v>
      </c>
      <c r="F1264" t="s">
        <v>48</v>
      </c>
      <c r="G1264">
        <v>2.2999999999999998</v>
      </c>
      <c r="H1264" s="16">
        <v>459</v>
      </c>
      <c r="I1264" t="s">
        <v>26</v>
      </c>
      <c r="J1264">
        <v>1366</v>
      </c>
      <c r="K1264">
        <v>768</v>
      </c>
      <c r="L1264" t="s">
        <v>27</v>
      </c>
      <c r="M1264" t="s">
        <v>27</v>
      </c>
      <c r="N1264" t="s">
        <v>27</v>
      </c>
      <c r="O1264" t="s">
        <v>29</v>
      </c>
      <c r="P1264">
        <v>2.4</v>
      </c>
      <c r="Q1264" t="s">
        <v>75</v>
      </c>
      <c r="R1264" t="str">
        <f>_xlfn.CONCAT(laptop[[#This Row],[CPU_company]]," ",laptop[[#This Row],[CPU_model]])</f>
        <v>Intel Core i3 7100U</v>
      </c>
      <c r="S1264">
        <v>1024</v>
      </c>
      <c r="T1264">
        <v>0</v>
      </c>
      <c r="U1264">
        <f>laptop[[#This Row],[PrimaryStorage]]+laptop[[#This Row],[SecondaryStorage]]</f>
        <v>1024</v>
      </c>
      <c r="V1264" t="s">
        <v>51</v>
      </c>
      <c r="W1264" t="s">
        <v>27</v>
      </c>
      <c r="X1264" t="str">
        <f>IF(laptop[[#This Row],[PrimaryStorageType]]=laptop[[#This Row],[SecondaryStorageType]],laptop[[#This Row],[PrimaryStorageType]],"SSD &amp; HDD")</f>
        <v>SSD &amp; HDD</v>
      </c>
      <c r="Y1264" t="s">
        <v>42</v>
      </c>
      <c r="Z1264" s="4" t="str">
        <f>_xlfn.CONCAT(laptop[[#This Row],[CPU_company]]," ",laptop[[#This Row],[GPU_model]])</f>
        <v>Intel HD Graphics 620</v>
      </c>
    </row>
    <row r="1265" spans="1:26" x14ac:dyDescent="0.25">
      <c r="A1265" t="s">
        <v>46</v>
      </c>
      <c r="B1265" t="s">
        <v>881</v>
      </c>
      <c r="C1265" t="s">
        <v>38</v>
      </c>
      <c r="D1265">
        <v>15.6</v>
      </c>
      <c r="E1265">
        <v>4</v>
      </c>
      <c r="F1265" t="s">
        <v>111</v>
      </c>
      <c r="G1265">
        <v>2.4</v>
      </c>
      <c r="H1265" s="16">
        <v>289</v>
      </c>
      <c r="I1265" t="s">
        <v>26</v>
      </c>
      <c r="J1265">
        <v>1366</v>
      </c>
      <c r="K1265">
        <v>768</v>
      </c>
      <c r="L1265" t="s">
        <v>27</v>
      </c>
      <c r="M1265" t="s">
        <v>27</v>
      </c>
      <c r="N1265" t="s">
        <v>27</v>
      </c>
      <c r="O1265" t="s">
        <v>29</v>
      </c>
      <c r="P1265">
        <v>1.6</v>
      </c>
      <c r="Q1265" t="s">
        <v>151</v>
      </c>
      <c r="R1265" t="str">
        <f>_xlfn.CONCAT(laptop[[#This Row],[CPU_company]]," ",laptop[[#This Row],[CPU_model]])</f>
        <v>Intel Celeron Dual Core N3060</v>
      </c>
      <c r="S1265">
        <v>500</v>
      </c>
      <c r="T1265">
        <v>0</v>
      </c>
      <c r="U1265">
        <f>laptop[[#This Row],[PrimaryStorage]]+laptop[[#This Row],[SecondaryStorage]]</f>
        <v>500</v>
      </c>
      <c r="V1265" t="s">
        <v>51</v>
      </c>
      <c r="W1265" t="s">
        <v>27</v>
      </c>
      <c r="X1265" t="str">
        <f>IF(laptop[[#This Row],[PrimaryStorageType]]=laptop[[#This Row],[SecondaryStorageType]],laptop[[#This Row],[PrimaryStorageType]],"SSD &amp; HDD")</f>
        <v>SSD &amp; HDD</v>
      </c>
      <c r="Y1265" t="s">
        <v>81</v>
      </c>
      <c r="Z1265" s="4" t="str">
        <f>_xlfn.CONCAT(laptop[[#This Row],[CPU_company]]," ",laptop[[#This Row],[GPU_model]])</f>
        <v>Intel HD Graphics 400</v>
      </c>
    </row>
    <row r="1266" spans="1:26" x14ac:dyDescent="0.25">
      <c r="A1266" t="s">
        <v>65</v>
      </c>
      <c r="B1266" t="s">
        <v>361</v>
      </c>
      <c r="C1266" t="s">
        <v>38</v>
      </c>
      <c r="D1266">
        <v>15.6</v>
      </c>
      <c r="E1266">
        <v>2</v>
      </c>
      <c r="F1266" t="s">
        <v>48</v>
      </c>
      <c r="G1266">
        <v>2.2000000000000002</v>
      </c>
      <c r="H1266" s="16">
        <v>379</v>
      </c>
      <c r="I1266" t="s">
        <v>26</v>
      </c>
      <c r="J1266">
        <v>1366</v>
      </c>
      <c r="K1266">
        <v>768</v>
      </c>
      <c r="L1266" t="s">
        <v>27</v>
      </c>
      <c r="M1266" t="s">
        <v>27</v>
      </c>
      <c r="N1266" t="s">
        <v>27</v>
      </c>
      <c r="O1266" t="s">
        <v>29</v>
      </c>
      <c r="P1266">
        <v>1.6</v>
      </c>
      <c r="Q1266" t="s">
        <v>590</v>
      </c>
      <c r="R1266" t="str">
        <f>_xlfn.CONCAT(laptop[[#This Row],[CPU_company]]," ",laptop[[#This Row],[CPU_model]])</f>
        <v>Intel Celeron Dual Core N3050</v>
      </c>
      <c r="S1266">
        <v>500</v>
      </c>
      <c r="T1266">
        <v>0</v>
      </c>
      <c r="U1266">
        <f>laptop[[#This Row],[PrimaryStorage]]+laptop[[#This Row],[SecondaryStorage]]</f>
        <v>500</v>
      </c>
      <c r="V1266" t="s">
        <v>51</v>
      </c>
      <c r="W1266" t="s">
        <v>27</v>
      </c>
      <c r="X1266" t="str">
        <f>IF(laptop[[#This Row],[PrimaryStorageType]]=laptop[[#This Row],[SecondaryStorageType]],laptop[[#This Row],[PrimaryStorageType]],"SSD &amp; HDD")</f>
        <v>SSD &amp; HDD</v>
      </c>
      <c r="Y1266" t="s">
        <v>102</v>
      </c>
      <c r="Z1266" s="4" t="str">
        <f>_xlfn.CONCAT(laptop[[#This Row],[CPU_company]]," ",laptop[[#This Row],[GPU_model]])</f>
        <v>Intel HD Graphics</v>
      </c>
    </row>
    <row r="1267" spans="1:26" x14ac:dyDescent="0.25">
      <c r="A1267" t="s">
        <v>73</v>
      </c>
      <c r="B1267" t="s">
        <v>559</v>
      </c>
      <c r="C1267" t="s">
        <v>38</v>
      </c>
      <c r="D1267">
        <v>15.6</v>
      </c>
      <c r="E1267">
        <v>8</v>
      </c>
      <c r="F1267" t="s">
        <v>48</v>
      </c>
      <c r="G1267">
        <v>2.6</v>
      </c>
      <c r="H1267" s="16">
        <v>899</v>
      </c>
      <c r="I1267" t="s">
        <v>40</v>
      </c>
      <c r="J1267">
        <v>1920</v>
      </c>
      <c r="K1267">
        <v>1080</v>
      </c>
      <c r="L1267" t="s">
        <v>27</v>
      </c>
      <c r="M1267" t="s">
        <v>28</v>
      </c>
      <c r="N1267" t="s">
        <v>27</v>
      </c>
      <c r="O1267" t="s">
        <v>29</v>
      </c>
      <c r="P1267">
        <v>2.6</v>
      </c>
      <c r="Q1267" t="s">
        <v>447</v>
      </c>
      <c r="R1267" t="str">
        <f>_xlfn.CONCAT(laptop[[#This Row],[CPU_company]]," ",laptop[[#This Row],[CPU_model]])</f>
        <v>Intel Core i7 6700HQ</v>
      </c>
      <c r="S1267">
        <v>1024</v>
      </c>
      <c r="T1267">
        <v>0</v>
      </c>
      <c r="U1267">
        <f>laptop[[#This Row],[PrimaryStorage]]+laptop[[#This Row],[SecondaryStorage]]</f>
        <v>1024</v>
      </c>
      <c r="V1267" t="s">
        <v>51</v>
      </c>
      <c r="W1267" t="s">
        <v>27</v>
      </c>
      <c r="X1267" t="str">
        <f>IF(laptop[[#This Row],[PrimaryStorageType]]=laptop[[#This Row],[SecondaryStorageType]],laptop[[#This Row],[PrimaryStorageType]],"SSD &amp; HDD")</f>
        <v>SSD &amp; HDD</v>
      </c>
      <c r="Y1267" t="s">
        <v>483</v>
      </c>
      <c r="Z1267" s="4" t="str">
        <f>_xlfn.CONCAT(laptop[[#This Row],[CPU_company]]," ",laptop[[#This Row],[GPU_model]])</f>
        <v>Intel GeForce GTX 960M</v>
      </c>
    </row>
    <row r="1268" spans="1:26" x14ac:dyDescent="0.25">
      <c r="A1268" t="s">
        <v>36</v>
      </c>
      <c r="B1268" t="s">
        <v>882</v>
      </c>
      <c r="C1268" t="s">
        <v>38</v>
      </c>
      <c r="D1268">
        <v>15.6</v>
      </c>
      <c r="E1268">
        <v>6</v>
      </c>
      <c r="F1268" t="s">
        <v>48</v>
      </c>
      <c r="G1268">
        <v>2.04</v>
      </c>
      <c r="H1268" s="16">
        <v>549.99</v>
      </c>
      <c r="I1268" t="s">
        <v>40</v>
      </c>
      <c r="J1268">
        <v>1920</v>
      </c>
      <c r="K1268">
        <v>1080</v>
      </c>
      <c r="L1268" t="s">
        <v>27</v>
      </c>
      <c r="M1268" t="s">
        <v>27</v>
      </c>
      <c r="N1268" t="s">
        <v>27</v>
      </c>
      <c r="O1268" t="s">
        <v>49</v>
      </c>
      <c r="P1268">
        <v>2.9</v>
      </c>
      <c r="Q1268" t="s">
        <v>883</v>
      </c>
      <c r="R1268" t="str">
        <f>_xlfn.CONCAT(laptop[[#This Row],[CPU_company]]," ",laptop[[#This Row],[CPU_model]])</f>
        <v>AMD A9-Series 9410</v>
      </c>
      <c r="S1268">
        <v>1024</v>
      </c>
      <c r="T1268">
        <v>0</v>
      </c>
      <c r="U1268">
        <f>laptop[[#This Row],[PrimaryStorage]]+laptop[[#This Row],[SecondaryStorage]]</f>
        <v>1024</v>
      </c>
      <c r="V1268" t="s">
        <v>223</v>
      </c>
      <c r="W1268" t="s">
        <v>27</v>
      </c>
      <c r="X1268" t="str">
        <f>IF(laptop[[#This Row],[PrimaryStorageType]]=laptop[[#This Row],[SecondaryStorageType]],laptop[[#This Row],[PrimaryStorageType]],"SSD &amp; HDD")</f>
        <v>SSD &amp; HDD</v>
      </c>
      <c r="Y1268" t="s">
        <v>585</v>
      </c>
      <c r="Z1268" s="4" t="str">
        <f>_xlfn.CONCAT(laptop[[#This Row],[CPU_company]]," ",laptop[[#This Row],[GPU_model]])</f>
        <v>AMD Radeon R7 M440</v>
      </c>
    </row>
    <row r="1269" spans="1:26" x14ac:dyDescent="0.25">
      <c r="A1269" t="s">
        <v>65</v>
      </c>
      <c r="B1269" t="s">
        <v>66</v>
      </c>
      <c r="C1269" t="s">
        <v>38</v>
      </c>
      <c r="D1269">
        <v>15.6</v>
      </c>
      <c r="E1269">
        <v>8</v>
      </c>
      <c r="F1269" t="s">
        <v>111</v>
      </c>
      <c r="G1269">
        <v>2.2999999999999998</v>
      </c>
      <c r="H1269" s="16">
        <v>805.99</v>
      </c>
      <c r="I1269" t="s">
        <v>26</v>
      </c>
      <c r="J1269">
        <v>1366</v>
      </c>
      <c r="K1269">
        <v>768</v>
      </c>
      <c r="L1269" t="s">
        <v>27</v>
      </c>
      <c r="M1269" t="s">
        <v>27</v>
      </c>
      <c r="N1269" t="s">
        <v>27</v>
      </c>
      <c r="O1269" t="s">
        <v>29</v>
      </c>
      <c r="P1269">
        <v>2.7</v>
      </c>
      <c r="Q1269" t="s">
        <v>71</v>
      </c>
      <c r="R1269" t="str">
        <f>_xlfn.CONCAT(laptop[[#This Row],[CPU_company]]," ",laptop[[#This Row],[CPU_model]])</f>
        <v>Intel Core i7 7500U</v>
      </c>
      <c r="S1269">
        <v>1024</v>
      </c>
      <c r="T1269">
        <v>0</v>
      </c>
      <c r="U1269">
        <f>laptop[[#This Row],[PrimaryStorage]]+laptop[[#This Row],[SecondaryStorage]]</f>
        <v>1024</v>
      </c>
      <c r="V1269" t="s">
        <v>51</v>
      </c>
      <c r="W1269" t="s">
        <v>27</v>
      </c>
      <c r="X1269" t="str">
        <f>IF(laptop[[#This Row],[PrimaryStorageType]]=laptop[[#This Row],[SecondaryStorageType]],laptop[[#This Row],[PrimaryStorageType]],"SSD &amp; HDD")</f>
        <v>SSD &amp; HDD</v>
      </c>
      <c r="Y1269" t="s">
        <v>67</v>
      </c>
      <c r="Z1269" s="4" t="str">
        <f>_xlfn.CONCAT(laptop[[#This Row],[CPU_company]]," ",laptop[[#This Row],[GPU_model]])</f>
        <v>Intel Radeon R5 M430</v>
      </c>
    </row>
    <row r="1270" spans="1:26" x14ac:dyDescent="0.25">
      <c r="A1270" t="s">
        <v>36</v>
      </c>
      <c r="B1270" t="s">
        <v>884</v>
      </c>
      <c r="C1270" t="s">
        <v>79</v>
      </c>
      <c r="D1270">
        <v>11.6</v>
      </c>
      <c r="E1270">
        <v>2</v>
      </c>
      <c r="F1270" t="s">
        <v>48</v>
      </c>
      <c r="G1270">
        <v>1.17</v>
      </c>
      <c r="H1270" s="16">
        <v>209</v>
      </c>
      <c r="I1270" t="s">
        <v>26</v>
      </c>
      <c r="J1270">
        <v>1366</v>
      </c>
      <c r="K1270">
        <v>768</v>
      </c>
      <c r="L1270" t="s">
        <v>27</v>
      </c>
      <c r="M1270" t="s">
        <v>27</v>
      </c>
      <c r="N1270" t="s">
        <v>27</v>
      </c>
      <c r="O1270" t="s">
        <v>29</v>
      </c>
      <c r="P1270">
        <v>1.6</v>
      </c>
      <c r="Q1270" t="s">
        <v>151</v>
      </c>
      <c r="R1270" t="str">
        <f>_xlfn.CONCAT(laptop[[#This Row],[CPU_company]]," ",laptop[[#This Row],[CPU_model]])</f>
        <v>Intel Celeron Dual Core N3060</v>
      </c>
      <c r="S1270">
        <v>32</v>
      </c>
      <c r="T1270">
        <v>0</v>
      </c>
      <c r="U1270">
        <f>laptop[[#This Row],[PrimaryStorage]]+laptop[[#This Row],[SecondaryStorage]]</f>
        <v>32</v>
      </c>
      <c r="V1270" t="s">
        <v>34</v>
      </c>
      <c r="W1270" t="s">
        <v>27</v>
      </c>
      <c r="X1270" t="str">
        <f>IF(laptop[[#This Row],[PrimaryStorageType]]=laptop[[#This Row],[SecondaryStorageType]],laptop[[#This Row],[PrimaryStorageType]],"SSD &amp; HDD")</f>
        <v>SSD &amp; HDD</v>
      </c>
      <c r="Y1270" t="s">
        <v>81</v>
      </c>
      <c r="Z1270" s="4" t="str">
        <f>_xlfn.CONCAT(laptop[[#This Row],[CPU_company]]," ",laptop[[#This Row],[GPU_model]])</f>
        <v>Intel HD Graphics 400</v>
      </c>
    </row>
    <row r="1271" spans="1:26" x14ac:dyDescent="0.25">
      <c r="A1271" t="s">
        <v>55</v>
      </c>
      <c r="B1271" t="s">
        <v>885</v>
      </c>
      <c r="C1271" t="s">
        <v>38</v>
      </c>
      <c r="D1271">
        <v>15.6</v>
      </c>
      <c r="E1271">
        <v>4</v>
      </c>
      <c r="F1271" t="s">
        <v>48</v>
      </c>
      <c r="G1271">
        <v>2.2000000000000002</v>
      </c>
      <c r="H1271" s="16">
        <v>720.32</v>
      </c>
      <c r="I1271" t="s">
        <v>26</v>
      </c>
      <c r="J1271">
        <v>1366</v>
      </c>
      <c r="K1271">
        <v>768</v>
      </c>
      <c r="L1271" t="s">
        <v>27</v>
      </c>
      <c r="M1271" t="s">
        <v>27</v>
      </c>
      <c r="N1271" t="s">
        <v>27</v>
      </c>
      <c r="O1271" t="s">
        <v>29</v>
      </c>
      <c r="P1271">
        <v>2.5</v>
      </c>
      <c r="Q1271" t="s">
        <v>274</v>
      </c>
      <c r="R1271" t="str">
        <f>_xlfn.CONCAT(laptop[[#This Row],[CPU_company]]," ",laptop[[#This Row],[CPU_model]])</f>
        <v>Intel Core i7 6500U</v>
      </c>
      <c r="S1271">
        <v>500</v>
      </c>
      <c r="T1271">
        <v>0</v>
      </c>
      <c r="U1271">
        <f>laptop[[#This Row],[PrimaryStorage]]+laptop[[#This Row],[SecondaryStorage]]</f>
        <v>500</v>
      </c>
      <c r="V1271" t="s">
        <v>51</v>
      </c>
      <c r="W1271" t="s">
        <v>27</v>
      </c>
      <c r="X1271" t="str">
        <f>IF(laptop[[#This Row],[PrimaryStorageType]]=laptop[[#This Row],[SecondaryStorageType]],laptop[[#This Row],[PrimaryStorageType]],"SSD &amp; HDD")</f>
        <v>SSD &amp; HDD</v>
      </c>
      <c r="Y1271" t="s">
        <v>178</v>
      </c>
      <c r="Z1271" s="4" t="str">
        <f>_xlfn.CONCAT(laptop[[#This Row],[CPU_company]]," ",laptop[[#This Row],[GPU_model]])</f>
        <v>Intel GeForce 920M</v>
      </c>
    </row>
    <row r="1272" spans="1:26" x14ac:dyDescent="0.25">
      <c r="A1272" t="s">
        <v>73</v>
      </c>
      <c r="B1272" t="s">
        <v>886</v>
      </c>
      <c r="C1272" t="s">
        <v>90</v>
      </c>
      <c r="D1272">
        <v>14</v>
      </c>
      <c r="E1272">
        <v>4</v>
      </c>
      <c r="F1272" t="s">
        <v>48</v>
      </c>
      <c r="G1272">
        <v>1.8</v>
      </c>
      <c r="H1272" s="16">
        <v>638</v>
      </c>
      <c r="I1272" t="s">
        <v>40</v>
      </c>
      <c r="J1272">
        <v>1920</v>
      </c>
      <c r="K1272">
        <v>1080</v>
      </c>
      <c r="L1272" t="s">
        <v>28</v>
      </c>
      <c r="M1272" t="s">
        <v>28</v>
      </c>
      <c r="N1272" t="s">
        <v>27</v>
      </c>
      <c r="O1272" t="s">
        <v>29</v>
      </c>
      <c r="P1272">
        <v>2.5</v>
      </c>
      <c r="Q1272" t="s">
        <v>274</v>
      </c>
      <c r="R1272" t="str">
        <f>_xlfn.CONCAT(laptop[[#This Row],[CPU_company]]," ",laptop[[#This Row],[CPU_model]])</f>
        <v>Intel Core i7 6500U</v>
      </c>
      <c r="S1272">
        <v>128</v>
      </c>
      <c r="T1272">
        <v>0</v>
      </c>
      <c r="U1272">
        <f>laptop[[#This Row],[PrimaryStorage]]+laptop[[#This Row],[SecondaryStorage]]</f>
        <v>128</v>
      </c>
      <c r="V1272" t="s">
        <v>31</v>
      </c>
      <c r="W1272" t="s">
        <v>27</v>
      </c>
      <c r="X1272" t="str">
        <f>IF(laptop[[#This Row],[PrimaryStorageType]]=laptop[[#This Row],[SecondaryStorageType]],laptop[[#This Row],[PrimaryStorageType]],"SSD &amp; HDD")</f>
        <v>SSD &amp; HDD</v>
      </c>
      <c r="Y1272" t="s">
        <v>63</v>
      </c>
      <c r="Z1272" s="4" t="str">
        <f>_xlfn.CONCAT(laptop[[#This Row],[CPU_company]]," ",laptop[[#This Row],[GPU_model]])</f>
        <v>Intel HD Graphics 520</v>
      </c>
    </row>
    <row r="1273" spans="1:26" x14ac:dyDescent="0.25">
      <c r="A1273" t="s">
        <v>73</v>
      </c>
      <c r="B1273" t="s">
        <v>628</v>
      </c>
      <c r="C1273" t="s">
        <v>90</v>
      </c>
      <c r="D1273">
        <v>13.3</v>
      </c>
      <c r="E1273">
        <v>16</v>
      </c>
      <c r="F1273" t="s">
        <v>48</v>
      </c>
      <c r="G1273">
        <v>1.3</v>
      </c>
      <c r="H1273" s="16">
        <v>1499</v>
      </c>
      <c r="I1273" t="s">
        <v>107</v>
      </c>
      <c r="J1273">
        <v>3200</v>
      </c>
      <c r="K1273">
        <v>1800</v>
      </c>
      <c r="L1273" t="s">
        <v>28</v>
      </c>
      <c r="M1273" t="s">
        <v>28</v>
      </c>
      <c r="N1273" t="s">
        <v>27</v>
      </c>
      <c r="O1273" t="s">
        <v>29</v>
      </c>
      <c r="P1273">
        <v>2.5</v>
      </c>
      <c r="Q1273" t="s">
        <v>274</v>
      </c>
      <c r="R1273" t="str">
        <f>_xlfn.CONCAT(laptop[[#This Row],[CPU_company]]," ",laptop[[#This Row],[CPU_model]])</f>
        <v>Intel Core i7 6500U</v>
      </c>
      <c r="S1273">
        <v>512</v>
      </c>
      <c r="T1273">
        <v>0</v>
      </c>
      <c r="U1273">
        <f>laptop[[#This Row],[PrimaryStorage]]+laptop[[#This Row],[SecondaryStorage]]</f>
        <v>512</v>
      </c>
      <c r="V1273" t="s">
        <v>31</v>
      </c>
      <c r="W1273" t="s">
        <v>27</v>
      </c>
      <c r="X1273" t="str">
        <f>IF(laptop[[#This Row],[PrimaryStorageType]]=laptop[[#This Row],[SecondaryStorageType]],laptop[[#This Row],[PrimaryStorageType]],"SSD &amp; HDD")</f>
        <v>SSD &amp; HDD</v>
      </c>
      <c r="Y1273" t="s">
        <v>63</v>
      </c>
      <c r="Z1273" s="4" t="str">
        <f>_xlfn.CONCAT(laptop[[#This Row],[CPU_company]]," ",laptop[[#This Row],[GPU_model]])</f>
        <v>Intel HD Graphics 520</v>
      </c>
    </row>
    <row r="1274" spans="1:26" x14ac:dyDescent="0.25">
      <c r="A1274" t="s">
        <v>73</v>
      </c>
      <c r="B1274" t="s">
        <v>549</v>
      </c>
      <c r="C1274" t="s">
        <v>38</v>
      </c>
      <c r="D1274">
        <v>14</v>
      </c>
      <c r="E1274">
        <v>2</v>
      </c>
      <c r="F1274" t="s">
        <v>48</v>
      </c>
      <c r="G1274">
        <v>1.5</v>
      </c>
      <c r="H1274" s="16">
        <v>229</v>
      </c>
      <c r="I1274" t="s">
        <v>26</v>
      </c>
      <c r="J1274">
        <v>1366</v>
      </c>
      <c r="K1274">
        <v>768</v>
      </c>
      <c r="L1274" t="s">
        <v>27</v>
      </c>
      <c r="M1274" t="s">
        <v>27</v>
      </c>
      <c r="N1274" t="s">
        <v>27</v>
      </c>
      <c r="O1274" t="s">
        <v>29</v>
      </c>
      <c r="P1274">
        <v>1.6</v>
      </c>
      <c r="Q1274" t="s">
        <v>590</v>
      </c>
      <c r="R1274" t="str">
        <f>_xlfn.CONCAT(laptop[[#This Row],[CPU_company]]," ",laptop[[#This Row],[CPU_model]])</f>
        <v>Intel Celeron Dual Core N3050</v>
      </c>
      <c r="S1274">
        <v>64</v>
      </c>
      <c r="T1274">
        <v>0</v>
      </c>
      <c r="U1274">
        <f>laptop[[#This Row],[PrimaryStorage]]+laptop[[#This Row],[SecondaryStorage]]</f>
        <v>64</v>
      </c>
      <c r="V1274" t="s">
        <v>34</v>
      </c>
      <c r="W1274" t="s">
        <v>27</v>
      </c>
      <c r="X1274" t="str">
        <f>IF(laptop[[#This Row],[PrimaryStorageType]]=laptop[[#This Row],[SecondaryStorageType]],laptop[[#This Row],[PrimaryStorageType]],"SSD &amp; HDD")</f>
        <v>SSD &amp; HDD</v>
      </c>
      <c r="Y1274" t="s">
        <v>102</v>
      </c>
      <c r="Z1274" s="4" t="str">
        <f>_xlfn.CONCAT(laptop[[#This Row],[CPU_company]]," ",laptop[[#This Row],[GPU_model]])</f>
        <v>Intel HD Graphics</v>
      </c>
    </row>
    <row r="1275" spans="1:26" x14ac:dyDescent="0.25">
      <c r="A1275" t="s">
        <v>36</v>
      </c>
      <c r="B1275" t="s">
        <v>887</v>
      </c>
      <c r="C1275" t="s">
        <v>38</v>
      </c>
      <c r="D1275">
        <v>15.6</v>
      </c>
      <c r="E1275">
        <v>6</v>
      </c>
      <c r="F1275" t="s">
        <v>48</v>
      </c>
      <c r="G1275">
        <v>2.19</v>
      </c>
      <c r="H1275" s="16">
        <v>764</v>
      </c>
      <c r="I1275" t="s">
        <v>26</v>
      </c>
      <c r="J1275">
        <v>1366</v>
      </c>
      <c r="K1275">
        <v>768</v>
      </c>
      <c r="L1275" t="s">
        <v>27</v>
      </c>
      <c r="M1275" t="s">
        <v>27</v>
      </c>
      <c r="N1275" t="s">
        <v>27</v>
      </c>
      <c r="O1275" t="s">
        <v>29</v>
      </c>
      <c r="P1275">
        <v>2.5</v>
      </c>
      <c r="Q1275" t="s">
        <v>274</v>
      </c>
      <c r="R1275" t="str">
        <f>_xlfn.CONCAT(laptop[[#This Row],[CPU_company]]," ",laptop[[#This Row],[CPU_model]])</f>
        <v>Intel Core i7 6500U</v>
      </c>
      <c r="S1275">
        <v>1024</v>
      </c>
      <c r="T1275">
        <v>0</v>
      </c>
      <c r="U1275">
        <f>laptop[[#This Row],[PrimaryStorage]]+laptop[[#This Row],[SecondaryStorage]]</f>
        <v>1024</v>
      </c>
      <c r="V1275" t="s">
        <v>51</v>
      </c>
      <c r="W1275" t="s">
        <v>27</v>
      </c>
      <c r="X1275" t="str">
        <f>IF(laptop[[#This Row],[PrimaryStorageType]]=laptop[[#This Row],[SecondaryStorageType]],laptop[[#This Row],[PrimaryStorageType]],"SSD &amp; HDD")</f>
        <v>SSD &amp; HDD</v>
      </c>
      <c r="Y1275" t="s">
        <v>786</v>
      </c>
      <c r="Z1275" s="4" t="str">
        <f>_xlfn.CONCAT(laptop[[#This Row],[CPU_company]]," ",laptop[[#This Row],[GPU_model]])</f>
        <v>Intel Radeon R5 M330</v>
      </c>
    </row>
    <row r="1276" spans="1:26" x14ac:dyDescent="0.25">
      <c r="A1276" t="s">
        <v>55</v>
      </c>
      <c r="B1276" t="s">
        <v>888</v>
      </c>
      <c r="C1276" t="s">
        <v>38</v>
      </c>
      <c r="D1276">
        <v>15.6</v>
      </c>
      <c r="E1276">
        <v>4</v>
      </c>
      <c r="F1276" t="s">
        <v>48</v>
      </c>
      <c r="G1276">
        <v>2.2000000000000002</v>
      </c>
      <c r="H1276" s="16">
        <v>369</v>
      </c>
      <c r="I1276" t="s">
        <v>26</v>
      </c>
      <c r="J1276">
        <v>1366</v>
      </c>
      <c r="K1276">
        <v>768</v>
      </c>
      <c r="L1276" t="s">
        <v>27</v>
      </c>
      <c r="M1276" t="s">
        <v>27</v>
      </c>
      <c r="N1276" t="s">
        <v>27</v>
      </c>
      <c r="O1276" t="s">
        <v>29</v>
      </c>
      <c r="P1276">
        <v>1.6</v>
      </c>
      <c r="Q1276" t="s">
        <v>590</v>
      </c>
      <c r="R1276" t="str">
        <f>_xlfn.CONCAT(laptop[[#This Row],[CPU_company]]," ",laptop[[#This Row],[CPU_model]])</f>
        <v>Intel Celeron Dual Core N3050</v>
      </c>
      <c r="S1276">
        <v>500</v>
      </c>
      <c r="T1276">
        <v>0</v>
      </c>
      <c r="U1276">
        <f>laptop[[#This Row],[PrimaryStorage]]+laptop[[#This Row],[SecondaryStorage]]</f>
        <v>500</v>
      </c>
      <c r="V1276" t="s">
        <v>51</v>
      </c>
      <c r="W1276" t="s">
        <v>27</v>
      </c>
      <c r="X1276" t="str">
        <f>IF(laptop[[#This Row],[PrimaryStorageType]]=laptop[[#This Row],[SecondaryStorageType]],laptop[[#This Row],[PrimaryStorageType]],"SSD &amp; HDD")</f>
        <v>SSD &amp; HDD</v>
      </c>
      <c r="Y1276" t="s">
        <v>102</v>
      </c>
      <c r="Z1276" s="4" t="str">
        <f>_xlfn.CONCAT(laptop[[#This Row],[CPU_company]]," ",laptop[[#This Row],[GPU_model]])</f>
        <v>Intel HD Graphics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4FCEA-B447-4CF0-AB7C-1971E38314D0}">
  <dimension ref="A1:M1257"/>
  <sheetViews>
    <sheetView workbookViewId="0">
      <selection activeCell="A19" sqref="A1:A19"/>
    </sheetView>
  </sheetViews>
  <sheetFormatPr defaultRowHeight="15" x14ac:dyDescent="0.25"/>
  <cols>
    <col min="1" max="1" width="13.28515625" customWidth="1"/>
    <col min="3" max="3" width="29.28515625" bestFit="1" customWidth="1"/>
    <col min="4" max="4" width="23.5703125" bestFit="1" customWidth="1"/>
    <col min="5" max="5" width="23.5703125" customWidth="1"/>
    <col min="6" max="6" width="21.28515625" customWidth="1"/>
    <col min="7" max="7" width="19" customWidth="1"/>
    <col min="9" max="9" width="11.5703125" bestFit="1" customWidth="1"/>
    <col min="10" max="10" width="19" bestFit="1" customWidth="1"/>
  </cols>
  <sheetData>
    <row r="1" spans="1:13" x14ac:dyDescent="0.25">
      <c r="A1" t="str" cm="1">
        <f t="array" ref="A1:A19">_xlfn.UNIQUE(Filtering!A2:A1257)</f>
        <v>Acer</v>
      </c>
      <c r="C1" s="3" t="s">
        <v>1104</v>
      </c>
      <c r="D1" s="3" t="s">
        <v>896</v>
      </c>
      <c r="E1" s="3"/>
      <c r="F1" s="3" t="s">
        <v>1105</v>
      </c>
      <c r="G1" t="str">
        <f>cpu</f>
        <v>Intel Core i5 7300HQ</v>
      </c>
      <c r="J1" s="3" t="s">
        <v>1108</v>
      </c>
    </row>
    <row r="2" spans="1:13" x14ac:dyDescent="0.25">
      <c r="A2" t="str">
        <v>Apple</v>
      </c>
      <c r="C2" t="str">
        <f>IF(Filtering!F2&gt;0,Filtering!B2,"N/A")</f>
        <v>N/A</v>
      </c>
      <c r="D2" t="str">
        <f>IF('Data Validation'!C2=Filtering!B2,Filtering!C2,"N/A")</f>
        <v>N/A</v>
      </c>
      <c r="F2" t="str" cm="1">
        <f t="array" ref="F2:F7">_xlfn._xlws.FILTER($D$1:$D$1257,$C$1:$C$1257=$G$1,"N/A")</f>
        <v>Intel GeForce GTX 1050</v>
      </c>
      <c r="J2" t="str">
        <f>IF(_xlfn.CONCAT(Filtering!A2,Filtering!B2,Filtering!C2)=$M$2,Filtering!D2,"N/A")</f>
        <v>N/A</v>
      </c>
      <c r="L2" t="str" cm="1">
        <f t="array" ref="L2:L8">_xlfn.UNIQUE(J2:J1257)</f>
        <v>N/A</v>
      </c>
      <c r="M2" t="str">
        <f>_xlfn.CONCAT(brand,cpu,gpu)</f>
        <v>MSIIntel Core i5 7300HQIntel GeForce GTX 1050</v>
      </c>
    </row>
    <row r="3" spans="1:13" x14ac:dyDescent="0.25">
      <c r="A3" t="str">
        <v>Asus</v>
      </c>
      <c r="C3" t="str">
        <f>IF(Filtering!F3&gt;0,Filtering!B3,"N/A")</f>
        <v>N/A</v>
      </c>
      <c r="D3" t="str">
        <f>IF('Data Validation'!C3=Filtering!B3,Filtering!C3,"N/A")</f>
        <v>N/A</v>
      </c>
      <c r="F3" t="str">
        <v>Intel GeForce GTX 1050</v>
      </c>
      <c r="J3" t="str">
        <f>IF(_xlfn.CONCAT(Filtering!A3,Filtering!B3,Filtering!C3)=$M$2,Filtering!D3,"N/A")</f>
        <v>N/A</v>
      </c>
      <c r="L3">
        <v>997.9</v>
      </c>
    </row>
    <row r="4" spans="1:13" x14ac:dyDescent="0.25">
      <c r="A4" t="str">
        <v>Chuwi</v>
      </c>
      <c r="C4" t="str">
        <f>IF(Filtering!F4&gt;0,Filtering!B4,"N/A")</f>
        <v>N/A</v>
      </c>
      <c r="D4" t="str">
        <f>IF('Data Validation'!C4=Filtering!B4,Filtering!C4,"N/A")</f>
        <v>N/A</v>
      </c>
      <c r="F4" t="str">
        <v>Intel GeForce GTX 1050</v>
      </c>
      <c r="J4" t="str">
        <f>IF(_xlfn.CONCAT(Filtering!A4,Filtering!B4,Filtering!C4)=$M$2,Filtering!D4,"N/A")</f>
        <v>N/A</v>
      </c>
      <c r="L4">
        <v>1027.74</v>
      </c>
    </row>
    <row r="5" spans="1:13" x14ac:dyDescent="0.25">
      <c r="A5" t="str">
        <v>Dell</v>
      </c>
      <c r="C5" t="str">
        <f>IF(Filtering!F5&gt;0,Filtering!B5,"N/A")</f>
        <v>N/A</v>
      </c>
      <c r="D5" t="str">
        <f>IF('Data Validation'!C5=Filtering!B5,Filtering!C5,"N/A")</f>
        <v>N/A</v>
      </c>
      <c r="F5" t="str">
        <v>Intel GeForce GTX 1050</v>
      </c>
      <c r="J5" t="str">
        <f>IF(_xlfn.CONCAT(Filtering!A5,Filtering!B5,Filtering!C5)=$M$2,Filtering!D5,"N/A")</f>
        <v>N/A</v>
      </c>
      <c r="L5">
        <v>1089</v>
      </c>
    </row>
    <row r="6" spans="1:13" x14ac:dyDescent="0.25">
      <c r="A6" t="str">
        <v>Fujitsu</v>
      </c>
      <c r="C6" t="str">
        <f>IF(Filtering!F6&gt;0,Filtering!B6,"N/A")</f>
        <v>N/A</v>
      </c>
      <c r="D6" t="str">
        <f>IF('Data Validation'!C6=Filtering!B6,Filtering!C6,"N/A")</f>
        <v>N/A</v>
      </c>
      <c r="F6" t="str">
        <v>Intel GeForce GTX 1050</v>
      </c>
      <c r="J6" t="str">
        <f>IF(_xlfn.CONCAT(Filtering!A6,Filtering!B6,Filtering!C6)=$M$2,Filtering!D6,"N/A")</f>
        <v>N/A</v>
      </c>
      <c r="L6">
        <v>1095</v>
      </c>
    </row>
    <row r="7" spans="1:13" x14ac:dyDescent="0.25">
      <c r="A7" t="str">
        <v>Google</v>
      </c>
      <c r="C7" t="str">
        <f>IF(Filtering!F7&gt;0,Filtering!B7,"N/A")</f>
        <v>N/A</v>
      </c>
      <c r="D7" t="str">
        <f>IF('Data Validation'!C7=Filtering!B7,Filtering!C7,"N/A")</f>
        <v>N/A</v>
      </c>
      <c r="F7" t="str">
        <v>Intel GeForce GTX 1050</v>
      </c>
      <c r="J7" t="str">
        <f>IF(_xlfn.CONCAT(Filtering!A7,Filtering!B7,Filtering!C7)=$M$2,Filtering!D7,"N/A")</f>
        <v>N/A</v>
      </c>
      <c r="L7">
        <v>1119.9100000000001</v>
      </c>
    </row>
    <row r="8" spans="1:13" x14ac:dyDescent="0.25">
      <c r="A8" t="str">
        <v>HP</v>
      </c>
      <c r="C8" t="str">
        <f>IF(Filtering!F8&gt;0,Filtering!B8,"N/A")</f>
        <v>N/A</v>
      </c>
      <c r="D8" t="str">
        <f>IF('Data Validation'!C8=Filtering!B8,Filtering!C8,"N/A")</f>
        <v>N/A</v>
      </c>
      <c r="J8" t="str">
        <f>IF(_xlfn.CONCAT(Filtering!A8,Filtering!B8,Filtering!C8)=$M$2,Filtering!D8,"N/A")</f>
        <v>N/A</v>
      </c>
      <c r="L8">
        <v>1199</v>
      </c>
    </row>
    <row r="9" spans="1:13" x14ac:dyDescent="0.25">
      <c r="A9" t="str">
        <v>Huawei</v>
      </c>
      <c r="C9" t="str">
        <f>IF(Filtering!F9&gt;0,Filtering!B9,"N/A")</f>
        <v>N/A</v>
      </c>
      <c r="D9" t="str">
        <f>IF('Data Validation'!C9=Filtering!B9,Filtering!C9,"N/A")</f>
        <v>N/A</v>
      </c>
      <c r="J9" t="str">
        <f>IF(_xlfn.CONCAT(Filtering!A9,Filtering!B9,Filtering!C9)=$M$2,Filtering!D9,"N/A")</f>
        <v>N/A</v>
      </c>
    </row>
    <row r="10" spans="1:13" x14ac:dyDescent="0.25">
      <c r="A10" t="str">
        <v>Lenovo</v>
      </c>
      <c r="C10" t="str">
        <f>IF(Filtering!F10&gt;0,Filtering!B10,"N/A")</f>
        <v>N/A</v>
      </c>
      <c r="D10" t="str">
        <f>IF('Data Validation'!C10=Filtering!B10,Filtering!C10,"N/A")</f>
        <v>N/A</v>
      </c>
      <c r="J10" t="str">
        <f>IF(_xlfn.CONCAT(Filtering!A10,Filtering!B10,Filtering!C10)=$M$2,Filtering!D10,"N/A")</f>
        <v>N/A</v>
      </c>
    </row>
    <row r="11" spans="1:13" x14ac:dyDescent="0.25">
      <c r="A11" t="str">
        <v>LG</v>
      </c>
      <c r="C11" t="str">
        <f>IF(Filtering!F11&gt;0,Filtering!B11,"N/A")</f>
        <v>N/A</v>
      </c>
      <c r="D11" t="str">
        <f>IF('Data Validation'!C11=Filtering!B11,Filtering!C11,"N/A")</f>
        <v>N/A</v>
      </c>
      <c r="J11" t="str">
        <f>IF(_xlfn.CONCAT(Filtering!A11,Filtering!B11,Filtering!C11)=$M$2,Filtering!D11,"N/A")</f>
        <v>N/A</v>
      </c>
    </row>
    <row r="12" spans="1:13" x14ac:dyDescent="0.25">
      <c r="A12" t="str">
        <v>Mediacom</v>
      </c>
      <c r="C12" t="str">
        <f>IF(Filtering!F12&gt;0,Filtering!B12,"N/A")</f>
        <v>N/A</v>
      </c>
      <c r="D12" t="str">
        <f>IF('Data Validation'!C12=Filtering!B12,Filtering!C12,"N/A")</f>
        <v>N/A</v>
      </c>
      <c r="J12" t="str">
        <f>IF(_xlfn.CONCAT(Filtering!A12,Filtering!B12,Filtering!C12)=$M$2,Filtering!D12,"N/A")</f>
        <v>N/A</v>
      </c>
    </row>
    <row r="13" spans="1:13" x14ac:dyDescent="0.25">
      <c r="A13" t="str">
        <v>Microsoft</v>
      </c>
      <c r="C13" t="str">
        <f>IF(Filtering!F13&gt;0,Filtering!B13,"N/A")</f>
        <v>N/A</v>
      </c>
      <c r="D13" t="str">
        <f>IF('Data Validation'!C13=Filtering!B13,Filtering!C13,"N/A")</f>
        <v>N/A</v>
      </c>
      <c r="J13" t="str">
        <f>IF(_xlfn.CONCAT(Filtering!A13,Filtering!B13,Filtering!C13)=$M$2,Filtering!D13,"N/A")</f>
        <v>N/A</v>
      </c>
    </row>
    <row r="14" spans="1:13" x14ac:dyDescent="0.25">
      <c r="A14" t="str">
        <v>MSI</v>
      </c>
      <c r="C14" t="str">
        <f>IF(Filtering!F14&gt;0,Filtering!B14,"N/A")</f>
        <v>N/A</v>
      </c>
      <c r="D14" t="str">
        <f>IF('Data Validation'!C14=Filtering!B14,Filtering!C14,"N/A")</f>
        <v>N/A</v>
      </c>
      <c r="J14" t="str">
        <f>IF(_xlfn.CONCAT(Filtering!A14,Filtering!B14,Filtering!C14)=$M$2,Filtering!D14,"N/A")</f>
        <v>N/A</v>
      </c>
    </row>
    <row r="15" spans="1:13" x14ac:dyDescent="0.25">
      <c r="A15" t="str">
        <v>Razer</v>
      </c>
      <c r="C15" t="str">
        <f>IF(Filtering!F15&gt;0,Filtering!B15,"N/A")</f>
        <v>N/A</v>
      </c>
      <c r="D15" t="str">
        <f>IF('Data Validation'!C15=Filtering!B15,Filtering!C15,"N/A")</f>
        <v>N/A</v>
      </c>
      <c r="J15" t="str">
        <f>IF(_xlfn.CONCAT(Filtering!A15,Filtering!B15,Filtering!C15)=$M$2,Filtering!D15,"N/A")</f>
        <v>N/A</v>
      </c>
    </row>
    <row r="16" spans="1:13" x14ac:dyDescent="0.25">
      <c r="A16" t="str">
        <v>Samsung</v>
      </c>
      <c r="C16" t="str">
        <f>IF(Filtering!F16&gt;0,Filtering!B16,"N/A")</f>
        <v>N/A</v>
      </c>
      <c r="D16" t="str">
        <f>IF('Data Validation'!C16=Filtering!B16,Filtering!C16,"N/A")</f>
        <v>N/A</v>
      </c>
      <c r="J16" t="str">
        <f>IF(_xlfn.CONCAT(Filtering!A16,Filtering!B16,Filtering!C16)=$M$2,Filtering!D16,"N/A")</f>
        <v>N/A</v>
      </c>
    </row>
    <row r="17" spans="1:10" x14ac:dyDescent="0.25">
      <c r="A17" t="str">
        <v>Toshiba</v>
      </c>
      <c r="C17" t="str">
        <f>IF(Filtering!F17&gt;0,Filtering!B17,"N/A")</f>
        <v>N/A</v>
      </c>
      <c r="D17" t="str">
        <f>IF('Data Validation'!C17=Filtering!B17,Filtering!C17,"N/A")</f>
        <v>N/A</v>
      </c>
      <c r="J17" t="str">
        <f>IF(_xlfn.CONCAT(Filtering!A17,Filtering!B17,Filtering!C17)=$M$2,Filtering!D17,"N/A")</f>
        <v>N/A</v>
      </c>
    </row>
    <row r="18" spans="1:10" x14ac:dyDescent="0.25">
      <c r="A18" t="str">
        <v>Vero</v>
      </c>
      <c r="C18" t="str">
        <f>IF(Filtering!F18&gt;0,Filtering!B18,"N/A")</f>
        <v>N/A</v>
      </c>
      <c r="D18" t="str">
        <f>IF('Data Validation'!C18=Filtering!B18,Filtering!C18,"N/A")</f>
        <v>N/A</v>
      </c>
      <c r="J18" t="str">
        <f>IF(_xlfn.CONCAT(Filtering!A18,Filtering!B18,Filtering!C18)=$M$2,Filtering!D18,"N/A")</f>
        <v>N/A</v>
      </c>
    </row>
    <row r="19" spans="1:10" x14ac:dyDescent="0.25">
      <c r="A19" t="str">
        <v>Xiaomi</v>
      </c>
      <c r="C19" t="str">
        <f>IF(Filtering!F19&gt;0,Filtering!B19,"N/A")</f>
        <v>N/A</v>
      </c>
      <c r="D19" t="str">
        <f>IF('Data Validation'!C19=Filtering!B19,Filtering!C19,"N/A")</f>
        <v>N/A</v>
      </c>
      <c r="J19" t="str">
        <f>IF(_xlfn.CONCAT(Filtering!A19,Filtering!B19,Filtering!C19)=$M$2,Filtering!D19,"N/A")</f>
        <v>N/A</v>
      </c>
    </row>
    <row r="20" spans="1:10" x14ac:dyDescent="0.25">
      <c r="C20" t="str">
        <f>IF(Filtering!F20&gt;0,Filtering!B20,"N/A")</f>
        <v>N/A</v>
      </c>
      <c r="D20" t="str">
        <f>IF('Data Validation'!C20=Filtering!B20,Filtering!C20,"N/A")</f>
        <v>N/A</v>
      </c>
      <c r="J20" t="str">
        <f>IF(_xlfn.CONCAT(Filtering!A20,Filtering!B20,Filtering!C20)=$M$2,Filtering!D20,"N/A")</f>
        <v>N/A</v>
      </c>
    </row>
    <row r="21" spans="1:10" x14ac:dyDescent="0.25">
      <c r="C21" t="str">
        <f>IF(Filtering!F21&gt;0,Filtering!B21,"N/A")</f>
        <v>N/A</v>
      </c>
      <c r="D21" t="str">
        <f>IF('Data Validation'!C21=Filtering!B21,Filtering!C21,"N/A")</f>
        <v>N/A</v>
      </c>
      <c r="J21" t="str">
        <f>IF(_xlfn.CONCAT(Filtering!A21,Filtering!B21,Filtering!C21)=$M$2,Filtering!D21,"N/A")</f>
        <v>N/A</v>
      </c>
    </row>
    <row r="22" spans="1:10" x14ac:dyDescent="0.25">
      <c r="C22" t="str">
        <f>IF(Filtering!F22&gt;0,Filtering!B22,"N/A")</f>
        <v>N/A</v>
      </c>
      <c r="D22" t="str">
        <f>IF('Data Validation'!C22=Filtering!B22,Filtering!C22,"N/A")</f>
        <v>N/A</v>
      </c>
      <c r="J22" t="str">
        <f>IF(_xlfn.CONCAT(Filtering!A22,Filtering!B22,Filtering!C22)=$M$2,Filtering!D22,"N/A")</f>
        <v>N/A</v>
      </c>
    </row>
    <row r="23" spans="1:10" x14ac:dyDescent="0.25">
      <c r="C23" t="str">
        <f>IF(Filtering!F23&gt;0,Filtering!B23,"N/A")</f>
        <v>N/A</v>
      </c>
      <c r="D23" t="str">
        <f>IF('Data Validation'!C23=Filtering!B23,Filtering!C23,"N/A")</f>
        <v>N/A</v>
      </c>
      <c r="J23" t="str">
        <f>IF(_xlfn.CONCAT(Filtering!A23,Filtering!B23,Filtering!C23)=$M$2,Filtering!D23,"N/A")</f>
        <v>N/A</v>
      </c>
    </row>
    <row r="24" spans="1:10" x14ac:dyDescent="0.25">
      <c r="C24" t="str">
        <f>IF(Filtering!F24&gt;0,Filtering!B24,"N/A")</f>
        <v>N/A</v>
      </c>
      <c r="D24" t="str">
        <f>IF('Data Validation'!C24=Filtering!B24,Filtering!C24,"N/A")</f>
        <v>N/A</v>
      </c>
      <c r="J24" t="str">
        <f>IF(_xlfn.CONCAT(Filtering!A24,Filtering!B24,Filtering!C24)=$M$2,Filtering!D24,"N/A")</f>
        <v>N/A</v>
      </c>
    </row>
    <row r="25" spans="1:10" x14ac:dyDescent="0.25">
      <c r="C25" t="str">
        <f>IF(Filtering!F25&gt;0,Filtering!B25,"N/A")</f>
        <v>N/A</v>
      </c>
      <c r="D25" t="str">
        <f>IF('Data Validation'!C25=Filtering!B25,Filtering!C25,"N/A")</f>
        <v>N/A</v>
      </c>
      <c r="J25" t="str">
        <f>IF(_xlfn.CONCAT(Filtering!A25,Filtering!B25,Filtering!C25)=$M$2,Filtering!D25,"N/A")</f>
        <v>N/A</v>
      </c>
    </row>
    <row r="26" spans="1:10" x14ac:dyDescent="0.25">
      <c r="C26" t="str">
        <f>IF(Filtering!F26&gt;0,Filtering!B26,"N/A")</f>
        <v>N/A</v>
      </c>
      <c r="D26" t="str">
        <f>IF('Data Validation'!C26=Filtering!B26,Filtering!C26,"N/A")</f>
        <v>N/A</v>
      </c>
      <c r="J26" t="str">
        <f>IF(_xlfn.CONCAT(Filtering!A26,Filtering!B26,Filtering!C26)=$M$2,Filtering!D26,"N/A")</f>
        <v>N/A</v>
      </c>
    </row>
    <row r="27" spans="1:10" x14ac:dyDescent="0.25">
      <c r="C27" t="str">
        <f>IF(Filtering!F27&gt;0,Filtering!B27,"N/A")</f>
        <v>N/A</v>
      </c>
      <c r="D27" t="str">
        <f>IF('Data Validation'!C27=Filtering!B27,Filtering!C27,"N/A")</f>
        <v>N/A</v>
      </c>
      <c r="J27" t="str">
        <f>IF(_xlfn.CONCAT(Filtering!A27,Filtering!B27,Filtering!C27)=$M$2,Filtering!D27,"N/A")</f>
        <v>N/A</v>
      </c>
    </row>
    <row r="28" spans="1:10" x14ac:dyDescent="0.25">
      <c r="C28" t="str">
        <f>IF(Filtering!F28&gt;0,Filtering!B28,"N/A")</f>
        <v>N/A</v>
      </c>
      <c r="D28" t="str">
        <f>IF('Data Validation'!C28=Filtering!B28,Filtering!C28,"N/A")</f>
        <v>N/A</v>
      </c>
      <c r="J28" t="str">
        <f>IF(_xlfn.CONCAT(Filtering!A28,Filtering!B28,Filtering!C28)=$M$2,Filtering!D28,"N/A")</f>
        <v>N/A</v>
      </c>
    </row>
    <row r="29" spans="1:10" x14ac:dyDescent="0.25">
      <c r="C29" t="str">
        <f>IF(Filtering!F29&gt;0,Filtering!B29,"N/A")</f>
        <v>N/A</v>
      </c>
      <c r="D29" t="str">
        <f>IF('Data Validation'!C29=Filtering!B29,Filtering!C29,"N/A")</f>
        <v>N/A</v>
      </c>
      <c r="J29" t="str">
        <f>IF(_xlfn.CONCAT(Filtering!A29,Filtering!B29,Filtering!C29)=$M$2,Filtering!D29,"N/A")</f>
        <v>N/A</v>
      </c>
    </row>
    <row r="30" spans="1:10" x14ac:dyDescent="0.25">
      <c r="C30" t="str">
        <f>IF(Filtering!F30&gt;0,Filtering!B30,"N/A")</f>
        <v>N/A</v>
      </c>
      <c r="D30" t="str">
        <f>IF('Data Validation'!C30=Filtering!B30,Filtering!C30,"N/A")</f>
        <v>N/A</v>
      </c>
      <c r="J30" t="str">
        <f>IF(_xlfn.CONCAT(Filtering!A30,Filtering!B30,Filtering!C30)=$M$2,Filtering!D30,"N/A")</f>
        <v>N/A</v>
      </c>
    </row>
    <row r="31" spans="1:10" x14ac:dyDescent="0.25">
      <c r="C31" t="str">
        <f>IF(Filtering!F31&gt;0,Filtering!B31,"N/A")</f>
        <v>N/A</v>
      </c>
      <c r="D31" t="str">
        <f>IF('Data Validation'!C31=Filtering!B31,Filtering!C31,"N/A")</f>
        <v>N/A</v>
      </c>
      <c r="J31" t="str">
        <f>IF(_xlfn.CONCAT(Filtering!A31,Filtering!B31,Filtering!C31)=$M$2,Filtering!D31,"N/A")</f>
        <v>N/A</v>
      </c>
    </row>
    <row r="32" spans="1:10" x14ac:dyDescent="0.25">
      <c r="C32" t="str">
        <f>IF(Filtering!F32&gt;0,Filtering!B32,"N/A")</f>
        <v>N/A</v>
      </c>
      <c r="D32" t="str">
        <f>IF('Data Validation'!C32=Filtering!B32,Filtering!C32,"N/A")</f>
        <v>N/A</v>
      </c>
      <c r="J32" t="str">
        <f>IF(_xlfn.CONCAT(Filtering!A32,Filtering!B32,Filtering!C32)=$M$2,Filtering!D32,"N/A")</f>
        <v>N/A</v>
      </c>
    </row>
    <row r="33" spans="3:10" x14ac:dyDescent="0.25">
      <c r="C33" t="str">
        <f>IF(Filtering!F33&gt;0,Filtering!B33,"N/A")</f>
        <v>N/A</v>
      </c>
      <c r="D33" t="str">
        <f>IF('Data Validation'!C33=Filtering!B33,Filtering!C33,"N/A")</f>
        <v>N/A</v>
      </c>
      <c r="J33" t="str">
        <f>IF(_xlfn.CONCAT(Filtering!A33,Filtering!B33,Filtering!C33)=$M$2,Filtering!D33,"N/A")</f>
        <v>N/A</v>
      </c>
    </row>
    <row r="34" spans="3:10" x14ac:dyDescent="0.25">
      <c r="C34" t="str">
        <f>IF(Filtering!F34&gt;0,Filtering!B34,"N/A")</f>
        <v>N/A</v>
      </c>
      <c r="D34" t="str">
        <f>IF('Data Validation'!C34=Filtering!B34,Filtering!C34,"N/A")</f>
        <v>N/A</v>
      </c>
      <c r="J34" t="str">
        <f>IF(_xlfn.CONCAT(Filtering!A34,Filtering!B34,Filtering!C34)=$M$2,Filtering!D34,"N/A")</f>
        <v>N/A</v>
      </c>
    </row>
    <row r="35" spans="3:10" x14ac:dyDescent="0.25">
      <c r="C35" t="str">
        <f>IF(Filtering!F35&gt;0,Filtering!B35,"N/A")</f>
        <v>N/A</v>
      </c>
      <c r="D35" t="str">
        <f>IF('Data Validation'!C35=Filtering!B35,Filtering!C35,"N/A")</f>
        <v>N/A</v>
      </c>
      <c r="J35" t="str">
        <f>IF(_xlfn.CONCAT(Filtering!A35,Filtering!B35,Filtering!C35)=$M$2,Filtering!D35,"N/A")</f>
        <v>N/A</v>
      </c>
    </row>
    <row r="36" spans="3:10" x14ac:dyDescent="0.25">
      <c r="C36" t="str">
        <f>IF(Filtering!F36&gt;0,Filtering!B36,"N/A")</f>
        <v>N/A</v>
      </c>
      <c r="D36" t="str">
        <f>IF('Data Validation'!C36=Filtering!B36,Filtering!C36,"N/A")</f>
        <v>N/A</v>
      </c>
      <c r="J36" t="str">
        <f>IF(_xlfn.CONCAT(Filtering!A36,Filtering!B36,Filtering!C36)=$M$2,Filtering!D36,"N/A")</f>
        <v>N/A</v>
      </c>
    </row>
    <row r="37" spans="3:10" x14ac:dyDescent="0.25">
      <c r="C37" t="str">
        <f>IF(Filtering!F37&gt;0,Filtering!B37,"N/A")</f>
        <v>N/A</v>
      </c>
      <c r="D37" t="str">
        <f>IF('Data Validation'!C37=Filtering!B37,Filtering!C37,"N/A")</f>
        <v>N/A</v>
      </c>
      <c r="J37" t="str">
        <f>IF(_xlfn.CONCAT(Filtering!A37,Filtering!B37,Filtering!C37)=$M$2,Filtering!D37,"N/A")</f>
        <v>N/A</v>
      </c>
    </row>
    <row r="38" spans="3:10" x14ac:dyDescent="0.25">
      <c r="C38" t="str">
        <f>IF(Filtering!F38&gt;0,Filtering!B38,"N/A")</f>
        <v>N/A</v>
      </c>
      <c r="D38" t="str">
        <f>IF('Data Validation'!C38=Filtering!B38,Filtering!C38,"N/A")</f>
        <v>N/A</v>
      </c>
      <c r="J38" t="str">
        <f>IF(_xlfn.CONCAT(Filtering!A38,Filtering!B38,Filtering!C38)=$M$2,Filtering!D38,"N/A")</f>
        <v>N/A</v>
      </c>
    </row>
    <row r="39" spans="3:10" x14ac:dyDescent="0.25">
      <c r="C39" t="str">
        <f>IF(Filtering!F39&gt;0,Filtering!B39,"N/A")</f>
        <v>N/A</v>
      </c>
      <c r="D39" t="str">
        <f>IF('Data Validation'!C39=Filtering!B39,Filtering!C39,"N/A")</f>
        <v>N/A</v>
      </c>
      <c r="J39" t="str">
        <f>IF(_xlfn.CONCAT(Filtering!A39,Filtering!B39,Filtering!C39)=$M$2,Filtering!D39,"N/A")</f>
        <v>N/A</v>
      </c>
    </row>
    <row r="40" spans="3:10" x14ac:dyDescent="0.25">
      <c r="C40" t="str">
        <f>IF(Filtering!F40&gt;0,Filtering!B40,"N/A")</f>
        <v>N/A</v>
      </c>
      <c r="D40" t="str">
        <f>IF('Data Validation'!C40=Filtering!B40,Filtering!C40,"N/A")</f>
        <v>N/A</v>
      </c>
      <c r="J40" t="str">
        <f>IF(_xlfn.CONCAT(Filtering!A40,Filtering!B40,Filtering!C40)=$M$2,Filtering!D40,"N/A")</f>
        <v>N/A</v>
      </c>
    </row>
    <row r="41" spans="3:10" x14ac:dyDescent="0.25">
      <c r="C41" t="str">
        <f>IF(Filtering!F41&gt;0,Filtering!B41,"N/A")</f>
        <v>N/A</v>
      </c>
      <c r="D41" t="str">
        <f>IF('Data Validation'!C41=Filtering!B41,Filtering!C41,"N/A")</f>
        <v>N/A</v>
      </c>
      <c r="J41" t="str">
        <f>IF(_xlfn.CONCAT(Filtering!A41,Filtering!B41,Filtering!C41)=$M$2,Filtering!D41,"N/A")</f>
        <v>N/A</v>
      </c>
    </row>
    <row r="42" spans="3:10" x14ac:dyDescent="0.25">
      <c r="C42" t="str">
        <f>IF(Filtering!F42&gt;0,Filtering!B42,"N/A")</f>
        <v>N/A</v>
      </c>
      <c r="D42" t="str">
        <f>IF('Data Validation'!C42=Filtering!B42,Filtering!C42,"N/A")</f>
        <v>N/A</v>
      </c>
      <c r="J42" t="str">
        <f>IF(_xlfn.CONCAT(Filtering!A42,Filtering!B42,Filtering!C42)=$M$2,Filtering!D42,"N/A")</f>
        <v>N/A</v>
      </c>
    </row>
    <row r="43" spans="3:10" x14ac:dyDescent="0.25">
      <c r="C43" t="str">
        <f>IF(Filtering!F43&gt;0,Filtering!B43,"N/A")</f>
        <v>N/A</v>
      </c>
      <c r="D43" t="str">
        <f>IF('Data Validation'!C43=Filtering!B43,Filtering!C43,"N/A")</f>
        <v>N/A</v>
      </c>
      <c r="J43" t="str">
        <f>IF(_xlfn.CONCAT(Filtering!A43,Filtering!B43,Filtering!C43)=$M$2,Filtering!D43,"N/A")</f>
        <v>N/A</v>
      </c>
    </row>
    <row r="44" spans="3:10" x14ac:dyDescent="0.25">
      <c r="C44" t="str">
        <f>IF(Filtering!F44&gt;0,Filtering!B44,"N/A")</f>
        <v>N/A</v>
      </c>
      <c r="D44" t="str">
        <f>IF('Data Validation'!C44=Filtering!B44,Filtering!C44,"N/A")</f>
        <v>N/A</v>
      </c>
      <c r="J44" t="str">
        <f>IF(_xlfn.CONCAT(Filtering!A44,Filtering!B44,Filtering!C44)=$M$2,Filtering!D44,"N/A")</f>
        <v>N/A</v>
      </c>
    </row>
    <row r="45" spans="3:10" x14ac:dyDescent="0.25">
      <c r="C45" t="str">
        <f>IF(Filtering!F45&gt;0,Filtering!B45,"N/A")</f>
        <v>N/A</v>
      </c>
      <c r="D45" t="str">
        <f>IF('Data Validation'!C45=Filtering!B45,Filtering!C45,"N/A")</f>
        <v>N/A</v>
      </c>
      <c r="J45" t="str">
        <f>IF(_xlfn.CONCAT(Filtering!A45,Filtering!B45,Filtering!C45)=$M$2,Filtering!D45,"N/A")</f>
        <v>N/A</v>
      </c>
    </row>
    <row r="46" spans="3:10" x14ac:dyDescent="0.25">
      <c r="C46" t="str">
        <f>IF(Filtering!F46&gt;0,Filtering!B46,"N/A")</f>
        <v>N/A</v>
      </c>
      <c r="D46" t="str">
        <f>IF('Data Validation'!C46=Filtering!B46,Filtering!C46,"N/A")</f>
        <v>N/A</v>
      </c>
      <c r="J46" t="str">
        <f>IF(_xlfn.CONCAT(Filtering!A46,Filtering!B46,Filtering!C46)=$M$2,Filtering!D46,"N/A")</f>
        <v>N/A</v>
      </c>
    </row>
    <row r="47" spans="3:10" x14ac:dyDescent="0.25">
      <c r="C47" t="str">
        <f>IF(Filtering!F47&gt;0,Filtering!B47,"N/A")</f>
        <v>N/A</v>
      </c>
      <c r="D47" t="str">
        <f>IF('Data Validation'!C47=Filtering!B47,Filtering!C47,"N/A")</f>
        <v>N/A</v>
      </c>
      <c r="J47" t="str">
        <f>IF(_xlfn.CONCAT(Filtering!A47,Filtering!B47,Filtering!C47)=$M$2,Filtering!D47,"N/A")</f>
        <v>N/A</v>
      </c>
    </row>
    <row r="48" spans="3:10" x14ac:dyDescent="0.25">
      <c r="C48" t="str">
        <f>IF(Filtering!F48&gt;0,Filtering!B48,"N/A")</f>
        <v>N/A</v>
      </c>
      <c r="D48" t="str">
        <f>IF('Data Validation'!C48=Filtering!B48,Filtering!C48,"N/A")</f>
        <v>N/A</v>
      </c>
      <c r="J48" t="str">
        <f>IF(_xlfn.CONCAT(Filtering!A48,Filtering!B48,Filtering!C48)=$M$2,Filtering!D48,"N/A")</f>
        <v>N/A</v>
      </c>
    </row>
    <row r="49" spans="3:10" x14ac:dyDescent="0.25">
      <c r="C49" t="str">
        <f>IF(Filtering!F49&gt;0,Filtering!B49,"N/A")</f>
        <v>N/A</v>
      </c>
      <c r="D49" t="str">
        <f>IF('Data Validation'!C49=Filtering!B49,Filtering!C49,"N/A")</f>
        <v>N/A</v>
      </c>
      <c r="J49" t="str">
        <f>IF(_xlfn.CONCAT(Filtering!A49,Filtering!B49,Filtering!C49)=$M$2,Filtering!D49,"N/A")</f>
        <v>N/A</v>
      </c>
    </row>
    <row r="50" spans="3:10" x14ac:dyDescent="0.25">
      <c r="C50" t="str">
        <f>IF(Filtering!F50&gt;0,Filtering!B50,"N/A")</f>
        <v>N/A</v>
      </c>
      <c r="D50" t="str">
        <f>IF('Data Validation'!C50=Filtering!B50,Filtering!C50,"N/A")</f>
        <v>N/A</v>
      </c>
      <c r="J50" t="str">
        <f>IF(_xlfn.CONCAT(Filtering!A50,Filtering!B50,Filtering!C50)=$M$2,Filtering!D50,"N/A")</f>
        <v>N/A</v>
      </c>
    </row>
    <row r="51" spans="3:10" x14ac:dyDescent="0.25">
      <c r="C51" t="str">
        <f>IF(Filtering!F51&gt;0,Filtering!B51,"N/A")</f>
        <v>N/A</v>
      </c>
      <c r="D51" t="str">
        <f>IF('Data Validation'!C51=Filtering!B51,Filtering!C51,"N/A")</f>
        <v>N/A</v>
      </c>
      <c r="J51" t="str">
        <f>IF(_xlfn.CONCAT(Filtering!A51,Filtering!B51,Filtering!C51)=$M$2,Filtering!D51,"N/A")</f>
        <v>N/A</v>
      </c>
    </row>
    <row r="52" spans="3:10" x14ac:dyDescent="0.25">
      <c r="C52" t="str">
        <f>IF(Filtering!F52&gt;0,Filtering!B52,"N/A")</f>
        <v>N/A</v>
      </c>
      <c r="D52" t="str">
        <f>IF('Data Validation'!C52=Filtering!B52,Filtering!C52,"N/A")</f>
        <v>N/A</v>
      </c>
      <c r="J52" t="str">
        <f>IF(_xlfn.CONCAT(Filtering!A52,Filtering!B52,Filtering!C52)=$M$2,Filtering!D52,"N/A")</f>
        <v>N/A</v>
      </c>
    </row>
    <row r="53" spans="3:10" x14ac:dyDescent="0.25">
      <c r="C53" t="str">
        <f>IF(Filtering!F53&gt;0,Filtering!B53,"N/A")</f>
        <v>N/A</v>
      </c>
      <c r="D53" t="str">
        <f>IF('Data Validation'!C53=Filtering!B53,Filtering!C53,"N/A")</f>
        <v>N/A</v>
      </c>
      <c r="J53" t="str">
        <f>IF(_xlfn.CONCAT(Filtering!A53,Filtering!B53,Filtering!C53)=$M$2,Filtering!D53,"N/A")</f>
        <v>N/A</v>
      </c>
    </row>
    <row r="54" spans="3:10" x14ac:dyDescent="0.25">
      <c r="C54" t="str">
        <f>IF(Filtering!F54&gt;0,Filtering!B54,"N/A")</f>
        <v>N/A</v>
      </c>
      <c r="D54" t="str">
        <f>IF('Data Validation'!C54=Filtering!B54,Filtering!C54,"N/A")</f>
        <v>N/A</v>
      </c>
      <c r="J54" t="str">
        <f>IF(_xlfn.CONCAT(Filtering!A54,Filtering!B54,Filtering!C54)=$M$2,Filtering!D54,"N/A")</f>
        <v>N/A</v>
      </c>
    </row>
    <row r="55" spans="3:10" x14ac:dyDescent="0.25">
      <c r="C55" t="str">
        <f>IF(Filtering!F55&gt;0,Filtering!B55,"N/A")</f>
        <v>N/A</v>
      </c>
      <c r="D55" t="str">
        <f>IF('Data Validation'!C55=Filtering!B55,Filtering!C55,"N/A")</f>
        <v>N/A</v>
      </c>
      <c r="J55" t="str">
        <f>IF(_xlfn.CONCAT(Filtering!A55,Filtering!B55,Filtering!C55)=$M$2,Filtering!D55,"N/A")</f>
        <v>N/A</v>
      </c>
    </row>
    <row r="56" spans="3:10" x14ac:dyDescent="0.25">
      <c r="C56" t="str">
        <f>IF(Filtering!F56&gt;0,Filtering!B56,"N/A")</f>
        <v>N/A</v>
      </c>
      <c r="D56" t="str">
        <f>IF('Data Validation'!C56=Filtering!B56,Filtering!C56,"N/A")</f>
        <v>N/A</v>
      </c>
      <c r="J56" t="str">
        <f>IF(_xlfn.CONCAT(Filtering!A56,Filtering!B56,Filtering!C56)=$M$2,Filtering!D56,"N/A")</f>
        <v>N/A</v>
      </c>
    </row>
    <row r="57" spans="3:10" x14ac:dyDescent="0.25">
      <c r="C57" t="str">
        <f>IF(Filtering!F57&gt;0,Filtering!B57,"N/A")</f>
        <v>N/A</v>
      </c>
      <c r="D57" t="str">
        <f>IF('Data Validation'!C57=Filtering!B57,Filtering!C57,"N/A")</f>
        <v>N/A</v>
      </c>
      <c r="J57" t="str">
        <f>IF(_xlfn.CONCAT(Filtering!A57,Filtering!B57,Filtering!C57)=$M$2,Filtering!D57,"N/A")</f>
        <v>N/A</v>
      </c>
    </row>
    <row r="58" spans="3:10" x14ac:dyDescent="0.25">
      <c r="C58" t="str">
        <f>IF(Filtering!F58&gt;0,Filtering!B58,"N/A")</f>
        <v>N/A</v>
      </c>
      <c r="D58" t="str">
        <f>IF('Data Validation'!C58=Filtering!B58,Filtering!C58,"N/A")</f>
        <v>N/A</v>
      </c>
      <c r="J58" t="str">
        <f>IF(_xlfn.CONCAT(Filtering!A58,Filtering!B58,Filtering!C58)=$M$2,Filtering!D58,"N/A")</f>
        <v>N/A</v>
      </c>
    </row>
    <row r="59" spans="3:10" x14ac:dyDescent="0.25">
      <c r="C59" t="str">
        <f>IF(Filtering!F59&gt;0,Filtering!B59,"N/A")</f>
        <v>N/A</v>
      </c>
      <c r="D59" t="str">
        <f>IF('Data Validation'!C59=Filtering!B59,Filtering!C59,"N/A")</f>
        <v>N/A</v>
      </c>
      <c r="J59" t="str">
        <f>IF(_xlfn.CONCAT(Filtering!A59,Filtering!B59,Filtering!C59)=$M$2,Filtering!D59,"N/A")</f>
        <v>N/A</v>
      </c>
    </row>
    <row r="60" spans="3:10" x14ac:dyDescent="0.25">
      <c r="C60" t="str">
        <f>IF(Filtering!F60&gt;0,Filtering!B60,"N/A")</f>
        <v>N/A</v>
      </c>
      <c r="D60" t="str">
        <f>IF('Data Validation'!C60=Filtering!B60,Filtering!C60,"N/A")</f>
        <v>N/A</v>
      </c>
      <c r="J60" t="str">
        <f>IF(_xlfn.CONCAT(Filtering!A60,Filtering!B60,Filtering!C60)=$M$2,Filtering!D60,"N/A")</f>
        <v>N/A</v>
      </c>
    </row>
    <row r="61" spans="3:10" x14ac:dyDescent="0.25">
      <c r="C61" t="str">
        <f>IF(Filtering!F61&gt;0,Filtering!B61,"N/A")</f>
        <v>N/A</v>
      </c>
      <c r="D61" t="str">
        <f>IF('Data Validation'!C61=Filtering!B61,Filtering!C61,"N/A")</f>
        <v>N/A</v>
      </c>
      <c r="J61" t="str">
        <f>IF(_xlfn.CONCAT(Filtering!A61,Filtering!B61,Filtering!C61)=$M$2,Filtering!D61,"N/A")</f>
        <v>N/A</v>
      </c>
    </row>
    <row r="62" spans="3:10" x14ac:dyDescent="0.25">
      <c r="C62" t="str">
        <f>IF(Filtering!F62&gt;0,Filtering!B62,"N/A")</f>
        <v>N/A</v>
      </c>
      <c r="D62" t="str">
        <f>IF('Data Validation'!C62=Filtering!B62,Filtering!C62,"N/A")</f>
        <v>N/A</v>
      </c>
      <c r="J62" t="str">
        <f>IF(_xlfn.CONCAT(Filtering!A62,Filtering!B62,Filtering!C62)=$M$2,Filtering!D62,"N/A")</f>
        <v>N/A</v>
      </c>
    </row>
    <row r="63" spans="3:10" x14ac:dyDescent="0.25">
      <c r="C63" t="str">
        <f>IF(Filtering!F63&gt;0,Filtering!B63,"N/A")</f>
        <v>N/A</v>
      </c>
      <c r="D63" t="str">
        <f>IF('Data Validation'!C63=Filtering!B63,Filtering!C63,"N/A")</f>
        <v>N/A</v>
      </c>
      <c r="J63" t="str">
        <f>IF(_xlfn.CONCAT(Filtering!A63,Filtering!B63,Filtering!C63)=$M$2,Filtering!D63,"N/A")</f>
        <v>N/A</v>
      </c>
    </row>
    <row r="64" spans="3:10" x14ac:dyDescent="0.25">
      <c r="C64" t="str">
        <f>IF(Filtering!F64&gt;0,Filtering!B64,"N/A")</f>
        <v>N/A</v>
      </c>
      <c r="D64" t="str">
        <f>IF('Data Validation'!C64=Filtering!B64,Filtering!C64,"N/A")</f>
        <v>N/A</v>
      </c>
      <c r="J64" t="str">
        <f>IF(_xlfn.CONCAT(Filtering!A64,Filtering!B64,Filtering!C64)=$M$2,Filtering!D64,"N/A")</f>
        <v>N/A</v>
      </c>
    </row>
    <row r="65" spans="3:10" x14ac:dyDescent="0.25">
      <c r="C65" t="str">
        <f>IF(Filtering!F65&gt;0,Filtering!B65,"N/A")</f>
        <v>N/A</v>
      </c>
      <c r="D65" t="str">
        <f>IF('Data Validation'!C65=Filtering!B65,Filtering!C65,"N/A")</f>
        <v>N/A</v>
      </c>
      <c r="J65" t="str">
        <f>IF(_xlfn.CONCAT(Filtering!A65,Filtering!B65,Filtering!C65)=$M$2,Filtering!D65,"N/A")</f>
        <v>N/A</v>
      </c>
    </row>
    <row r="66" spans="3:10" x14ac:dyDescent="0.25">
      <c r="C66" t="str">
        <f>IF(Filtering!F66&gt;0,Filtering!B66,"N/A")</f>
        <v>N/A</v>
      </c>
      <c r="D66" t="str">
        <f>IF('Data Validation'!C66=Filtering!B66,Filtering!C66,"N/A")</f>
        <v>N/A</v>
      </c>
      <c r="J66" t="str">
        <f>IF(_xlfn.CONCAT(Filtering!A66,Filtering!B66,Filtering!C66)=$M$2,Filtering!D66,"N/A")</f>
        <v>N/A</v>
      </c>
    </row>
    <row r="67" spans="3:10" x14ac:dyDescent="0.25">
      <c r="C67" t="str">
        <f>IF(Filtering!F67&gt;0,Filtering!B67,"N/A")</f>
        <v>N/A</v>
      </c>
      <c r="D67" t="str">
        <f>IF('Data Validation'!C67=Filtering!B67,Filtering!C67,"N/A")</f>
        <v>N/A</v>
      </c>
      <c r="J67" t="str">
        <f>IF(_xlfn.CONCAT(Filtering!A67,Filtering!B67,Filtering!C67)=$M$2,Filtering!D67,"N/A")</f>
        <v>N/A</v>
      </c>
    </row>
    <row r="68" spans="3:10" x14ac:dyDescent="0.25">
      <c r="C68" t="str">
        <f>IF(Filtering!F68&gt;0,Filtering!B68,"N/A")</f>
        <v>N/A</v>
      </c>
      <c r="D68" t="str">
        <f>IF('Data Validation'!C68=Filtering!B68,Filtering!C68,"N/A")</f>
        <v>N/A</v>
      </c>
      <c r="J68" t="str">
        <f>IF(_xlfn.CONCAT(Filtering!A68,Filtering!B68,Filtering!C68)=$M$2,Filtering!D68,"N/A")</f>
        <v>N/A</v>
      </c>
    </row>
    <row r="69" spans="3:10" x14ac:dyDescent="0.25">
      <c r="C69" t="str">
        <f>IF(Filtering!F69&gt;0,Filtering!B69,"N/A")</f>
        <v>N/A</v>
      </c>
      <c r="D69" t="str">
        <f>IF('Data Validation'!C69=Filtering!B69,Filtering!C69,"N/A")</f>
        <v>N/A</v>
      </c>
      <c r="J69" t="str">
        <f>IF(_xlfn.CONCAT(Filtering!A69,Filtering!B69,Filtering!C69)=$M$2,Filtering!D69,"N/A")</f>
        <v>N/A</v>
      </c>
    </row>
    <row r="70" spans="3:10" x14ac:dyDescent="0.25">
      <c r="C70" t="str">
        <f>IF(Filtering!F70&gt;0,Filtering!B70,"N/A")</f>
        <v>N/A</v>
      </c>
      <c r="D70" t="str">
        <f>IF('Data Validation'!C70=Filtering!B70,Filtering!C70,"N/A")</f>
        <v>N/A</v>
      </c>
      <c r="J70" t="str">
        <f>IF(_xlfn.CONCAT(Filtering!A70,Filtering!B70,Filtering!C70)=$M$2,Filtering!D70,"N/A")</f>
        <v>N/A</v>
      </c>
    </row>
    <row r="71" spans="3:10" x14ac:dyDescent="0.25">
      <c r="C71" t="str">
        <f>IF(Filtering!F71&gt;0,Filtering!B71,"N/A")</f>
        <v>N/A</v>
      </c>
      <c r="D71" t="str">
        <f>IF('Data Validation'!C71=Filtering!B71,Filtering!C71,"N/A")</f>
        <v>N/A</v>
      </c>
      <c r="J71" t="str">
        <f>IF(_xlfn.CONCAT(Filtering!A71,Filtering!B71,Filtering!C71)=$M$2,Filtering!D71,"N/A")</f>
        <v>N/A</v>
      </c>
    </row>
    <row r="72" spans="3:10" x14ac:dyDescent="0.25">
      <c r="C72" t="str">
        <f>IF(Filtering!F72&gt;0,Filtering!B72,"N/A")</f>
        <v>N/A</v>
      </c>
      <c r="D72" t="str">
        <f>IF('Data Validation'!C72=Filtering!B72,Filtering!C72,"N/A")</f>
        <v>N/A</v>
      </c>
      <c r="J72" t="str">
        <f>IF(_xlfn.CONCAT(Filtering!A72,Filtering!B72,Filtering!C72)=$M$2,Filtering!D72,"N/A")</f>
        <v>N/A</v>
      </c>
    </row>
    <row r="73" spans="3:10" x14ac:dyDescent="0.25">
      <c r="C73" t="str">
        <f>IF(Filtering!F73&gt;0,Filtering!B73,"N/A")</f>
        <v>N/A</v>
      </c>
      <c r="D73" t="str">
        <f>IF('Data Validation'!C73=Filtering!B73,Filtering!C73,"N/A")</f>
        <v>N/A</v>
      </c>
      <c r="J73" t="str">
        <f>IF(_xlfn.CONCAT(Filtering!A73,Filtering!B73,Filtering!C73)=$M$2,Filtering!D73,"N/A")</f>
        <v>N/A</v>
      </c>
    </row>
    <row r="74" spans="3:10" x14ac:dyDescent="0.25">
      <c r="C74" t="str">
        <f>IF(Filtering!F74&gt;0,Filtering!B74,"N/A")</f>
        <v>N/A</v>
      </c>
      <c r="D74" t="str">
        <f>IF('Data Validation'!C74=Filtering!B74,Filtering!C74,"N/A")</f>
        <v>N/A</v>
      </c>
      <c r="J74" t="str">
        <f>IF(_xlfn.CONCAT(Filtering!A74,Filtering!B74,Filtering!C74)=$M$2,Filtering!D74,"N/A")</f>
        <v>N/A</v>
      </c>
    </row>
    <row r="75" spans="3:10" x14ac:dyDescent="0.25">
      <c r="C75" t="str">
        <f>IF(Filtering!F75&gt;0,Filtering!B75,"N/A")</f>
        <v>N/A</v>
      </c>
      <c r="D75" t="str">
        <f>IF('Data Validation'!C75=Filtering!B75,Filtering!C75,"N/A")</f>
        <v>N/A</v>
      </c>
      <c r="J75" t="str">
        <f>IF(_xlfn.CONCAT(Filtering!A75,Filtering!B75,Filtering!C75)=$M$2,Filtering!D75,"N/A")</f>
        <v>N/A</v>
      </c>
    </row>
    <row r="76" spans="3:10" x14ac:dyDescent="0.25">
      <c r="C76" t="str">
        <f>IF(Filtering!F76&gt;0,Filtering!B76,"N/A")</f>
        <v>N/A</v>
      </c>
      <c r="D76" t="str">
        <f>IF('Data Validation'!C76=Filtering!B76,Filtering!C76,"N/A")</f>
        <v>N/A</v>
      </c>
      <c r="J76" t="str">
        <f>IF(_xlfn.CONCAT(Filtering!A76,Filtering!B76,Filtering!C76)=$M$2,Filtering!D76,"N/A")</f>
        <v>N/A</v>
      </c>
    </row>
    <row r="77" spans="3:10" x14ac:dyDescent="0.25">
      <c r="C77" t="str">
        <f>IF(Filtering!F77&gt;0,Filtering!B77,"N/A")</f>
        <v>N/A</v>
      </c>
      <c r="D77" t="str">
        <f>IF('Data Validation'!C77=Filtering!B77,Filtering!C77,"N/A")</f>
        <v>N/A</v>
      </c>
      <c r="J77" t="str">
        <f>IF(_xlfn.CONCAT(Filtering!A77,Filtering!B77,Filtering!C77)=$M$2,Filtering!D77,"N/A")</f>
        <v>N/A</v>
      </c>
    </row>
    <row r="78" spans="3:10" x14ac:dyDescent="0.25">
      <c r="C78" t="str">
        <f>IF(Filtering!F78&gt;0,Filtering!B78,"N/A")</f>
        <v>N/A</v>
      </c>
      <c r="D78" t="str">
        <f>IF('Data Validation'!C78=Filtering!B78,Filtering!C78,"N/A")</f>
        <v>N/A</v>
      </c>
      <c r="J78" t="str">
        <f>IF(_xlfn.CONCAT(Filtering!A78,Filtering!B78,Filtering!C78)=$M$2,Filtering!D78,"N/A")</f>
        <v>N/A</v>
      </c>
    </row>
    <row r="79" spans="3:10" x14ac:dyDescent="0.25">
      <c r="C79" t="str">
        <f>IF(Filtering!F79&gt;0,Filtering!B79,"N/A")</f>
        <v>N/A</v>
      </c>
      <c r="D79" t="str">
        <f>IF('Data Validation'!C79=Filtering!B79,Filtering!C79,"N/A")</f>
        <v>N/A</v>
      </c>
      <c r="J79" t="str">
        <f>IF(_xlfn.CONCAT(Filtering!A79,Filtering!B79,Filtering!C79)=$M$2,Filtering!D79,"N/A")</f>
        <v>N/A</v>
      </c>
    </row>
    <row r="80" spans="3:10" x14ac:dyDescent="0.25">
      <c r="C80" t="str">
        <f>IF(Filtering!F80&gt;0,Filtering!B80,"N/A")</f>
        <v>N/A</v>
      </c>
      <c r="D80" t="str">
        <f>IF('Data Validation'!C80=Filtering!B80,Filtering!C80,"N/A")</f>
        <v>N/A</v>
      </c>
      <c r="J80" t="str">
        <f>IF(_xlfn.CONCAT(Filtering!A80,Filtering!B80,Filtering!C80)=$M$2,Filtering!D80,"N/A")</f>
        <v>N/A</v>
      </c>
    </row>
    <row r="81" spans="3:10" x14ac:dyDescent="0.25">
      <c r="C81" t="str">
        <f>IF(Filtering!F81&gt;0,Filtering!B81,"N/A")</f>
        <v>N/A</v>
      </c>
      <c r="D81" t="str">
        <f>IF('Data Validation'!C81=Filtering!B81,Filtering!C81,"N/A")</f>
        <v>N/A</v>
      </c>
      <c r="J81" t="str">
        <f>IF(_xlfn.CONCAT(Filtering!A81,Filtering!B81,Filtering!C81)=$M$2,Filtering!D81,"N/A")</f>
        <v>N/A</v>
      </c>
    </row>
    <row r="82" spans="3:10" x14ac:dyDescent="0.25">
      <c r="C82" t="str">
        <f>IF(Filtering!F82&gt;0,Filtering!B82,"N/A")</f>
        <v>N/A</v>
      </c>
      <c r="D82" t="str">
        <f>IF('Data Validation'!C82=Filtering!B82,Filtering!C82,"N/A")</f>
        <v>N/A</v>
      </c>
      <c r="J82" t="str">
        <f>IF(_xlfn.CONCAT(Filtering!A82,Filtering!B82,Filtering!C82)=$M$2,Filtering!D82,"N/A")</f>
        <v>N/A</v>
      </c>
    </row>
    <row r="83" spans="3:10" x14ac:dyDescent="0.25">
      <c r="C83" t="str">
        <f>IF(Filtering!F83&gt;0,Filtering!B83,"N/A")</f>
        <v>N/A</v>
      </c>
      <c r="D83" t="str">
        <f>IF('Data Validation'!C83=Filtering!B83,Filtering!C83,"N/A")</f>
        <v>N/A</v>
      </c>
      <c r="J83" t="str">
        <f>IF(_xlfn.CONCAT(Filtering!A83,Filtering!B83,Filtering!C83)=$M$2,Filtering!D83,"N/A")</f>
        <v>N/A</v>
      </c>
    </row>
    <row r="84" spans="3:10" x14ac:dyDescent="0.25">
      <c r="C84" t="str">
        <f>IF(Filtering!F84&gt;0,Filtering!B84,"N/A")</f>
        <v>N/A</v>
      </c>
      <c r="D84" t="str">
        <f>IF('Data Validation'!C84=Filtering!B84,Filtering!C84,"N/A")</f>
        <v>N/A</v>
      </c>
      <c r="J84" t="str">
        <f>IF(_xlfn.CONCAT(Filtering!A84,Filtering!B84,Filtering!C84)=$M$2,Filtering!D84,"N/A")</f>
        <v>N/A</v>
      </c>
    </row>
    <row r="85" spans="3:10" x14ac:dyDescent="0.25">
      <c r="C85" t="str">
        <f>IF(Filtering!F85&gt;0,Filtering!B85,"N/A")</f>
        <v>N/A</v>
      </c>
      <c r="D85" t="str">
        <f>IF('Data Validation'!C85=Filtering!B85,Filtering!C85,"N/A")</f>
        <v>N/A</v>
      </c>
      <c r="J85" t="str">
        <f>IF(_xlfn.CONCAT(Filtering!A85,Filtering!B85,Filtering!C85)=$M$2,Filtering!D85,"N/A")</f>
        <v>N/A</v>
      </c>
    </row>
    <row r="86" spans="3:10" x14ac:dyDescent="0.25">
      <c r="C86" t="str">
        <f>IF(Filtering!F86&gt;0,Filtering!B86,"N/A")</f>
        <v>N/A</v>
      </c>
      <c r="D86" t="str">
        <f>IF('Data Validation'!C86=Filtering!B86,Filtering!C86,"N/A")</f>
        <v>N/A</v>
      </c>
      <c r="J86" t="str">
        <f>IF(_xlfn.CONCAT(Filtering!A86,Filtering!B86,Filtering!C86)=$M$2,Filtering!D86,"N/A")</f>
        <v>N/A</v>
      </c>
    </row>
    <row r="87" spans="3:10" x14ac:dyDescent="0.25">
      <c r="C87" t="str">
        <f>IF(Filtering!F87&gt;0,Filtering!B87,"N/A")</f>
        <v>N/A</v>
      </c>
      <c r="D87" t="str">
        <f>IF('Data Validation'!C87=Filtering!B87,Filtering!C87,"N/A")</f>
        <v>N/A</v>
      </c>
      <c r="J87" t="str">
        <f>IF(_xlfn.CONCAT(Filtering!A87,Filtering!B87,Filtering!C87)=$M$2,Filtering!D87,"N/A")</f>
        <v>N/A</v>
      </c>
    </row>
    <row r="88" spans="3:10" x14ac:dyDescent="0.25">
      <c r="C88" t="str">
        <f>IF(Filtering!F88&gt;0,Filtering!B88,"N/A")</f>
        <v>N/A</v>
      </c>
      <c r="D88" t="str">
        <f>IF('Data Validation'!C88=Filtering!B88,Filtering!C88,"N/A")</f>
        <v>N/A</v>
      </c>
      <c r="J88" t="str">
        <f>IF(_xlfn.CONCAT(Filtering!A88,Filtering!B88,Filtering!C88)=$M$2,Filtering!D88,"N/A")</f>
        <v>N/A</v>
      </c>
    </row>
    <row r="89" spans="3:10" x14ac:dyDescent="0.25">
      <c r="C89" t="str">
        <f>IF(Filtering!F89&gt;0,Filtering!B89,"N/A")</f>
        <v>N/A</v>
      </c>
      <c r="D89" t="str">
        <f>IF('Data Validation'!C89=Filtering!B89,Filtering!C89,"N/A")</f>
        <v>N/A</v>
      </c>
      <c r="J89" t="str">
        <f>IF(_xlfn.CONCAT(Filtering!A89,Filtering!B89,Filtering!C89)=$M$2,Filtering!D89,"N/A")</f>
        <v>N/A</v>
      </c>
    </row>
    <row r="90" spans="3:10" x14ac:dyDescent="0.25">
      <c r="C90" t="str">
        <f>IF(Filtering!F90&gt;0,Filtering!B90,"N/A")</f>
        <v>N/A</v>
      </c>
      <c r="D90" t="str">
        <f>IF('Data Validation'!C90=Filtering!B90,Filtering!C90,"N/A")</f>
        <v>N/A</v>
      </c>
      <c r="J90" t="str">
        <f>IF(_xlfn.CONCAT(Filtering!A90,Filtering!B90,Filtering!C90)=$M$2,Filtering!D90,"N/A")</f>
        <v>N/A</v>
      </c>
    </row>
    <row r="91" spans="3:10" x14ac:dyDescent="0.25">
      <c r="C91" t="str">
        <f>IF(Filtering!F91&gt;0,Filtering!B91,"N/A")</f>
        <v>N/A</v>
      </c>
      <c r="D91" t="str">
        <f>IF('Data Validation'!C91=Filtering!B91,Filtering!C91,"N/A")</f>
        <v>N/A</v>
      </c>
      <c r="J91" t="str">
        <f>IF(_xlfn.CONCAT(Filtering!A91,Filtering!B91,Filtering!C91)=$M$2,Filtering!D91,"N/A")</f>
        <v>N/A</v>
      </c>
    </row>
    <row r="92" spans="3:10" x14ac:dyDescent="0.25">
      <c r="C92" t="str">
        <f>IF(Filtering!F92&gt;0,Filtering!B92,"N/A")</f>
        <v>N/A</v>
      </c>
      <c r="D92" t="str">
        <f>IF('Data Validation'!C92=Filtering!B92,Filtering!C92,"N/A")</f>
        <v>N/A</v>
      </c>
      <c r="J92" t="str">
        <f>IF(_xlfn.CONCAT(Filtering!A92,Filtering!B92,Filtering!C92)=$M$2,Filtering!D92,"N/A")</f>
        <v>N/A</v>
      </c>
    </row>
    <row r="93" spans="3:10" x14ac:dyDescent="0.25">
      <c r="C93" t="str">
        <f>IF(Filtering!F93&gt;0,Filtering!B93,"N/A")</f>
        <v>N/A</v>
      </c>
      <c r="D93" t="str">
        <f>IF('Data Validation'!C93=Filtering!B93,Filtering!C93,"N/A")</f>
        <v>N/A</v>
      </c>
      <c r="J93" t="str">
        <f>IF(_xlfn.CONCAT(Filtering!A93,Filtering!B93,Filtering!C93)=$M$2,Filtering!D93,"N/A")</f>
        <v>N/A</v>
      </c>
    </row>
    <row r="94" spans="3:10" x14ac:dyDescent="0.25">
      <c r="C94" t="str">
        <f>IF(Filtering!F94&gt;0,Filtering!B94,"N/A")</f>
        <v>N/A</v>
      </c>
      <c r="D94" t="str">
        <f>IF('Data Validation'!C94=Filtering!B94,Filtering!C94,"N/A")</f>
        <v>N/A</v>
      </c>
      <c r="J94" t="str">
        <f>IF(_xlfn.CONCAT(Filtering!A94,Filtering!B94,Filtering!C94)=$M$2,Filtering!D94,"N/A")</f>
        <v>N/A</v>
      </c>
    </row>
    <row r="95" spans="3:10" x14ac:dyDescent="0.25">
      <c r="C95" t="str">
        <f>IF(Filtering!F95&gt;0,Filtering!B95,"N/A")</f>
        <v>N/A</v>
      </c>
      <c r="D95" t="str">
        <f>IF('Data Validation'!C95=Filtering!B95,Filtering!C95,"N/A")</f>
        <v>N/A</v>
      </c>
      <c r="J95" t="str">
        <f>IF(_xlfn.CONCAT(Filtering!A95,Filtering!B95,Filtering!C95)=$M$2,Filtering!D95,"N/A")</f>
        <v>N/A</v>
      </c>
    </row>
    <row r="96" spans="3:10" x14ac:dyDescent="0.25">
      <c r="C96" t="str">
        <f>IF(Filtering!F96&gt;0,Filtering!B96,"N/A")</f>
        <v>N/A</v>
      </c>
      <c r="D96" t="str">
        <f>IF('Data Validation'!C96=Filtering!B96,Filtering!C96,"N/A")</f>
        <v>N/A</v>
      </c>
      <c r="J96" t="str">
        <f>IF(_xlfn.CONCAT(Filtering!A96,Filtering!B96,Filtering!C96)=$M$2,Filtering!D96,"N/A")</f>
        <v>N/A</v>
      </c>
    </row>
    <row r="97" spans="3:10" x14ac:dyDescent="0.25">
      <c r="C97" t="str">
        <f>IF(Filtering!F97&gt;0,Filtering!B97,"N/A")</f>
        <v>N/A</v>
      </c>
      <c r="D97" t="str">
        <f>IF('Data Validation'!C97=Filtering!B97,Filtering!C97,"N/A")</f>
        <v>N/A</v>
      </c>
      <c r="J97" t="str">
        <f>IF(_xlfn.CONCAT(Filtering!A97,Filtering!B97,Filtering!C97)=$M$2,Filtering!D97,"N/A")</f>
        <v>N/A</v>
      </c>
    </row>
    <row r="98" spans="3:10" x14ac:dyDescent="0.25">
      <c r="C98" t="str">
        <f>IF(Filtering!F98&gt;0,Filtering!B98,"N/A")</f>
        <v>N/A</v>
      </c>
      <c r="D98" t="str">
        <f>IF('Data Validation'!C98=Filtering!B98,Filtering!C98,"N/A")</f>
        <v>N/A</v>
      </c>
      <c r="J98" t="str">
        <f>IF(_xlfn.CONCAT(Filtering!A98,Filtering!B98,Filtering!C98)=$M$2,Filtering!D98,"N/A")</f>
        <v>N/A</v>
      </c>
    </row>
    <row r="99" spans="3:10" x14ac:dyDescent="0.25">
      <c r="C99" t="str">
        <f>IF(Filtering!F99&gt;0,Filtering!B99,"N/A")</f>
        <v>N/A</v>
      </c>
      <c r="D99" t="str">
        <f>IF('Data Validation'!C99=Filtering!B99,Filtering!C99,"N/A")</f>
        <v>N/A</v>
      </c>
      <c r="J99" t="str">
        <f>IF(_xlfn.CONCAT(Filtering!A99,Filtering!B99,Filtering!C99)=$M$2,Filtering!D99,"N/A")</f>
        <v>N/A</v>
      </c>
    </row>
    <row r="100" spans="3:10" x14ac:dyDescent="0.25">
      <c r="C100" t="str">
        <f>IF(Filtering!F100&gt;0,Filtering!B100,"N/A")</f>
        <v>N/A</v>
      </c>
      <c r="D100" t="str">
        <f>IF('Data Validation'!C100=Filtering!B100,Filtering!C100,"N/A")</f>
        <v>N/A</v>
      </c>
      <c r="J100" t="str">
        <f>IF(_xlfn.CONCAT(Filtering!A100,Filtering!B100,Filtering!C100)=$M$2,Filtering!D100,"N/A")</f>
        <v>N/A</v>
      </c>
    </row>
    <row r="101" spans="3:10" x14ac:dyDescent="0.25">
      <c r="C101" t="str">
        <f>IF(Filtering!F101&gt;0,Filtering!B101,"N/A")</f>
        <v>N/A</v>
      </c>
      <c r="D101" t="str">
        <f>IF('Data Validation'!C101=Filtering!B101,Filtering!C101,"N/A")</f>
        <v>N/A</v>
      </c>
      <c r="J101" t="str">
        <f>IF(_xlfn.CONCAT(Filtering!A101,Filtering!B101,Filtering!C101)=$M$2,Filtering!D101,"N/A")</f>
        <v>N/A</v>
      </c>
    </row>
    <row r="102" spans="3:10" x14ac:dyDescent="0.25">
      <c r="C102" t="str">
        <f>IF(Filtering!F102&gt;0,Filtering!B102,"N/A")</f>
        <v>N/A</v>
      </c>
      <c r="D102" t="str">
        <f>IF('Data Validation'!C102=Filtering!B102,Filtering!C102,"N/A")</f>
        <v>N/A</v>
      </c>
      <c r="J102" t="str">
        <f>IF(_xlfn.CONCAT(Filtering!A102,Filtering!B102,Filtering!C102)=$M$2,Filtering!D102,"N/A")</f>
        <v>N/A</v>
      </c>
    </row>
    <row r="103" spans="3:10" x14ac:dyDescent="0.25">
      <c r="C103" t="str">
        <f>IF(Filtering!F103&gt;0,Filtering!B103,"N/A")</f>
        <v>N/A</v>
      </c>
      <c r="D103" t="str">
        <f>IF('Data Validation'!C103=Filtering!B103,Filtering!C103,"N/A")</f>
        <v>N/A</v>
      </c>
      <c r="J103" t="str">
        <f>IF(_xlfn.CONCAT(Filtering!A103,Filtering!B103,Filtering!C103)=$M$2,Filtering!D103,"N/A")</f>
        <v>N/A</v>
      </c>
    </row>
    <row r="104" spans="3:10" x14ac:dyDescent="0.25">
      <c r="C104" t="str">
        <f>IF(Filtering!F104&gt;0,Filtering!B104,"N/A")</f>
        <v>N/A</v>
      </c>
      <c r="D104" t="str">
        <f>IF('Data Validation'!C104=Filtering!B104,Filtering!C104,"N/A")</f>
        <v>N/A</v>
      </c>
      <c r="J104" t="str">
        <f>IF(_xlfn.CONCAT(Filtering!A104,Filtering!B104,Filtering!C104)=$M$2,Filtering!D104,"N/A")</f>
        <v>N/A</v>
      </c>
    </row>
    <row r="105" spans="3:10" x14ac:dyDescent="0.25">
      <c r="C105" t="str">
        <f>IF(Filtering!F105&gt;0,Filtering!B105,"N/A")</f>
        <v>N/A</v>
      </c>
      <c r="D105" t="str">
        <f>IF('Data Validation'!C105=Filtering!B105,Filtering!C105,"N/A")</f>
        <v>N/A</v>
      </c>
      <c r="J105" t="str">
        <f>IF(_xlfn.CONCAT(Filtering!A105,Filtering!B105,Filtering!C105)=$M$2,Filtering!D105,"N/A")</f>
        <v>N/A</v>
      </c>
    </row>
    <row r="106" spans="3:10" x14ac:dyDescent="0.25">
      <c r="C106" t="str">
        <f>IF(Filtering!F106&gt;0,Filtering!B106,"N/A")</f>
        <v>N/A</v>
      </c>
      <c r="D106" t="str">
        <f>IF('Data Validation'!C106=Filtering!B106,Filtering!C106,"N/A")</f>
        <v>N/A</v>
      </c>
      <c r="J106" t="str">
        <f>IF(_xlfn.CONCAT(Filtering!A106,Filtering!B106,Filtering!C106)=$M$2,Filtering!D106,"N/A")</f>
        <v>N/A</v>
      </c>
    </row>
    <row r="107" spans="3:10" x14ac:dyDescent="0.25">
      <c r="C107" t="str">
        <f>IF(Filtering!F107&gt;0,Filtering!B107,"N/A")</f>
        <v>N/A</v>
      </c>
      <c r="D107" t="str">
        <f>IF('Data Validation'!C107=Filtering!B107,Filtering!C107,"N/A")</f>
        <v>N/A</v>
      </c>
      <c r="J107" t="str">
        <f>IF(_xlfn.CONCAT(Filtering!A107,Filtering!B107,Filtering!C107)=$M$2,Filtering!D107,"N/A")</f>
        <v>N/A</v>
      </c>
    </row>
    <row r="108" spans="3:10" x14ac:dyDescent="0.25">
      <c r="C108" t="str">
        <f>IF(Filtering!F108&gt;0,Filtering!B108,"N/A")</f>
        <v>N/A</v>
      </c>
      <c r="D108" t="str">
        <f>IF('Data Validation'!C108=Filtering!B108,Filtering!C108,"N/A")</f>
        <v>N/A</v>
      </c>
      <c r="J108" t="str">
        <f>IF(_xlfn.CONCAT(Filtering!A108,Filtering!B108,Filtering!C108)=$M$2,Filtering!D108,"N/A")</f>
        <v>N/A</v>
      </c>
    </row>
    <row r="109" spans="3:10" x14ac:dyDescent="0.25">
      <c r="C109" t="str">
        <f>IF(Filtering!F109&gt;0,Filtering!B109,"N/A")</f>
        <v>N/A</v>
      </c>
      <c r="D109" t="str">
        <f>IF('Data Validation'!C109=Filtering!B109,Filtering!C109,"N/A")</f>
        <v>N/A</v>
      </c>
      <c r="J109" t="str">
        <f>IF(_xlfn.CONCAT(Filtering!A109,Filtering!B109,Filtering!C109)=$M$2,Filtering!D109,"N/A")</f>
        <v>N/A</v>
      </c>
    </row>
    <row r="110" spans="3:10" x14ac:dyDescent="0.25">
      <c r="C110" t="str">
        <f>IF(Filtering!F110&gt;0,Filtering!B110,"N/A")</f>
        <v>N/A</v>
      </c>
      <c r="D110" t="str">
        <f>IF('Data Validation'!C110=Filtering!B110,Filtering!C110,"N/A")</f>
        <v>N/A</v>
      </c>
      <c r="J110" t="str">
        <f>IF(_xlfn.CONCAT(Filtering!A110,Filtering!B110,Filtering!C110)=$M$2,Filtering!D110,"N/A")</f>
        <v>N/A</v>
      </c>
    </row>
    <row r="111" spans="3:10" x14ac:dyDescent="0.25">
      <c r="C111" t="str">
        <f>IF(Filtering!F111&gt;0,Filtering!B111,"N/A")</f>
        <v>N/A</v>
      </c>
      <c r="D111" t="str">
        <f>IF('Data Validation'!C111=Filtering!B111,Filtering!C111,"N/A")</f>
        <v>N/A</v>
      </c>
      <c r="J111" t="str">
        <f>IF(_xlfn.CONCAT(Filtering!A111,Filtering!B111,Filtering!C111)=$M$2,Filtering!D111,"N/A")</f>
        <v>N/A</v>
      </c>
    </row>
    <row r="112" spans="3:10" x14ac:dyDescent="0.25">
      <c r="C112" t="str">
        <f>IF(Filtering!F112&gt;0,Filtering!B112,"N/A")</f>
        <v>N/A</v>
      </c>
      <c r="D112" t="str">
        <f>IF('Data Validation'!C112=Filtering!B112,Filtering!C112,"N/A")</f>
        <v>N/A</v>
      </c>
      <c r="J112" t="str">
        <f>IF(_xlfn.CONCAT(Filtering!A112,Filtering!B112,Filtering!C112)=$M$2,Filtering!D112,"N/A")</f>
        <v>N/A</v>
      </c>
    </row>
    <row r="113" spans="3:10" x14ac:dyDescent="0.25">
      <c r="C113" t="str">
        <f>IF(Filtering!F113&gt;0,Filtering!B113,"N/A")</f>
        <v>N/A</v>
      </c>
      <c r="D113" t="str">
        <f>IF('Data Validation'!C113=Filtering!B113,Filtering!C113,"N/A")</f>
        <v>N/A</v>
      </c>
      <c r="J113" t="str">
        <f>IF(_xlfn.CONCAT(Filtering!A113,Filtering!B113,Filtering!C113)=$M$2,Filtering!D113,"N/A")</f>
        <v>N/A</v>
      </c>
    </row>
    <row r="114" spans="3:10" x14ac:dyDescent="0.25">
      <c r="C114" t="str">
        <f>IF(Filtering!F114&gt;0,Filtering!B114,"N/A")</f>
        <v>N/A</v>
      </c>
      <c r="D114" t="str">
        <f>IF('Data Validation'!C114=Filtering!B114,Filtering!C114,"N/A")</f>
        <v>N/A</v>
      </c>
      <c r="J114" t="str">
        <f>IF(_xlfn.CONCAT(Filtering!A114,Filtering!B114,Filtering!C114)=$M$2,Filtering!D114,"N/A")</f>
        <v>N/A</v>
      </c>
    </row>
    <row r="115" spans="3:10" x14ac:dyDescent="0.25">
      <c r="C115" t="str">
        <f>IF(Filtering!F115&gt;0,Filtering!B115,"N/A")</f>
        <v>N/A</v>
      </c>
      <c r="D115" t="str">
        <f>IF('Data Validation'!C115=Filtering!B115,Filtering!C115,"N/A")</f>
        <v>N/A</v>
      </c>
      <c r="J115" t="str">
        <f>IF(_xlfn.CONCAT(Filtering!A115,Filtering!B115,Filtering!C115)=$M$2,Filtering!D115,"N/A")</f>
        <v>N/A</v>
      </c>
    </row>
    <row r="116" spans="3:10" x14ac:dyDescent="0.25">
      <c r="C116" t="str">
        <f>IF(Filtering!F116&gt;0,Filtering!B116,"N/A")</f>
        <v>N/A</v>
      </c>
      <c r="D116" t="str">
        <f>IF('Data Validation'!C116=Filtering!B116,Filtering!C116,"N/A")</f>
        <v>N/A</v>
      </c>
      <c r="J116" t="str">
        <f>IF(_xlfn.CONCAT(Filtering!A116,Filtering!B116,Filtering!C116)=$M$2,Filtering!D116,"N/A")</f>
        <v>N/A</v>
      </c>
    </row>
    <row r="117" spans="3:10" x14ac:dyDescent="0.25">
      <c r="C117" t="str">
        <f>IF(Filtering!F117&gt;0,Filtering!B117,"N/A")</f>
        <v>N/A</v>
      </c>
      <c r="D117" t="str">
        <f>IF('Data Validation'!C117=Filtering!B117,Filtering!C117,"N/A")</f>
        <v>N/A</v>
      </c>
      <c r="J117" t="str">
        <f>IF(_xlfn.CONCAT(Filtering!A117,Filtering!B117,Filtering!C117)=$M$2,Filtering!D117,"N/A")</f>
        <v>N/A</v>
      </c>
    </row>
    <row r="118" spans="3:10" x14ac:dyDescent="0.25">
      <c r="C118" t="str">
        <f>IF(Filtering!F118&gt;0,Filtering!B118,"N/A")</f>
        <v>N/A</v>
      </c>
      <c r="D118" t="str">
        <f>IF('Data Validation'!C118=Filtering!B118,Filtering!C118,"N/A")</f>
        <v>N/A</v>
      </c>
      <c r="J118" t="str">
        <f>IF(_xlfn.CONCAT(Filtering!A118,Filtering!B118,Filtering!C118)=$M$2,Filtering!D118,"N/A")</f>
        <v>N/A</v>
      </c>
    </row>
    <row r="119" spans="3:10" x14ac:dyDescent="0.25">
      <c r="C119" t="str">
        <f>IF(Filtering!F119&gt;0,Filtering!B119,"N/A")</f>
        <v>N/A</v>
      </c>
      <c r="D119" t="str">
        <f>IF('Data Validation'!C119=Filtering!B119,Filtering!C119,"N/A")</f>
        <v>N/A</v>
      </c>
      <c r="J119" t="str">
        <f>IF(_xlfn.CONCAT(Filtering!A119,Filtering!B119,Filtering!C119)=$M$2,Filtering!D119,"N/A")</f>
        <v>N/A</v>
      </c>
    </row>
    <row r="120" spans="3:10" x14ac:dyDescent="0.25">
      <c r="C120" t="str">
        <f>IF(Filtering!F120&gt;0,Filtering!B120,"N/A")</f>
        <v>N/A</v>
      </c>
      <c r="D120" t="str">
        <f>IF('Data Validation'!C120=Filtering!B120,Filtering!C120,"N/A")</f>
        <v>N/A</v>
      </c>
      <c r="J120" t="str">
        <f>IF(_xlfn.CONCAT(Filtering!A120,Filtering!B120,Filtering!C120)=$M$2,Filtering!D120,"N/A")</f>
        <v>N/A</v>
      </c>
    </row>
    <row r="121" spans="3:10" x14ac:dyDescent="0.25">
      <c r="C121" t="str">
        <f>IF(Filtering!F121&gt;0,Filtering!B121,"N/A")</f>
        <v>N/A</v>
      </c>
      <c r="D121" t="str">
        <f>IF('Data Validation'!C121=Filtering!B121,Filtering!C121,"N/A")</f>
        <v>N/A</v>
      </c>
      <c r="J121" t="str">
        <f>IF(_xlfn.CONCAT(Filtering!A121,Filtering!B121,Filtering!C121)=$M$2,Filtering!D121,"N/A")</f>
        <v>N/A</v>
      </c>
    </row>
    <row r="122" spans="3:10" x14ac:dyDescent="0.25">
      <c r="C122" t="str">
        <f>IF(Filtering!F122&gt;0,Filtering!B122,"N/A")</f>
        <v>N/A</v>
      </c>
      <c r="D122" t="str">
        <f>IF('Data Validation'!C122=Filtering!B122,Filtering!C122,"N/A")</f>
        <v>N/A</v>
      </c>
      <c r="J122" t="str">
        <f>IF(_xlfn.CONCAT(Filtering!A122,Filtering!B122,Filtering!C122)=$M$2,Filtering!D122,"N/A")</f>
        <v>N/A</v>
      </c>
    </row>
    <row r="123" spans="3:10" x14ac:dyDescent="0.25">
      <c r="C123" t="str">
        <f>IF(Filtering!F123&gt;0,Filtering!B123,"N/A")</f>
        <v>N/A</v>
      </c>
      <c r="D123" t="str">
        <f>IF('Data Validation'!C123=Filtering!B123,Filtering!C123,"N/A")</f>
        <v>N/A</v>
      </c>
      <c r="J123" t="str">
        <f>IF(_xlfn.CONCAT(Filtering!A123,Filtering!B123,Filtering!C123)=$M$2,Filtering!D123,"N/A")</f>
        <v>N/A</v>
      </c>
    </row>
    <row r="124" spans="3:10" x14ac:dyDescent="0.25">
      <c r="C124" t="str">
        <f>IF(Filtering!F124&gt;0,Filtering!B124,"N/A")</f>
        <v>N/A</v>
      </c>
      <c r="D124" t="str">
        <f>IF('Data Validation'!C124=Filtering!B124,Filtering!C124,"N/A")</f>
        <v>N/A</v>
      </c>
      <c r="J124" t="str">
        <f>IF(_xlfn.CONCAT(Filtering!A124,Filtering!B124,Filtering!C124)=$M$2,Filtering!D124,"N/A")</f>
        <v>N/A</v>
      </c>
    </row>
    <row r="125" spans="3:10" x14ac:dyDescent="0.25">
      <c r="C125" t="str">
        <f>IF(Filtering!F125&gt;0,Filtering!B125,"N/A")</f>
        <v>N/A</v>
      </c>
      <c r="D125" t="str">
        <f>IF('Data Validation'!C125=Filtering!B125,Filtering!C125,"N/A")</f>
        <v>N/A</v>
      </c>
      <c r="J125" t="str">
        <f>IF(_xlfn.CONCAT(Filtering!A125,Filtering!B125,Filtering!C125)=$M$2,Filtering!D125,"N/A")</f>
        <v>N/A</v>
      </c>
    </row>
    <row r="126" spans="3:10" x14ac:dyDescent="0.25">
      <c r="C126" t="str">
        <f>IF(Filtering!F126&gt;0,Filtering!B126,"N/A")</f>
        <v>N/A</v>
      </c>
      <c r="D126" t="str">
        <f>IF('Data Validation'!C126=Filtering!B126,Filtering!C126,"N/A")</f>
        <v>N/A</v>
      </c>
      <c r="J126" t="str">
        <f>IF(_xlfn.CONCAT(Filtering!A126,Filtering!B126,Filtering!C126)=$M$2,Filtering!D126,"N/A")</f>
        <v>N/A</v>
      </c>
    </row>
    <row r="127" spans="3:10" x14ac:dyDescent="0.25">
      <c r="C127" t="str">
        <f>IF(Filtering!F127&gt;0,Filtering!B127,"N/A")</f>
        <v>N/A</v>
      </c>
      <c r="D127" t="str">
        <f>IF('Data Validation'!C127=Filtering!B127,Filtering!C127,"N/A")</f>
        <v>N/A</v>
      </c>
      <c r="J127" t="str">
        <f>IF(_xlfn.CONCAT(Filtering!A127,Filtering!B127,Filtering!C127)=$M$2,Filtering!D127,"N/A")</f>
        <v>N/A</v>
      </c>
    </row>
    <row r="128" spans="3:10" x14ac:dyDescent="0.25">
      <c r="C128" t="str">
        <f>IF(Filtering!F128&gt;0,Filtering!B128,"N/A")</f>
        <v>N/A</v>
      </c>
      <c r="D128" t="str">
        <f>IF('Data Validation'!C128=Filtering!B128,Filtering!C128,"N/A")</f>
        <v>N/A</v>
      </c>
      <c r="J128" t="str">
        <f>IF(_xlfn.CONCAT(Filtering!A128,Filtering!B128,Filtering!C128)=$M$2,Filtering!D128,"N/A")</f>
        <v>N/A</v>
      </c>
    </row>
    <row r="129" spans="3:10" x14ac:dyDescent="0.25">
      <c r="C129" t="str">
        <f>IF(Filtering!F129&gt;0,Filtering!B129,"N/A")</f>
        <v>N/A</v>
      </c>
      <c r="D129" t="str">
        <f>IF('Data Validation'!C129=Filtering!B129,Filtering!C129,"N/A")</f>
        <v>N/A</v>
      </c>
      <c r="J129" t="str">
        <f>IF(_xlfn.CONCAT(Filtering!A129,Filtering!B129,Filtering!C129)=$M$2,Filtering!D129,"N/A")</f>
        <v>N/A</v>
      </c>
    </row>
    <row r="130" spans="3:10" x14ac:dyDescent="0.25">
      <c r="C130" t="str">
        <f>IF(Filtering!F130&gt;0,Filtering!B130,"N/A")</f>
        <v>N/A</v>
      </c>
      <c r="D130" t="str">
        <f>IF('Data Validation'!C130=Filtering!B130,Filtering!C130,"N/A")</f>
        <v>N/A</v>
      </c>
      <c r="J130" t="str">
        <f>IF(_xlfn.CONCAT(Filtering!A130,Filtering!B130,Filtering!C130)=$M$2,Filtering!D130,"N/A")</f>
        <v>N/A</v>
      </c>
    </row>
    <row r="131" spans="3:10" x14ac:dyDescent="0.25">
      <c r="C131" t="str">
        <f>IF(Filtering!F131&gt;0,Filtering!B131,"N/A")</f>
        <v>N/A</v>
      </c>
      <c r="D131" t="str">
        <f>IF('Data Validation'!C131=Filtering!B131,Filtering!C131,"N/A")</f>
        <v>N/A</v>
      </c>
      <c r="J131" t="str">
        <f>IF(_xlfn.CONCAT(Filtering!A131,Filtering!B131,Filtering!C131)=$M$2,Filtering!D131,"N/A")</f>
        <v>N/A</v>
      </c>
    </row>
    <row r="132" spans="3:10" x14ac:dyDescent="0.25">
      <c r="C132" t="str">
        <f>IF(Filtering!F132&gt;0,Filtering!B132,"N/A")</f>
        <v>N/A</v>
      </c>
      <c r="D132" t="str">
        <f>IF('Data Validation'!C132=Filtering!B132,Filtering!C132,"N/A")</f>
        <v>N/A</v>
      </c>
      <c r="J132" t="str">
        <f>IF(_xlfn.CONCAT(Filtering!A132,Filtering!B132,Filtering!C132)=$M$2,Filtering!D132,"N/A")</f>
        <v>N/A</v>
      </c>
    </row>
    <row r="133" spans="3:10" x14ac:dyDescent="0.25">
      <c r="C133" t="str">
        <f>IF(Filtering!F133&gt;0,Filtering!B133,"N/A")</f>
        <v>N/A</v>
      </c>
      <c r="D133" t="str">
        <f>IF('Data Validation'!C133=Filtering!B133,Filtering!C133,"N/A")</f>
        <v>N/A</v>
      </c>
      <c r="J133" t="str">
        <f>IF(_xlfn.CONCAT(Filtering!A133,Filtering!B133,Filtering!C133)=$M$2,Filtering!D133,"N/A")</f>
        <v>N/A</v>
      </c>
    </row>
    <row r="134" spans="3:10" x14ac:dyDescent="0.25">
      <c r="C134" t="str">
        <f>IF(Filtering!F134&gt;0,Filtering!B134,"N/A")</f>
        <v>N/A</v>
      </c>
      <c r="D134" t="str">
        <f>IF('Data Validation'!C134=Filtering!B134,Filtering!C134,"N/A")</f>
        <v>N/A</v>
      </c>
      <c r="J134" t="str">
        <f>IF(_xlfn.CONCAT(Filtering!A134,Filtering!B134,Filtering!C134)=$M$2,Filtering!D134,"N/A")</f>
        <v>N/A</v>
      </c>
    </row>
    <row r="135" spans="3:10" x14ac:dyDescent="0.25">
      <c r="C135" t="str">
        <f>IF(Filtering!F135&gt;0,Filtering!B135,"N/A")</f>
        <v>N/A</v>
      </c>
      <c r="D135" t="str">
        <f>IF('Data Validation'!C135=Filtering!B135,Filtering!C135,"N/A")</f>
        <v>N/A</v>
      </c>
      <c r="J135" t="str">
        <f>IF(_xlfn.CONCAT(Filtering!A135,Filtering!B135,Filtering!C135)=$M$2,Filtering!D135,"N/A")</f>
        <v>N/A</v>
      </c>
    </row>
    <row r="136" spans="3:10" x14ac:dyDescent="0.25">
      <c r="C136" t="str">
        <f>IF(Filtering!F136&gt;0,Filtering!B136,"N/A")</f>
        <v>N/A</v>
      </c>
      <c r="D136" t="str">
        <f>IF('Data Validation'!C136=Filtering!B136,Filtering!C136,"N/A")</f>
        <v>N/A</v>
      </c>
      <c r="J136" t="str">
        <f>IF(_xlfn.CONCAT(Filtering!A136,Filtering!B136,Filtering!C136)=$M$2,Filtering!D136,"N/A")</f>
        <v>N/A</v>
      </c>
    </row>
    <row r="137" spans="3:10" x14ac:dyDescent="0.25">
      <c r="C137" t="str">
        <f>IF(Filtering!F137&gt;0,Filtering!B137,"N/A")</f>
        <v>N/A</v>
      </c>
      <c r="D137" t="str">
        <f>IF('Data Validation'!C137=Filtering!B137,Filtering!C137,"N/A")</f>
        <v>N/A</v>
      </c>
      <c r="J137" t="str">
        <f>IF(_xlfn.CONCAT(Filtering!A137,Filtering!B137,Filtering!C137)=$M$2,Filtering!D137,"N/A")</f>
        <v>N/A</v>
      </c>
    </row>
    <row r="138" spans="3:10" x14ac:dyDescent="0.25">
      <c r="C138" t="str">
        <f>IF(Filtering!F138&gt;0,Filtering!B138,"N/A")</f>
        <v>N/A</v>
      </c>
      <c r="D138" t="str">
        <f>IF('Data Validation'!C138=Filtering!B138,Filtering!C138,"N/A")</f>
        <v>N/A</v>
      </c>
      <c r="J138" t="str">
        <f>IF(_xlfn.CONCAT(Filtering!A138,Filtering!B138,Filtering!C138)=$M$2,Filtering!D138,"N/A")</f>
        <v>N/A</v>
      </c>
    </row>
    <row r="139" spans="3:10" x14ac:dyDescent="0.25">
      <c r="C139" t="str">
        <f>IF(Filtering!F139&gt;0,Filtering!B139,"N/A")</f>
        <v>N/A</v>
      </c>
      <c r="D139" t="str">
        <f>IF('Data Validation'!C139=Filtering!B139,Filtering!C139,"N/A")</f>
        <v>N/A</v>
      </c>
      <c r="J139" t="str">
        <f>IF(_xlfn.CONCAT(Filtering!A139,Filtering!B139,Filtering!C139)=$M$2,Filtering!D139,"N/A")</f>
        <v>N/A</v>
      </c>
    </row>
    <row r="140" spans="3:10" x14ac:dyDescent="0.25">
      <c r="C140" t="str">
        <f>IF(Filtering!F140&gt;0,Filtering!B140,"N/A")</f>
        <v>N/A</v>
      </c>
      <c r="D140" t="str">
        <f>IF('Data Validation'!C140=Filtering!B140,Filtering!C140,"N/A")</f>
        <v>N/A</v>
      </c>
      <c r="J140" t="str">
        <f>IF(_xlfn.CONCAT(Filtering!A140,Filtering!B140,Filtering!C140)=$M$2,Filtering!D140,"N/A")</f>
        <v>N/A</v>
      </c>
    </row>
    <row r="141" spans="3:10" x14ac:dyDescent="0.25">
      <c r="C141" t="str">
        <f>IF(Filtering!F141&gt;0,Filtering!B141,"N/A")</f>
        <v>N/A</v>
      </c>
      <c r="D141" t="str">
        <f>IF('Data Validation'!C141=Filtering!B141,Filtering!C141,"N/A")</f>
        <v>N/A</v>
      </c>
      <c r="J141" t="str">
        <f>IF(_xlfn.CONCAT(Filtering!A141,Filtering!B141,Filtering!C141)=$M$2,Filtering!D141,"N/A")</f>
        <v>N/A</v>
      </c>
    </row>
    <row r="142" spans="3:10" x14ac:dyDescent="0.25">
      <c r="C142" t="str">
        <f>IF(Filtering!F142&gt;0,Filtering!B142,"N/A")</f>
        <v>N/A</v>
      </c>
      <c r="D142" t="str">
        <f>IF('Data Validation'!C142=Filtering!B142,Filtering!C142,"N/A")</f>
        <v>N/A</v>
      </c>
      <c r="J142" t="str">
        <f>IF(_xlfn.CONCAT(Filtering!A142,Filtering!B142,Filtering!C142)=$M$2,Filtering!D142,"N/A")</f>
        <v>N/A</v>
      </c>
    </row>
    <row r="143" spans="3:10" x14ac:dyDescent="0.25">
      <c r="C143" t="str">
        <f>IF(Filtering!F143&gt;0,Filtering!B143,"N/A")</f>
        <v>N/A</v>
      </c>
      <c r="D143" t="str">
        <f>IF('Data Validation'!C143=Filtering!B143,Filtering!C143,"N/A")</f>
        <v>N/A</v>
      </c>
      <c r="J143" t="str">
        <f>IF(_xlfn.CONCAT(Filtering!A143,Filtering!B143,Filtering!C143)=$M$2,Filtering!D143,"N/A")</f>
        <v>N/A</v>
      </c>
    </row>
    <row r="144" spans="3:10" x14ac:dyDescent="0.25">
      <c r="C144" t="str">
        <f>IF(Filtering!F144&gt;0,Filtering!B144,"N/A")</f>
        <v>N/A</v>
      </c>
      <c r="D144" t="str">
        <f>IF('Data Validation'!C144=Filtering!B144,Filtering!C144,"N/A")</f>
        <v>N/A</v>
      </c>
      <c r="J144" t="str">
        <f>IF(_xlfn.CONCAT(Filtering!A144,Filtering!B144,Filtering!C144)=$M$2,Filtering!D144,"N/A")</f>
        <v>N/A</v>
      </c>
    </row>
    <row r="145" spans="3:10" x14ac:dyDescent="0.25">
      <c r="C145" t="str">
        <f>IF(Filtering!F145&gt;0,Filtering!B145,"N/A")</f>
        <v>N/A</v>
      </c>
      <c r="D145" t="str">
        <f>IF('Data Validation'!C145=Filtering!B145,Filtering!C145,"N/A")</f>
        <v>N/A</v>
      </c>
      <c r="J145" t="str">
        <f>IF(_xlfn.CONCAT(Filtering!A145,Filtering!B145,Filtering!C145)=$M$2,Filtering!D145,"N/A")</f>
        <v>N/A</v>
      </c>
    </row>
    <row r="146" spans="3:10" x14ac:dyDescent="0.25">
      <c r="C146" t="str">
        <f>IF(Filtering!F146&gt;0,Filtering!B146,"N/A")</f>
        <v>N/A</v>
      </c>
      <c r="D146" t="str">
        <f>IF('Data Validation'!C146=Filtering!B146,Filtering!C146,"N/A")</f>
        <v>N/A</v>
      </c>
      <c r="J146" t="str">
        <f>IF(_xlfn.CONCAT(Filtering!A146,Filtering!B146,Filtering!C146)=$M$2,Filtering!D146,"N/A")</f>
        <v>N/A</v>
      </c>
    </row>
    <row r="147" spans="3:10" x14ac:dyDescent="0.25">
      <c r="C147" t="str">
        <f>IF(Filtering!F147&gt;0,Filtering!B147,"N/A")</f>
        <v>N/A</v>
      </c>
      <c r="D147" t="str">
        <f>IF('Data Validation'!C147=Filtering!B147,Filtering!C147,"N/A")</f>
        <v>N/A</v>
      </c>
      <c r="J147" t="str">
        <f>IF(_xlfn.CONCAT(Filtering!A147,Filtering!B147,Filtering!C147)=$M$2,Filtering!D147,"N/A")</f>
        <v>N/A</v>
      </c>
    </row>
    <row r="148" spans="3:10" x14ac:dyDescent="0.25">
      <c r="C148" t="str">
        <f>IF(Filtering!F148&gt;0,Filtering!B148,"N/A")</f>
        <v>N/A</v>
      </c>
      <c r="D148" t="str">
        <f>IF('Data Validation'!C148=Filtering!B148,Filtering!C148,"N/A")</f>
        <v>N/A</v>
      </c>
      <c r="J148" t="str">
        <f>IF(_xlfn.CONCAT(Filtering!A148,Filtering!B148,Filtering!C148)=$M$2,Filtering!D148,"N/A")</f>
        <v>N/A</v>
      </c>
    </row>
    <row r="149" spans="3:10" x14ac:dyDescent="0.25">
      <c r="C149" t="str">
        <f>IF(Filtering!F149&gt;0,Filtering!B149,"N/A")</f>
        <v>N/A</v>
      </c>
      <c r="D149" t="str">
        <f>IF('Data Validation'!C149=Filtering!B149,Filtering!C149,"N/A")</f>
        <v>N/A</v>
      </c>
      <c r="J149" t="str">
        <f>IF(_xlfn.CONCAT(Filtering!A149,Filtering!B149,Filtering!C149)=$M$2,Filtering!D149,"N/A")</f>
        <v>N/A</v>
      </c>
    </row>
    <row r="150" spans="3:10" x14ac:dyDescent="0.25">
      <c r="C150" t="str">
        <f>IF(Filtering!F150&gt;0,Filtering!B150,"N/A")</f>
        <v>N/A</v>
      </c>
      <c r="D150" t="str">
        <f>IF('Data Validation'!C150=Filtering!B150,Filtering!C150,"N/A")</f>
        <v>N/A</v>
      </c>
      <c r="J150" t="str">
        <f>IF(_xlfn.CONCAT(Filtering!A150,Filtering!B150,Filtering!C150)=$M$2,Filtering!D150,"N/A")</f>
        <v>N/A</v>
      </c>
    </row>
    <row r="151" spans="3:10" x14ac:dyDescent="0.25">
      <c r="C151" t="str">
        <f>IF(Filtering!F151&gt;0,Filtering!B151,"N/A")</f>
        <v>N/A</v>
      </c>
      <c r="D151" t="str">
        <f>IF('Data Validation'!C151=Filtering!B151,Filtering!C151,"N/A")</f>
        <v>N/A</v>
      </c>
      <c r="J151" t="str">
        <f>IF(_xlfn.CONCAT(Filtering!A151,Filtering!B151,Filtering!C151)=$M$2,Filtering!D151,"N/A")</f>
        <v>N/A</v>
      </c>
    </row>
    <row r="152" spans="3:10" x14ac:dyDescent="0.25">
      <c r="C152" t="str">
        <f>IF(Filtering!F152&gt;0,Filtering!B152,"N/A")</f>
        <v>N/A</v>
      </c>
      <c r="D152" t="str">
        <f>IF('Data Validation'!C152=Filtering!B152,Filtering!C152,"N/A")</f>
        <v>N/A</v>
      </c>
      <c r="J152" t="str">
        <f>IF(_xlfn.CONCAT(Filtering!A152,Filtering!B152,Filtering!C152)=$M$2,Filtering!D152,"N/A")</f>
        <v>N/A</v>
      </c>
    </row>
    <row r="153" spans="3:10" x14ac:dyDescent="0.25">
      <c r="C153" t="str">
        <f>IF(Filtering!F153&gt;0,Filtering!B153,"N/A")</f>
        <v>N/A</v>
      </c>
      <c r="D153" t="str">
        <f>IF('Data Validation'!C153=Filtering!B153,Filtering!C153,"N/A")</f>
        <v>N/A</v>
      </c>
      <c r="J153" t="str">
        <f>IF(_xlfn.CONCAT(Filtering!A153,Filtering!B153,Filtering!C153)=$M$2,Filtering!D153,"N/A")</f>
        <v>N/A</v>
      </c>
    </row>
    <row r="154" spans="3:10" x14ac:dyDescent="0.25">
      <c r="C154" t="str">
        <f>IF(Filtering!F154&gt;0,Filtering!B154,"N/A")</f>
        <v>N/A</v>
      </c>
      <c r="D154" t="str">
        <f>IF('Data Validation'!C154=Filtering!B154,Filtering!C154,"N/A")</f>
        <v>N/A</v>
      </c>
      <c r="J154" t="str">
        <f>IF(_xlfn.CONCAT(Filtering!A154,Filtering!B154,Filtering!C154)=$M$2,Filtering!D154,"N/A")</f>
        <v>N/A</v>
      </c>
    </row>
    <row r="155" spans="3:10" x14ac:dyDescent="0.25">
      <c r="C155" t="str">
        <f>IF(Filtering!F155&gt;0,Filtering!B155,"N/A")</f>
        <v>N/A</v>
      </c>
      <c r="D155" t="str">
        <f>IF('Data Validation'!C155=Filtering!B155,Filtering!C155,"N/A")</f>
        <v>N/A</v>
      </c>
      <c r="J155" t="str">
        <f>IF(_xlfn.CONCAT(Filtering!A155,Filtering!B155,Filtering!C155)=$M$2,Filtering!D155,"N/A")</f>
        <v>N/A</v>
      </c>
    </row>
    <row r="156" spans="3:10" x14ac:dyDescent="0.25">
      <c r="C156" t="str">
        <f>IF(Filtering!F156&gt;0,Filtering!B156,"N/A")</f>
        <v>N/A</v>
      </c>
      <c r="D156" t="str">
        <f>IF('Data Validation'!C156=Filtering!B156,Filtering!C156,"N/A")</f>
        <v>N/A</v>
      </c>
      <c r="J156" t="str">
        <f>IF(_xlfn.CONCAT(Filtering!A156,Filtering!B156,Filtering!C156)=$M$2,Filtering!D156,"N/A")</f>
        <v>N/A</v>
      </c>
    </row>
    <row r="157" spans="3:10" x14ac:dyDescent="0.25">
      <c r="C157" t="str">
        <f>IF(Filtering!F157&gt;0,Filtering!B157,"N/A")</f>
        <v>N/A</v>
      </c>
      <c r="D157" t="str">
        <f>IF('Data Validation'!C157=Filtering!B157,Filtering!C157,"N/A")</f>
        <v>N/A</v>
      </c>
      <c r="J157" t="str">
        <f>IF(_xlfn.CONCAT(Filtering!A157,Filtering!B157,Filtering!C157)=$M$2,Filtering!D157,"N/A")</f>
        <v>N/A</v>
      </c>
    </row>
    <row r="158" spans="3:10" x14ac:dyDescent="0.25">
      <c r="C158" t="str">
        <f>IF(Filtering!F158&gt;0,Filtering!B158,"N/A")</f>
        <v>N/A</v>
      </c>
      <c r="D158" t="str">
        <f>IF('Data Validation'!C158=Filtering!B158,Filtering!C158,"N/A")</f>
        <v>N/A</v>
      </c>
      <c r="J158" t="str">
        <f>IF(_xlfn.CONCAT(Filtering!A158,Filtering!B158,Filtering!C158)=$M$2,Filtering!D158,"N/A")</f>
        <v>N/A</v>
      </c>
    </row>
    <row r="159" spans="3:10" x14ac:dyDescent="0.25">
      <c r="C159" t="str">
        <f>IF(Filtering!F159&gt;0,Filtering!B159,"N/A")</f>
        <v>N/A</v>
      </c>
      <c r="D159" t="str">
        <f>IF('Data Validation'!C159=Filtering!B159,Filtering!C159,"N/A")</f>
        <v>N/A</v>
      </c>
      <c r="J159" t="str">
        <f>IF(_xlfn.CONCAT(Filtering!A159,Filtering!B159,Filtering!C159)=$M$2,Filtering!D159,"N/A")</f>
        <v>N/A</v>
      </c>
    </row>
    <row r="160" spans="3:10" x14ac:dyDescent="0.25">
      <c r="C160" t="str">
        <f>IF(Filtering!F160&gt;0,Filtering!B160,"N/A")</f>
        <v>N/A</v>
      </c>
      <c r="D160" t="str">
        <f>IF('Data Validation'!C160=Filtering!B160,Filtering!C160,"N/A")</f>
        <v>N/A</v>
      </c>
      <c r="J160" t="str">
        <f>IF(_xlfn.CONCAT(Filtering!A160,Filtering!B160,Filtering!C160)=$M$2,Filtering!D160,"N/A")</f>
        <v>N/A</v>
      </c>
    </row>
    <row r="161" spans="3:10" x14ac:dyDescent="0.25">
      <c r="C161" t="str">
        <f>IF(Filtering!F161&gt;0,Filtering!B161,"N/A")</f>
        <v>N/A</v>
      </c>
      <c r="D161" t="str">
        <f>IF('Data Validation'!C161=Filtering!B161,Filtering!C161,"N/A")</f>
        <v>N/A</v>
      </c>
      <c r="J161" t="str">
        <f>IF(_xlfn.CONCAT(Filtering!A161,Filtering!B161,Filtering!C161)=$M$2,Filtering!D161,"N/A")</f>
        <v>N/A</v>
      </c>
    </row>
    <row r="162" spans="3:10" x14ac:dyDescent="0.25">
      <c r="C162" t="str">
        <f>IF(Filtering!F162&gt;0,Filtering!B162,"N/A")</f>
        <v>N/A</v>
      </c>
      <c r="D162" t="str">
        <f>IF('Data Validation'!C162=Filtering!B162,Filtering!C162,"N/A")</f>
        <v>N/A</v>
      </c>
      <c r="J162" t="str">
        <f>IF(_xlfn.CONCAT(Filtering!A162,Filtering!B162,Filtering!C162)=$M$2,Filtering!D162,"N/A")</f>
        <v>N/A</v>
      </c>
    </row>
    <row r="163" spans="3:10" x14ac:dyDescent="0.25">
      <c r="C163" t="str">
        <f>IF(Filtering!F163&gt;0,Filtering!B163,"N/A")</f>
        <v>N/A</v>
      </c>
      <c r="D163" t="str">
        <f>IF('Data Validation'!C163=Filtering!B163,Filtering!C163,"N/A")</f>
        <v>N/A</v>
      </c>
      <c r="J163" t="str">
        <f>IF(_xlfn.CONCAT(Filtering!A163,Filtering!B163,Filtering!C163)=$M$2,Filtering!D163,"N/A")</f>
        <v>N/A</v>
      </c>
    </row>
    <row r="164" spans="3:10" x14ac:dyDescent="0.25">
      <c r="C164" t="str">
        <f>IF(Filtering!F164&gt;0,Filtering!B164,"N/A")</f>
        <v>N/A</v>
      </c>
      <c r="D164" t="str">
        <f>IF('Data Validation'!C164=Filtering!B164,Filtering!C164,"N/A")</f>
        <v>N/A</v>
      </c>
      <c r="J164" t="str">
        <f>IF(_xlfn.CONCAT(Filtering!A164,Filtering!B164,Filtering!C164)=$M$2,Filtering!D164,"N/A")</f>
        <v>N/A</v>
      </c>
    </row>
    <row r="165" spans="3:10" x14ac:dyDescent="0.25">
      <c r="C165" t="str">
        <f>IF(Filtering!F165&gt;0,Filtering!B165,"N/A")</f>
        <v>N/A</v>
      </c>
      <c r="D165" t="str">
        <f>IF('Data Validation'!C165=Filtering!B165,Filtering!C165,"N/A")</f>
        <v>N/A</v>
      </c>
      <c r="J165" t="str">
        <f>IF(_xlfn.CONCAT(Filtering!A165,Filtering!B165,Filtering!C165)=$M$2,Filtering!D165,"N/A")</f>
        <v>N/A</v>
      </c>
    </row>
    <row r="166" spans="3:10" x14ac:dyDescent="0.25">
      <c r="C166" t="str">
        <f>IF(Filtering!F166&gt;0,Filtering!B166,"N/A")</f>
        <v>N/A</v>
      </c>
      <c r="D166" t="str">
        <f>IF('Data Validation'!C166=Filtering!B166,Filtering!C166,"N/A")</f>
        <v>N/A</v>
      </c>
      <c r="J166" t="str">
        <f>IF(_xlfn.CONCAT(Filtering!A166,Filtering!B166,Filtering!C166)=$M$2,Filtering!D166,"N/A")</f>
        <v>N/A</v>
      </c>
    </row>
    <row r="167" spans="3:10" x14ac:dyDescent="0.25">
      <c r="C167" t="str">
        <f>IF(Filtering!F167&gt;0,Filtering!B167,"N/A")</f>
        <v>N/A</v>
      </c>
      <c r="D167" t="str">
        <f>IF('Data Validation'!C167=Filtering!B167,Filtering!C167,"N/A")</f>
        <v>N/A</v>
      </c>
      <c r="J167" t="str">
        <f>IF(_xlfn.CONCAT(Filtering!A167,Filtering!B167,Filtering!C167)=$M$2,Filtering!D167,"N/A")</f>
        <v>N/A</v>
      </c>
    </row>
    <row r="168" spans="3:10" x14ac:dyDescent="0.25">
      <c r="C168" t="str">
        <f>IF(Filtering!F168&gt;0,Filtering!B168,"N/A")</f>
        <v>N/A</v>
      </c>
      <c r="D168" t="str">
        <f>IF('Data Validation'!C168=Filtering!B168,Filtering!C168,"N/A")</f>
        <v>N/A</v>
      </c>
      <c r="J168" t="str">
        <f>IF(_xlfn.CONCAT(Filtering!A168,Filtering!B168,Filtering!C168)=$M$2,Filtering!D168,"N/A")</f>
        <v>N/A</v>
      </c>
    </row>
    <row r="169" spans="3:10" x14ac:dyDescent="0.25">
      <c r="C169" t="str">
        <f>IF(Filtering!F169&gt;0,Filtering!B169,"N/A")</f>
        <v>N/A</v>
      </c>
      <c r="D169" t="str">
        <f>IF('Data Validation'!C169=Filtering!B169,Filtering!C169,"N/A")</f>
        <v>N/A</v>
      </c>
      <c r="J169" t="str">
        <f>IF(_xlfn.CONCAT(Filtering!A169,Filtering!B169,Filtering!C169)=$M$2,Filtering!D169,"N/A")</f>
        <v>N/A</v>
      </c>
    </row>
    <row r="170" spans="3:10" x14ac:dyDescent="0.25">
      <c r="C170" t="str">
        <f>IF(Filtering!F170&gt;0,Filtering!B170,"N/A")</f>
        <v>N/A</v>
      </c>
      <c r="D170" t="str">
        <f>IF('Data Validation'!C170=Filtering!B170,Filtering!C170,"N/A")</f>
        <v>N/A</v>
      </c>
      <c r="J170" t="str">
        <f>IF(_xlfn.CONCAT(Filtering!A170,Filtering!B170,Filtering!C170)=$M$2,Filtering!D170,"N/A")</f>
        <v>N/A</v>
      </c>
    </row>
    <row r="171" spans="3:10" x14ac:dyDescent="0.25">
      <c r="C171" t="str">
        <f>IF(Filtering!F171&gt;0,Filtering!B171,"N/A")</f>
        <v>N/A</v>
      </c>
      <c r="D171" t="str">
        <f>IF('Data Validation'!C171=Filtering!B171,Filtering!C171,"N/A")</f>
        <v>N/A</v>
      </c>
      <c r="J171" t="str">
        <f>IF(_xlfn.CONCAT(Filtering!A171,Filtering!B171,Filtering!C171)=$M$2,Filtering!D171,"N/A")</f>
        <v>N/A</v>
      </c>
    </row>
    <row r="172" spans="3:10" x14ac:dyDescent="0.25">
      <c r="C172" t="str">
        <f>IF(Filtering!F172&gt;0,Filtering!B172,"N/A")</f>
        <v>N/A</v>
      </c>
      <c r="D172" t="str">
        <f>IF('Data Validation'!C172=Filtering!B172,Filtering!C172,"N/A")</f>
        <v>N/A</v>
      </c>
      <c r="J172" t="str">
        <f>IF(_xlfn.CONCAT(Filtering!A172,Filtering!B172,Filtering!C172)=$M$2,Filtering!D172,"N/A")</f>
        <v>N/A</v>
      </c>
    </row>
    <row r="173" spans="3:10" x14ac:dyDescent="0.25">
      <c r="C173" t="str">
        <f>IF(Filtering!F173&gt;0,Filtering!B173,"N/A")</f>
        <v>N/A</v>
      </c>
      <c r="D173" t="str">
        <f>IF('Data Validation'!C173=Filtering!B173,Filtering!C173,"N/A")</f>
        <v>N/A</v>
      </c>
      <c r="J173" t="str">
        <f>IF(_xlfn.CONCAT(Filtering!A173,Filtering!B173,Filtering!C173)=$M$2,Filtering!D173,"N/A")</f>
        <v>N/A</v>
      </c>
    </row>
    <row r="174" spans="3:10" x14ac:dyDescent="0.25">
      <c r="C174" t="str">
        <f>IF(Filtering!F174&gt;0,Filtering!B174,"N/A")</f>
        <v>N/A</v>
      </c>
      <c r="D174" t="str">
        <f>IF('Data Validation'!C174=Filtering!B174,Filtering!C174,"N/A")</f>
        <v>N/A</v>
      </c>
      <c r="J174" t="str">
        <f>IF(_xlfn.CONCAT(Filtering!A174,Filtering!B174,Filtering!C174)=$M$2,Filtering!D174,"N/A")</f>
        <v>N/A</v>
      </c>
    </row>
    <row r="175" spans="3:10" x14ac:dyDescent="0.25">
      <c r="C175" t="str">
        <f>IF(Filtering!F175&gt;0,Filtering!B175,"N/A")</f>
        <v>N/A</v>
      </c>
      <c r="D175" t="str">
        <f>IF('Data Validation'!C175=Filtering!B175,Filtering!C175,"N/A")</f>
        <v>N/A</v>
      </c>
      <c r="J175" t="str">
        <f>IF(_xlfn.CONCAT(Filtering!A175,Filtering!B175,Filtering!C175)=$M$2,Filtering!D175,"N/A")</f>
        <v>N/A</v>
      </c>
    </row>
    <row r="176" spans="3:10" x14ac:dyDescent="0.25">
      <c r="C176" t="str">
        <f>IF(Filtering!F176&gt;0,Filtering!B176,"N/A")</f>
        <v>N/A</v>
      </c>
      <c r="D176" t="str">
        <f>IF('Data Validation'!C176=Filtering!B176,Filtering!C176,"N/A")</f>
        <v>N/A</v>
      </c>
      <c r="J176" t="str">
        <f>IF(_xlfn.CONCAT(Filtering!A176,Filtering!B176,Filtering!C176)=$M$2,Filtering!D176,"N/A")</f>
        <v>N/A</v>
      </c>
    </row>
    <row r="177" spans="3:10" x14ac:dyDescent="0.25">
      <c r="C177" t="str">
        <f>IF(Filtering!F177&gt;0,Filtering!B177,"N/A")</f>
        <v>N/A</v>
      </c>
      <c r="D177" t="str">
        <f>IF('Data Validation'!C177=Filtering!B177,Filtering!C177,"N/A")</f>
        <v>N/A</v>
      </c>
      <c r="J177" t="str">
        <f>IF(_xlfn.CONCAT(Filtering!A177,Filtering!B177,Filtering!C177)=$M$2,Filtering!D177,"N/A")</f>
        <v>N/A</v>
      </c>
    </row>
    <row r="178" spans="3:10" x14ac:dyDescent="0.25">
      <c r="C178" t="str">
        <f>IF(Filtering!F178&gt;0,Filtering!B178,"N/A")</f>
        <v>N/A</v>
      </c>
      <c r="D178" t="str">
        <f>IF('Data Validation'!C178=Filtering!B178,Filtering!C178,"N/A")</f>
        <v>N/A</v>
      </c>
      <c r="J178" t="str">
        <f>IF(_xlfn.CONCAT(Filtering!A178,Filtering!B178,Filtering!C178)=$M$2,Filtering!D178,"N/A")</f>
        <v>N/A</v>
      </c>
    </row>
    <row r="179" spans="3:10" x14ac:dyDescent="0.25">
      <c r="C179" t="str">
        <f>IF(Filtering!F179&gt;0,Filtering!B179,"N/A")</f>
        <v>N/A</v>
      </c>
      <c r="D179" t="str">
        <f>IF('Data Validation'!C179=Filtering!B179,Filtering!C179,"N/A")</f>
        <v>N/A</v>
      </c>
      <c r="J179" t="str">
        <f>IF(_xlfn.CONCAT(Filtering!A179,Filtering!B179,Filtering!C179)=$M$2,Filtering!D179,"N/A")</f>
        <v>N/A</v>
      </c>
    </row>
    <row r="180" spans="3:10" x14ac:dyDescent="0.25">
      <c r="C180" t="str">
        <f>IF(Filtering!F180&gt;0,Filtering!B180,"N/A")</f>
        <v>N/A</v>
      </c>
      <c r="D180" t="str">
        <f>IF('Data Validation'!C180=Filtering!B180,Filtering!C180,"N/A")</f>
        <v>N/A</v>
      </c>
      <c r="J180" t="str">
        <f>IF(_xlfn.CONCAT(Filtering!A180,Filtering!B180,Filtering!C180)=$M$2,Filtering!D180,"N/A")</f>
        <v>N/A</v>
      </c>
    </row>
    <row r="181" spans="3:10" x14ac:dyDescent="0.25">
      <c r="C181" t="str">
        <f>IF(Filtering!F181&gt;0,Filtering!B181,"N/A")</f>
        <v>N/A</v>
      </c>
      <c r="D181" t="str">
        <f>IF('Data Validation'!C181=Filtering!B181,Filtering!C181,"N/A")</f>
        <v>N/A</v>
      </c>
      <c r="J181" t="str">
        <f>IF(_xlfn.CONCAT(Filtering!A181,Filtering!B181,Filtering!C181)=$M$2,Filtering!D181,"N/A")</f>
        <v>N/A</v>
      </c>
    </row>
    <row r="182" spans="3:10" x14ac:dyDescent="0.25">
      <c r="C182" t="str">
        <f>IF(Filtering!F182&gt;0,Filtering!B182,"N/A")</f>
        <v>N/A</v>
      </c>
      <c r="D182" t="str">
        <f>IF('Data Validation'!C182=Filtering!B182,Filtering!C182,"N/A")</f>
        <v>N/A</v>
      </c>
      <c r="J182" t="str">
        <f>IF(_xlfn.CONCAT(Filtering!A182,Filtering!B182,Filtering!C182)=$M$2,Filtering!D182,"N/A")</f>
        <v>N/A</v>
      </c>
    </row>
    <row r="183" spans="3:10" x14ac:dyDescent="0.25">
      <c r="C183" t="str">
        <f>IF(Filtering!F183&gt;0,Filtering!B183,"N/A")</f>
        <v>N/A</v>
      </c>
      <c r="D183" t="str">
        <f>IF('Data Validation'!C183=Filtering!B183,Filtering!C183,"N/A")</f>
        <v>N/A</v>
      </c>
      <c r="J183" t="str">
        <f>IF(_xlfn.CONCAT(Filtering!A183,Filtering!B183,Filtering!C183)=$M$2,Filtering!D183,"N/A")</f>
        <v>N/A</v>
      </c>
    </row>
    <row r="184" spans="3:10" x14ac:dyDescent="0.25">
      <c r="C184" t="str">
        <f>IF(Filtering!F184&gt;0,Filtering!B184,"N/A")</f>
        <v>N/A</v>
      </c>
      <c r="D184" t="str">
        <f>IF('Data Validation'!C184=Filtering!B184,Filtering!C184,"N/A")</f>
        <v>N/A</v>
      </c>
      <c r="J184" t="str">
        <f>IF(_xlfn.CONCAT(Filtering!A184,Filtering!B184,Filtering!C184)=$M$2,Filtering!D184,"N/A")</f>
        <v>N/A</v>
      </c>
    </row>
    <row r="185" spans="3:10" x14ac:dyDescent="0.25">
      <c r="C185" t="str">
        <f>IF(Filtering!F185&gt;0,Filtering!B185,"N/A")</f>
        <v>N/A</v>
      </c>
      <c r="D185" t="str">
        <f>IF('Data Validation'!C185=Filtering!B185,Filtering!C185,"N/A")</f>
        <v>N/A</v>
      </c>
      <c r="J185" t="str">
        <f>IF(_xlfn.CONCAT(Filtering!A185,Filtering!B185,Filtering!C185)=$M$2,Filtering!D185,"N/A")</f>
        <v>N/A</v>
      </c>
    </row>
    <row r="186" spans="3:10" x14ac:dyDescent="0.25">
      <c r="C186" t="str">
        <f>IF(Filtering!F186&gt;0,Filtering!B186,"N/A")</f>
        <v>N/A</v>
      </c>
      <c r="D186" t="str">
        <f>IF('Data Validation'!C186=Filtering!B186,Filtering!C186,"N/A")</f>
        <v>N/A</v>
      </c>
      <c r="J186" t="str">
        <f>IF(_xlfn.CONCAT(Filtering!A186,Filtering!B186,Filtering!C186)=$M$2,Filtering!D186,"N/A")</f>
        <v>N/A</v>
      </c>
    </row>
    <row r="187" spans="3:10" x14ac:dyDescent="0.25">
      <c r="C187" t="str">
        <f>IF(Filtering!F187&gt;0,Filtering!B187,"N/A")</f>
        <v>N/A</v>
      </c>
      <c r="D187" t="str">
        <f>IF('Data Validation'!C187=Filtering!B187,Filtering!C187,"N/A")</f>
        <v>N/A</v>
      </c>
      <c r="J187" t="str">
        <f>IF(_xlfn.CONCAT(Filtering!A187,Filtering!B187,Filtering!C187)=$M$2,Filtering!D187,"N/A")</f>
        <v>N/A</v>
      </c>
    </row>
    <row r="188" spans="3:10" x14ac:dyDescent="0.25">
      <c r="C188" t="str">
        <f>IF(Filtering!F188&gt;0,Filtering!B188,"N/A")</f>
        <v>N/A</v>
      </c>
      <c r="D188" t="str">
        <f>IF('Data Validation'!C188=Filtering!B188,Filtering!C188,"N/A")</f>
        <v>N/A</v>
      </c>
      <c r="J188" t="str">
        <f>IF(_xlfn.CONCAT(Filtering!A188,Filtering!B188,Filtering!C188)=$M$2,Filtering!D188,"N/A")</f>
        <v>N/A</v>
      </c>
    </row>
    <row r="189" spans="3:10" x14ac:dyDescent="0.25">
      <c r="C189" t="str">
        <f>IF(Filtering!F189&gt;0,Filtering!B189,"N/A")</f>
        <v>N/A</v>
      </c>
      <c r="D189" t="str">
        <f>IF('Data Validation'!C189=Filtering!B189,Filtering!C189,"N/A")</f>
        <v>N/A</v>
      </c>
      <c r="J189" t="str">
        <f>IF(_xlfn.CONCAT(Filtering!A189,Filtering!B189,Filtering!C189)=$M$2,Filtering!D189,"N/A")</f>
        <v>N/A</v>
      </c>
    </row>
    <row r="190" spans="3:10" x14ac:dyDescent="0.25">
      <c r="C190" t="str">
        <f>IF(Filtering!F190&gt;0,Filtering!B190,"N/A")</f>
        <v>N/A</v>
      </c>
      <c r="D190" t="str">
        <f>IF('Data Validation'!C190=Filtering!B190,Filtering!C190,"N/A")</f>
        <v>N/A</v>
      </c>
      <c r="J190" t="str">
        <f>IF(_xlfn.CONCAT(Filtering!A190,Filtering!B190,Filtering!C190)=$M$2,Filtering!D190,"N/A")</f>
        <v>N/A</v>
      </c>
    </row>
    <row r="191" spans="3:10" x14ac:dyDescent="0.25">
      <c r="C191" t="str">
        <f>IF(Filtering!F191&gt;0,Filtering!B191,"N/A")</f>
        <v>N/A</v>
      </c>
      <c r="D191" t="str">
        <f>IF('Data Validation'!C191=Filtering!B191,Filtering!C191,"N/A")</f>
        <v>N/A</v>
      </c>
      <c r="J191" t="str">
        <f>IF(_xlfn.CONCAT(Filtering!A191,Filtering!B191,Filtering!C191)=$M$2,Filtering!D191,"N/A")</f>
        <v>N/A</v>
      </c>
    </row>
    <row r="192" spans="3:10" x14ac:dyDescent="0.25">
      <c r="C192" t="str">
        <f>IF(Filtering!F192&gt;0,Filtering!B192,"N/A")</f>
        <v>N/A</v>
      </c>
      <c r="D192" t="str">
        <f>IF('Data Validation'!C192=Filtering!B192,Filtering!C192,"N/A")</f>
        <v>N/A</v>
      </c>
      <c r="J192" t="str">
        <f>IF(_xlfn.CONCAT(Filtering!A192,Filtering!B192,Filtering!C192)=$M$2,Filtering!D192,"N/A")</f>
        <v>N/A</v>
      </c>
    </row>
    <row r="193" spans="3:10" x14ac:dyDescent="0.25">
      <c r="C193" t="str">
        <f>IF(Filtering!F193&gt;0,Filtering!B193,"N/A")</f>
        <v>N/A</v>
      </c>
      <c r="D193" t="str">
        <f>IF('Data Validation'!C193=Filtering!B193,Filtering!C193,"N/A")</f>
        <v>N/A</v>
      </c>
      <c r="J193" t="str">
        <f>IF(_xlfn.CONCAT(Filtering!A193,Filtering!B193,Filtering!C193)=$M$2,Filtering!D193,"N/A")</f>
        <v>N/A</v>
      </c>
    </row>
    <row r="194" spans="3:10" x14ac:dyDescent="0.25">
      <c r="C194" t="str">
        <f>IF(Filtering!F194&gt;0,Filtering!B194,"N/A")</f>
        <v>N/A</v>
      </c>
      <c r="D194" t="str">
        <f>IF('Data Validation'!C194=Filtering!B194,Filtering!C194,"N/A")</f>
        <v>N/A</v>
      </c>
      <c r="J194" t="str">
        <f>IF(_xlfn.CONCAT(Filtering!A194,Filtering!B194,Filtering!C194)=$M$2,Filtering!D194,"N/A")</f>
        <v>N/A</v>
      </c>
    </row>
    <row r="195" spans="3:10" x14ac:dyDescent="0.25">
      <c r="C195" t="str">
        <f>IF(Filtering!F195&gt;0,Filtering!B195,"N/A")</f>
        <v>N/A</v>
      </c>
      <c r="D195" t="str">
        <f>IF('Data Validation'!C195=Filtering!B195,Filtering!C195,"N/A")</f>
        <v>N/A</v>
      </c>
      <c r="J195" t="str">
        <f>IF(_xlfn.CONCAT(Filtering!A195,Filtering!B195,Filtering!C195)=$M$2,Filtering!D195,"N/A")</f>
        <v>N/A</v>
      </c>
    </row>
    <row r="196" spans="3:10" x14ac:dyDescent="0.25">
      <c r="C196" t="str">
        <f>IF(Filtering!F196&gt;0,Filtering!B196,"N/A")</f>
        <v>N/A</v>
      </c>
      <c r="D196" t="str">
        <f>IF('Data Validation'!C196=Filtering!B196,Filtering!C196,"N/A")</f>
        <v>N/A</v>
      </c>
      <c r="J196" t="str">
        <f>IF(_xlfn.CONCAT(Filtering!A196,Filtering!B196,Filtering!C196)=$M$2,Filtering!D196,"N/A")</f>
        <v>N/A</v>
      </c>
    </row>
    <row r="197" spans="3:10" x14ac:dyDescent="0.25">
      <c r="C197" t="str">
        <f>IF(Filtering!F197&gt;0,Filtering!B197,"N/A")</f>
        <v>N/A</v>
      </c>
      <c r="D197" t="str">
        <f>IF('Data Validation'!C197=Filtering!B197,Filtering!C197,"N/A")</f>
        <v>N/A</v>
      </c>
      <c r="J197" t="str">
        <f>IF(_xlfn.CONCAT(Filtering!A197,Filtering!B197,Filtering!C197)=$M$2,Filtering!D197,"N/A")</f>
        <v>N/A</v>
      </c>
    </row>
    <row r="198" spans="3:10" x14ac:dyDescent="0.25">
      <c r="C198" t="str">
        <f>IF(Filtering!F198&gt;0,Filtering!B198,"N/A")</f>
        <v>N/A</v>
      </c>
      <c r="D198" t="str">
        <f>IF('Data Validation'!C198=Filtering!B198,Filtering!C198,"N/A")</f>
        <v>N/A</v>
      </c>
      <c r="J198" t="str">
        <f>IF(_xlfn.CONCAT(Filtering!A198,Filtering!B198,Filtering!C198)=$M$2,Filtering!D198,"N/A")</f>
        <v>N/A</v>
      </c>
    </row>
    <row r="199" spans="3:10" x14ac:dyDescent="0.25">
      <c r="C199" t="str">
        <f>IF(Filtering!F199&gt;0,Filtering!B199,"N/A")</f>
        <v>N/A</v>
      </c>
      <c r="D199" t="str">
        <f>IF('Data Validation'!C199=Filtering!B199,Filtering!C199,"N/A")</f>
        <v>N/A</v>
      </c>
      <c r="J199" t="str">
        <f>IF(_xlfn.CONCAT(Filtering!A199,Filtering!B199,Filtering!C199)=$M$2,Filtering!D199,"N/A")</f>
        <v>N/A</v>
      </c>
    </row>
    <row r="200" spans="3:10" x14ac:dyDescent="0.25">
      <c r="C200" t="str">
        <f>IF(Filtering!F200&gt;0,Filtering!B200,"N/A")</f>
        <v>N/A</v>
      </c>
      <c r="D200" t="str">
        <f>IF('Data Validation'!C200=Filtering!B200,Filtering!C200,"N/A")</f>
        <v>N/A</v>
      </c>
      <c r="J200" t="str">
        <f>IF(_xlfn.CONCAT(Filtering!A200,Filtering!B200,Filtering!C200)=$M$2,Filtering!D200,"N/A")</f>
        <v>N/A</v>
      </c>
    </row>
    <row r="201" spans="3:10" x14ac:dyDescent="0.25">
      <c r="C201" t="str">
        <f>IF(Filtering!F201&gt;0,Filtering!B201,"N/A")</f>
        <v>N/A</v>
      </c>
      <c r="D201" t="str">
        <f>IF('Data Validation'!C201=Filtering!B201,Filtering!C201,"N/A")</f>
        <v>N/A</v>
      </c>
      <c r="J201" t="str">
        <f>IF(_xlfn.CONCAT(Filtering!A201,Filtering!B201,Filtering!C201)=$M$2,Filtering!D201,"N/A")</f>
        <v>N/A</v>
      </c>
    </row>
    <row r="202" spans="3:10" x14ac:dyDescent="0.25">
      <c r="C202" t="str">
        <f>IF(Filtering!F202&gt;0,Filtering!B202,"N/A")</f>
        <v>N/A</v>
      </c>
      <c r="D202" t="str">
        <f>IF('Data Validation'!C202=Filtering!B202,Filtering!C202,"N/A")</f>
        <v>N/A</v>
      </c>
      <c r="J202" t="str">
        <f>IF(_xlfn.CONCAT(Filtering!A202,Filtering!B202,Filtering!C202)=$M$2,Filtering!D202,"N/A")</f>
        <v>N/A</v>
      </c>
    </row>
    <row r="203" spans="3:10" x14ac:dyDescent="0.25">
      <c r="C203" t="str">
        <f>IF(Filtering!F203&gt;0,Filtering!B203,"N/A")</f>
        <v>N/A</v>
      </c>
      <c r="D203" t="str">
        <f>IF('Data Validation'!C203=Filtering!B203,Filtering!C203,"N/A")</f>
        <v>N/A</v>
      </c>
      <c r="J203" t="str">
        <f>IF(_xlfn.CONCAT(Filtering!A203,Filtering!B203,Filtering!C203)=$M$2,Filtering!D203,"N/A")</f>
        <v>N/A</v>
      </c>
    </row>
    <row r="204" spans="3:10" x14ac:dyDescent="0.25">
      <c r="C204" t="str">
        <f>IF(Filtering!F204&gt;0,Filtering!B204,"N/A")</f>
        <v>N/A</v>
      </c>
      <c r="D204" t="str">
        <f>IF('Data Validation'!C204=Filtering!B204,Filtering!C204,"N/A")</f>
        <v>N/A</v>
      </c>
      <c r="J204" t="str">
        <f>IF(_xlfn.CONCAT(Filtering!A204,Filtering!B204,Filtering!C204)=$M$2,Filtering!D204,"N/A")</f>
        <v>N/A</v>
      </c>
    </row>
    <row r="205" spans="3:10" x14ac:dyDescent="0.25">
      <c r="C205" t="str">
        <f>IF(Filtering!F205&gt;0,Filtering!B205,"N/A")</f>
        <v>N/A</v>
      </c>
      <c r="D205" t="str">
        <f>IF('Data Validation'!C205=Filtering!B205,Filtering!C205,"N/A")</f>
        <v>N/A</v>
      </c>
      <c r="J205" t="str">
        <f>IF(_xlfn.CONCAT(Filtering!A205,Filtering!B205,Filtering!C205)=$M$2,Filtering!D205,"N/A")</f>
        <v>N/A</v>
      </c>
    </row>
    <row r="206" spans="3:10" x14ac:dyDescent="0.25">
      <c r="C206" t="str">
        <f>IF(Filtering!F206&gt;0,Filtering!B206,"N/A")</f>
        <v>N/A</v>
      </c>
      <c r="D206" t="str">
        <f>IF('Data Validation'!C206=Filtering!B206,Filtering!C206,"N/A")</f>
        <v>N/A</v>
      </c>
      <c r="J206" t="str">
        <f>IF(_xlfn.CONCAT(Filtering!A206,Filtering!B206,Filtering!C206)=$M$2,Filtering!D206,"N/A")</f>
        <v>N/A</v>
      </c>
    </row>
    <row r="207" spans="3:10" x14ac:dyDescent="0.25">
      <c r="C207" t="str">
        <f>IF(Filtering!F207&gt;0,Filtering!B207,"N/A")</f>
        <v>N/A</v>
      </c>
      <c r="D207" t="str">
        <f>IF('Data Validation'!C207=Filtering!B207,Filtering!C207,"N/A")</f>
        <v>N/A</v>
      </c>
      <c r="J207" t="str">
        <f>IF(_xlfn.CONCAT(Filtering!A207,Filtering!B207,Filtering!C207)=$M$2,Filtering!D207,"N/A")</f>
        <v>N/A</v>
      </c>
    </row>
    <row r="208" spans="3:10" x14ac:dyDescent="0.25">
      <c r="C208" t="str">
        <f>IF(Filtering!F208&gt;0,Filtering!B208,"N/A")</f>
        <v>N/A</v>
      </c>
      <c r="D208" t="str">
        <f>IF('Data Validation'!C208=Filtering!B208,Filtering!C208,"N/A")</f>
        <v>N/A</v>
      </c>
      <c r="J208" t="str">
        <f>IF(_xlfn.CONCAT(Filtering!A208,Filtering!B208,Filtering!C208)=$M$2,Filtering!D208,"N/A")</f>
        <v>N/A</v>
      </c>
    </row>
    <row r="209" spans="3:10" x14ac:dyDescent="0.25">
      <c r="C209" t="str">
        <f>IF(Filtering!F209&gt;0,Filtering!B209,"N/A")</f>
        <v>N/A</v>
      </c>
      <c r="D209" t="str">
        <f>IF('Data Validation'!C209=Filtering!B209,Filtering!C209,"N/A")</f>
        <v>N/A</v>
      </c>
      <c r="J209" t="str">
        <f>IF(_xlfn.CONCAT(Filtering!A209,Filtering!B209,Filtering!C209)=$M$2,Filtering!D209,"N/A")</f>
        <v>N/A</v>
      </c>
    </row>
    <row r="210" spans="3:10" x14ac:dyDescent="0.25">
      <c r="C210" t="str">
        <f>IF(Filtering!F210&gt;0,Filtering!B210,"N/A")</f>
        <v>N/A</v>
      </c>
      <c r="D210" t="str">
        <f>IF('Data Validation'!C210=Filtering!B210,Filtering!C210,"N/A")</f>
        <v>N/A</v>
      </c>
      <c r="J210" t="str">
        <f>IF(_xlfn.CONCAT(Filtering!A210,Filtering!B210,Filtering!C210)=$M$2,Filtering!D210,"N/A")</f>
        <v>N/A</v>
      </c>
    </row>
    <row r="211" spans="3:10" x14ac:dyDescent="0.25">
      <c r="C211" t="str">
        <f>IF(Filtering!F211&gt;0,Filtering!B211,"N/A")</f>
        <v>N/A</v>
      </c>
      <c r="D211" t="str">
        <f>IF('Data Validation'!C211=Filtering!B211,Filtering!C211,"N/A")</f>
        <v>N/A</v>
      </c>
      <c r="J211" t="str">
        <f>IF(_xlfn.CONCAT(Filtering!A211,Filtering!B211,Filtering!C211)=$M$2,Filtering!D211,"N/A")</f>
        <v>N/A</v>
      </c>
    </row>
    <row r="212" spans="3:10" x14ac:dyDescent="0.25">
      <c r="C212" t="str">
        <f>IF(Filtering!F212&gt;0,Filtering!B212,"N/A")</f>
        <v>N/A</v>
      </c>
      <c r="D212" t="str">
        <f>IF('Data Validation'!C212=Filtering!B212,Filtering!C212,"N/A")</f>
        <v>N/A</v>
      </c>
      <c r="J212" t="str">
        <f>IF(_xlfn.CONCAT(Filtering!A212,Filtering!B212,Filtering!C212)=$M$2,Filtering!D212,"N/A")</f>
        <v>N/A</v>
      </c>
    </row>
    <row r="213" spans="3:10" x14ac:dyDescent="0.25">
      <c r="C213" t="str">
        <f>IF(Filtering!F213&gt;0,Filtering!B213,"N/A")</f>
        <v>N/A</v>
      </c>
      <c r="D213" t="str">
        <f>IF('Data Validation'!C213=Filtering!B213,Filtering!C213,"N/A")</f>
        <v>N/A</v>
      </c>
      <c r="J213" t="str">
        <f>IF(_xlfn.CONCAT(Filtering!A213,Filtering!B213,Filtering!C213)=$M$2,Filtering!D213,"N/A")</f>
        <v>N/A</v>
      </c>
    </row>
    <row r="214" spans="3:10" x14ac:dyDescent="0.25">
      <c r="C214" t="str">
        <f>IF(Filtering!F214&gt;0,Filtering!B214,"N/A")</f>
        <v>N/A</v>
      </c>
      <c r="D214" t="str">
        <f>IF('Data Validation'!C214=Filtering!B214,Filtering!C214,"N/A")</f>
        <v>N/A</v>
      </c>
      <c r="J214" t="str">
        <f>IF(_xlfn.CONCAT(Filtering!A214,Filtering!B214,Filtering!C214)=$M$2,Filtering!D214,"N/A")</f>
        <v>N/A</v>
      </c>
    </row>
    <row r="215" spans="3:10" x14ac:dyDescent="0.25">
      <c r="C215" t="str">
        <f>IF(Filtering!F215&gt;0,Filtering!B215,"N/A")</f>
        <v>N/A</v>
      </c>
      <c r="D215" t="str">
        <f>IF('Data Validation'!C215=Filtering!B215,Filtering!C215,"N/A")</f>
        <v>N/A</v>
      </c>
      <c r="J215" t="str">
        <f>IF(_xlfn.CONCAT(Filtering!A215,Filtering!B215,Filtering!C215)=$M$2,Filtering!D215,"N/A")</f>
        <v>N/A</v>
      </c>
    </row>
    <row r="216" spans="3:10" x14ac:dyDescent="0.25">
      <c r="C216" t="str">
        <f>IF(Filtering!F216&gt;0,Filtering!B216,"N/A")</f>
        <v>N/A</v>
      </c>
      <c r="D216" t="str">
        <f>IF('Data Validation'!C216=Filtering!B216,Filtering!C216,"N/A")</f>
        <v>N/A</v>
      </c>
      <c r="J216" t="str">
        <f>IF(_xlfn.CONCAT(Filtering!A216,Filtering!B216,Filtering!C216)=$M$2,Filtering!D216,"N/A")</f>
        <v>N/A</v>
      </c>
    </row>
    <row r="217" spans="3:10" x14ac:dyDescent="0.25">
      <c r="C217" t="str">
        <f>IF(Filtering!F217&gt;0,Filtering!B217,"N/A")</f>
        <v>N/A</v>
      </c>
      <c r="D217" t="str">
        <f>IF('Data Validation'!C217=Filtering!B217,Filtering!C217,"N/A")</f>
        <v>N/A</v>
      </c>
      <c r="J217" t="str">
        <f>IF(_xlfn.CONCAT(Filtering!A217,Filtering!B217,Filtering!C217)=$M$2,Filtering!D217,"N/A")</f>
        <v>N/A</v>
      </c>
    </row>
    <row r="218" spans="3:10" x14ac:dyDescent="0.25">
      <c r="C218" t="str">
        <f>IF(Filtering!F218&gt;0,Filtering!B218,"N/A")</f>
        <v>N/A</v>
      </c>
      <c r="D218" t="str">
        <f>IF('Data Validation'!C218=Filtering!B218,Filtering!C218,"N/A")</f>
        <v>N/A</v>
      </c>
      <c r="J218" t="str">
        <f>IF(_xlfn.CONCAT(Filtering!A218,Filtering!B218,Filtering!C218)=$M$2,Filtering!D218,"N/A")</f>
        <v>N/A</v>
      </c>
    </row>
    <row r="219" spans="3:10" x14ac:dyDescent="0.25">
      <c r="C219" t="str">
        <f>IF(Filtering!F219&gt;0,Filtering!B219,"N/A")</f>
        <v>N/A</v>
      </c>
      <c r="D219" t="str">
        <f>IF('Data Validation'!C219=Filtering!B219,Filtering!C219,"N/A")</f>
        <v>N/A</v>
      </c>
      <c r="J219" t="str">
        <f>IF(_xlfn.CONCAT(Filtering!A219,Filtering!B219,Filtering!C219)=$M$2,Filtering!D219,"N/A")</f>
        <v>N/A</v>
      </c>
    </row>
    <row r="220" spans="3:10" x14ac:dyDescent="0.25">
      <c r="C220" t="str">
        <f>IF(Filtering!F220&gt;0,Filtering!B220,"N/A")</f>
        <v>N/A</v>
      </c>
      <c r="D220" t="str">
        <f>IF('Data Validation'!C220=Filtering!B220,Filtering!C220,"N/A")</f>
        <v>N/A</v>
      </c>
      <c r="J220" t="str">
        <f>IF(_xlfn.CONCAT(Filtering!A220,Filtering!B220,Filtering!C220)=$M$2,Filtering!D220,"N/A")</f>
        <v>N/A</v>
      </c>
    </row>
    <row r="221" spans="3:10" x14ac:dyDescent="0.25">
      <c r="C221" t="str">
        <f>IF(Filtering!F221&gt;0,Filtering!B221,"N/A")</f>
        <v>N/A</v>
      </c>
      <c r="D221" t="str">
        <f>IF('Data Validation'!C221=Filtering!B221,Filtering!C221,"N/A")</f>
        <v>N/A</v>
      </c>
      <c r="J221" t="str">
        <f>IF(_xlfn.CONCAT(Filtering!A221,Filtering!B221,Filtering!C221)=$M$2,Filtering!D221,"N/A")</f>
        <v>N/A</v>
      </c>
    </row>
    <row r="222" spans="3:10" x14ac:dyDescent="0.25">
      <c r="C222" t="str">
        <f>IF(Filtering!F222&gt;0,Filtering!B222,"N/A")</f>
        <v>N/A</v>
      </c>
      <c r="D222" t="str">
        <f>IF('Data Validation'!C222=Filtering!B222,Filtering!C222,"N/A")</f>
        <v>N/A</v>
      </c>
      <c r="J222" t="str">
        <f>IF(_xlfn.CONCAT(Filtering!A222,Filtering!B222,Filtering!C222)=$M$2,Filtering!D222,"N/A")</f>
        <v>N/A</v>
      </c>
    </row>
    <row r="223" spans="3:10" x14ac:dyDescent="0.25">
      <c r="C223" t="str">
        <f>IF(Filtering!F223&gt;0,Filtering!B223,"N/A")</f>
        <v>N/A</v>
      </c>
      <c r="D223" t="str">
        <f>IF('Data Validation'!C223=Filtering!B223,Filtering!C223,"N/A")</f>
        <v>N/A</v>
      </c>
      <c r="J223" t="str">
        <f>IF(_xlfn.CONCAT(Filtering!A223,Filtering!B223,Filtering!C223)=$M$2,Filtering!D223,"N/A")</f>
        <v>N/A</v>
      </c>
    </row>
    <row r="224" spans="3:10" x14ac:dyDescent="0.25">
      <c r="C224" t="str">
        <f>IF(Filtering!F224&gt;0,Filtering!B224,"N/A")</f>
        <v>N/A</v>
      </c>
      <c r="D224" t="str">
        <f>IF('Data Validation'!C224=Filtering!B224,Filtering!C224,"N/A")</f>
        <v>N/A</v>
      </c>
      <c r="J224" t="str">
        <f>IF(_xlfn.CONCAT(Filtering!A224,Filtering!B224,Filtering!C224)=$M$2,Filtering!D224,"N/A")</f>
        <v>N/A</v>
      </c>
    </row>
    <row r="225" spans="3:10" x14ac:dyDescent="0.25">
      <c r="C225" t="str">
        <f>IF(Filtering!F225&gt;0,Filtering!B225,"N/A")</f>
        <v>N/A</v>
      </c>
      <c r="D225" t="str">
        <f>IF('Data Validation'!C225=Filtering!B225,Filtering!C225,"N/A")</f>
        <v>N/A</v>
      </c>
      <c r="J225" t="str">
        <f>IF(_xlfn.CONCAT(Filtering!A225,Filtering!B225,Filtering!C225)=$M$2,Filtering!D225,"N/A")</f>
        <v>N/A</v>
      </c>
    </row>
    <row r="226" spans="3:10" x14ac:dyDescent="0.25">
      <c r="C226" t="str">
        <f>IF(Filtering!F226&gt;0,Filtering!B226,"N/A")</f>
        <v>N/A</v>
      </c>
      <c r="D226" t="str">
        <f>IF('Data Validation'!C226=Filtering!B226,Filtering!C226,"N/A")</f>
        <v>N/A</v>
      </c>
      <c r="J226" t="str">
        <f>IF(_xlfn.CONCAT(Filtering!A226,Filtering!B226,Filtering!C226)=$M$2,Filtering!D226,"N/A")</f>
        <v>N/A</v>
      </c>
    </row>
    <row r="227" spans="3:10" x14ac:dyDescent="0.25">
      <c r="C227" t="str">
        <f>IF(Filtering!F227&gt;0,Filtering!B227,"N/A")</f>
        <v>N/A</v>
      </c>
      <c r="D227" t="str">
        <f>IF('Data Validation'!C227=Filtering!B227,Filtering!C227,"N/A")</f>
        <v>N/A</v>
      </c>
      <c r="J227" t="str">
        <f>IF(_xlfn.CONCAT(Filtering!A227,Filtering!B227,Filtering!C227)=$M$2,Filtering!D227,"N/A")</f>
        <v>N/A</v>
      </c>
    </row>
    <row r="228" spans="3:10" x14ac:dyDescent="0.25">
      <c r="C228" t="str">
        <f>IF(Filtering!F228&gt;0,Filtering!B228,"N/A")</f>
        <v>N/A</v>
      </c>
      <c r="D228" t="str">
        <f>IF('Data Validation'!C228=Filtering!B228,Filtering!C228,"N/A")</f>
        <v>N/A</v>
      </c>
      <c r="J228" t="str">
        <f>IF(_xlfn.CONCAT(Filtering!A228,Filtering!B228,Filtering!C228)=$M$2,Filtering!D228,"N/A")</f>
        <v>N/A</v>
      </c>
    </row>
    <row r="229" spans="3:10" x14ac:dyDescent="0.25">
      <c r="C229" t="str">
        <f>IF(Filtering!F229&gt;0,Filtering!B229,"N/A")</f>
        <v>N/A</v>
      </c>
      <c r="D229" t="str">
        <f>IF('Data Validation'!C229=Filtering!B229,Filtering!C229,"N/A")</f>
        <v>N/A</v>
      </c>
      <c r="J229" t="str">
        <f>IF(_xlfn.CONCAT(Filtering!A229,Filtering!B229,Filtering!C229)=$M$2,Filtering!D229,"N/A")</f>
        <v>N/A</v>
      </c>
    </row>
    <row r="230" spans="3:10" x14ac:dyDescent="0.25">
      <c r="C230" t="str">
        <f>IF(Filtering!F230&gt;0,Filtering!B230,"N/A")</f>
        <v>N/A</v>
      </c>
      <c r="D230" t="str">
        <f>IF('Data Validation'!C230=Filtering!B230,Filtering!C230,"N/A")</f>
        <v>N/A</v>
      </c>
      <c r="J230" t="str">
        <f>IF(_xlfn.CONCAT(Filtering!A230,Filtering!B230,Filtering!C230)=$M$2,Filtering!D230,"N/A")</f>
        <v>N/A</v>
      </c>
    </row>
    <row r="231" spans="3:10" x14ac:dyDescent="0.25">
      <c r="C231" t="str">
        <f>IF(Filtering!F231&gt;0,Filtering!B231,"N/A")</f>
        <v>N/A</v>
      </c>
      <c r="D231" t="str">
        <f>IF('Data Validation'!C231=Filtering!B231,Filtering!C231,"N/A")</f>
        <v>N/A</v>
      </c>
      <c r="J231" t="str">
        <f>IF(_xlfn.CONCAT(Filtering!A231,Filtering!B231,Filtering!C231)=$M$2,Filtering!D231,"N/A")</f>
        <v>N/A</v>
      </c>
    </row>
    <row r="232" spans="3:10" x14ac:dyDescent="0.25">
      <c r="C232" t="str">
        <f>IF(Filtering!F232&gt;0,Filtering!B232,"N/A")</f>
        <v>N/A</v>
      </c>
      <c r="D232" t="str">
        <f>IF('Data Validation'!C232=Filtering!B232,Filtering!C232,"N/A")</f>
        <v>N/A</v>
      </c>
      <c r="J232" t="str">
        <f>IF(_xlfn.CONCAT(Filtering!A232,Filtering!B232,Filtering!C232)=$M$2,Filtering!D232,"N/A")</f>
        <v>N/A</v>
      </c>
    </row>
    <row r="233" spans="3:10" x14ac:dyDescent="0.25">
      <c r="C233" t="str">
        <f>IF(Filtering!F233&gt;0,Filtering!B233,"N/A")</f>
        <v>N/A</v>
      </c>
      <c r="D233" t="str">
        <f>IF('Data Validation'!C233=Filtering!B233,Filtering!C233,"N/A")</f>
        <v>N/A</v>
      </c>
      <c r="J233" t="str">
        <f>IF(_xlfn.CONCAT(Filtering!A233,Filtering!B233,Filtering!C233)=$M$2,Filtering!D233,"N/A")</f>
        <v>N/A</v>
      </c>
    </row>
    <row r="234" spans="3:10" x14ac:dyDescent="0.25">
      <c r="C234" t="str">
        <f>IF(Filtering!F234&gt;0,Filtering!B234,"N/A")</f>
        <v>N/A</v>
      </c>
      <c r="D234" t="str">
        <f>IF('Data Validation'!C234=Filtering!B234,Filtering!C234,"N/A")</f>
        <v>N/A</v>
      </c>
      <c r="J234" t="str">
        <f>IF(_xlfn.CONCAT(Filtering!A234,Filtering!B234,Filtering!C234)=$M$2,Filtering!D234,"N/A")</f>
        <v>N/A</v>
      </c>
    </row>
    <row r="235" spans="3:10" x14ac:dyDescent="0.25">
      <c r="C235" t="str">
        <f>IF(Filtering!F235&gt;0,Filtering!B235,"N/A")</f>
        <v>N/A</v>
      </c>
      <c r="D235" t="str">
        <f>IF('Data Validation'!C235=Filtering!B235,Filtering!C235,"N/A")</f>
        <v>N/A</v>
      </c>
      <c r="J235" t="str">
        <f>IF(_xlfn.CONCAT(Filtering!A235,Filtering!B235,Filtering!C235)=$M$2,Filtering!D235,"N/A")</f>
        <v>N/A</v>
      </c>
    </row>
    <row r="236" spans="3:10" x14ac:dyDescent="0.25">
      <c r="C236" t="str">
        <f>IF(Filtering!F236&gt;0,Filtering!B236,"N/A")</f>
        <v>N/A</v>
      </c>
      <c r="D236" t="str">
        <f>IF('Data Validation'!C236=Filtering!B236,Filtering!C236,"N/A")</f>
        <v>N/A</v>
      </c>
      <c r="J236" t="str">
        <f>IF(_xlfn.CONCAT(Filtering!A236,Filtering!B236,Filtering!C236)=$M$2,Filtering!D236,"N/A")</f>
        <v>N/A</v>
      </c>
    </row>
    <row r="237" spans="3:10" x14ac:dyDescent="0.25">
      <c r="C237" t="str">
        <f>IF(Filtering!F237&gt;0,Filtering!B237,"N/A")</f>
        <v>N/A</v>
      </c>
      <c r="D237" t="str">
        <f>IF('Data Validation'!C237=Filtering!B237,Filtering!C237,"N/A")</f>
        <v>N/A</v>
      </c>
      <c r="J237" t="str">
        <f>IF(_xlfn.CONCAT(Filtering!A237,Filtering!B237,Filtering!C237)=$M$2,Filtering!D237,"N/A")</f>
        <v>N/A</v>
      </c>
    </row>
    <row r="238" spans="3:10" x14ac:dyDescent="0.25">
      <c r="C238" t="str">
        <f>IF(Filtering!F238&gt;0,Filtering!B238,"N/A")</f>
        <v>N/A</v>
      </c>
      <c r="D238" t="str">
        <f>IF('Data Validation'!C238=Filtering!B238,Filtering!C238,"N/A")</f>
        <v>N/A</v>
      </c>
      <c r="J238" t="str">
        <f>IF(_xlfn.CONCAT(Filtering!A238,Filtering!B238,Filtering!C238)=$M$2,Filtering!D238,"N/A")</f>
        <v>N/A</v>
      </c>
    </row>
    <row r="239" spans="3:10" x14ac:dyDescent="0.25">
      <c r="C239" t="str">
        <f>IF(Filtering!F239&gt;0,Filtering!B239,"N/A")</f>
        <v>N/A</v>
      </c>
      <c r="D239" t="str">
        <f>IF('Data Validation'!C239=Filtering!B239,Filtering!C239,"N/A")</f>
        <v>N/A</v>
      </c>
      <c r="J239" t="str">
        <f>IF(_xlfn.CONCAT(Filtering!A239,Filtering!B239,Filtering!C239)=$M$2,Filtering!D239,"N/A")</f>
        <v>N/A</v>
      </c>
    </row>
    <row r="240" spans="3:10" x14ac:dyDescent="0.25">
      <c r="C240" t="str">
        <f>IF(Filtering!F240&gt;0,Filtering!B240,"N/A")</f>
        <v>N/A</v>
      </c>
      <c r="D240" t="str">
        <f>IF('Data Validation'!C240=Filtering!B240,Filtering!C240,"N/A")</f>
        <v>N/A</v>
      </c>
      <c r="J240" t="str">
        <f>IF(_xlfn.CONCAT(Filtering!A240,Filtering!B240,Filtering!C240)=$M$2,Filtering!D240,"N/A")</f>
        <v>N/A</v>
      </c>
    </row>
    <row r="241" spans="3:10" x14ac:dyDescent="0.25">
      <c r="C241" t="str">
        <f>IF(Filtering!F241&gt;0,Filtering!B241,"N/A")</f>
        <v>N/A</v>
      </c>
      <c r="D241" t="str">
        <f>IF('Data Validation'!C241=Filtering!B241,Filtering!C241,"N/A")</f>
        <v>N/A</v>
      </c>
      <c r="J241" t="str">
        <f>IF(_xlfn.CONCAT(Filtering!A241,Filtering!B241,Filtering!C241)=$M$2,Filtering!D241,"N/A")</f>
        <v>N/A</v>
      </c>
    </row>
    <row r="242" spans="3:10" x14ac:dyDescent="0.25">
      <c r="C242" t="str">
        <f>IF(Filtering!F242&gt;0,Filtering!B242,"N/A")</f>
        <v>N/A</v>
      </c>
      <c r="D242" t="str">
        <f>IF('Data Validation'!C242=Filtering!B242,Filtering!C242,"N/A")</f>
        <v>N/A</v>
      </c>
      <c r="J242" t="str">
        <f>IF(_xlfn.CONCAT(Filtering!A242,Filtering!B242,Filtering!C242)=$M$2,Filtering!D242,"N/A")</f>
        <v>N/A</v>
      </c>
    </row>
    <row r="243" spans="3:10" x14ac:dyDescent="0.25">
      <c r="C243" t="str">
        <f>IF(Filtering!F243&gt;0,Filtering!B243,"N/A")</f>
        <v>N/A</v>
      </c>
      <c r="D243" t="str">
        <f>IF('Data Validation'!C243=Filtering!B243,Filtering!C243,"N/A")</f>
        <v>N/A</v>
      </c>
      <c r="J243" t="str">
        <f>IF(_xlfn.CONCAT(Filtering!A243,Filtering!B243,Filtering!C243)=$M$2,Filtering!D243,"N/A")</f>
        <v>N/A</v>
      </c>
    </row>
    <row r="244" spans="3:10" x14ac:dyDescent="0.25">
      <c r="C244" t="str">
        <f>IF(Filtering!F244&gt;0,Filtering!B244,"N/A")</f>
        <v>N/A</v>
      </c>
      <c r="D244" t="str">
        <f>IF('Data Validation'!C244=Filtering!B244,Filtering!C244,"N/A")</f>
        <v>N/A</v>
      </c>
      <c r="J244" t="str">
        <f>IF(_xlfn.CONCAT(Filtering!A244,Filtering!B244,Filtering!C244)=$M$2,Filtering!D244,"N/A")</f>
        <v>N/A</v>
      </c>
    </row>
    <row r="245" spans="3:10" x14ac:dyDescent="0.25">
      <c r="C245" t="str">
        <f>IF(Filtering!F245&gt;0,Filtering!B245,"N/A")</f>
        <v>N/A</v>
      </c>
      <c r="D245" t="str">
        <f>IF('Data Validation'!C245=Filtering!B245,Filtering!C245,"N/A")</f>
        <v>N/A</v>
      </c>
      <c r="J245" t="str">
        <f>IF(_xlfn.CONCAT(Filtering!A245,Filtering!B245,Filtering!C245)=$M$2,Filtering!D245,"N/A")</f>
        <v>N/A</v>
      </c>
    </row>
    <row r="246" spans="3:10" x14ac:dyDescent="0.25">
      <c r="C246" t="str">
        <f>IF(Filtering!F246&gt;0,Filtering!B246,"N/A")</f>
        <v>N/A</v>
      </c>
      <c r="D246" t="str">
        <f>IF('Data Validation'!C246=Filtering!B246,Filtering!C246,"N/A")</f>
        <v>N/A</v>
      </c>
      <c r="J246" t="str">
        <f>IF(_xlfn.CONCAT(Filtering!A246,Filtering!B246,Filtering!C246)=$M$2,Filtering!D246,"N/A")</f>
        <v>N/A</v>
      </c>
    </row>
    <row r="247" spans="3:10" x14ac:dyDescent="0.25">
      <c r="C247" t="str">
        <f>IF(Filtering!F247&gt;0,Filtering!B247,"N/A")</f>
        <v>N/A</v>
      </c>
      <c r="D247" t="str">
        <f>IF('Data Validation'!C247=Filtering!B247,Filtering!C247,"N/A")</f>
        <v>N/A</v>
      </c>
      <c r="J247" t="str">
        <f>IF(_xlfn.CONCAT(Filtering!A247,Filtering!B247,Filtering!C247)=$M$2,Filtering!D247,"N/A")</f>
        <v>N/A</v>
      </c>
    </row>
    <row r="248" spans="3:10" x14ac:dyDescent="0.25">
      <c r="C248" t="str">
        <f>IF(Filtering!F248&gt;0,Filtering!B248,"N/A")</f>
        <v>N/A</v>
      </c>
      <c r="D248" t="str">
        <f>IF('Data Validation'!C248=Filtering!B248,Filtering!C248,"N/A")</f>
        <v>N/A</v>
      </c>
      <c r="J248" t="str">
        <f>IF(_xlfn.CONCAT(Filtering!A248,Filtering!B248,Filtering!C248)=$M$2,Filtering!D248,"N/A")</f>
        <v>N/A</v>
      </c>
    </row>
    <row r="249" spans="3:10" x14ac:dyDescent="0.25">
      <c r="C249" t="str">
        <f>IF(Filtering!F249&gt;0,Filtering!B249,"N/A")</f>
        <v>N/A</v>
      </c>
      <c r="D249" t="str">
        <f>IF('Data Validation'!C249=Filtering!B249,Filtering!C249,"N/A")</f>
        <v>N/A</v>
      </c>
      <c r="J249" t="str">
        <f>IF(_xlfn.CONCAT(Filtering!A249,Filtering!B249,Filtering!C249)=$M$2,Filtering!D249,"N/A")</f>
        <v>N/A</v>
      </c>
    </row>
    <row r="250" spans="3:10" x14ac:dyDescent="0.25">
      <c r="C250" t="str">
        <f>IF(Filtering!F250&gt;0,Filtering!B250,"N/A")</f>
        <v>N/A</v>
      </c>
      <c r="D250" t="str">
        <f>IF('Data Validation'!C250=Filtering!B250,Filtering!C250,"N/A")</f>
        <v>N/A</v>
      </c>
      <c r="J250" t="str">
        <f>IF(_xlfn.CONCAT(Filtering!A250,Filtering!B250,Filtering!C250)=$M$2,Filtering!D250,"N/A")</f>
        <v>N/A</v>
      </c>
    </row>
    <row r="251" spans="3:10" x14ac:dyDescent="0.25">
      <c r="C251" t="str">
        <f>IF(Filtering!F251&gt;0,Filtering!B251,"N/A")</f>
        <v>N/A</v>
      </c>
      <c r="D251" t="str">
        <f>IF('Data Validation'!C251=Filtering!B251,Filtering!C251,"N/A")</f>
        <v>N/A</v>
      </c>
      <c r="J251" t="str">
        <f>IF(_xlfn.CONCAT(Filtering!A251,Filtering!B251,Filtering!C251)=$M$2,Filtering!D251,"N/A")</f>
        <v>N/A</v>
      </c>
    </row>
    <row r="252" spans="3:10" x14ac:dyDescent="0.25">
      <c r="C252" t="str">
        <f>IF(Filtering!F252&gt;0,Filtering!B252,"N/A")</f>
        <v>N/A</v>
      </c>
      <c r="D252" t="str">
        <f>IF('Data Validation'!C252=Filtering!B252,Filtering!C252,"N/A")</f>
        <v>N/A</v>
      </c>
      <c r="J252" t="str">
        <f>IF(_xlfn.CONCAT(Filtering!A252,Filtering!B252,Filtering!C252)=$M$2,Filtering!D252,"N/A")</f>
        <v>N/A</v>
      </c>
    </row>
    <row r="253" spans="3:10" x14ac:dyDescent="0.25">
      <c r="C253" t="str">
        <f>IF(Filtering!F253&gt;0,Filtering!B253,"N/A")</f>
        <v>N/A</v>
      </c>
      <c r="D253" t="str">
        <f>IF('Data Validation'!C253=Filtering!B253,Filtering!C253,"N/A")</f>
        <v>N/A</v>
      </c>
      <c r="J253" t="str">
        <f>IF(_xlfn.CONCAT(Filtering!A253,Filtering!B253,Filtering!C253)=$M$2,Filtering!D253,"N/A")</f>
        <v>N/A</v>
      </c>
    </row>
    <row r="254" spans="3:10" x14ac:dyDescent="0.25">
      <c r="C254" t="str">
        <f>IF(Filtering!F254&gt;0,Filtering!B254,"N/A")</f>
        <v>N/A</v>
      </c>
      <c r="D254" t="str">
        <f>IF('Data Validation'!C254=Filtering!B254,Filtering!C254,"N/A")</f>
        <v>N/A</v>
      </c>
      <c r="J254" t="str">
        <f>IF(_xlfn.CONCAT(Filtering!A254,Filtering!B254,Filtering!C254)=$M$2,Filtering!D254,"N/A")</f>
        <v>N/A</v>
      </c>
    </row>
    <row r="255" spans="3:10" x14ac:dyDescent="0.25">
      <c r="C255" t="str">
        <f>IF(Filtering!F255&gt;0,Filtering!B255,"N/A")</f>
        <v>N/A</v>
      </c>
      <c r="D255" t="str">
        <f>IF('Data Validation'!C255=Filtering!B255,Filtering!C255,"N/A")</f>
        <v>N/A</v>
      </c>
      <c r="J255" t="str">
        <f>IF(_xlfn.CONCAT(Filtering!A255,Filtering!B255,Filtering!C255)=$M$2,Filtering!D255,"N/A")</f>
        <v>N/A</v>
      </c>
    </row>
    <row r="256" spans="3:10" x14ac:dyDescent="0.25">
      <c r="C256" t="str">
        <f>IF(Filtering!F256&gt;0,Filtering!B256,"N/A")</f>
        <v>N/A</v>
      </c>
      <c r="D256" t="str">
        <f>IF('Data Validation'!C256=Filtering!B256,Filtering!C256,"N/A")</f>
        <v>N/A</v>
      </c>
      <c r="J256" t="str">
        <f>IF(_xlfn.CONCAT(Filtering!A256,Filtering!B256,Filtering!C256)=$M$2,Filtering!D256,"N/A")</f>
        <v>N/A</v>
      </c>
    </row>
    <row r="257" spans="3:10" x14ac:dyDescent="0.25">
      <c r="C257" t="str">
        <f>IF(Filtering!F257&gt;0,Filtering!B257,"N/A")</f>
        <v>N/A</v>
      </c>
      <c r="D257" t="str">
        <f>IF('Data Validation'!C257=Filtering!B257,Filtering!C257,"N/A")</f>
        <v>N/A</v>
      </c>
      <c r="J257" t="str">
        <f>IF(_xlfn.CONCAT(Filtering!A257,Filtering!B257,Filtering!C257)=$M$2,Filtering!D257,"N/A")</f>
        <v>N/A</v>
      </c>
    </row>
    <row r="258" spans="3:10" x14ac:dyDescent="0.25">
      <c r="C258" t="str">
        <f>IF(Filtering!F258&gt;0,Filtering!B258,"N/A")</f>
        <v>N/A</v>
      </c>
      <c r="D258" t="str">
        <f>IF('Data Validation'!C258=Filtering!B258,Filtering!C258,"N/A")</f>
        <v>N/A</v>
      </c>
      <c r="J258" t="str">
        <f>IF(_xlfn.CONCAT(Filtering!A258,Filtering!B258,Filtering!C258)=$M$2,Filtering!D258,"N/A")</f>
        <v>N/A</v>
      </c>
    </row>
    <row r="259" spans="3:10" x14ac:dyDescent="0.25">
      <c r="C259" t="str">
        <f>IF(Filtering!F259&gt;0,Filtering!B259,"N/A")</f>
        <v>N/A</v>
      </c>
      <c r="D259" t="str">
        <f>IF('Data Validation'!C259=Filtering!B259,Filtering!C259,"N/A")</f>
        <v>N/A</v>
      </c>
      <c r="J259" t="str">
        <f>IF(_xlfn.CONCAT(Filtering!A259,Filtering!B259,Filtering!C259)=$M$2,Filtering!D259,"N/A")</f>
        <v>N/A</v>
      </c>
    </row>
    <row r="260" spans="3:10" x14ac:dyDescent="0.25">
      <c r="C260" t="str">
        <f>IF(Filtering!F260&gt;0,Filtering!B260,"N/A")</f>
        <v>N/A</v>
      </c>
      <c r="D260" t="str">
        <f>IF('Data Validation'!C260=Filtering!B260,Filtering!C260,"N/A")</f>
        <v>N/A</v>
      </c>
      <c r="J260" t="str">
        <f>IF(_xlfn.CONCAT(Filtering!A260,Filtering!B260,Filtering!C260)=$M$2,Filtering!D260,"N/A")</f>
        <v>N/A</v>
      </c>
    </row>
    <row r="261" spans="3:10" x14ac:dyDescent="0.25">
      <c r="C261" t="str">
        <f>IF(Filtering!F261&gt;0,Filtering!B261,"N/A")</f>
        <v>N/A</v>
      </c>
      <c r="D261" t="str">
        <f>IF('Data Validation'!C261=Filtering!B261,Filtering!C261,"N/A")</f>
        <v>N/A</v>
      </c>
      <c r="J261" t="str">
        <f>IF(_xlfn.CONCAT(Filtering!A261,Filtering!B261,Filtering!C261)=$M$2,Filtering!D261,"N/A")</f>
        <v>N/A</v>
      </c>
    </row>
    <row r="262" spans="3:10" x14ac:dyDescent="0.25">
      <c r="C262" t="str">
        <f>IF(Filtering!F262&gt;0,Filtering!B262,"N/A")</f>
        <v>N/A</v>
      </c>
      <c r="D262" t="str">
        <f>IF('Data Validation'!C262=Filtering!B262,Filtering!C262,"N/A")</f>
        <v>N/A</v>
      </c>
      <c r="J262" t="str">
        <f>IF(_xlfn.CONCAT(Filtering!A262,Filtering!B262,Filtering!C262)=$M$2,Filtering!D262,"N/A")</f>
        <v>N/A</v>
      </c>
    </row>
    <row r="263" spans="3:10" x14ac:dyDescent="0.25">
      <c r="C263" t="str">
        <f>IF(Filtering!F263&gt;0,Filtering!B263,"N/A")</f>
        <v>N/A</v>
      </c>
      <c r="D263" t="str">
        <f>IF('Data Validation'!C263=Filtering!B263,Filtering!C263,"N/A")</f>
        <v>N/A</v>
      </c>
      <c r="J263" t="str">
        <f>IF(_xlfn.CONCAT(Filtering!A263,Filtering!B263,Filtering!C263)=$M$2,Filtering!D263,"N/A")</f>
        <v>N/A</v>
      </c>
    </row>
    <row r="264" spans="3:10" x14ac:dyDescent="0.25">
      <c r="C264" t="str">
        <f>IF(Filtering!F264&gt;0,Filtering!B264,"N/A")</f>
        <v>N/A</v>
      </c>
      <c r="D264" t="str">
        <f>IF('Data Validation'!C264=Filtering!B264,Filtering!C264,"N/A")</f>
        <v>N/A</v>
      </c>
      <c r="J264" t="str">
        <f>IF(_xlfn.CONCAT(Filtering!A264,Filtering!B264,Filtering!C264)=$M$2,Filtering!D264,"N/A")</f>
        <v>N/A</v>
      </c>
    </row>
    <row r="265" spans="3:10" x14ac:dyDescent="0.25">
      <c r="C265" t="str">
        <f>IF(Filtering!F265&gt;0,Filtering!B265,"N/A")</f>
        <v>N/A</v>
      </c>
      <c r="D265" t="str">
        <f>IF('Data Validation'!C265=Filtering!B265,Filtering!C265,"N/A")</f>
        <v>N/A</v>
      </c>
      <c r="J265" t="str">
        <f>IF(_xlfn.CONCAT(Filtering!A265,Filtering!B265,Filtering!C265)=$M$2,Filtering!D265,"N/A")</f>
        <v>N/A</v>
      </c>
    </row>
    <row r="266" spans="3:10" x14ac:dyDescent="0.25">
      <c r="C266" t="str">
        <f>IF(Filtering!F266&gt;0,Filtering!B266,"N/A")</f>
        <v>N/A</v>
      </c>
      <c r="D266" t="str">
        <f>IF('Data Validation'!C266=Filtering!B266,Filtering!C266,"N/A")</f>
        <v>N/A</v>
      </c>
      <c r="J266" t="str">
        <f>IF(_xlfn.CONCAT(Filtering!A266,Filtering!B266,Filtering!C266)=$M$2,Filtering!D266,"N/A")</f>
        <v>N/A</v>
      </c>
    </row>
    <row r="267" spans="3:10" x14ac:dyDescent="0.25">
      <c r="C267" t="str">
        <f>IF(Filtering!F267&gt;0,Filtering!B267,"N/A")</f>
        <v>N/A</v>
      </c>
      <c r="D267" t="str">
        <f>IF('Data Validation'!C267=Filtering!B267,Filtering!C267,"N/A")</f>
        <v>N/A</v>
      </c>
      <c r="J267" t="str">
        <f>IF(_xlfn.CONCAT(Filtering!A267,Filtering!B267,Filtering!C267)=$M$2,Filtering!D267,"N/A")</f>
        <v>N/A</v>
      </c>
    </row>
    <row r="268" spans="3:10" x14ac:dyDescent="0.25">
      <c r="C268" t="str">
        <f>IF(Filtering!F268&gt;0,Filtering!B268,"N/A")</f>
        <v>N/A</v>
      </c>
      <c r="D268" t="str">
        <f>IF('Data Validation'!C268=Filtering!B268,Filtering!C268,"N/A")</f>
        <v>N/A</v>
      </c>
      <c r="J268" t="str">
        <f>IF(_xlfn.CONCAT(Filtering!A268,Filtering!B268,Filtering!C268)=$M$2,Filtering!D268,"N/A")</f>
        <v>N/A</v>
      </c>
    </row>
    <row r="269" spans="3:10" x14ac:dyDescent="0.25">
      <c r="C269" t="str">
        <f>IF(Filtering!F269&gt;0,Filtering!B269,"N/A")</f>
        <v>N/A</v>
      </c>
      <c r="D269" t="str">
        <f>IF('Data Validation'!C269=Filtering!B269,Filtering!C269,"N/A")</f>
        <v>N/A</v>
      </c>
      <c r="J269" t="str">
        <f>IF(_xlfn.CONCAT(Filtering!A269,Filtering!B269,Filtering!C269)=$M$2,Filtering!D269,"N/A")</f>
        <v>N/A</v>
      </c>
    </row>
    <row r="270" spans="3:10" x14ac:dyDescent="0.25">
      <c r="C270" t="str">
        <f>IF(Filtering!F270&gt;0,Filtering!B270,"N/A")</f>
        <v>N/A</v>
      </c>
      <c r="D270" t="str">
        <f>IF('Data Validation'!C270=Filtering!B270,Filtering!C270,"N/A")</f>
        <v>N/A</v>
      </c>
      <c r="J270" t="str">
        <f>IF(_xlfn.CONCAT(Filtering!A270,Filtering!B270,Filtering!C270)=$M$2,Filtering!D270,"N/A")</f>
        <v>N/A</v>
      </c>
    </row>
    <row r="271" spans="3:10" x14ac:dyDescent="0.25">
      <c r="C271" t="str">
        <f>IF(Filtering!F271&gt;0,Filtering!B271,"N/A")</f>
        <v>N/A</v>
      </c>
      <c r="D271" t="str">
        <f>IF('Data Validation'!C271=Filtering!B271,Filtering!C271,"N/A")</f>
        <v>N/A</v>
      </c>
      <c r="J271" t="str">
        <f>IF(_xlfn.CONCAT(Filtering!A271,Filtering!B271,Filtering!C271)=$M$2,Filtering!D271,"N/A")</f>
        <v>N/A</v>
      </c>
    </row>
    <row r="272" spans="3:10" x14ac:dyDescent="0.25">
      <c r="C272" t="str">
        <f>IF(Filtering!F272&gt;0,Filtering!B272,"N/A")</f>
        <v>N/A</v>
      </c>
      <c r="D272" t="str">
        <f>IF('Data Validation'!C272=Filtering!B272,Filtering!C272,"N/A")</f>
        <v>N/A</v>
      </c>
      <c r="J272" t="str">
        <f>IF(_xlfn.CONCAT(Filtering!A272,Filtering!B272,Filtering!C272)=$M$2,Filtering!D272,"N/A")</f>
        <v>N/A</v>
      </c>
    </row>
    <row r="273" spans="3:10" x14ac:dyDescent="0.25">
      <c r="C273" t="str">
        <f>IF(Filtering!F273&gt;0,Filtering!B273,"N/A")</f>
        <v>N/A</v>
      </c>
      <c r="D273" t="str">
        <f>IF('Data Validation'!C273=Filtering!B273,Filtering!C273,"N/A")</f>
        <v>N/A</v>
      </c>
      <c r="J273" t="str">
        <f>IF(_xlfn.CONCAT(Filtering!A273,Filtering!B273,Filtering!C273)=$M$2,Filtering!D273,"N/A")</f>
        <v>N/A</v>
      </c>
    </row>
    <row r="274" spans="3:10" x14ac:dyDescent="0.25">
      <c r="C274" t="str">
        <f>IF(Filtering!F274&gt;0,Filtering!B274,"N/A")</f>
        <v>N/A</v>
      </c>
      <c r="D274" t="str">
        <f>IF('Data Validation'!C274=Filtering!B274,Filtering!C274,"N/A")</f>
        <v>N/A</v>
      </c>
      <c r="J274" t="str">
        <f>IF(_xlfn.CONCAT(Filtering!A274,Filtering!B274,Filtering!C274)=$M$2,Filtering!D274,"N/A")</f>
        <v>N/A</v>
      </c>
    </row>
    <row r="275" spans="3:10" x14ac:dyDescent="0.25">
      <c r="C275" t="str">
        <f>IF(Filtering!F275&gt;0,Filtering!B275,"N/A")</f>
        <v>N/A</v>
      </c>
      <c r="D275" t="str">
        <f>IF('Data Validation'!C275=Filtering!B275,Filtering!C275,"N/A")</f>
        <v>N/A</v>
      </c>
      <c r="J275" t="str">
        <f>IF(_xlfn.CONCAT(Filtering!A275,Filtering!B275,Filtering!C275)=$M$2,Filtering!D275,"N/A")</f>
        <v>N/A</v>
      </c>
    </row>
    <row r="276" spans="3:10" x14ac:dyDescent="0.25">
      <c r="C276" t="str">
        <f>IF(Filtering!F276&gt;0,Filtering!B276,"N/A")</f>
        <v>N/A</v>
      </c>
      <c r="D276" t="str">
        <f>IF('Data Validation'!C276=Filtering!B276,Filtering!C276,"N/A")</f>
        <v>N/A</v>
      </c>
      <c r="J276" t="str">
        <f>IF(_xlfn.CONCAT(Filtering!A276,Filtering!B276,Filtering!C276)=$M$2,Filtering!D276,"N/A")</f>
        <v>N/A</v>
      </c>
    </row>
    <row r="277" spans="3:10" x14ac:dyDescent="0.25">
      <c r="C277" t="str">
        <f>IF(Filtering!F277&gt;0,Filtering!B277,"N/A")</f>
        <v>N/A</v>
      </c>
      <c r="D277" t="str">
        <f>IF('Data Validation'!C277=Filtering!B277,Filtering!C277,"N/A")</f>
        <v>N/A</v>
      </c>
      <c r="J277" t="str">
        <f>IF(_xlfn.CONCAT(Filtering!A277,Filtering!B277,Filtering!C277)=$M$2,Filtering!D277,"N/A")</f>
        <v>N/A</v>
      </c>
    </row>
    <row r="278" spans="3:10" x14ac:dyDescent="0.25">
      <c r="C278" t="str">
        <f>IF(Filtering!F278&gt;0,Filtering!B278,"N/A")</f>
        <v>N/A</v>
      </c>
      <c r="D278" t="str">
        <f>IF('Data Validation'!C278=Filtering!B278,Filtering!C278,"N/A")</f>
        <v>N/A</v>
      </c>
      <c r="J278" t="str">
        <f>IF(_xlfn.CONCAT(Filtering!A278,Filtering!B278,Filtering!C278)=$M$2,Filtering!D278,"N/A")</f>
        <v>N/A</v>
      </c>
    </row>
    <row r="279" spans="3:10" x14ac:dyDescent="0.25">
      <c r="C279" t="str">
        <f>IF(Filtering!F279&gt;0,Filtering!B279,"N/A")</f>
        <v>N/A</v>
      </c>
      <c r="D279" t="str">
        <f>IF('Data Validation'!C279=Filtering!B279,Filtering!C279,"N/A")</f>
        <v>N/A</v>
      </c>
      <c r="J279" t="str">
        <f>IF(_xlfn.CONCAT(Filtering!A279,Filtering!B279,Filtering!C279)=$M$2,Filtering!D279,"N/A")</f>
        <v>N/A</v>
      </c>
    </row>
    <row r="280" spans="3:10" x14ac:dyDescent="0.25">
      <c r="C280" t="str">
        <f>IF(Filtering!F280&gt;0,Filtering!B280,"N/A")</f>
        <v>N/A</v>
      </c>
      <c r="D280" t="str">
        <f>IF('Data Validation'!C280=Filtering!B280,Filtering!C280,"N/A")</f>
        <v>N/A</v>
      </c>
      <c r="J280" t="str">
        <f>IF(_xlfn.CONCAT(Filtering!A280,Filtering!B280,Filtering!C280)=$M$2,Filtering!D280,"N/A")</f>
        <v>N/A</v>
      </c>
    </row>
    <row r="281" spans="3:10" x14ac:dyDescent="0.25">
      <c r="C281" t="str">
        <f>IF(Filtering!F281&gt;0,Filtering!B281,"N/A")</f>
        <v>N/A</v>
      </c>
      <c r="D281" t="str">
        <f>IF('Data Validation'!C281=Filtering!B281,Filtering!C281,"N/A")</f>
        <v>N/A</v>
      </c>
      <c r="J281" t="str">
        <f>IF(_xlfn.CONCAT(Filtering!A281,Filtering!B281,Filtering!C281)=$M$2,Filtering!D281,"N/A")</f>
        <v>N/A</v>
      </c>
    </row>
    <row r="282" spans="3:10" x14ac:dyDescent="0.25">
      <c r="C282" t="str">
        <f>IF(Filtering!F282&gt;0,Filtering!B282,"N/A")</f>
        <v>N/A</v>
      </c>
      <c r="D282" t="str">
        <f>IF('Data Validation'!C282=Filtering!B282,Filtering!C282,"N/A")</f>
        <v>N/A</v>
      </c>
      <c r="J282" t="str">
        <f>IF(_xlfn.CONCAT(Filtering!A282,Filtering!B282,Filtering!C282)=$M$2,Filtering!D282,"N/A")</f>
        <v>N/A</v>
      </c>
    </row>
    <row r="283" spans="3:10" x14ac:dyDescent="0.25">
      <c r="C283" t="str">
        <f>IF(Filtering!F283&gt;0,Filtering!B283,"N/A")</f>
        <v>N/A</v>
      </c>
      <c r="D283" t="str">
        <f>IF('Data Validation'!C283=Filtering!B283,Filtering!C283,"N/A")</f>
        <v>N/A</v>
      </c>
      <c r="J283" t="str">
        <f>IF(_xlfn.CONCAT(Filtering!A283,Filtering!B283,Filtering!C283)=$M$2,Filtering!D283,"N/A")</f>
        <v>N/A</v>
      </c>
    </row>
    <row r="284" spans="3:10" x14ac:dyDescent="0.25">
      <c r="C284" t="str">
        <f>IF(Filtering!F284&gt;0,Filtering!B284,"N/A")</f>
        <v>N/A</v>
      </c>
      <c r="D284" t="str">
        <f>IF('Data Validation'!C284=Filtering!B284,Filtering!C284,"N/A")</f>
        <v>N/A</v>
      </c>
      <c r="J284" t="str">
        <f>IF(_xlfn.CONCAT(Filtering!A284,Filtering!B284,Filtering!C284)=$M$2,Filtering!D284,"N/A")</f>
        <v>N/A</v>
      </c>
    </row>
    <row r="285" spans="3:10" x14ac:dyDescent="0.25">
      <c r="C285" t="str">
        <f>IF(Filtering!F285&gt;0,Filtering!B285,"N/A")</f>
        <v>N/A</v>
      </c>
      <c r="D285" t="str">
        <f>IF('Data Validation'!C285=Filtering!B285,Filtering!C285,"N/A")</f>
        <v>N/A</v>
      </c>
      <c r="J285" t="str">
        <f>IF(_xlfn.CONCAT(Filtering!A285,Filtering!B285,Filtering!C285)=$M$2,Filtering!D285,"N/A")</f>
        <v>N/A</v>
      </c>
    </row>
    <row r="286" spans="3:10" x14ac:dyDescent="0.25">
      <c r="C286" t="str">
        <f>IF(Filtering!F286&gt;0,Filtering!B286,"N/A")</f>
        <v>N/A</v>
      </c>
      <c r="D286" t="str">
        <f>IF('Data Validation'!C286=Filtering!B286,Filtering!C286,"N/A")</f>
        <v>N/A</v>
      </c>
      <c r="J286" t="str">
        <f>IF(_xlfn.CONCAT(Filtering!A286,Filtering!B286,Filtering!C286)=$M$2,Filtering!D286,"N/A")</f>
        <v>N/A</v>
      </c>
    </row>
    <row r="287" spans="3:10" x14ac:dyDescent="0.25">
      <c r="C287" t="str">
        <f>IF(Filtering!F287&gt;0,Filtering!B287,"N/A")</f>
        <v>N/A</v>
      </c>
      <c r="D287" t="str">
        <f>IF('Data Validation'!C287=Filtering!B287,Filtering!C287,"N/A")</f>
        <v>N/A</v>
      </c>
      <c r="J287" t="str">
        <f>IF(_xlfn.CONCAT(Filtering!A287,Filtering!B287,Filtering!C287)=$M$2,Filtering!D287,"N/A")</f>
        <v>N/A</v>
      </c>
    </row>
    <row r="288" spans="3:10" x14ac:dyDescent="0.25">
      <c r="C288" t="str">
        <f>IF(Filtering!F288&gt;0,Filtering!B288,"N/A")</f>
        <v>N/A</v>
      </c>
      <c r="D288" t="str">
        <f>IF('Data Validation'!C288=Filtering!B288,Filtering!C288,"N/A")</f>
        <v>N/A</v>
      </c>
      <c r="J288" t="str">
        <f>IF(_xlfn.CONCAT(Filtering!A288,Filtering!B288,Filtering!C288)=$M$2,Filtering!D288,"N/A")</f>
        <v>N/A</v>
      </c>
    </row>
    <row r="289" spans="3:10" x14ac:dyDescent="0.25">
      <c r="C289" t="str">
        <f>IF(Filtering!F289&gt;0,Filtering!B289,"N/A")</f>
        <v>N/A</v>
      </c>
      <c r="D289" t="str">
        <f>IF('Data Validation'!C289=Filtering!B289,Filtering!C289,"N/A")</f>
        <v>N/A</v>
      </c>
      <c r="J289" t="str">
        <f>IF(_xlfn.CONCAT(Filtering!A289,Filtering!B289,Filtering!C289)=$M$2,Filtering!D289,"N/A")</f>
        <v>N/A</v>
      </c>
    </row>
    <row r="290" spans="3:10" x14ac:dyDescent="0.25">
      <c r="C290" t="str">
        <f>IF(Filtering!F290&gt;0,Filtering!B290,"N/A")</f>
        <v>N/A</v>
      </c>
      <c r="D290" t="str">
        <f>IF('Data Validation'!C290=Filtering!B290,Filtering!C290,"N/A")</f>
        <v>N/A</v>
      </c>
      <c r="J290" t="str">
        <f>IF(_xlfn.CONCAT(Filtering!A290,Filtering!B290,Filtering!C290)=$M$2,Filtering!D290,"N/A")</f>
        <v>N/A</v>
      </c>
    </row>
    <row r="291" spans="3:10" x14ac:dyDescent="0.25">
      <c r="C291" t="str">
        <f>IF(Filtering!F291&gt;0,Filtering!B291,"N/A")</f>
        <v>N/A</v>
      </c>
      <c r="D291" t="str">
        <f>IF('Data Validation'!C291=Filtering!B291,Filtering!C291,"N/A")</f>
        <v>N/A</v>
      </c>
      <c r="J291" t="str">
        <f>IF(_xlfn.CONCAT(Filtering!A291,Filtering!B291,Filtering!C291)=$M$2,Filtering!D291,"N/A")</f>
        <v>N/A</v>
      </c>
    </row>
    <row r="292" spans="3:10" x14ac:dyDescent="0.25">
      <c r="C292" t="str">
        <f>IF(Filtering!F292&gt;0,Filtering!B292,"N/A")</f>
        <v>N/A</v>
      </c>
      <c r="D292" t="str">
        <f>IF('Data Validation'!C292=Filtering!B292,Filtering!C292,"N/A")</f>
        <v>N/A</v>
      </c>
      <c r="J292" t="str">
        <f>IF(_xlfn.CONCAT(Filtering!A292,Filtering!B292,Filtering!C292)=$M$2,Filtering!D292,"N/A")</f>
        <v>N/A</v>
      </c>
    </row>
    <row r="293" spans="3:10" x14ac:dyDescent="0.25">
      <c r="C293" t="str">
        <f>IF(Filtering!F293&gt;0,Filtering!B293,"N/A")</f>
        <v>N/A</v>
      </c>
      <c r="D293" t="str">
        <f>IF('Data Validation'!C293=Filtering!B293,Filtering!C293,"N/A")</f>
        <v>N/A</v>
      </c>
      <c r="J293" t="str">
        <f>IF(_xlfn.CONCAT(Filtering!A293,Filtering!B293,Filtering!C293)=$M$2,Filtering!D293,"N/A")</f>
        <v>N/A</v>
      </c>
    </row>
    <row r="294" spans="3:10" x14ac:dyDescent="0.25">
      <c r="C294" t="str">
        <f>IF(Filtering!F294&gt;0,Filtering!B294,"N/A")</f>
        <v>N/A</v>
      </c>
      <c r="D294" t="str">
        <f>IF('Data Validation'!C294=Filtering!B294,Filtering!C294,"N/A")</f>
        <v>N/A</v>
      </c>
      <c r="J294" t="str">
        <f>IF(_xlfn.CONCAT(Filtering!A294,Filtering!B294,Filtering!C294)=$M$2,Filtering!D294,"N/A")</f>
        <v>N/A</v>
      </c>
    </row>
    <row r="295" spans="3:10" x14ac:dyDescent="0.25">
      <c r="C295" t="str">
        <f>IF(Filtering!F295&gt;0,Filtering!B295,"N/A")</f>
        <v>N/A</v>
      </c>
      <c r="D295" t="str">
        <f>IF('Data Validation'!C295=Filtering!B295,Filtering!C295,"N/A")</f>
        <v>N/A</v>
      </c>
      <c r="J295" t="str">
        <f>IF(_xlfn.CONCAT(Filtering!A295,Filtering!B295,Filtering!C295)=$M$2,Filtering!D295,"N/A")</f>
        <v>N/A</v>
      </c>
    </row>
    <row r="296" spans="3:10" x14ac:dyDescent="0.25">
      <c r="C296" t="str">
        <f>IF(Filtering!F296&gt;0,Filtering!B296,"N/A")</f>
        <v>N/A</v>
      </c>
      <c r="D296" t="str">
        <f>IF('Data Validation'!C296=Filtering!B296,Filtering!C296,"N/A")</f>
        <v>N/A</v>
      </c>
      <c r="J296" t="str">
        <f>IF(_xlfn.CONCAT(Filtering!A296,Filtering!B296,Filtering!C296)=$M$2,Filtering!D296,"N/A")</f>
        <v>N/A</v>
      </c>
    </row>
    <row r="297" spans="3:10" x14ac:dyDescent="0.25">
      <c r="C297" t="str">
        <f>IF(Filtering!F297&gt;0,Filtering!B297,"N/A")</f>
        <v>N/A</v>
      </c>
      <c r="D297" t="str">
        <f>IF('Data Validation'!C297=Filtering!B297,Filtering!C297,"N/A")</f>
        <v>N/A</v>
      </c>
      <c r="J297" t="str">
        <f>IF(_xlfn.CONCAT(Filtering!A297,Filtering!B297,Filtering!C297)=$M$2,Filtering!D297,"N/A")</f>
        <v>N/A</v>
      </c>
    </row>
    <row r="298" spans="3:10" x14ac:dyDescent="0.25">
      <c r="C298" t="str">
        <f>IF(Filtering!F298&gt;0,Filtering!B298,"N/A")</f>
        <v>N/A</v>
      </c>
      <c r="D298" t="str">
        <f>IF('Data Validation'!C298=Filtering!B298,Filtering!C298,"N/A")</f>
        <v>N/A</v>
      </c>
      <c r="J298" t="str">
        <f>IF(_xlfn.CONCAT(Filtering!A298,Filtering!B298,Filtering!C298)=$M$2,Filtering!D298,"N/A")</f>
        <v>N/A</v>
      </c>
    </row>
    <row r="299" spans="3:10" x14ac:dyDescent="0.25">
      <c r="C299" t="str">
        <f>IF(Filtering!F299&gt;0,Filtering!B299,"N/A")</f>
        <v>N/A</v>
      </c>
      <c r="D299" t="str">
        <f>IF('Data Validation'!C299=Filtering!B299,Filtering!C299,"N/A")</f>
        <v>N/A</v>
      </c>
      <c r="J299" t="str">
        <f>IF(_xlfn.CONCAT(Filtering!A299,Filtering!B299,Filtering!C299)=$M$2,Filtering!D299,"N/A")</f>
        <v>N/A</v>
      </c>
    </row>
    <row r="300" spans="3:10" x14ac:dyDescent="0.25">
      <c r="C300" t="str">
        <f>IF(Filtering!F300&gt;0,Filtering!B300,"N/A")</f>
        <v>N/A</v>
      </c>
      <c r="D300" t="str">
        <f>IF('Data Validation'!C300=Filtering!B300,Filtering!C300,"N/A")</f>
        <v>N/A</v>
      </c>
      <c r="J300" t="str">
        <f>IF(_xlfn.CONCAT(Filtering!A300,Filtering!B300,Filtering!C300)=$M$2,Filtering!D300,"N/A")</f>
        <v>N/A</v>
      </c>
    </row>
    <row r="301" spans="3:10" x14ac:dyDescent="0.25">
      <c r="C301" t="str">
        <f>IF(Filtering!F301&gt;0,Filtering!B301,"N/A")</f>
        <v>N/A</v>
      </c>
      <c r="D301" t="str">
        <f>IF('Data Validation'!C301=Filtering!B301,Filtering!C301,"N/A")</f>
        <v>N/A</v>
      </c>
      <c r="J301" t="str">
        <f>IF(_xlfn.CONCAT(Filtering!A301,Filtering!B301,Filtering!C301)=$M$2,Filtering!D301,"N/A")</f>
        <v>N/A</v>
      </c>
    </row>
    <row r="302" spans="3:10" x14ac:dyDescent="0.25">
      <c r="C302" t="str">
        <f>IF(Filtering!F302&gt;0,Filtering!B302,"N/A")</f>
        <v>N/A</v>
      </c>
      <c r="D302" t="str">
        <f>IF('Data Validation'!C302=Filtering!B302,Filtering!C302,"N/A")</f>
        <v>N/A</v>
      </c>
      <c r="J302" t="str">
        <f>IF(_xlfn.CONCAT(Filtering!A302,Filtering!B302,Filtering!C302)=$M$2,Filtering!D302,"N/A")</f>
        <v>N/A</v>
      </c>
    </row>
    <row r="303" spans="3:10" x14ac:dyDescent="0.25">
      <c r="C303" t="str">
        <f>IF(Filtering!F303&gt;0,Filtering!B303,"N/A")</f>
        <v>N/A</v>
      </c>
      <c r="D303" t="str">
        <f>IF('Data Validation'!C303=Filtering!B303,Filtering!C303,"N/A")</f>
        <v>N/A</v>
      </c>
      <c r="J303" t="str">
        <f>IF(_xlfn.CONCAT(Filtering!A303,Filtering!B303,Filtering!C303)=$M$2,Filtering!D303,"N/A")</f>
        <v>N/A</v>
      </c>
    </row>
    <row r="304" spans="3:10" x14ac:dyDescent="0.25">
      <c r="C304" t="str">
        <f>IF(Filtering!F304&gt;0,Filtering!B304,"N/A")</f>
        <v>N/A</v>
      </c>
      <c r="D304" t="str">
        <f>IF('Data Validation'!C304=Filtering!B304,Filtering!C304,"N/A")</f>
        <v>N/A</v>
      </c>
      <c r="J304" t="str">
        <f>IF(_xlfn.CONCAT(Filtering!A304,Filtering!B304,Filtering!C304)=$M$2,Filtering!D304,"N/A")</f>
        <v>N/A</v>
      </c>
    </row>
    <row r="305" spans="3:10" x14ac:dyDescent="0.25">
      <c r="C305" t="str">
        <f>IF(Filtering!F305&gt;0,Filtering!B305,"N/A")</f>
        <v>N/A</v>
      </c>
      <c r="D305" t="str">
        <f>IF('Data Validation'!C305=Filtering!B305,Filtering!C305,"N/A")</f>
        <v>N/A</v>
      </c>
      <c r="J305" t="str">
        <f>IF(_xlfn.CONCAT(Filtering!A305,Filtering!B305,Filtering!C305)=$M$2,Filtering!D305,"N/A")</f>
        <v>N/A</v>
      </c>
    </row>
    <row r="306" spans="3:10" x14ac:dyDescent="0.25">
      <c r="C306" t="str">
        <f>IF(Filtering!F306&gt;0,Filtering!B306,"N/A")</f>
        <v>N/A</v>
      </c>
      <c r="D306" t="str">
        <f>IF('Data Validation'!C306=Filtering!B306,Filtering!C306,"N/A")</f>
        <v>N/A</v>
      </c>
      <c r="J306" t="str">
        <f>IF(_xlfn.CONCAT(Filtering!A306,Filtering!B306,Filtering!C306)=$M$2,Filtering!D306,"N/A")</f>
        <v>N/A</v>
      </c>
    </row>
    <row r="307" spans="3:10" x14ac:dyDescent="0.25">
      <c r="C307" t="str">
        <f>IF(Filtering!F307&gt;0,Filtering!B307,"N/A")</f>
        <v>N/A</v>
      </c>
      <c r="D307" t="str">
        <f>IF('Data Validation'!C307=Filtering!B307,Filtering!C307,"N/A")</f>
        <v>N/A</v>
      </c>
      <c r="J307" t="str">
        <f>IF(_xlfn.CONCAT(Filtering!A307,Filtering!B307,Filtering!C307)=$M$2,Filtering!D307,"N/A")</f>
        <v>N/A</v>
      </c>
    </row>
    <row r="308" spans="3:10" x14ac:dyDescent="0.25">
      <c r="C308" t="str">
        <f>IF(Filtering!F308&gt;0,Filtering!B308,"N/A")</f>
        <v>N/A</v>
      </c>
      <c r="D308" t="str">
        <f>IF('Data Validation'!C308=Filtering!B308,Filtering!C308,"N/A")</f>
        <v>N/A</v>
      </c>
      <c r="J308" t="str">
        <f>IF(_xlfn.CONCAT(Filtering!A308,Filtering!B308,Filtering!C308)=$M$2,Filtering!D308,"N/A")</f>
        <v>N/A</v>
      </c>
    </row>
    <row r="309" spans="3:10" x14ac:dyDescent="0.25">
      <c r="C309" t="str">
        <f>IF(Filtering!F309&gt;0,Filtering!B309,"N/A")</f>
        <v>N/A</v>
      </c>
      <c r="D309" t="str">
        <f>IF('Data Validation'!C309=Filtering!B309,Filtering!C309,"N/A")</f>
        <v>N/A</v>
      </c>
      <c r="J309" t="str">
        <f>IF(_xlfn.CONCAT(Filtering!A309,Filtering!B309,Filtering!C309)=$M$2,Filtering!D309,"N/A")</f>
        <v>N/A</v>
      </c>
    </row>
    <row r="310" spans="3:10" x14ac:dyDescent="0.25">
      <c r="C310" t="str">
        <f>IF(Filtering!F310&gt;0,Filtering!B310,"N/A")</f>
        <v>N/A</v>
      </c>
      <c r="D310" t="str">
        <f>IF('Data Validation'!C310=Filtering!B310,Filtering!C310,"N/A")</f>
        <v>N/A</v>
      </c>
      <c r="J310" t="str">
        <f>IF(_xlfn.CONCAT(Filtering!A310,Filtering!B310,Filtering!C310)=$M$2,Filtering!D310,"N/A")</f>
        <v>N/A</v>
      </c>
    </row>
    <row r="311" spans="3:10" x14ac:dyDescent="0.25">
      <c r="C311" t="str">
        <f>IF(Filtering!F311&gt;0,Filtering!B311,"N/A")</f>
        <v>N/A</v>
      </c>
      <c r="D311" t="str">
        <f>IF('Data Validation'!C311=Filtering!B311,Filtering!C311,"N/A")</f>
        <v>N/A</v>
      </c>
      <c r="J311" t="str">
        <f>IF(_xlfn.CONCAT(Filtering!A311,Filtering!B311,Filtering!C311)=$M$2,Filtering!D311,"N/A")</f>
        <v>N/A</v>
      </c>
    </row>
    <row r="312" spans="3:10" x14ac:dyDescent="0.25">
      <c r="C312" t="str">
        <f>IF(Filtering!F312&gt;0,Filtering!B312,"N/A")</f>
        <v>N/A</v>
      </c>
      <c r="D312" t="str">
        <f>IF('Data Validation'!C312=Filtering!B312,Filtering!C312,"N/A")</f>
        <v>N/A</v>
      </c>
      <c r="J312" t="str">
        <f>IF(_xlfn.CONCAT(Filtering!A312,Filtering!B312,Filtering!C312)=$M$2,Filtering!D312,"N/A")</f>
        <v>N/A</v>
      </c>
    </row>
    <row r="313" spans="3:10" x14ac:dyDescent="0.25">
      <c r="C313" t="str">
        <f>IF(Filtering!F313&gt;0,Filtering!B313,"N/A")</f>
        <v>N/A</v>
      </c>
      <c r="D313" t="str">
        <f>IF('Data Validation'!C313=Filtering!B313,Filtering!C313,"N/A")</f>
        <v>N/A</v>
      </c>
      <c r="J313" t="str">
        <f>IF(_xlfn.CONCAT(Filtering!A313,Filtering!B313,Filtering!C313)=$M$2,Filtering!D313,"N/A")</f>
        <v>N/A</v>
      </c>
    </row>
    <row r="314" spans="3:10" x14ac:dyDescent="0.25">
      <c r="C314" t="str">
        <f>IF(Filtering!F314&gt;0,Filtering!B314,"N/A")</f>
        <v>N/A</v>
      </c>
      <c r="D314" t="str">
        <f>IF('Data Validation'!C314=Filtering!B314,Filtering!C314,"N/A")</f>
        <v>N/A</v>
      </c>
      <c r="J314" t="str">
        <f>IF(_xlfn.CONCAT(Filtering!A314,Filtering!B314,Filtering!C314)=$M$2,Filtering!D314,"N/A")</f>
        <v>N/A</v>
      </c>
    </row>
    <row r="315" spans="3:10" x14ac:dyDescent="0.25">
      <c r="C315" t="str">
        <f>IF(Filtering!F315&gt;0,Filtering!B315,"N/A")</f>
        <v>N/A</v>
      </c>
      <c r="D315" t="str">
        <f>IF('Data Validation'!C315=Filtering!B315,Filtering!C315,"N/A")</f>
        <v>N/A</v>
      </c>
      <c r="J315" t="str">
        <f>IF(_xlfn.CONCAT(Filtering!A315,Filtering!B315,Filtering!C315)=$M$2,Filtering!D315,"N/A")</f>
        <v>N/A</v>
      </c>
    </row>
    <row r="316" spans="3:10" x14ac:dyDescent="0.25">
      <c r="C316" t="str">
        <f>IF(Filtering!F316&gt;0,Filtering!B316,"N/A")</f>
        <v>N/A</v>
      </c>
      <c r="D316" t="str">
        <f>IF('Data Validation'!C316=Filtering!B316,Filtering!C316,"N/A")</f>
        <v>N/A</v>
      </c>
      <c r="J316" t="str">
        <f>IF(_xlfn.CONCAT(Filtering!A316,Filtering!B316,Filtering!C316)=$M$2,Filtering!D316,"N/A")</f>
        <v>N/A</v>
      </c>
    </row>
    <row r="317" spans="3:10" x14ac:dyDescent="0.25">
      <c r="C317" t="str">
        <f>IF(Filtering!F317&gt;0,Filtering!B317,"N/A")</f>
        <v>N/A</v>
      </c>
      <c r="D317" t="str">
        <f>IF('Data Validation'!C317=Filtering!B317,Filtering!C317,"N/A")</f>
        <v>N/A</v>
      </c>
      <c r="J317" t="str">
        <f>IF(_xlfn.CONCAT(Filtering!A317,Filtering!B317,Filtering!C317)=$M$2,Filtering!D317,"N/A")</f>
        <v>N/A</v>
      </c>
    </row>
    <row r="318" spans="3:10" x14ac:dyDescent="0.25">
      <c r="C318" t="str">
        <f>IF(Filtering!F318&gt;0,Filtering!B318,"N/A")</f>
        <v>N/A</v>
      </c>
      <c r="D318" t="str">
        <f>IF('Data Validation'!C318=Filtering!B318,Filtering!C318,"N/A")</f>
        <v>N/A</v>
      </c>
      <c r="J318" t="str">
        <f>IF(_xlfn.CONCAT(Filtering!A318,Filtering!B318,Filtering!C318)=$M$2,Filtering!D318,"N/A")</f>
        <v>N/A</v>
      </c>
    </row>
    <row r="319" spans="3:10" x14ac:dyDescent="0.25">
      <c r="C319" t="str">
        <f>IF(Filtering!F319&gt;0,Filtering!B319,"N/A")</f>
        <v>N/A</v>
      </c>
      <c r="D319" t="str">
        <f>IF('Data Validation'!C319=Filtering!B319,Filtering!C319,"N/A")</f>
        <v>N/A</v>
      </c>
      <c r="J319" t="str">
        <f>IF(_xlfn.CONCAT(Filtering!A319,Filtering!B319,Filtering!C319)=$M$2,Filtering!D319,"N/A")</f>
        <v>N/A</v>
      </c>
    </row>
    <row r="320" spans="3:10" x14ac:dyDescent="0.25">
      <c r="C320" t="str">
        <f>IF(Filtering!F320&gt;0,Filtering!B320,"N/A")</f>
        <v>N/A</v>
      </c>
      <c r="D320" t="str">
        <f>IF('Data Validation'!C320=Filtering!B320,Filtering!C320,"N/A")</f>
        <v>N/A</v>
      </c>
      <c r="J320" t="str">
        <f>IF(_xlfn.CONCAT(Filtering!A320,Filtering!B320,Filtering!C320)=$M$2,Filtering!D320,"N/A")</f>
        <v>N/A</v>
      </c>
    </row>
    <row r="321" spans="3:10" x14ac:dyDescent="0.25">
      <c r="C321" t="str">
        <f>IF(Filtering!F321&gt;0,Filtering!B321,"N/A")</f>
        <v>N/A</v>
      </c>
      <c r="D321" t="str">
        <f>IF('Data Validation'!C321=Filtering!B321,Filtering!C321,"N/A")</f>
        <v>N/A</v>
      </c>
      <c r="J321" t="str">
        <f>IF(_xlfn.CONCAT(Filtering!A321,Filtering!B321,Filtering!C321)=$M$2,Filtering!D321,"N/A")</f>
        <v>N/A</v>
      </c>
    </row>
    <row r="322" spans="3:10" x14ac:dyDescent="0.25">
      <c r="C322" t="str">
        <f>IF(Filtering!F322&gt;0,Filtering!B322,"N/A")</f>
        <v>N/A</v>
      </c>
      <c r="D322" t="str">
        <f>IF('Data Validation'!C322=Filtering!B322,Filtering!C322,"N/A")</f>
        <v>N/A</v>
      </c>
      <c r="J322" t="str">
        <f>IF(_xlfn.CONCAT(Filtering!A322,Filtering!B322,Filtering!C322)=$M$2,Filtering!D322,"N/A")</f>
        <v>N/A</v>
      </c>
    </row>
    <row r="323" spans="3:10" x14ac:dyDescent="0.25">
      <c r="C323" t="str">
        <f>IF(Filtering!F323&gt;0,Filtering!B323,"N/A")</f>
        <v>N/A</v>
      </c>
      <c r="D323" t="str">
        <f>IF('Data Validation'!C323=Filtering!B323,Filtering!C323,"N/A")</f>
        <v>N/A</v>
      </c>
      <c r="J323" t="str">
        <f>IF(_xlfn.CONCAT(Filtering!A323,Filtering!B323,Filtering!C323)=$M$2,Filtering!D323,"N/A")</f>
        <v>N/A</v>
      </c>
    </row>
    <row r="324" spans="3:10" x14ac:dyDescent="0.25">
      <c r="C324" t="str">
        <f>IF(Filtering!F324&gt;0,Filtering!B324,"N/A")</f>
        <v>N/A</v>
      </c>
      <c r="D324" t="str">
        <f>IF('Data Validation'!C324=Filtering!B324,Filtering!C324,"N/A")</f>
        <v>N/A</v>
      </c>
      <c r="J324" t="str">
        <f>IF(_xlfn.CONCAT(Filtering!A324,Filtering!B324,Filtering!C324)=$M$2,Filtering!D324,"N/A")</f>
        <v>N/A</v>
      </c>
    </row>
    <row r="325" spans="3:10" x14ac:dyDescent="0.25">
      <c r="C325" t="str">
        <f>IF(Filtering!F325&gt;0,Filtering!B325,"N/A")</f>
        <v>N/A</v>
      </c>
      <c r="D325" t="str">
        <f>IF('Data Validation'!C325=Filtering!B325,Filtering!C325,"N/A")</f>
        <v>N/A</v>
      </c>
      <c r="J325" t="str">
        <f>IF(_xlfn.CONCAT(Filtering!A325,Filtering!B325,Filtering!C325)=$M$2,Filtering!D325,"N/A")</f>
        <v>N/A</v>
      </c>
    </row>
    <row r="326" spans="3:10" x14ac:dyDescent="0.25">
      <c r="C326" t="str">
        <f>IF(Filtering!F326&gt;0,Filtering!B326,"N/A")</f>
        <v>N/A</v>
      </c>
      <c r="D326" t="str">
        <f>IF('Data Validation'!C326=Filtering!B326,Filtering!C326,"N/A")</f>
        <v>N/A</v>
      </c>
      <c r="J326" t="str">
        <f>IF(_xlfn.CONCAT(Filtering!A326,Filtering!B326,Filtering!C326)=$M$2,Filtering!D326,"N/A")</f>
        <v>N/A</v>
      </c>
    </row>
    <row r="327" spans="3:10" x14ac:dyDescent="0.25">
      <c r="C327" t="str">
        <f>IF(Filtering!F327&gt;0,Filtering!B327,"N/A")</f>
        <v>N/A</v>
      </c>
      <c r="D327" t="str">
        <f>IF('Data Validation'!C327=Filtering!B327,Filtering!C327,"N/A")</f>
        <v>N/A</v>
      </c>
      <c r="J327" t="str">
        <f>IF(_xlfn.CONCAT(Filtering!A327,Filtering!B327,Filtering!C327)=$M$2,Filtering!D327,"N/A")</f>
        <v>N/A</v>
      </c>
    </row>
    <row r="328" spans="3:10" x14ac:dyDescent="0.25">
      <c r="C328" t="str">
        <f>IF(Filtering!F328&gt;0,Filtering!B328,"N/A")</f>
        <v>N/A</v>
      </c>
      <c r="D328" t="str">
        <f>IF('Data Validation'!C328=Filtering!B328,Filtering!C328,"N/A")</f>
        <v>N/A</v>
      </c>
      <c r="J328" t="str">
        <f>IF(_xlfn.CONCAT(Filtering!A328,Filtering!B328,Filtering!C328)=$M$2,Filtering!D328,"N/A")</f>
        <v>N/A</v>
      </c>
    </row>
    <row r="329" spans="3:10" x14ac:dyDescent="0.25">
      <c r="C329" t="str">
        <f>IF(Filtering!F329&gt;0,Filtering!B329,"N/A")</f>
        <v>N/A</v>
      </c>
      <c r="D329" t="str">
        <f>IF('Data Validation'!C329=Filtering!B329,Filtering!C329,"N/A")</f>
        <v>N/A</v>
      </c>
      <c r="J329" t="str">
        <f>IF(_xlfn.CONCAT(Filtering!A329,Filtering!B329,Filtering!C329)=$M$2,Filtering!D329,"N/A")</f>
        <v>N/A</v>
      </c>
    </row>
    <row r="330" spans="3:10" x14ac:dyDescent="0.25">
      <c r="C330" t="str">
        <f>IF(Filtering!F330&gt;0,Filtering!B330,"N/A")</f>
        <v>N/A</v>
      </c>
      <c r="D330" t="str">
        <f>IF('Data Validation'!C330=Filtering!B330,Filtering!C330,"N/A")</f>
        <v>N/A</v>
      </c>
      <c r="J330" t="str">
        <f>IF(_xlfn.CONCAT(Filtering!A330,Filtering!B330,Filtering!C330)=$M$2,Filtering!D330,"N/A")</f>
        <v>N/A</v>
      </c>
    </row>
    <row r="331" spans="3:10" x14ac:dyDescent="0.25">
      <c r="C331" t="str">
        <f>IF(Filtering!F331&gt;0,Filtering!B331,"N/A")</f>
        <v>N/A</v>
      </c>
      <c r="D331" t="str">
        <f>IF('Data Validation'!C331=Filtering!B331,Filtering!C331,"N/A")</f>
        <v>N/A</v>
      </c>
      <c r="J331" t="str">
        <f>IF(_xlfn.CONCAT(Filtering!A331,Filtering!B331,Filtering!C331)=$M$2,Filtering!D331,"N/A")</f>
        <v>N/A</v>
      </c>
    </row>
    <row r="332" spans="3:10" x14ac:dyDescent="0.25">
      <c r="C332" t="str">
        <f>IF(Filtering!F332&gt;0,Filtering!B332,"N/A")</f>
        <v>N/A</v>
      </c>
      <c r="D332" t="str">
        <f>IF('Data Validation'!C332=Filtering!B332,Filtering!C332,"N/A")</f>
        <v>N/A</v>
      </c>
      <c r="J332" t="str">
        <f>IF(_xlfn.CONCAT(Filtering!A332,Filtering!B332,Filtering!C332)=$M$2,Filtering!D332,"N/A")</f>
        <v>N/A</v>
      </c>
    </row>
    <row r="333" spans="3:10" x14ac:dyDescent="0.25">
      <c r="C333" t="str">
        <f>IF(Filtering!F333&gt;0,Filtering!B333,"N/A")</f>
        <v>N/A</v>
      </c>
      <c r="D333" t="str">
        <f>IF('Data Validation'!C333=Filtering!B333,Filtering!C333,"N/A")</f>
        <v>N/A</v>
      </c>
      <c r="J333" t="str">
        <f>IF(_xlfn.CONCAT(Filtering!A333,Filtering!B333,Filtering!C333)=$M$2,Filtering!D333,"N/A")</f>
        <v>N/A</v>
      </c>
    </row>
    <row r="334" spans="3:10" x14ac:dyDescent="0.25">
      <c r="C334" t="str">
        <f>IF(Filtering!F334&gt;0,Filtering!B334,"N/A")</f>
        <v>N/A</v>
      </c>
      <c r="D334" t="str">
        <f>IF('Data Validation'!C334=Filtering!B334,Filtering!C334,"N/A")</f>
        <v>N/A</v>
      </c>
      <c r="J334" t="str">
        <f>IF(_xlfn.CONCAT(Filtering!A334,Filtering!B334,Filtering!C334)=$M$2,Filtering!D334,"N/A")</f>
        <v>N/A</v>
      </c>
    </row>
    <row r="335" spans="3:10" x14ac:dyDescent="0.25">
      <c r="C335" t="str">
        <f>IF(Filtering!F335&gt;0,Filtering!B335,"N/A")</f>
        <v>N/A</v>
      </c>
      <c r="D335" t="str">
        <f>IF('Data Validation'!C335=Filtering!B335,Filtering!C335,"N/A")</f>
        <v>N/A</v>
      </c>
      <c r="J335" t="str">
        <f>IF(_xlfn.CONCAT(Filtering!A335,Filtering!B335,Filtering!C335)=$M$2,Filtering!D335,"N/A")</f>
        <v>N/A</v>
      </c>
    </row>
    <row r="336" spans="3:10" x14ac:dyDescent="0.25">
      <c r="C336" t="str">
        <f>IF(Filtering!F336&gt;0,Filtering!B336,"N/A")</f>
        <v>N/A</v>
      </c>
      <c r="D336" t="str">
        <f>IF('Data Validation'!C336=Filtering!B336,Filtering!C336,"N/A")</f>
        <v>N/A</v>
      </c>
      <c r="J336" t="str">
        <f>IF(_xlfn.CONCAT(Filtering!A336,Filtering!B336,Filtering!C336)=$M$2,Filtering!D336,"N/A")</f>
        <v>N/A</v>
      </c>
    </row>
    <row r="337" spans="3:10" x14ac:dyDescent="0.25">
      <c r="C337" t="str">
        <f>IF(Filtering!F337&gt;0,Filtering!B337,"N/A")</f>
        <v>N/A</v>
      </c>
      <c r="D337" t="str">
        <f>IF('Data Validation'!C337=Filtering!B337,Filtering!C337,"N/A")</f>
        <v>N/A</v>
      </c>
      <c r="J337" t="str">
        <f>IF(_xlfn.CONCAT(Filtering!A337,Filtering!B337,Filtering!C337)=$M$2,Filtering!D337,"N/A")</f>
        <v>N/A</v>
      </c>
    </row>
    <row r="338" spans="3:10" x14ac:dyDescent="0.25">
      <c r="C338" t="str">
        <f>IF(Filtering!F338&gt;0,Filtering!B338,"N/A")</f>
        <v>N/A</v>
      </c>
      <c r="D338" t="str">
        <f>IF('Data Validation'!C338=Filtering!B338,Filtering!C338,"N/A")</f>
        <v>N/A</v>
      </c>
      <c r="J338" t="str">
        <f>IF(_xlfn.CONCAT(Filtering!A338,Filtering!B338,Filtering!C338)=$M$2,Filtering!D338,"N/A")</f>
        <v>N/A</v>
      </c>
    </row>
    <row r="339" spans="3:10" x14ac:dyDescent="0.25">
      <c r="C339" t="str">
        <f>IF(Filtering!F339&gt;0,Filtering!B339,"N/A")</f>
        <v>N/A</v>
      </c>
      <c r="D339" t="str">
        <f>IF('Data Validation'!C339=Filtering!B339,Filtering!C339,"N/A")</f>
        <v>N/A</v>
      </c>
      <c r="J339" t="str">
        <f>IF(_xlfn.CONCAT(Filtering!A339,Filtering!B339,Filtering!C339)=$M$2,Filtering!D339,"N/A")</f>
        <v>N/A</v>
      </c>
    </row>
    <row r="340" spans="3:10" x14ac:dyDescent="0.25">
      <c r="C340" t="str">
        <f>IF(Filtering!F340&gt;0,Filtering!B340,"N/A")</f>
        <v>N/A</v>
      </c>
      <c r="D340" t="str">
        <f>IF('Data Validation'!C340=Filtering!B340,Filtering!C340,"N/A")</f>
        <v>N/A</v>
      </c>
      <c r="J340" t="str">
        <f>IF(_xlfn.CONCAT(Filtering!A340,Filtering!B340,Filtering!C340)=$M$2,Filtering!D340,"N/A")</f>
        <v>N/A</v>
      </c>
    </row>
    <row r="341" spans="3:10" x14ac:dyDescent="0.25">
      <c r="C341" t="str">
        <f>IF(Filtering!F341&gt;0,Filtering!B341,"N/A")</f>
        <v>N/A</v>
      </c>
      <c r="D341" t="str">
        <f>IF('Data Validation'!C341=Filtering!B341,Filtering!C341,"N/A")</f>
        <v>N/A</v>
      </c>
      <c r="J341" t="str">
        <f>IF(_xlfn.CONCAT(Filtering!A341,Filtering!B341,Filtering!C341)=$M$2,Filtering!D341,"N/A")</f>
        <v>N/A</v>
      </c>
    </row>
    <row r="342" spans="3:10" x14ac:dyDescent="0.25">
      <c r="C342" t="str">
        <f>IF(Filtering!F342&gt;0,Filtering!B342,"N/A")</f>
        <v>N/A</v>
      </c>
      <c r="D342" t="str">
        <f>IF('Data Validation'!C342=Filtering!B342,Filtering!C342,"N/A")</f>
        <v>N/A</v>
      </c>
      <c r="J342" t="str">
        <f>IF(_xlfn.CONCAT(Filtering!A342,Filtering!B342,Filtering!C342)=$M$2,Filtering!D342,"N/A")</f>
        <v>N/A</v>
      </c>
    </row>
    <row r="343" spans="3:10" x14ac:dyDescent="0.25">
      <c r="C343" t="str">
        <f>IF(Filtering!F343&gt;0,Filtering!B343,"N/A")</f>
        <v>N/A</v>
      </c>
      <c r="D343" t="str">
        <f>IF('Data Validation'!C343=Filtering!B343,Filtering!C343,"N/A")</f>
        <v>N/A</v>
      </c>
      <c r="J343" t="str">
        <f>IF(_xlfn.CONCAT(Filtering!A343,Filtering!B343,Filtering!C343)=$M$2,Filtering!D343,"N/A")</f>
        <v>N/A</v>
      </c>
    </row>
    <row r="344" spans="3:10" x14ac:dyDescent="0.25">
      <c r="C344" t="str">
        <f>IF(Filtering!F344&gt;0,Filtering!B344,"N/A")</f>
        <v>N/A</v>
      </c>
      <c r="D344" t="str">
        <f>IF('Data Validation'!C344=Filtering!B344,Filtering!C344,"N/A")</f>
        <v>N/A</v>
      </c>
      <c r="J344" t="str">
        <f>IF(_xlfn.CONCAT(Filtering!A344,Filtering!B344,Filtering!C344)=$M$2,Filtering!D344,"N/A")</f>
        <v>N/A</v>
      </c>
    </row>
    <row r="345" spans="3:10" x14ac:dyDescent="0.25">
      <c r="C345" t="str">
        <f>IF(Filtering!F345&gt;0,Filtering!B345,"N/A")</f>
        <v>N/A</v>
      </c>
      <c r="D345" t="str">
        <f>IF('Data Validation'!C345=Filtering!B345,Filtering!C345,"N/A")</f>
        <v>N/A</v>
      </c>
      <c r="J345" t="str">
        <f>IF(_xlfn.CONCAT(Filtering!A345,Filtering!B345,Filtering!C345)=$M$2,Filtering!D345,"N/A")</f>
        <v>N/A</v>
      </c>
    </row>
    <row r="346" spans="3:10" x14ac:dyDescent="0.25">
      <c r="C346" t="str">
        <f>IF(Filtering!F346&gt;0,Filtering!B346,"N/A")</f>
        <v>N/A</v>
      </c>
      <c r="D346" t="str">
        <f>IF('Data Validation'!C346=Filtering!B346,Filtering!C346,"N/A")</f>
        <v>N/A</v>
      </c>
      <c r="J346" t="str">
        <f>IF(_xlfn.CONCAT(Filtering!A346,Filtering!B346,Filtering!C346)=$M$2,Filtering!D346,"N/A")</f>
        <v>N/A</v>
      </c>
    </row>
    <row r="347" spans="3:10" x14ac:dyDescent="0.25">
      <c r="C347" t="str">
        <f>IF(Filtering!F347&gt;0,Filtering!B347,"N/A")</f>
        <v>N/A</v>
      </c>
      <c r="D347" t="str">
        <f>IF('Data Validation'!C347=Filtering!B347,Filtering!C347,"N/A")</f>
        <v>N/A</v>
      </c>
      <c r="J347" t="str">
        <f>IF(_xlfn.CONCAT(Filtering!A347,Filtering!B347,Filtering!C347)=$M$2,Filtering!D347,"N/A")</f>
        <v>N/A</v>
      </c>
    </row>
    <row r="348" spans="3:10" x14ac:dyDescent="0.25">
      <c r="C348" t="str">
        <f>IF(Filtering!F348&gt;0,Filtering!B348,"N/A")</f>
        <v>N/A</v>
      </c>
      <c r="D348" t="str">
        <f>IF('Data Validation'!C348=Filtering!B348,Filtering!C348,"N/A")</f>
        <v>N/A</v>
      </c>
      <c r="J348" t="str">
        <f>IF(_xlfn.CONCAT(Filtering!A348,Filtering!B348,Filtering!C348)=$M$2,Filtering!D348,"N/A")</f>
        <v>N/A</v>
      </c>
    </row>
    <row r="349" spans="3:10" x14ac:dyDescent="0.25">
      <c r="C349" t="str">
        <f>IF(Filtering!F349&gt;0,Filtering!B349,"N/A")</f>
        <v>N/A</v>
      </c>
      <c r="D349" t="str">
        <f>IF('Data Validation'!C349=Filtering!B349,Filtering!C349,"N/A")</f>
        <v>N/A</v>
      </c>
      <c r="J349" t="str">
        <f>IF(_xlfn.CONCAT(Filtering!A349,Filtering!B349,Filtering!C349)=$M$2,Filtering!D349,"N/A")</f>
        <v>N/A</v>
      </c>
    </row>
    <row r="350" spans="3:10" x14ac:dyDescent="0.25">
      <c r="C350" t="str">
        <f>IF(Filtering!F350&gt;0,Filtering!B350,"N/A")</f>
        <v>N/A</v>
      </c>
      <c r="D350" t="str">
        <f>IF('Data Validation'!C350=Filtering!B350,Filtering!C350,"N/A")</f>
        <v>N/A</v>
      </c>
      <c r="J350" t="str">
        <f>IF(_xlfn.CONCAT(Filtering!A350,Filtering!B350,Filtering!C350)=$M$2,Filtering!D350,"N/A")</f>
        <v>N/A</v>
      </c>
    </row>
    <row r="351" spans="3:10" x14ac:dyDescent="0.25">
      <c r="C351" t="str">
        <f>IF(Filtering!F351&gt;0,Filtering!B351,"N/A")</f>
        <v>N/A</v>
      </c>
      <c r="D351" t="str">
        <f>IF('Data Validation'!C351=Filtering!B351,Filtering!C351,"N/A")</f>
        <v>N/A</v>
      </c>
      <c r="J351" t="str">
        <f>IF(_xlfn.CONCAT(Filtering!A351,Filtering!B351,Filtering!C351)=$M$2,Filtering!D351,"N/A")</f>
        <v>N/A</v>
      </c>
    </row>
    <row r="352" spans="3:10" x14ac:dyDescent="0.25">
      <c r="C352" t="str">
        <f>IF(Filtering!F352&gt;0,Filtering!B352,"N/A")</f>
        <v>N/A</v>
      </c>
      <c r="D352" t="str">
        <f>IF('Data Validation'!C352=Filtering!B352,Filtering!C352,"N/A")</f>
        <v>N/A</v>
      </c>
      <c r="J352" t="str">
        <f>IF(_xlfn.CONCAT(Filtering!A352,Filtering!B352,Filtering!C352)=$M$2,Filtering!D352,"N/A")</f>
        <v>N/A</v>
      </c>
    </row>
    <row r="353" spans="3:10" x14ac:dyDescent="0.25">
      <c r="C353" t="str">
        <f>IF(Filtering!F353&gt;0,Filtering!B353,"N/A")</f>
        <v>N/A</v>
      </c>
      <c r="D353" t="str">
        <f>IF('Data Validation'!C353=Filtering!B353,Filtering!C353,"N/A")</f>
        <v>N/A</v>
      </c>
      <c r="J353" t="str">
        <f>IF(_xlfn.CONCAT(Filtering!A353,Filtering!B353,Filtering!C353)=$M$2,Filtering!D353,"N/A")</f>
        <v>N/A</v>
      </c>
    </row>
    <row r="354" spans="3:10" x14ac:dyDescent="0.25">
      <c r="C354" t="str">
        <f>IF(Filtering!F354&gt;0,Filtering!B354,"N/A")</f>
        <v>N/A</v>
      </c>
      <c r="D354" t="str">
        <f>IF('Data Validation'!C354=Filtering!B354,Filtering!C354,"N/A")</f>
        <v>N/A</v>
      </c>
      <c r="J354" t="str">
        <f>IF(_xlfn.CONCAT(Filtering!A354,Filtering!B354,Filtering!C354)=$M$2,Filtering!D354,"N/A")</f>
        <v>N/A</v>
      </c>
    </row>
    <row r="355" spans="3:10" x14ac:dyDescent="0.25">
      <c r="C355" t="str">
        <f>IF(Filtering!F355&gt;0,Filtering!B355,"N/A")</f>
        <v>N/A</v>
      </c>
      <c r="D355" t="str">
        <f>IF('Data Validation'!C355=Filtering!B355,Filtering!C355,"N/A")</f>
        <v>N/A</v>
      </c>
      <c r="J355" t="str">
        <f>IF(_xlfn.CONCAT(Filtering!A355,Filtering!B355,Filtering!C355)=$M$2,Filtering!D355,"N/A")</f>
        <v>N/A</v>
      </c>
    </row>
    <row r="356" spans="3:10" x14ac:dyDescent="0.25">
      <c r="C356" t="str">
        <f>IF(Filtering!F356&gt;0,Filtering!B356,"N/A")</f>
        <v>N/A</v>
      </c>
      <c r="D356" t="str">
        <f>IF('Data Validation'!C356=Filtering!B356,Filtering!C356,"N/A")</f>
        <v>N/A</v>
      </c>
      <c r="J356" t="str">
        <f>IF(_xlfn.CONCAT(Filtering!A356,Filtering!B356,Filtering!C356)=$M$2,Filtering!D356,"N/A")</f>
        <v>N/A</v>
      </c>
    </row>
    <row r="357" spans="3:10" x14ac:dyDescent="0.25">
      <c r="C357" t="str">
        <f>IF(Filtering!F357&gt;0,Filtering!B357,"N/A")</f>
        <v>N/A</v>
      </c>
      <c r="D357" t="str">
        <f>IF('Data Validation'!C357=Filtering!B357,Filtering!C357,"N/A")</f>
        <v>N/A</v>
      </c>
      <c r="J357" t="str">
        <f>IF(_xlfn.CONCAT(Filtering!A357,Filtering!B357,Filtering!C357)=$M$2,Filtering!D357,"N/A")</f>
        <v>N/A</v>
      </c>
    </row>
    <row r="358" spans="3:10" x14ac:dyDescent="0.25">
      <c r="C358" t="str">
        <f>IF(Filtering!F358&gt;0,Filtering!B358,"N/A")</f>
        <v>N/A</v>
      </c>
      <c r="D358" t="str">
        <f>IF('Data Validation'!C358=Filtering!B358,Filtering!C358,"N/A")</f>
        <v>N/A</v>
      </c>
      <c r="J358" t="str">
        <f>IF(_xlfn.CONCAT(Filtering!A358,Filtering!B358,Filtering!C358)=$M$2,Filtering!D358,"N/A")</f>
        <v>N/A</v>
      </c>
    </row>
    <row r="359" spans="3:10" x14ac:dyDescent="0.25">
      <c r="C359" t="str">
        <f>IF(Filtering!F359&gt;0,Filtering!B359,"N/A")</f>
        <v>N/A</v>
      </c>
      <c r="D359" t="str">
        <f>IF('Data Validation'!C359=Filtering!B359,Filtering!C359,"N/A")</f>
        <v>N/A</v>
      </c>
      <c r="J359" t="str">
        <f>IF(_xlfn.CONCAT(Filtering!A359,Filtering!B359,Filtering!C359)=$M$2,Filtering!D359,"N/A")</f>
        <v>N/A</v>
      </c>
    </row>
    <row r="360" spans="3:10" x14ac:dyDescent="0.25">
      <c r="C360" t="str">
        <f>IF(Filtering!F360&gt;0,Filtering!B360,"N/A")</f>
        <v>N/A</v>
      </c>
      <c r="D360" t="str">
        <f>IF('Data Validation'!C360=Filtering!B360,Filtering!C360,"N/A")</f>
        <v>N/A</v>
      </c>
      <c r="J360" t="str">
        <f>IF(_xlfn.CONCAT(Filtering!A360,Filtering!B360,Filtering!C360)=$M$2,Filtering!D360,"N/A")</f>
        <v>N/A</v>
      </c>
    </row>
    <row r="361" spans="3:10" x14ac:dyDescent="0.25">
      <c r="C361" t="str">
        <f>IF(Filtering!F361&gt;0,Filtering!B361,"N/A")</f>
        <v>N/A</v>
      </c>
      <c r="D361" t="str">
        <f>IF('Data Validation'!C361=Filtering!B361,Filtering!C361,"N/A")</f>
        <v>N/A</v>
      </c>
      <c r="J361" t="str">
        <f>IF(_xlfn.CONCAT(Filtering!A361,Filtering!B361,Filtering!C361)=$M$2,Filtering!D361,"N/A")</f>
        <v>N/A</v>
      </c>
    </row>
    <row r="362" spans="3:10" x14ac:dyDescent="0.25">
      <c r="C362" t="str">
        <f>IF(Filtering!F362&gt;0,Filtering!B362,"N/A")</f>
        <v>N/A</v>
      </c>
      <c r="D362" t="str">
        <f>IF('Data Validation'!C362=Filtering!B362,Filtering!C362,"N/A")</f>
        <v>N/A</v>
      </c>
      <c r="J362" t="str">
        <f>IF(_xlfn.CONCAT(Filtering!A362,Filtering!B362,Filtering!C362)=$M$2,Filtering!D362,"N/A")</f>
        <v>N/A</v>
      </c>
    </row>
    <row r="363" spans="3:10" x14ac:dyDescent="0.25">
      <c r="C363" t="str">
        <f>IF(Filtering!F363&gt;0,Filtering!B363,"N/A")</f>
        <v>N/A</v>
      </c>
      <c r="D363" t="str">
        <f>IF('Data Validation'!C363=Filtering!B363,Filtering!C363,"N/A")</f>
        <v>N/A</v>
      </c>
      <c r="J363" t="str">
        <f>IF(_xlfn.CONCAT(Filtering!A363,Filtering!B363,Filtering!C363)=$M$2,Filtering!D363,"N/A")</f>
        <v>N/A</v>
      </c>
    </row>
    <row r="364" spans="3:10" x14ac:dyDescent="0.25">
      <c r="C364" t="str">
        <f>IF(Filtering!F364&gt;0,Filtering!B364,"N/A")</f>
        <v>N/A</v>
      </c>
      <c r="D364" t="str">
        <f>IF('Data Validation'!C364=Filtering!B364,Filtering!C364,"N/A")</f>
        <v>N/A</v>
      </c>
      <c r="J364" t="str">
        <f>IF(_xlfn.CONCAT(Filtering!A364,Filtering!B364,Filtering!C364)=$M$2,Filtering!D364,"N/A")</f>
        <v>N/A</v>
      </c>
    </row>
    <row r="365" spans="3:10" x14ac:dyDescent="0.25">
      <c r="C365" t="str">
        <f>IF(Filtering!F365&gt;0,Filtering!B365,"N/A")</f>
        <v>N/A</v>
      </c>
      <c r="D365" t="str">
        <f>IF('Data Validation'!C365=Filtering!B365,Filtering!C365,"N/A")</f>
        <v>N/A</v>
      </c>
      <c r="J365" t="str">
        <f>IF(_xlfn.CONCAT(Filtering!A365,Filtering!B365,Filtering!C365)=$M$2,Filtering!D365,"N/A")</f>
        <v>N/A</v>
      </c>
    </row>
    <row r="366" spans="3:10" x14ac:dyDescent="0.25">
      <c r="C366" t="str">
        <f>IF(Filtering!F366&gt;0,Filtering!B366,"N/A")</f>
        <v>N/A</v>
      </c>
      <c r="D366" t="str">
        <f>IF('Data Validation'!C366=Filtering!B366,Filtering!C366,"N/A")</f>
        <v>N/A</v>
      </c>
      <c r="J366" t="str">
        <f>IF(_xlfn.CONCAT(Filtering!A366,Filtering!B366,Filtering!C366)=$M$2,Filtering!D366,"N/A")</f>
        <v>N/A</v>
      </c>
    </row>
    <row r="367" spans="3:10" x14ac:dyDescent="0.25">
      <c r="C367" t="str">
        <f>IF(Filtering!F367&gt;0,Filtering!B367,"N/A")</f>
        <v>N/A</v>
      </c>
      <c r="D367" t="str">
        <f>IF('Data Validation'!C367=Filtering!B367,Filtering!C367,"N/A")</f>
        <v>N/A</v>
      </c>
      <c r="J367" t="str">
        <f>IF(_xlfn.CONCAT(Filtering!A367,Filtering!B367,Filtering!C367)=$M$2,Filtering!D367,"N/A")</f>
        <v>N/A</v>
      </c>
    </row>
    <row r="368" spans="3:10" x14ac:dyDescent="0.25">
      <c r="C368" t="str">
        <f>IF(Filtering!F368&gt;0,Filtering!B368,"N/A")</f>
        <v>N/A</v>
      </c>
      <c r="D368" t="str">
        <f>IF('Data Validation'!C368=Filtering!B368,Filtering!C368,"N/A")</f>
        <v>N/A</v>
      </c>
      <c r="J368" t="str">
        <f>IF(_xlfn.CONCAT(Filtering!A368,Filtering!B368,Filtering!C368)=$M$2,Filtering!D368,"N/A")</f>
        <v>N/A</v>
      </c>
    </row>
    <row r="369" spans="3:10" x14ac:dyDescent="0.25">
      <c r="C369" t="str">
        <f>IF(Filtering!F369&gt;0,Filtering!B369,"N/A")</f>
        <v>N/A</v>
      </c>
      <c r="D369" t="str">
        <f>IF('Data Validation'!C369=Filtering!B369,Filtering!C369,"N/A")</f>
        <v>N/A</v>
      </c>
      <c r="J369" t="str">
        <f>IF(_xlfn.CONCAT(Filtering!A369,Filtering!B369,Filtering!C369)=$M$2,Filtering!D369,"N/A")</f>
        <v>N/A</v>
      </c>
    </row>
    <row r="370" spans="3:10" x14ac:dyDescent="0.25">
      <c r="C370" t="str">
        <f>IF(Filtering!F370&gt;0,Filtering!B370,"N/A")</f>
        <v>N/A</v>
      </c>
      <c r="D370" t="str">
        <f>IF('Data Validation'!C370=Filtering!B370,Filtering!C370,"N/A")</f>
        <v>N/A</v>
      </c>
      <c r="J370" t="str">
        <f>IF(_xlfn.CONCAT(Filtering!A370,Filtering!B370,Filtering!C370)=$M$2,Filtering!D370,"N/A")</f>
        <v>N/A</v>
      </c>
    </row>
    <row r="371" spans="3:10" x14ac:dyDescent="0.25">
      <c r="C371" t="str">
        <f>IF(Filtering!F371&gt;0,Filtering!B371,"N/A")</f>
        <v>N/A</v>
      </c>
      <c r="D371" t="str">
        <f>IF('Data Validation'!C371=Filtering!B371,Filtering!C371,"N/A")</f>
        <v>N/A</v>
      </c>
      <c r="J371" t="str">
        <f>IF(_xlfn.CONCAT(Filtering!A371,Filtering!B371,Filtering!C371)=$M$2,Filtering!D371,"N/A")</f>
        <v>N/A</v>
      </c>
    </row>
    <row r="372" spans="3:10" x14ac:dyDescent="0.25">
      <c r="C372" t="str">
        <f>IF(Filtering!F372&gt;0,Filtering!B372,"N/A")</f>
        <v>N/A</v>
      </c>
      <c r="D372" t="str">
        <f>IF('Data Validation'!C372=Filtering!B372,Filtering!C372,"N/A")</f>
        <v>N/A</v>
      </c>
      <c r="J372" t="str">
        <f>IF(_xlfn.CONCAT(Filtering!A372,Filtering!B372,Filtering!C372)=$M$2,Filtering!D372,"N/A")</f>
        <v>N/A</v>
      </c>
    </row>
    <row r="373" spans="3:10" x14ac:dyDescent="0.25">
      <c r="C373" t="str">
        <f>IF(Filtering!F373&gt;0,Filtering!B373,"N/A")</f>
        <v>N/A</v>
      </c>
      <c r="D373" t="str">
        <f>IF('Data Validation'!C373=Filtering!B373,Filtering!C373,"N/A")</f>
        <v>N/A</v>
      </c>
      <c r="J373" t="str">
        <f>IF(_xlfn.CONCAT(Filtering!A373,Filtering!B373,Filtering!C373)=$M$2,Filtering!D373,"N/A")</f>
        <v>N/A</v>
      </c>
    </row>
    <row r="374" spans="3:10" x14ac:dyDescent="0.25">
      <c r="C374" t="str">
        <f>IF(Filtering!F374&gt;0,Filtering!B374,"N/A")</f>
        <v>N/A</v>
      </c>
      <c r="D374" t="str">
        <f>IF('Data Validation'!C374=Filtering!B374,Filtering!C374,"N/A")</f>
        <v>N/A</v>
      </c>
      <c r="J374" t="str">
        <f>IF(_xlfn.CONCAT(Filtering!A374,Filtering!B374,Filtering!C374)=$M$2,Filtering!D374,"N/A")</f>
        <v>N/A</v>
      </c>
    </row>
    <row r="375" spans="3:10" x14ac:dyDescent="0.25">
      <c r="C375" t="str">
        <f>IF(Filtering!F375&gt;0,Filtering!B375,"N/A")</f>
        <v>N/A</v>
      </c>
      <c r="D375" t="str">
        <f>IF('Data Validation'!C375=Filtering!B375,Filtering!C375,"N/A")</f>
        <v>N/A</v>
      </c>
      <c r="J375" t="str">
        <f>IF(_xlfn.CONCAT(Filtering!A375,Filtering!B375,Filtering!C375)=$M$2,Filtering!D375,"N/A")</f>
        <v>N/A</v>
      </c>
    </row>
    <row r="376" spans="3:10" x14ac:dyDescent="0.25">
      <c r="C376" t="str">
        <f>IF(Filtering!F376&gt;0,Filtering!B376,"N/A")</f>
        <v>N/A</v>
      </c>
      <c r="D376" t="str">
        <f>IF('Data Validation'!C376=Filtering!B376,Filtering!C376,"N/A")</f>
        <v>N/A</v>
      </c>
      <c r="J376" t="str">
        <f>IF(_xlfn.CONCAT(Filtering!A376,Filtering!B376,Filtering!C376)=$M$2,Filtering!D376,"N/A")</f>
        <v>N/A</v>
      </c>
    </row>
    <row r="377" spans="3:10" x14ac:dyDescent="0.25">
      <c r="C377" t="str">
        <f>IF(Filtering!F377&gt;0,Filtering!B377,"N/A")</f>
        <v>N/A</v>
      </c>
      <c r="D377" t="str">
        <f>IF('Data Validation'!C377=Filtering!B377,Filtering!C377,"N/A")</f>
        <v>N/A</v>
      </c>
      <c r="J377" t="str">
        <f>IF(_xlfn.CONCAT(Filtering!A377,Filtering!B377,Filtering!C377)=$M$2,Filtering!D377,"N/A")</f>
        <v>N/A</v>
      </c>
    </row>
    <row r="378" spans="3:10" x14ac:dyDescent="0.25">
      <c r="C378" t="str">
        <f>IF(Filtering!F378&gt;0,Filtering!B378,"N/A")</f>
        <v>N/A</v>
      </c>
      <c r="D378" t="str">
        <f>IF('Data Validation'!C378=Filtering!B378,Filtering!C378,"N/A")</f>
        <v>N/A</v>
      </c>
      <c r="J378" t="str">
        <f>IF(_xlfn.CONCAT(Filtering!A378,Filtering!B378,Filtering!C378)=$M$2,Filtering!D378,"N/A")</f>
        <v>N/A</v>
      </c>
    </row>
    <row r="379" spans="3:10" x14ac:dyDescent="0.25">
      <c r="C379" t="str">
        <f>IF(Filtering!F379&gt;0,Filtering!B379,"N/A")</f>
        <v>N/A</v>
      </c>
      <c r="D379" t="str">
        <f>IF('Data Validation'!C379=Filtering!B379,Filtering!C379,"N/A")</f>
        <v>N/A</v>
      </c>
      <c r="J379" t="str">
        <f>IF(_xlfn.CONCAT(Filtering!A379,Filtering!B379,Filtering!C379)=$M$2,Filtering!D379,"N/A")</f>
        <v>N/A</v>
      </c>
    </row>
    <row r="380" spans="3:10" x14ac:dyDescent="0.25">
      <c r="C380" t="str">
        <f>IF(Filtering!F380&gt;0,Filtering!B380,"N/A")</f>
        <v>N/A</v>
      </c>
      <c r="D380" t="str">
        <f>IF('Data Validation'!C380=Filtering!B380,Filtering!C380,"N/A")</f>
        <v>N/A</v>
      </c>
      <c r="J380" t="str">
        <f>IF(_xlfn.CONCAT(Filtering!A380,Filtering!B380,Filtering!C380)=$M$2,Filtering!D380,"N/A")</f>
        <v>N/A</v>
      </c>
    </row>
    <row r="381" spans="3:10" x14ac:dyDescent="0.25">
      <c r="C381" t="str">
        <f>IF(Filtering!F381&gt;0,Filtering!B381,"N/A")</f>
        <v>N/A</v>
      </c>
      <c r="D381" t="str">
        <f>IF('Data Validation'!C381=Filtering!B381,Filtering!C381,"N/A")</f>
        <v>N/A</v>
      </c>
      <c r="J381" t="str">
        <f>IF(_xlfn.CONCAT(Filtering!A381,Filtering!B381,Filtering!C381)=$M$2,Filtering!D381,"N/A")</f>
        <v>N/A</v>
      </c>
    </row>
    <row r="382" spans="3:10" x14ac:dyDescent="0.25">
      <c r="C382" t="str">
        <f>IF(Filtering!F382&gt;0,Filtering!B382,"N/A")</f>
        <v>N/A</v>
      </c>
      <c r="D382" t="str">
        <f>IF('Data Validation'!C382=Filtering!B382,Filtering!C382,"N/A")</f>
        <v>N/A</v>
      </c>
      <c r="J382" t="str">
        <f>IF(_xlfn.CONCAT(Filtering!A382,Filtering!B382,Filtering!C382)=$M$2,Filtering!D382,"N/A")</f>
        <v>N/A</v>
      </c>
    </row>
    <row r="383" spans="3:10" x14ac:dyDescent="0.25">
      <c r="C383" t="str">
        <f>IF(Filtering!F383&gt;0,Filtering!B383,"N/A")</f>
        <v>N/A</v>
      </c>
      <c r="D383" t="str">
        <f>IF('Data Validation'!C383=Filtering!B383,Filtering!C383,"N/A")</f>
        <v>N/A</v>
      </c>
      <c r="J383" t="str">
        <f>IF(_xlfn.CONCAT(Filtering!A383,Filtering!B383,Filtering!C383)=$M$2,Filtering!D383,"N/A")</f>
        <v>N/A</v>
      </c>
    </row>
    <row r="384" spans="3:10" x14ac:dyDescent="0.25">
      <c r="C384" t="str">
        <f>IF(Filtering!F384&gt;0,Filtering!B384,"N/A")</f>
        <v>N/A</v>
      </c>
      <c r="D384" t="str">
        <f>IF('Data Validation'!C384=Filtering!B384,Filtering!C384,"N/A")</f>
        <v>N/A</v>
      </c>
      <c r="J384" t="str">
        <f>IF(_xlfn.CONCAT(Filtering!A384,Filtering!B384,Filtering!C384)=$M$2,Filtering!D384,"N/A")</f>
        <v>N/A</v>
      </c>
    </row>
    <row r="385" spans="3:10" x14ac:dyDescent="0.25">
      <c r="C385" t="str">
        <f>IF(Filtering!F385&gt;0,Filtering!B385,"N/A")</f>
        <v>N/A</v>
      </c>
      <c r="D385" t="str">
        <f>IF('Data Validation'!C385=Filtering!B385,Filtering!C385,"N/A")</f>
        <v>N/A</v>
      </c>
      <c r="J385" t="str">
        <f>IF(_xlfn.CONCAT(Filtering!A385,Filtering!B385,Filtering!C385)=$M$2,Filtering!D385,"N/A")</f>
        <v>N/A</v>
      </c>
    </row>
    <row r="386" spans="3:10" x14ac:dyDescent="0.25">
      <c r="C386" t="str">
        <f>IF(Filtering!F386&gt;0,Filtering!B386,"N/A")</f>
        <v>N/A</v>
      </c>
      <c r="D386" t="str">
        <f>IF('Data Validation'!C386=Filtering!B386,Filtering!C386,"N/A")</f>
        <v>N/A</v>
      </c>
      <c r="J386" t="str">
        <f>IF(_xlfn.CONCAT(Filtering!A386,Filtering!B386,Filtering!C386)=$M$2,Filtering!D386,"N/A")</f>
        <v>N/A</v>
      </c>
    </row>
    <row r="387" spans="3:10" x14ac:dyDescent="0.25">
      <c r="C387" t="str">
        <f>IF(Filtering!F387&gt;0,Filtering!B387,"N/A")</f>
        <v>N/A</v>
      </c>
      <c r="D387" t="str">
        <f>IF('Data Validation'!C387=Filtering!B387,Filtering!C387,"N/A")</f>
        <v>N/A</v>
      </c>
      <c r="J387" t="str">
        <f>IF(_xlfn.CONCAT(Filtering!A387,Filtering!B387,Filtering!C387)=$M$2,Filtering!D387,"N/A")</f>
        <v>N/A</v>
      </c>
    </row>
    <row r="388" spans="3:10" x14ac:dyDescent="0.25">
      <c r="C388" t="str">
        <f>IF(Filtering!F388&gt;0,Filtering!B388,"N/A")</f>
        <v>N/A</v>
      </c>
      <c r="D388" t="str">
        <f>IF('Data Validation'!C388=Filtering!B388,Filtering!C388,"N/A")</f>
        <v>N/A</v>
      </c>
      <c r="J388" t="str">
        <f>IF(_xlfn.CONCAT(Filtering!A388,Filtering!B388,Filtering!C388)=$M$2,Filtering!D388,"N/A")</f>
        <v>N/A</v>
      </c>
    </row>
    <row r="389" spans="3:10" x14ac:dyDescent="0.25">
      <c r="C389" t="str">
        <f>IF(Filtering!F389&gt;0,Filtering!B389,"N/A")</f>
        <v>N/A</v>
      </c>
      <c r="D389" t="str">
        <f>IF('Data Validation'!C389=Filtering!B389,Filtering!C389,"N/A")</f>
        <v>N/A</v>
      </c>
      <c r="J389" t="str">
        <f>IF(_xlfn.CONCAT(Filtering!A389,Filtering!B389,Filtering!C389)=$M$2,Filtering!D389,"N/A")</f>
        <v>N/A</v>
      </c>
    </row>
    <row r="390" spans="3:10" x14ac:dyDescent="0.25">
      <c r="C390" t="str">
        <f>IF(Filtering!F390&gt;0,Filtering!B390,"N/A")</f>
        <v>N/A</v>
      </c>
      <c r="D390" t="str">
        <f>IF('Data Validation'!C390=Filtering!B390,Filtering!C390,"N/A")</f>
        <v>N/A</v>
      </c>
      <c r="J390" t="str">
        <f>IF(_xlfn.CONCAT(Filtering!A390,Filtering!B390,Filtering!C390)=$M$2,Filtering!D390,"N/A")</f>
        <v>N/A</v>
      </c>
    </row>
    <row r="391" spans="3:10" x14ac:dyDescent="0.25">
      <c r="C391" t="str">
        <f>IF(Filtering!F391&gt;0,Filtering!B391,"N/A")</f>
        <v>N/A</v>
      </c>
      <c r="D391" t="str">
        <f>IF('Data Validation'!C391=Filtering!B391,Filtering!C391,"N/A")</f>
        <v>N/A</v>
      </c>
      <c r="J391" t="str">
        <f>IF(_xlfn.CONCAT(Filtering!A391,Filtering!B391,Filtering!C391)=$M$2,Filtering!D391,"N/A")</f>
        <v>N/A</v>
      </c>
    </row>
    <row r="392" spans="3:10" x14ac:dyDescent="0.25">
      <c r="C392" t="str">
        <f>IF(Filtering!F392&gt;0,Filtering!B392,"N/A")</f>
        <v>N/A</v>
      </c>
      <c r="D392" t="str">
        <f>IF('Data Validation'!C392=Filtering!B392,Filtering!C392,"N/A")</f>
        <v>N/A</v>
      </c>
      <c r="J392" t="str">
        <f>IF(_xlfn.CONCAT(Filtering!A392,Filtering!B392,Filtering!C392)=$M$2,Filtering!D392,"N/A")</f>
        <v>N/A</v>
      </c>
    </row>
    <row r="393" spans="3:10" x14ac:dyDescent="0.25">
      <c r="C393" t="str">
        <f>IF(Filtering!F393&gt;0,Filtering!B393,"N/A")</f>
        <v>N/A</v>
      </c>
      <c r="D393" t="str">
        <f>IF('Data Validation'!C393=Filtering!B393,Filtering!C393,"N/A")</f>
        <v>N/A</v>
      </c>
      <c r="J393" t="str">
        <f>IF(_xlfn.CONCAT(Filtering!A393,Filtering!B393,Filtering!C393)=$M$2,Filtering!D393,"N/A")</f>
        <v>N/A</v>
      </c>
    </row>
    <row r="394" spans="3:10" x14ac:dyDescent="0.25">
      <c r="C394" t="str">
        <f>IF(Filtering!F394&gt;0,Filtering!B394,"N/A")</f>
        <v>N/A</v>
      </c>
      <c r="D394" t="str">
        <f>IF('Data Validation'!C394=Filtering!B394,Filtering!C394,"N/A")</f>
        <v>N/A</v>
      </c>
      <c r="J394" t="str">
        <f>IF(_xlfn.CONCAT(Filtering!A394,Filtering!B394,Filtering!C394)=$M$2,Filtering!D394,"N/A")</f>
        <v>N/A</v>
      </c>
    </row>
    <row r="395" spans="3:10" x14ac:dyDescent="0.25">
      <c r="C395" t="str">
        <f>IF(Filtering!F395&gt;0,Filtering!B395,"N/A")</f>
        <v>N/A</v>
      </c>
      <c r="D395" t="str">
        <f>IF('Data Validation'!C395=Filtering!B395,Filtering!C395,"N/A")</f>
        <v>N/A</v>
      </c>
      <c r="J395" t="str">
        <f>IF(_xlfn.CONCAT(Filtering!A395,Filtering!B395,Filtering!C395)=$M$2,Filtering!D395,"N/A")</f>
        <v>N/A</v>
      </c>
    </row>
    <row r="396" spans="3:10" x14ac:dyDescent="0.25">
      <c r="C396" t="str">
        <f>IF(Filtering!F396&gt;0,Filtering!B396,"N/A")</f>
        <v>N/A</v>
      </c>
      <c r="D396" t="str">
        <f>IF('Data Validation'!C396=Filtering!B396,Filtering!C396,"N/A")</f>
        <v>N/A</v>
      </c>
      <c r="J396" t="str">
        <f>IF(_xlfn.CONCAT(Filtering!A396,Filtering!B396,Filtering!C396)=$M$2,Filtering!D396,"N/A")</f>
        <v>N/A</v>
      </c>
    </row>
    <row r="397" spans="3:10" x14ac:dyDescent="0.25">
      <c r="C397" t="str">
        <f>IF(Filtering!F397&gt;0,Filtering!B397,"N/A")</f>
        <v>N/A</v>
      </c>
      <c r="D397" t="str">
        <f>IF('Data Validation'!C397=Filtering!B397,Filtering!C397,"N/A")</f>
        <v>N/A</v>
      </c>
      <c r="J397" t="str">
        <f>IF(_xlfn.CONCAT(Filtering!A397,Filtering!B397,Filtering!C397)=$M$2,Filtering!D397,"N/A")</f>
        <v>N/A</v>
      </c>
    </row>
    <row r="398" spans="3:10" x14ac:dyDescent="0.25">
      <c r="C398" t="str">
        <f>IF(Filtering!F398&gt;0,Filtering!B398,"N/A")</f>
        <v>N/A</v>
      </c>
      <c r="D398" t="str">
        <f>IF('Data Validation'!C398=Filtering!B398,Filtering!C398,"N/A")</f>
        <v>N/A</v>
      </c>
      <c r="J398" t="str">
        <f>IF(_xlfn.CONCAT(Filtering!A398,Filtering!B398,Filtering!C398)=$M$2,Filtering!D398,"N/A")</f>
        <v>N/A</v>
      </c>
    </row>
    <row r="399" spans="3:10" x14ac:dyDescent="0.25">
      <c r="C399" t="str">
        <f>IF(Filtering!F399&gt;0,Filtering!B399,"N/A")</f>
        <v>N/A</v>
      </c>
      <c r="D399" t="str">
        <f>IF('Data Validation'!C399=Filtering!B399,Filtering!C399,"N/A")</f>
        <v>N/A</v>
      </c>
      <c r="J399" t="str">
        <f>IF(_xlfn.CONCAT(Filtering!A399,Filtering!B399,Filtering!C399)=$M$2,Filtering!D399,"N/A")</f>
        <v>N/A</v>
      </c>
    </row>
    <row r="400" spans="3:10" x14ac:dyDescent="0.25">
      <c r="C400" t="str">
        <f>IF(Filtering!F400&gt;0,Filtering!B400,"N/A")</f>
        <v>N/A</v>
      </c>
      <c r="D400" t="str">
        <f>IF('Data Validation'!C400=Filtering!B400,Filtering!C400,"N/A")</f>
        <v>N/A</v>
      </c>
      <c r="J400" t="str">
        <f>IF(_xlfn.CONCAT(Filtering!A400,Filtering!B400,Filtering!C400)=$M$2,Filtering!D400,"N/A")</f>
        <v>N/A</v>
      </c>
    </row>
    <row r="401" spans="3:10" x14ac:dyDescent="0.25">
      <c r="C401" t="str">
        <f>IF(Filtering!F401&gt;0,Filtering!B401,"N/A")</f>
        <v>N/A</v>
      </c>
      <c r="D401" t="str">
        <f>IF('Data Validation'!C401=Filtering!B401,Filtering!C401,"N/A")</f>
        <v>N/A</v>
      </c>
      <c r="J401" t="str">
        <f>IF(_xlfn.CONCAT(Filtering!A401,Filtering!B401,Filtering!C401)=$M$2,Filtering!D401,"N/A")</f>
        <v>N/A</v>
      </c>
    </row>
    <row r="402" spans="3:10" x14ac:dyDescent="0.25">
      <c r="C402" t="str">
        <f>IF(Filtering!F402&gt;0,Filtering!B402,"N/A")</f>
        <v>N/A</v>
      </c>
      <c r="D402" t="str">
        <f>IF('Data Validation'!C402=Filtering!B402,Filtering!C402,"N/A")</f>
        <v>N/A</v>
      </c>
      <c r="J402" t="str">
        <f>IF(_xlfn.CONCAT(Filtering!A402,Filtering!B402,Filtering!C402)=$M$2,Filtering!D402,"N/A")</f>
        <v>N/A</v>
      </c>
    </row>
    <row r="403" spans="3:10" x14ac:dyDescent="0.25">
      <c r="C403" t="str">
        <f>IF(Filtering!F403&gt;0,Filtering!B403,"N/A")</f>
        <v>N/A</v>
      </c>
      <c r="D403" t="str">
        <f>IF('Data Validation'!C403=Filtering!B403,Filtering!C403,"N/A")</f>
        <v>N/A</v>
      </c>
      <c r="J403" t="str">
        <f>IF(_xlfn.CONCAT(Filtering!A403,Filtering!B403,Filtering!C403)=$M$2,Filtering!D403,"N/A")</f>
        <v>N/A</v>
      </c>
    </row>
    <row r="404" spans="3:10" x14ac:dyDescent="0.25">
      <c r="C404" t="str">
        <f>IF(Filtering!F404&gt;0,Filtering!B404,"N/A")</f>
        <v>N/A</v>
      </c>
      <c r="D404" t="str">
        <f>IF('Data Validation'!C404=Filtering!B404,Filtering!C404,"N/A")</f>
        <v>N/A</v>
      </c>
      <c r="J404" t="str">
        <f>IF(_xlfn.CONCAT(Filtering!A404,Filtering!B404,Filtering!C404)=$M$2,Filtering!D404,"N/A")</f>
        <v>N/A</v>
      </c>
    </row>
    <row r="405" spans="3:10" x14ac:dyDescent="0.25">
      <c r="C405" t="str">
        <f>IF(Filtering!F405&gt;0,Filtering!B405,"N/A")</f>
        <v>N/A</v>
      </c>
      <c r="D405" t="str">
        <f>IF('Data Validation'!C405=Filtering!B405,Filtering!C405,"N/A")</f>
        <v>N/A</v>
      </c>
      <c r="J405" t="str">
        <f>IF(_xlfn.CONCAT(Filtering!A405,Filtering!B405,Filtering!C405)=$M$2,Filtering!D405,"N/A")</f>
        <v>N/A</v>
      </c>
    </row>
    <row r="406" spans="3:10" x14ac:dyDescent="0.25">
      <c r="C406" t="str">
        <f>IF(Filtering!F406&gt;0,Filtering!B406,"N/A")</f>
        <v>N/A</v>
      </c>
      <c r="D406" t="str">
        <f>IF('Data Validation'!C406=Filtering!B406,Filtering!C406,"N/A")</f>
        <v>N/A</v>
      </c>
      <c r="J406" t="str">
        <f>IF(_xlfn.CONCAT(Filtering!A406,Filtering!B406,Filtering!C406)=$M$2,Filtering!D406,"N/A")</f>
        <v>N/A</v>
      </c>
    </row>
    <row r="407" spans="3:10" x14ac:dyDescent="0.25">
      <c r="C407" t="str">
        <f>IF(Filtering!F407&gt;0,Filtering!B407,"N/A")</f>
        <v>N/A</v>
      </c>
      <c r="D407" t="str">
        <f>IF('Data Validation'!C407=Filtering!B407,Filtering!C407,"N/A")</f>
        <v>N/A</v>
      </c>
      <c r="J407" t="str">
        <f>IF(_xlfn.CONCAT(Filtering!A407,Filtering!B407,Filtering!C407)=$M$2,Filtering!D407,"N/A")</f>
        <v>N/A</v>
      </c>
    </row>
    <row r="408" spans="3:10" x14ac:dyDescent="0.25">
      <c r="C408" t="str">
        <f>IF(Filtering!F408&gt;0,Filtering!B408,"N/A")</f>
        <v>N/A</v>
      </c>
      <c r="D408" t="str">
        <f>IF('Data Validation'!C408=Filtering!B408,Filtering!C408,"N/A")</f>
        <v>N/A</v>
      </c>
      <c r="J408" t="str">
        <f>IF(_xlfn.CONCAT(Filtering!A408,Filtering!B408,Filtering!C408)=$M$2,Filtering!D408,"N/A")</f>
        <v>N/A</v>
      </c>
    </row>
    <row r="409" spans="3:10" x14ac:dyDescent="0.25">
      <c r="C409" t="str">
        <f>IF(Filtering!F409&gt;0,Filtering!B409,"N/A")</f>
        <v>N/A</v>
      </c>
      <c r="D409" t="str">
        <f>IF('Data Validation'!C409=Filtering!B409,Filtering!C409,"N/A")</f>
        <v>N/A</v>
      </c>
      <c r="J409" t="str">
        <f>IF(_xlfn.CONCAT(Filtering!A409,Filtering!B409,Filtering!C409)=$M$2,Filtering!D409,"N/A")</f>
        <v>N/A</v>
      </c>
    </row>
    <row r="410" spans="3:10" x14ac:dyDescent="0.25">
      <c r="C410" t="str">
        <f>IF(Filtering!F410&gt;0,Filtering!B410,"N/A")</f>
        <v>N/A</v>
      </c>
      <c r="D410" t="str">
        <f>IF('Data Validation'!C410=Filtering!B410,Filtering!C410,"N/A")</f>
        <v>N/A</v>
      </c>
      <c r="J410" t="str">
        <f>IF(_xlfn.CONCAT(Filtering!A410,Filtering!B410,Filtering!C410)=$M$2,Filtering!D410,"N/A")</f>
        <v>N/A</v>
      </c>
    </row>
    <row r="411" spans="3:10" x14ac:dyDescent="0.25">
      <c r="C411" t="str">
        <f>IF(Filtering!F411&gt;0,Filtering!B411,"N/A")</f>
        <v>N/A</v>
      </c>
      <c r="D411" t="str">
        <f>IF('Data Validation'!C411=Filtering!B411,Filtering!C411,"N/A")</f>
        <v>N/A</v>
      </c>
      <c r="J411" t="str">
        <f>IF(_xlfn.CONCAT(Filtering!A411,Filtering!B411,Filtering!C411)=$M$2,Filtering!D411,"N/A")</f>
        <v>N/A</v>
      </c>
    </row>
    <row r="412" spans="3:10" x14ac:dyDescent="0.25">
      <c r="C412" t="str">
        <f>IF(Filtering!F412&gt;0,Filtering!B412,"N/A")</f>
        <v>N/A</v>
      </c>
      <c r="D412" t="str">
        <f>IF('Data Validation'!C412=Filtering!B412,Filtering!C412,"N/A")</f>
        <v>N/A</v>
      </c>
      <c r="J412" t="str">
        <f>IF(_xlfn.CONCAT(Filtering!A412,Filtering!B412,Filtering!C412)=$M$2,Filtering!D412,"N/A")</f>
        <v>N/A</v>
      </c>
    </row>
    <row r="413" spans="3:10" x14ac:dyDescent="0.25">
      <c r="C413" t="str">
        <f>IF(Filtering!F413&gt;0,Filtering!B413,"N/A")</f>
        <v>N/A</v>
      </c>
      <c r="D413" t="str">
        <f>IF('Data Validation'!C413=Filtering!B413,Filtering!C413,"N/A")</f>
        <v>N/A</v>
      </c>
      <c r="J413" t="str">
        <f>IF(_xlfn.CONCAT(Filtering!A413,Filtering!B413,Filtering!C413)=$M$2,Filtering!D413,"N/A")</f>
        <v>N/A</v>
      </c>
    </row>
    <row r="414" spans="3:10" x14ac:dyDescent="0.25">
      <c r="C414" t="str">
        <f>IF(Filtering!F414&gt;0,Filtering!B414,"N/A")</f>
        <v>N/A</v>
      </c>
      <c r="D414" t="str">
        <f>IF('Data Validation'!C414=Filtering!B414,Filtering!C414,"N/A")</f>
        <v>N/A</v>
      </c>
      <c r="J414" t="str">
        <f>IF(_xlfn.CONCAT(Filtering!A414,Filtering!B414,Filtering!C414)=$M$2,Filtering!D414,"N/A")</f>
        <v>N/A</v>
      </c>
    </row>
    <row r="415" spans="3:10" x14ac:dyDescent="0.25">
      <c r="C415" t="str">
        <f>IF(Filtering!F415&gt;0,Filtering!B415,"N/A")</f>
        <v>N/A</v>
      </c>
      <c r="D415" t="str">
        <f>IF('Data Validation'!C415=Filtering!B415,Filtering!C415,"N/A")</f>
        <v>N/A</v>
      </c>
      <c r="J415" t="str">
        <f>IF(_xlfn.CONCAT(Filtering!A415,Filtering!B415,Filtering!C415)=$M$2,Filtering!D415,"N/A")</f>
        <v>N/A</v>
      </c>
    </row>
    <row r="416" spans="3:10" x14ac:dyDescent="0.25">
      <c r="C416" t="str">
        <f>IF(Filtering!F416&gt;0,Filtering!B416,"N/A")</f>
        <v>N/A</v>
      </c>
      <c r="D416" t="str">
        <f>IF('Data Validation'!C416=Filtering!B416,Filtering!C416,"N/A")</f>
        <v>N/A</v>
      </c>
      <c r="J416" t="str">
        <f>IF(_xlfn.CONCAT(Filtering!A416,Filtering!B416,Filtering!C416)=$M$2,Filtering!D416,"N/A")</f>
        <v>N/A</v>
      </c>
    </row>
    <row r="417" spans="3:10" x14ac:dyDescent="0.25">
      <c r="C417" t="str">
        <f>IF(Filtering!F417&gt;0,Filtering!B417,"N/A")</f>
        <v>N/A</v>
      </c>
      <c r="D417" t="str">
        <f>IF('Data Validation'!C417=Filtering!B417,Filtering!C417,"N/A")</f>
        <v>N/A</v>
      </c>
      <c r="J417" t="str">
        <f>IF(_xlfn.CONCAT(Filtering!A417,Filtering!B417,Filtering!C417)=$M$2,Filtering!D417,"N/A")</f>
        <v>N/A</v>
      </c>
    </row>
    <row r="418" spans="3:10" x14ac:dyDescent="0.25">
      <c r="C418" t="str">
        <f>IF(Filtering!F418&gt;0,Filtering!B418,"N/A")</f>
        <v>N/A</v>
      </c>
      <c r="D418" t="str">
        <f>IF('Data Validation'!C418=Filtering!B418,Filtering!C418,"N/A")</f>
        <v>N/A</v>
      </c>
      <c r="J418" t="str">
        <f>IF(_xlfn.CONCAT(Filtering!A418,Filtering!B418,Filtering!C418)=$M$2,Filtering!D418,"N/A")</f>
        <v>N/A</v>
      </c>
    </row>
    <row r="419" spans="3:10" x14ac:dyDescent="0.25">
      <c r="C419" t="str">
        <f>IF(Filtering!F419&gt;0,Filtering!B419,"N/A")</f>
        <v>N/A</v>
      </c>
      <c r="D419" t="str">
        <f>IF('Data Validation'!C419=Filtering!B419,Filtering!C419,"N/A")</f>
        <v>N/A</v>
      </c>
      <c r="J419" t="str">
        <f>IF(_xlfn.CONCAT(Filtering!A419,Filtering!B419,Filtering!C419)=$M$2,Filtering!D419,"N/A")</f>
        <v>N/A</v>
      </c>
    </row>
    <row r="420" spans="3:10" x14ac:dyDescent="0.25">
      <c r="C420" t="str">
        <f>IF(Filtering!F420&gt;0,Filtering!B420,"N/A")</f>
        <v>N/A</v>
      </c>
      <c r="D420" t="str">
        <f>IF('Data Validation'!C420=Filtering!B420,Filtering!C420,"N/A")</f>
        <v>N/A</v>
      </c>
      <c r="J420" t="str">
        <f>IF(_xlfn.CONCAT(Filtering!A420,Filtering!B420,Filtering!C420)=$M$2,Filtering!D420,"N/A")</f>
        <v>N/A</v>
      </c>
    </row>
    <row r="421" spans="3:10" x14ac:dyDescent="0.25">
      <c r="C421" t="str">
        <f>IF(Filtering!F421&gt;0,Filtering!B421,"N/A")</f>
        <v>N/A</v>
      </c>
      <c r="D421" t="str">
        <f>IF('Data Validation'!C421=Filtering!B421,Filtering!C421,"N/A")</f>
        <v>N/A</v>
      </c>
      <c r="J421" t="str">
        <f>IF(_xlfn.CONCAT(Filtering!A421,Filtering!B421,Filtering!C421)=$M$2,Filtering!D421,"N/A")</f>
        <v>N/A</v>
      </c>
    </row>
    <row r="422" spans="3:10" x14ac:dyDescent="0.25">
      <c r="C422" t="str">
        <f>IF(Filtering!F422&gt;0,Filtering!B422,"N/A")</f>
        <v>N/A</v>
      </c>
      <c r="D422" t="str">
        <f>IF('Data Validation'!C422=Filtering!B422,Filtering!C422,"N/A")</f>
        <v>N/A</v>
      </c>
      <c r="J422" t="str">
        <f>IF(_xlfn.CONCAT(Filtering!A422,Filtering!B422,Filtering!C422)=$M$2,Filtering!D422,"N/A")</f>
        <v>N/A</v>
      </c>
    </row>
    <row r="423" spans="3:10" x14ac:dyDescent="0.25">
      <c r="C423" t="str">
        <f>IF(Filtering!F423&gt;0,Filtering!B423,"N/A")</f>
        <v>N/A</v>
      </c>
      <c r="D423" t="str">
        <f>IF('Data Validation'!C423=Filtering!B423,Filtering!C423,"N/A")</f>
        <v>N/A</v>
      </c>
      <c r="J423" t="str">
        <f>IF(_xlfn.CONCAT(Filtering!A423,Filtering!B423,Filtering!C423)=$M$2,Filtering!D423,"N/A")</f>
        <v>N/A</v>
      </c>
    </row>
    <row r="424" spans="3:10" x14ac:dyDescent="0.25">
      <c r="C424" t="str">
        <f>IF(Filtering!F424&gt;0,Filtering!B424,"N/A")</f>
        <v>N/A</v>
      </c>
      <c r="D424" t="str">
        <f>IF('Data Validation'!C424=Filtering!B424,Filtering!C424,"N/A")</f>
        <v>N/A</v>
      </c>
      <c r="J424" t="str">
        <f>IF(_xlfn.CONCAT(Filtering!A424,Filtering!B424,Filtering!C424)=$M$2,Filtering!D424,"N/A")</f>
        <v>N/A</v>
      </c>
    </row>
    <row r="425" spans="3:10" x14ac:dyDescent="0.25">
      <c r="C425" t="str">
        <f>IF(Filtering!F425&gt;0,Filtering!B425,"N/A")</f>
        <v>N/A</v>
      </c>
      <c r="D425" t="str">
        <f>IF('Data Validation'!C425=Filtering!B425,Filtering!C425,"N/A")</f>
        <v>N/A</v>
      </c>
      <c r="J425" t="str">
        <f>IF(_xlfn.CONCAT(Filtering!A425,Filtering!B425,Filtering!C425)=$M$2,Filtering!D425,"N/A")</f>
        <v>N/A</v>
      </c>
    </row>
    <row r="426" spans="3:10" x14ac:dyDescent="0.25">
      <c r="C426" t="str">
        <f>IF(Filtering!F426&gt;0,Filtering!B426,"N/A")</f>
        <v>N/A</v>
      </c>
      <c r="D426" t="str">
        <f>IF('Data Validation'!C426=Filtering!B426,Filtering!C426,"N/A")</f>
        <v>N/A</v>
      </c>
      <c r="J426" t="str">
        <f>IF(_xlfn.CONCAT(Filtering!A426,Filtering!B426,Filtering!C426)=$M$2,Filtering!D426,"N/A")</f>
        <v>N/A</v>
      </c>
    </row>
    <row r="427" spans="3:10" x14ac:dyDescent="0.25">
      <c r="C427" t="str">
        <f>IF(Filtering!F427&gt;0,Filtering!B427,"N/A")</f>
        <v>N/A</v>
      </c>
      <c r="D427" t="str">
        <f>IF('Data Validation'!C427=Filtering!B427,Filtering!C427,"N/A")</f>
        <v>N/A</v>
      </c>
      <c r="J427" t="str">
        <f>IF(_xlfn.CONCAT(Filtering!A427,Filtering!B427,Filtering!C427)=$M$2,Filtering!D427,"N/A")</f>
        <v>N/A</v>
      </c>
    </row>
    <row r="428" spans="3:10" x14ac:dyDescent="0.25">
      <c r="C428" t="str">
        <f>IF(Filtering!F428&gt;0,Filtering!B428,"N/A")</f>
        <v>N/A</v>
      </c>
      <c r="D428" t="str">
        <f>IF('Data Validation'!C428=Filtering!B428,Filtering!C428,"N/A")</f>
        <v>N/A</v>
      </c>
      <c r="J428" t="str">
        <f>IF(_xlfn.CONCAT(Filtering!A428,Filtering!B428,Filtering!C428)=$M$2,Filtering!D428,"N/A")</f>
        <v>N/A</v>
      </c>
    </row>
    <row r="429" spans="3:10" x14ac:dyDescent="0.25">
      <c r="C429" t="str">
        <f>IF(Filtering!F429&gt;0,Filtering!B429,"N/A")</f>
        <v>N/A</v>
      </c>
      <c r="D429" t="str">
        <f>IF('Data Validation'!C429=Filtering!B429,Filtering!C429,"N/A")</f>
        <v>N/A</v>
      </c>
      <c r="J429" t="str">
        <f>IF(_xlfn.CONCAT(Filtering!A429,Filtering!B429,Filtering!C429)=$M$2,Filtering!D429,"N/A")</f>
        <v>N/A</v>
      </c>
    </row>
    <row r="430" spans="3:10" x14ac:dyDescent="0.25">
      <c r="C430" t="str">
        <f>IF(Filtering!F430&gt;0,Filtering!B430,"N/A")</f>
        <v>N/A</v>
      </c>
      <c r="D430" t="str">
        <f>IF('Data Validation'!C430=Filtering!B430,Filtering!C430,"N/A")</f>
        <v>N/A</v>
      </c>
      <c r="J430" t="str">
        <f>IF(_xlfn.CONCAT(Filtering!A430,Filtering!B430,Filtering!C430)=$M$2,Filtering!D430,"N/A")</f>
        <v>N/A</v>
      </c>
    </row>
    <row r="431" spans="3:10" x14ac:dyDescent="0.25">
      <c r="C431" t="str">
        <f>IF(Filtering!F431&gt;0,Filtering!B431,"N/A")</f>
        <v>N/A</v>
      </c>
      <c r="D431" t="str">
        <f>IF('Data Validation'!C431=Filtering!B431,Filtering!C431,"N/A")</f>
        <v>N/A</v>
      </c>
      <c r="J431" t="str">
        <f>IF(_xlfn.CONCAT(Filtering!A431,Filtering!B431,Filtering!C431)=$M$2,Filtering!D431,"N/A")</f>
        <v>N/A</v>
      </c>
    </row>
    <row r="432" spans="3:10" x14ac:dyDescent="0.25">
      <c r="C432" t="str">
        <f>IF(Filtering!F432&gt;0,Filtering!B432,"N/A")</f>
        <v>N/A</v>
      </c>
      <c r="D432" t="str">
        <f>IF('Data Validation'!C432=Filtering!B432,Filtering!C432,"N/A")</f>
        <v>N/A</v>
      </c>
      <c r="J432" t="str">
        <f>IF(_xlfn.CONCAT(Filtering!A432,Filtering!B432,Filtering!C432)=$M$2,Filtering!D432,"N/A")</f>
        <v>N/A</v>
      </c>
    </row>
    <row r="433" spans="3:10" x14ac:dyDescent="0.25">
      <c r="C433" t="str">
        <f>IF(Filtering!F433&gt;0,Filtering!B433,"N/A")</f>
        <v>N/A</v>
      </c>
      <c r="D433" t="str">
        <f>IF('Data Validation'!C433=Filtering!B433,Filtering!C433,"N/A")</f>
        <v>N/A</v>
      </c>
      <c r="J433" t="str">
        <f>IF(_xlfn.CONCAT(Filtering!A433,Filtering!B433,Filtering!C433)=$M$2,Filtering!D433,"N/A")</f>
        <v>N/A</v>
      </c>
    </row>
    <row r="434" spans="3:10" x14ac:dyDescent="0.25">
      <c r="C434" t="str">
        <f>IF(Filtering!F434&gt;0,Filtering!B434,"N/A")</f>
        <v>N/A</v>
      </c>
      <c r="D434" t="str">
        <f>IF('Data Validation'!C434=Filtering!B434,Filtering!C434,"N/A")</f>
        <v>N/A</v>
      </c>
      <c r="J434" t="str">
        <f>IF(_xlfn.CONCAT(Filtering!A434,Filtering!B434,Filtering!C434)=$M$2,Filtering!D434,"N/A")</f>
        <v>N/A</v>
      </c>
    </row>
    <row r="435" spans="3:10" x14ac:dyDescent="0.25">
      <c r="C435" t="str">
        <f>IF(Filtering!F435&gt;0,Filtering!B435,"N/A")</f>
        <v>N/A</v>
      </c>
      <c r="D435" t="str">
        <f>IF('Data Validation'!C435=Filtering!B435,Filtering!C435,"N/A")</f>
        <v>N/A</v>
      </c>
      <c r="J435" t="str">
        <f>IF(_xlfn.CONCAT(Filtering!A435,Filtering!B435,Filtering!C435)=$M$2,Filtering!D435,"N/A")</f>
        <v>N/A</v>
      </c>
    </row>
    <row r="436" spans="3:10" x14ac:dyDescent="0.25">
      <c r="C436" t="str">
        <f>IF(Filtering!F436&gt;0,Filtering!B436,"N/A")</f>
        <v>N/A</v>
      </c>
      <c r="D436" t="str">
        <f>IF('Data Validation'!C436=Filtering!B436,Filtering!C436,"N/A")</f>
        <v>N/A</v>
      </c>
      <c r="J436" t="str">
        <f>IF(_xlfn.CONCAT(Filtering!A436,Filtering!B436,Filtering!C436)=$M$2,Filtering!D436,"N/A")</f>
        <v>N/A</v>
      </c>
    </row>
    <row r="437" spans="3:10" x14ac:dyDescent="0.25">
      <c r="C437" t="str">
        <f>IF(Filtering!F437&gt;0,Filtering!B437,"N/A")</f>
        <v>N/A</v>
      </c>
      <c r="D437" t="str">
        <f>IF('Data Validation'!C437=Filtering!B437,Filtering!C437,"N/A")</f>
        <v>N/A</v>
      </c>
      <c r="J437" t="str">
        <f>IF(_xlfn.CONCAT(Filtering!A437,Filtering!B437,Filtering!C437)=$M$2,Filtering!D437,"N/A")</f>
        <v>N/A</v>
      </c>
    </row>
    <row r="438" spans="3:10" x14ac:dyDescent="0.25">
      <c r="C438" t="str">
        <f>IF(Filtering!F438&gt;0,Filtering!B438,"N/A")</f>
        <v>N/A</v>
      </c>
      <c r="D438" t="str">
        <f>IF('Data Validation'!C438=Filtering!B438,Filtering!C438,"N/A")</f>
        <v>N/A</v>
      </c>
      <c r="J438" t="str">
        <f>IF(_xlfn.CONCAT(Filtering!A438,Filtering!B438,Filtering!C438)=$M$2,Filtering!D438,"N/A")</f>
        <v>N/A</v>
      </c>
    </row>
    <row r="439" spans="3:10" x14ac:dyDescent="0.25">
      <c r="C439" t="str">
        <f>IF(Filtering!F439&gt;0,Filtering!B439,"N/A")</f>
        <v>N/A</v>
      </c>
      <c r="D439" t="str">
        <f>IF('Data Validation'!C439=Filtering!B439,Filtering!C439,"N/A")</f>
        <v>N/A</v>
      </c>
      <c r="J439" t="str">
        <f>IF(_xlfn.CONCAT(Filtering!A439,Filtering!B439,Filtering!C439)=$M$2,Filtering!D439,"N/A")</f>
        <v>N/A</v>
      </c>
    </row>
    <row r="440" spans="3:10" x14ac:dyDescent="0.25">
      <c r="C440" t="str">
        <f>IF(Filtering!F440&gt;0,Filtering!B440,"N/A")</f>
        <v>N/A</v>
      </c>
      <c r="D440" t="str">
        <f>IF('Data Validation'!C440=Filtering!B440,Filtering!C440,"N/A")</f>
        <v>N/A</v>
      </c>
      <c r="J440" t="str">
        <f>IF(_xlfn.CONCAT(Filtering!A440,Filtering!B440,Filtering!C440)=$M$2,Filtering!D440,"N/A")</f>
        <v>N/A</v>
      </c>
    </row>
    <row r="441" spans="3:10" x14ac:dyDescent="0.25">
      <c r="C441" t="str">
        <f>IF(Filtering!F441&gt;0,Filtering!B441,"N/A")</f>
        <v>N/A</v>
      </c>
      <c r="D441" t="str">
        <f>IF('Data Validation'!C441=Filtering!B441,Filtering!C441,"N/A")</f>
        <v>N/A</v>
      </c>
      <c r="J441" t="str">
        <f>IF(_xlfn.CONCAT(Filtering!A441,Filtering!B441,Filtering!C441)=$M$2,Filtering!D441,"N/A")</f>
        <v>N/A</v>
      </c>
    </row>
    <row r="442" spans="3:10" x14ac:dyDescent="0.25">
      <c r="C442" t="str">
        <f>IF(Filtering!F442&gt;0,Filtering!B442,"N/A")</f>
        <v>N/A</v>
      </c>
      <c r="D442" t="str">
        <f>IF('Data Validation'!C442=Filtering!B442,Filtering!C442,"N/A")</f>
        <v>N/A</v>
      </c>
      <c r="J442" t="str">
        <f>IF(_xlfn.CONCAT(Filtering!A442,Filtering!B442,Filtering!C442)=$M$2,Filtering!D442,"N/A")</f>
        <v>N/A</v>
      </c>
    </row>
    <row r="443" spans="3:10" x14ac:dyDescent="0.25">
      <c r="C443" t="str">
        <f>IF(Filtering!F443&gt;0,Filtering!B443,"N/A")</f>
        <v>N/A</v>
      </c>
      <c r="D443" t="str">
        <f>IF('Data Validation'!C443=Filtering!B443,Filtering!C443,"N/A")</f>
        <v>N/A</v>
      </c>
      <c r="J443" t="str">
        <f>IF(_xlfn.CONCAT(Filtering!A443,Filtering!B443,Filtering!C443)=$M$2,Filtering!D443,"N/A")</f>
        <v>N/A</v>
      </c>
    </row>
    <row r="444" spans="3:10" x14ac:dyDescent="0.25">
      <c r="C444" t="str">
        <f>IF(Filtering!F444&gt;0,Filtering!B444,"N/A")</f>
        <v>N/A</v>
      </c>
      <c r="D444" t="str">
        <f>IF('Data Validation'!C444=Filtering!B444,Filtering!C444,"N/A")</f>
        <v>N/A</v>
      </c>
      <c r="J444" t="str">
        <f>IF(_xlfn.CONCAT(Filtering!A444,Filtering!B444,Filtering!C444)=$M$2,Filtering!D444,"N/A")</f>
        <v>N/A</v>
      </c>
    </row>
    <row r="445" spans="3:10" x14ac:dyDescent="0.25">
      <c r="C445" t="str">
        <f>IF(Filtering!F445&gt;0,Filtering!B445,"N/A")</f>
        <v>N/A</v>
      </c>
      <c r="D445" t="str">
        <f>IF('Data Validation'!C445=Filtering!B445,Filtering!C445,"N/A")</f>
        <v>N/A</v>
      </c>
      <c r="J445" t="str">
        <f>IF(_xlfn.CONCAT(Filtering!A445,Filtering!B445,Filtering!C445)=$M$2,Filtering!D445,"N/A")</f>
        <v>N/A</v>
      </c>
    </row>
    <row r="446" spans="3:10" x14ac:dyDescent="0.25">
      <c r="C446" t="str">
        <f>IF(Filtering!F446&gt;0,Filtering!B446,"N/A")</f>
        <v>N/A</v>
      </c>
      <c r="D446" t="str">
        <f>IF('Data Validation'!C446=Filtering!B446,Filtering!C446,"N/A")</f>
        <v>N/A</v>
      </c>
      <c r="J446" t="str">
        <f>IF(_xlfn.CONCAT(Filtering!A446,Filtering!B446,Filtering!C446)=$M$2,Filtering!D446,"N/A")</f>
        <v>N/A</v>
      </c>
    </row>
    <row r="447" spans="3:10" x14ac:dyDescent="0.25">
      <c r="C447" t="str">
        <f>IF(Filtering!F447&gt;0,Filtering!B447,"N/A")</f>
        <v>N/A</v>
      </c>
      <c r="D447" t="str">
        <f>IF('Data Validation'!C447=Filtering!B447,Filtering!C447,"N/A")</f>
        <v>N/A</v>
      </c>
      <c r="J447" t="str">
        <f>IF(_xlfn.CONCAT(Filtering!A447,Filtering!B447,Filtering!C447)=$M$2,Filtering!D447,"N/A")</f>
        <v>N/A</v>
      </c>
    </row>
    <row r="448" spans="3:10" x14ac:dyDescent="0.25">
      <c r="C448" t="str">
        <f>IF(Filtering!F448&gt;0,Filtering!B448,"N/A")</f>
        <v>N/A</v>
      </c>
      <c r="D448" t="str">
        <f>IF('Data Validation'!C448=Filtering!B448,Filtering!C448,"N/A")</f>
        <v>N/A</v>
      </c>
      <c r="J448" t="str">
        <f>IF(_xlfn.CONCAT(Filtering!A448,Filtering!B448,Filtering!C448)=$M$2,Filtering!D448,"N/A")</f>
        <v>N/A</v>
      </c>
    </row>
    <row r="449" spans="3:10" x14ac:dyDescent="0.25">
      <c r="C449" t="str">
        <f>IF(Filtering!F449&gt;0,Filtering!B449,"N/A")</f>
        <v>N/A</v>
      </c>
      <c r="D449" t="str">
        <f>IF('Data Validation'!C449=Filtering!B449,Filtering!C449,"N/A")</f>
        <v>N/A</v>
      </c>
      <c r="J449" t="str">
        <f>IF(_xlfn.CONCAT(Filtering!A449,Filtering!B449,Filtering!C449)=$M$2,Filtering!D449,"N/A")</f>
        <v>N/A</v>
      </c>
    </row>
    <row r="450" spans="3:10" x14ac:dyDescent="0.25">
      <c r="C450" t="str">
        <f>IF(Filtering!F450&gt;0,Filtering!B450,"N/A")</f>
        <v>N/A</v>
      </c>
      <c r="D450" t="str">
        <f>IF('Data Validation'!C450=Filtering!B450,Filtering!C450,"N/A")</f>
        <v>N/A</v>
      </c>
      <c r="J450" t="str">
        <f>IF(_xlfn.CONCAT(Filtering!A450,Filtering!B450,Filtering!C450)=$M$2,Filtering!D450,"N/A")</f>
        <v>N/A</v>
      </c>
    </row>
    <row r="451" spans="3:10" x14ac:dyDescent="0.25">
      <c r="C451" t="str">
        <f>IF(Filtering!F451&gt;0,Filtering!B451,"N/A")</f>
        <v>N/A</v>
      </c>
      <c r="D451" t="str">
        <f>IF('Data Validation'!C451=Filtering!B451,Filtering!C451,"N/A")</f>
        <v>N/A</v>
      </c>
      <c r="J451" t="str">
        <f>IF(_xlfn.CONCAT(Filtering!A451,Filtering!B451,Filtering!C451)=$M$2,Filtering!D451,"N/A")</f>
        <v>N/A</v>
      </c>
    </row>
    <row r="452" spans="3:10" x14ac:dyDescent="0.25">
      <c r="C452" t="str">
        <f>IF(Filtering!F452&gt;0,Filtering!B452,"N/A")</f>
        <v>N/A</v>
      </c>
      <c r="D452" t="str">
        <f>IF('Data Validation'!C452=Filtering!B452,Filtering!C452,"N/A")</f>
        <v>N/A</v>
      </c>
      <c r="J452" t="str">
        <f>IF(_xlfn.CONCAT(Filtering!A452,Filtering!B452,Filtering!C452)=$M$2,Filtering!D452,"N/A")</f>
        <v>N/A</v>
      </c>
    </row>
    <row r="453" spans="3:10" x14ac:dyDescent="0.25">
      <c r="C453" t="str">
        <f>IF(Filtering!F453&gt;0,Filtering!B453,"N/A")</f>
        <v>N/A</v>
      </c>
      <c r="D453" t="str">
        <f>IF('Data Validation'!C453=Filtering!B453,Filtering!C453,"N/A")</f>
        <v>N/A</v>
      </c>
      <c r="J453" t="str">
        <f>IF(_xlfn.CONCAT(Filtering!A453,Filtering!B453,Filtering!C453)=$M$2,Filtering!D453,"N/A")</f>
        <v>N/A</v>
      </c>
    </row>
    <row r="454" spans="3:10" x14ac:dyDescent="0.25">
      <c r="C454" t="str">
        <f>IF(Filtering!F454&gt;0,Filtering!B454,"N/A")</f>
        <v>N/A</v>
      </c>
      <c r="D454" t="str">
        <f>IF('Data Validation'!C454=Filtering!B454,Filtering!C454,"N/A")</f>
        <v>N/A</v>
      </c>
      <c r="J454" t="str">
        <f>IF(_xlfn.CONCAT(Filtering!A454,Filtering!B454,Filtering!C454)=$M$2,Filtering!D454,"N/A")</f>
        <v>N/A</v>
      </c>
    </row>
    <row r="455" spans="3:10" x14ac:dyDescent="0.25">
      <c r="C455" t="str">
        <f>IF(Filtering!F455&gt;0,Filtering!B455,"N/A")</f>
        <v>N/A</v>
      </c>
      <c r="D455" t="str">
        <f>IF('Data Validation'!C455=Filtering!B455,Filtering!C455,"N/A")</f>
        <v>N/A</v>
      </c>
      <c r="J455" t="str">
        <f>IF(_xlfn.CONCAT(Filtering!A455,Filtering!B455,Filtering!C455)=$M$2,Filtering!D455,"N/A")</f>
        <v>N/A</v>
      </c>
    </row>
    <row r="456" spans="3:10" x14ac:dyDescent="0.25">
      <c r="C456" t="str">
        <f>IF(Filtering!F456&gt;0,Filtering!B456,"N/A")</f>
        <v>N/A</v>
      </c>
      <c r="D456" t="str">
        <f>IF('Data Validation'!C456=Filtering!B456,Filtering!C456,"N/A")</f>
        <v>N/A</v>
      </c>
      <c r="J456" t="str">
        <f>IF(_xlfn.CONCAT(Filtering!A456,Filtering!B456,Filtering!C456)=$M$2,Filtering!D456,"N/A")</f>
        <v>N/A</v>
      </c>
    </row>
    <row r="457" spans="3:10" x14ac:dyDescent="0.25">
      <c r="C457" t="str">
        <f>IF(Filtering!F457&gt;0,Filtering!B457,"N/A")</f>
        <v>N/A</v>
      </c>
      <c r="D457" t="str">
        <f>IF('Data Validation'!C457=Filtering!B457,Filtering!C457,"N/A")</f>
        <v>N/A</v>
      </c>
      <c r="J457" t="str">
        <f>IF(_xlfn.CONCAT(Filtering!A457,Filtering!B457,Filtering!C457)=$M$2,Filtering!D457,"N/A")</f>
        <v>N/A</v>
      </c>
    </row>
    <row r="458" spans="3:10" x14ac:dyDescent="0.25">
      <c r="C458" t="str">
        <f>IF(Filtering!F458&gt;0,Filtering!B458,"N/A")</f>
        <v>N/A</v>
      </c>
      <c r="D458" t="str">
        <f>IF('Data Validation'!C458=Filtering!B458,Filtering!C458,"N/A")</f>
        <v>N/A</v>
      </c>
      <c r="J458" t="str">
        <f>IF(_xlfn.CONCAT(Filtering!A458,Filtering!B458,Filtering!C458)=$M$2,Filtering!D458,"N/A")</f>
        <v>N/A</v>
      </c>
    </row>
    <row r="459" spans="3:10" x14ac:dyDescent="0.25">
      <c r="C459" t="str">
        <f>IF(Filtering!F459&gt;0,Filtering!B459,"N/A")</f>
        <v>N/A</v>
      </c>
      <c r="D459" t="str">
        <f>IF('Data Validation'!C459=Filtering!B459,Filtering!C459,"N/A")</f>
        <v>N/A</v>
      </c>
      <c r="J459" t="str">
        <f>IF(_xlfn.CONCAT(Filtering!A459,Filtering!B459,Filtering!C459)=$M$2,Filtering!D459,"N/A")</f>
        <v>N/A</v>
      </c>
    </row>
    <row r="460" spans="3:10" x14ac:dyDescent="0.25">
      <c r="C460" t="str">
        <f>IF(Filtering!F460&gt;0,Filtering!B460,"N/A")</f>
        <v>N/A</v>
      </c>
      <c r="D460" t="str">
        <f>IF('Data Validation'!C460=Filtering!B460,Filtering!C460,"N/A")</f>
        <v>N/A</v>
      </c>
      <c r="J460" t="str">
        <f>IF(_xlfn.CONCAT(Filtering!A460,Filtering!B460,Filtering!C460)=$M$2,Filtering!D460,"N/A")</f>
        <v>N/A</v>
      </c>
    </row>
    <row r="461" spans="3:10" x14ac:dyDescent="0.25">
      <c r="C461" t="str">
        <f>IF(Filtering!F461&gt;0,Filtering!B461,"N/A")</f>
        <v>N/A</v>
      </c>
      <c r="D461" t="str">
        <f>IF('Data Validation'!C461=Filtering!B461,Filtering!C461,"N/A")</f>
        <v>N/A</v>
      </c>
      <c r="J461" t="str">
        <f>IF(_xlfn.CONCAT(Filtering!A461,Filtering!B461,Filtering!C461)=$M$2,Filtering!D461,"N/A")</f>
        <v>N/A</v>
      </c>
    </row>
    <row r="462" spans="3:10" x14ac:dyDescent="0.25">
      <c r="C462" t="str">
        <f>IF(Filtering!F462&gt;0,Filtering!B462,"N/A")</f>
        <v>N/A</v>
      </c>
      <c r="D462" t="str">
        <f>IF('Data Validation'!C462=Filtering!B462,Filtering!C462,"N/A")</f>
        <v>N/A</v>
      </c>
      <c r="J462" t="str">
        <f>IF(_xlfn.CONCAT(Filtering!A462,Filtering!B462,Filtering!C462)=$M$2,Filtering!D462,"N/A")</f>
        <v>N/A</v>
      </c>
    </row>
    <row r="463" spans="3:10" x14ac:dyDescent="0.25">
      <c r="C463" t="str">
        <f>IF(Filtering!F463&gt;0,Filtering!B463,"N/A")</f>
        <v>N/A</v>
      </c>
      <c r="D463" t="str">
        <f>IF('Data Validation'!C463=Filtering!B463,Filtering!C463,"N/A")</f>
        <v>N/A</v>
      </c>
      <c r="J463" t="str">
        <f>IF(_xlfn.CONCAT(Filtering!A463,Filtering!B463,Filtering!C463)=$M$2,Filtering!D463,"N/A")</f>
        <v>N/A</v>
      </c>
    </row>
    <row r="464" spans="3:10" x14ac:dyDescent="0.25">
      <c r="C464" t="str">
        <f>IF(Filtering!F464&gt;0,Filtering!B464,"N/A")</f>
        <v>N/A</v>
      </c>
      <c r="D464" t="str">
        <f>IF('Data Validation'!C464=Filtering!B464,Filtering!C464,"N/A")</f>
        <v>N/A</v>
      </c>
      <c r="J464" t="str">
        <f>IF(_xlfn.CONCAT(Filtering!A464,Filtering!B464,Filtering!C464)=$M$2,Filtering!D464,"N/A")</f>
        <v>N/A</v>
      </c>
    </row>
    <row r="465" spans="3:10" x14ac:dyDescent="0.25">
      <c r="C465" t="str">
        <f>IF(Filtering!F465&gt;0,Filtering!B465,"N/A")</f>
        <v>N/A</v>
      </c>
      <c r="D465" t="str">
        <f>IF('Data Validation'!C465=Filtering!B465,Filtering!C465,"N/A")</f>
        <v>N/A</v>
      </c>
      <c r="J465" t="str">
        <f>IF(_xlfn.CONCAT(Filtering!A465,Filtering!B465,Filtering!C465)=$M$2,Filtering!D465,"N/A")</f>
        <v>N/A</v>
      </c>
    </row>
    <row r="466" spans="3:10" x14ac:dyDescent="0.25">
      <c r="C466" t="str">
        <f>IF(Filtering!F466&gt;0,Filtering!B466,"N/A")</f>
        <v>N/A</v>
      </c>
      <c r="D466" t="str">
        <f>IF('Data Validation'!C466=Filtering!B466,Filtering!C466,"N/A")</f>
        <v>N/A</v>
      </c>
      <c r="J466" t="str">
        <f>IF(_xlfn.CONCAT(Filtering!A466,Filtering!B466,Filtering!C466)=$M$2,Filtering!D466,"N/A")</f>
        <v>N/A</v>
      </c>
    </row>
    <row r="467" spans="3:10" x14ac:dyDescent="0.25">
      <c r="C467" t="str">
        <f>IF(Filtering!F467&gt;0,Filtering!B467,"N/A")</f>
        <v>N/A</v>
      </c>
      <c r="D467" t="str">
        <f>IF('Data Validation'!C467=Filtering!B467,Filtering!C467,"N/A")</f>
        <v>N/A</v>
      </c>
      <c r="J467" t="str">
        <f>IF(_xlfn.CONCAT(Filtering!A467,Filtering!B467,Filtering!C467)=$M$2,Filtering!D467,"N/A")</f>
        <v>N/A</v>
      </c>
    </row>
    <row r="468" spans="3:10" x14ac:dyDescent="0.25">
      <c r="C468" t="str">
        <f>IF(Filtering!F468&gt;0,Filtering!B468,"N/A")</f>
        <v>N/A</v>
      </c>
      <c r="D468" t="str">
        <f>IF('Data Validation'!C468=Filtering!B468,Filtering!C468,"N/A")</f>
        <v>N/A</v>
      </c>
      <c r="J468" t="str">
        <f>IF(_xlfn.CONCAT(Filtering!A468,Filtering!B468,Filtering!C468)=$M$2,Filtering!D468,"N/A")</f>
        <v>N/A</v>
      </c>
    </row>
    <row r="469" spans="3:10" x14ac:dyDescent="0.25">
      <c r="C469" t="str">
        <f>IF(Filtering!F469&gt;0,Filtering!B469,"N/A")</f>
        <v>N/A</v>
      </c>
      <c r="D469" t="str">
        <f>IF('Data Validation'!C469=Filtering!B469,Filtering!C469,"N/A")</f>
        <v>N/A</v>
      </c>
      <c r="J469" t="str">
        <f>IF(_xlfn.CONCAT(Filtering!A469,Filtering!B469,Filtering!C469)=$M$2,Filtering!D469,"N/A")</f>
        <v>N/A</v>
      </c>
    </row>
    <row r="470" spans="3:10" x14ac:dyDescent="0.25">
      <c r="C470" t="str">
        <f>IF(Filtering!F470&gt;0,Filtering!B470,"N/A")</f>
        <v>N/A</v>
      </c>
      <c r="D470" t="str">
        <f>IF('Data Validation'!C470=Filtering!B470,Filtering!C470,"N/A")</f>
        <v>N/A</v>
      </c>
      <c r="J470" t="str">
        <f>IF(_xlfn.CONCAT(Filtering!A470,Filtering!B470,Filtering!C470)=$M$2,Filtering!D470,"N/A")</f>
        <v>N/A</v>
      </c>
    </row>
    <row r="471" spans="3:10" x14ac:dyDescent="0.25">
      <c r="C471" t="str">
        <f>IF(Filtering!F471&gt;0,Filtering!B471,"N/A")</f>
        <v>N/A</v>
      </c>
      <c r="D471" t="str">
        <f>IF('Data Validation'!C471=Filtering!B471,Filtering!C471,"N/A")</f>
        <v>N/A</v>
      </c>
      <c r="J471" t="str">
        <f>IF(_xlfn.CONCAT(Filtering!A471,Filtering!B471,Filtering!C471)=$M$2,Filtering!D471,"N/A")</f>
        <v>N/A</v>
      </c>
    </row>
    <row r="472" spans="3:10" x14ac:dyDescent="0.25">
      <c r="C472" t="str">
        <f>IF(Filtering!F472&gt;0,Filtering!B472,"N/A")</f>
        <v>N/A</v>
      </c>
      <c r="D472" t="str">
        <f>IF('Data Validation'!C472=Filtering!B472,Filtering!C472,"N/A")</f>
        <v>N/A</v>
      </c>
      <c r="J472" t="str">
        <f>IF(_xlfn.CONCAT(Filtering!A472,Filtering!B472,Filtering!C472)=$M$2,Filtering!D472,"N/A")</f>
        <v>N/A</v>
      </c>
    </row>
    <row r="473" spans="3:10" x14ac:dyDescent="0.25">
      <c r="C473" t="str">
        <f>IF(Filtering!F473&gt;0,Filtering!B473,"N/A")</f>
        <v>N/A</v>
      </c>
      <c r="D473" t="str">
        <f>IF('Data Validation'!C473=Filtering!B473,Filtering!C473,"N/A")</f>
        <v>N/A</v>
      </c>
      <c r="J473" t="str">
        <f>IF(_xlfn.CONCAT(Filtering!A473,Filtering!B473,Filtering!C473)=$M$2,Filtering!D473,"N/A")</f>
        <v>N/A</v>
      </c>
    </row>
    <row r="474" spans="3:10" x14ac:dyDescent="0.25">
      <c r="C474" t="str">
        <f>IF(Filtering!F474&gt;0,Filtering!B474,"N/A")</f>
        <v>N/A</v>
      </c>
      <c r="D474" t="str">
        <f>IF('Data Validation'!C474=Filtering!B474,Filtering!C474,"N/A")</f>
        <v>N/A</v>
      </c>
      <c r="J474" t="str">
        <f>IF(_xlfn.CONCAT(Filtering!A474,Filtering!B474,Filtering!C474)=$M$2,Filtering!D474,"N/A")</f>
        <v>N/A</v>
      </c>
    </row>
    <row r="475" spans="3:10" x14ac:dyDescent="0.25">
      <c r="C475" t="str">
        <f>IF(Filtering!F475&gt;0,Filtering!B475,"N/A")</f>
        <v>N/A</v>
      </c>
      <c r="D475" t="str">
        <f>IF('Data Validation'!C475=Filtering!B475,Filtering!C475,"N/A")</f>
        <v>N/A</v>
      </c>
      <c r="J475" t="str">
        <f>IF(_xlfn.CONCAT(Filtering!A475,Filtering!B475,Filtering!C475)=$M$2,Filtering!D475,"N/A")</f>
        <v>N/A</v>
      </c>
    </row>
    <row r="476" spans="3:10" x14ac:dyDescent="0.25">
      <c r="C476" t="str">
        <f>IF(Filtering!F476&gt;0,Filtering!B476,"N/A")</f>
        <v>N/A</v>
      </c>
      <c r="D476" t="str">
        <f>IF('Data Validation'!C476=Filtering!B476,Filtering!C476,"N/A")</f>
        <v>N/A</v>
      </c>
      <c r="J476" t="str">
        <f>IF(_xlfn.CONCAT(Filtering!A476,Filtering!B476,Filtering!C476)=$M$2,Filtering!D476,"N/A")</f>
        <v>N/A</v>
      </c>
    </row>
    <row r="477" spans="3:10" x14ac:dyDescent="0.25">
      <c r="C477" t="str">
        <f>IF(Filtering!F477&gt;0,Filtering!B477,"N/A")</f>
        <v>N/A</v>
      </c>
      <c r="D477" t="str">
        <f>IF('Data Validation'!C477=Filtering!B477,Filtering!C477,"N/A")</f>
        <v>N/A</v>
      </c>
      <c r="J477" t="str">
        <f>IF(_xlfn.CONCAT(Filtering!A477,Filtering!B477,Filtering!C477)=$M$2,Filtering!D477,"N/A")</f>
        <v>N/A</v>
      </c>
    </row>
    <row r="478" spans="3:10" x14ac:dyDescent="0.25">
      <c r="C478" t="str">
        <f>IF(Filtering!F478&gt;0,Filtering!B478,"N/A")</f>
        <v>N/A</v>
      </c>
      <c r="D478" t="str">
        <f>IF('Data Validation'!C478=Filtering!B478,Filtering!C478,"N/A")</f>
        <v>N/A</v>
      </c>
      <c r="J478" t="str">
        <f>IF(_xlfn.CONCAT(Filtering!A478,Filtering!B478,Filtering!C478)=$M$2,Filtering!D478,"N/A")</f>
        <v>N/A</v>
      </c>
    </row>
    <row r="479" spans="3:10" x14ac:dyDescent="0.25">
      <c r="C479" t="str">
        <f>IF(Filtering!F479&gt;0,Filtering!B479,"N/A")</f>
        <v>N/A</v>
      </c>
      <c r="D479" t="str">
        <f>IF('Data Validation'!C479=Filtering!B479,Filtering!C479,"N/A")</f>
        <v>N/A</v>
      </c>
      <c r="J479" t="str">
        <f>IF(_xlfn.CONCAT(Filtering!A479,Filtering!B479,Filtering!C479)=$M$2,Filtering!D479,"N/A")</f>
        <v>N/A</v>
      </c>
    </row>
    <row r="480" spans="3:10" x14ac:dyDescent="0.25">
      <c r="C480" t="str">
        <f>IF(Filtering!F480&gt;0,Filtering!B480,"N/A")</f>
        <v>N/A</v>
      </c>
      <c r="D480" t="str">
        <f>IF('Data Validation'!C480=Filtering!B480,Filtering!C480,"N/A")</f>
        <v>N/A</v>
      </c>
      <c r="J480" t="str">
        <f>IF(_xlfn.CONCAT(Filtering!A480,Filtering!B480,Filtering!C480)=$M$2,Filtering!D480,"N/A")</f>
        <v>N/A</v>
      </c>
    </row>
    <row r="481" spans="3:10" x14ac:dyDescent="0.25">
      <c r="C481" t="str">
        <f>IF(Filtering!F481&gt;0,Filtering!B481,"N/A")</f>
        <v>N/A</v>
      </c>
      <c r="D481" t="str">
        <f>IF('Data Validation'!C481=Filtering!B481,Filtering!C481,"N/A")</f>
        <v>N/A</v>
      </c>
      <c r="J481" t="str">
        <f>IF(_xlfn.CONCAT(Filtering!A481,Filtering!B481,Filtering!C481)=$M$2,Filtering!D481,"N/A")</f>
        <v>N/A</v>
      </c>
    </row>
    <row r="482" spans="3:10" x14ac:dyDescent="0.25">
      <c r="C482" t="str">
        <f>IF(Filtering!F482&gt;0,Filtering!B482,"N/A")</f>
        <v>N/A</v>
      </c>
      <c r="D482" t="str">
        <f>IF('Data Validation'!C482=Filtering!B482,Filtering!C482,"N/A")</f>
        <v>N/A</v>
      </c>
      <c r="J482" t="str">
        <f>IF(_xlfn.CONCAT(Filtering!A482,Filtering!B482,Filtering!C482)=$M$2,Filtering!D482,"N/A")</f>
        <v>N/A</v>
      </c>
    </row>
    <row r="483" spans="3:10" x14ac:dyDescent="0.25">
      <c r="C483" t="str">
        <f>IF(Filtering!F483&gt;0,Filtering!B483,"N/A")</f>
        <v>N/A</v>
      </c>
      <c r="D483" t="str">
        <f>IF('Data Validation'!C483=Filtering!B483,Filtering!C483,"N/A")</f>
        <v>N/A</v>
      </c>
      <c r="J483" t="str">
        <f>IF(_xlfn.CONCAT(Filtering!A483,Filtering!B483,Filtering!C483)=$M$2,Filtering!D483,"N/A")</f>
        <v>N/A</v>
      </c>
    </row>
    <row r="484" spans="3:10" x14ac:dyDescent="0.25">
      <c r="C484" t="str">
        <f>IF(Filtering!F484&gt;0,Filtering!B484,"N/A")</f>
        <v>N/A</v>
      </c>
      <c r="D484" t="str">
        <f>IF('Data Validation'!C484=Filtering!B484,Filtering!C484,"N/A")</f>
        <v>N/A</v>
      </c>
      <c r="J484" t="str">
        <f>IF(_xlfn.CONCAT(Filtering!A484,Filtering!B484,Filtering!C484)=$M$2,Filtering!D484,"N/A")</f>
        <v>N/A</v>
      </c>
    </row>
    <row r="485" spans="3:10" x14ac:dyDescent="0.25">
      <c r="C485" t="str">
        <f>IF(Filtering!F485&gt;0,Filtering!B485,"N/A")</f>
        <v>N/A</v>
      </c>
      <c r="D485" t="str">
        <f>IF('Data Validation'!C485=Filtering!B485,Filtering!C485,"N/A")</f>
        <v>N/A</v>
      </c>
      <c r="J485" t="str">
        <f>IF(_xlfn.CONCAT(Filtering!A485,Filtering!B485,Filtering!C485)=$M$2,Filtering!D485,"N/A")</f>
        <v>N/A</v>
      </c>
    </row>
    <row r="486" spans="3:10" x14ac:dyDescent="0.25">
      <c r="C486" t="str">
        <f>IF(Filtering!F486&gt;0,Filtering!B486,"N/A")</f>
        <v>N/A</v>
      </c>
      <c r="D486" t="str">
        <f>IF('Data Validation'!C486=Filtering!B486,Filtering!C486,"N/A")</f>
        <v>N/A</v>
      </c>
      <c r="J486" t="str">
        <f>IF(_xlfn.CONCAT(Filtering!A486,Filtering!B486,Filtering!C486)=$M$2,Filtering!D486,"N/A")</f>
        <v>N/A</v>
      </c>
    </row>
    <row r="487" spans="3:10" x14ac:dyDescent="0.25">
      <c r="C487" t="str">
        <f>IF(Filtering!F487&gt;0,Filtering!B487,"N/A")</f>
        <v>N/A</v>
      </c>
      <c r="D487" t="str">
        <f>IF('Data Validation'!C487=Filtering!B487,Filtering!C487,"N/A")</f>
        <v>N/A</v>
      </c>
      <c r="J487" t="str">
        <f>IF(_xlfn.CONCAT(Filtering!A487,Filtering!B487,Filtering!C487)=$M$2,Filtering!D487,"N/A")</f>
        <v>N/A</v>
      </c>
    </row>
    <row r="488" spans="3:10" x14ac:dyDescent="0.25">
      <c r="C488" t="str">
        <f>IF(Filtering!F488&gt;0,Filtering!B488,"N/A")</f>
        <v>N/A</v>
      </c>
      <c r="D488" t="str">
        <f>IF('Data Validation'!C488=Filtering!B488,Filtering!C488,"N/A")</f>
        <v>N/A</v>
      </c>
      <c r="J488" t="str">
        <f>IF(_xlfn.CONCAT(Filtering!A488,Filtering!B488,Filtering!C488)=$M$2,Filtering!D488,"N/A")</f>
        <v>N/A</v>
      </c>
    </row>
    <row r="489" spans="3:10" x14ac:dyDescent="0.25">
      <c r="C489" t="str">
        <f>IF(Filtering!F489&gt;0,Filtering!B489,"N/A")</f>
        <v>N/A</v>
      </c>
      <c r="D489" t="str">
        <f>IF('Data Validation'!C489=Filtering!B489,Filtering!C489,"N/A")</f>
        <v>N/A</v>
      </c>
      <c r="J489" t="str">
        <f>IF(_xlfn.CONCAT(Filtering!A489,Filtering!B489,Filtering!C489)=$M$2,Filtering!D489,"N/A")</f>
        <v>N/A</v>
      </c>
    </row>
    <row r="490" spans="3:10" x14ac:dyDescent="0.25">
      <c r="C490" t="str">
        <f>IF(Filtering!F490&gt;0,Filtering!B490,"N/A")</f>
        <v>N/A</v>
      </c>
      <c r="D490" t="str">
        <f>IF('Data Validation'!C490=Filtering!B490,Filtering!C490,"N/A")</f>
        <v>N/A</v>
      </c>
      <c r="J490" t="str">
        <f>IF(_xlfn.CONCAT(Filtering!A490,Filtering!B490,Filtering!C490)=$M$2,Filtering!D490,"N/A")</f>
        <v>N/A</v>
      </c>
    </row>
    <row r="491" spans="3:10" x14ac:dyDescent="0.25">
      <c r="C491" t="str">
        <f>IF(Filtering!F491&gt;0,Filtering!B491,"N/A")</f>
        <v>N/A</v>
      </c>
      <c r="D491" t="str">
        <f>IF('Data Validation'!C491=Filtering!B491,Filtering!C491,"N/A")</f>
        <v>N/A</v>
      </c>
      <c r="J491" t="str">
        <f>IF(_xlfn.CONCAT(Filtering!A491,Filtering!B491,Filtering!C491)=$M$2,Filtering!D491,"N/A")</f>
        <v>N/A</v>
      </c>
    </row>
    <row r="492" spans="3:10" x14ac:dyDescent="0.25">
      <c r="C492" t="str">
        <f>IF(Filtering!F492&gt;0,Filtering!B492,"N/A")</f>
        <v>N/A</v>
      </c>
      <c r="D492" t="str">
        <f>IF('Data Validation'!C492=Filtering!B492,Filtering!C492,"N/A")</f>
        <v>N/A</v>
      </c>
      <c r="J492" t="str">
        <f>IF(_xlfn.CONCAT(Filtering!A492,Filtering!B492,Filtering!C492)=$M$2,Filtering!D492,"N/A")</f>
        <v>N/A</v>
      </c>
    </row>
    <row r="493" spans="3:10" x14ac:dyDescent="0.25">
      <c r="C493" t="str">
        <f>IF(Filtering!F493&gt;0,Filtering!B493,"N/A")</f>
        <v>N/A</v>
      </c>
      <c r="D493" t="str">
        <f>IF('Data Validation'!C493=Filtering!B493,Filtering!C493,"N/A")</f>
        <v>N/A</v>
      </c>
      <c r="J493" t="str">
        <f>IF(_xlfn.CONCAT(Filtering!A493,Filtering!B493,Filtering!C493)=$M$2,Filtering!D493,"N/A")</f>
        <v>N/A</v>
      </c>
    </row>
    <row r="494" spans="3:10" x14ac:dyDescent="0.25">
      <c r="C494" t="str">
        <f>IF(Filtering!F494&gt;0,Filtering!B494,"N/A")</f>
        <v>N/A</v>
      </c>
      <c r="D494" t="str">
        <f>IF('Data Validation'!C494=Filtering!B494,Filtering!C494,"N/A")</f>
        <v>N/A</v>
      </c>
      <c r="J494" t="str">
        <f>IF(_xlfn.CONCAT(Filtering!A494,Filtering!B494,Filtering!C494)=$M$2,Filtering!D494,"N/A")</f>
        <v>N/A</v>
      </c>
    </row>
    <row r="495" spans="3:10" x14ac:dyDescent="0.25">
      <c r="C495" t="str">
        <f>IF(Filtering!F495&gt;0,Filtering!B495,"N/A")</f>
        <v>N/A</v>
      </c>
      <c r="D495" t="str">
        <f>IF('Data Validation'!C495=Filtering!B495,Filtering!C495,"N/A")</f>
        <v>N/A</v>
      </c>
      <c r="J495" t="str">
        <f>IF(_xlfn.CONCAT(Filtering!A495,Filtering!B495,Filtering!C495)=$M$2,Filtering!D495,"N/A")</f>
        <v>N/A</v>
      </c>
    </row>
    <row r="496" spans="3:10" x14ac:dyDescent="0.25">
      <c r="C496" t="str">
        <f>IF(Filtering!F496&gt;0,Filtering!B496,"N/A")</f>
        <v>N/A</v>
      </c>
      <c r="D496" t="str">
        <f>IF('Data Validation'!C496=Filtering!B496,Filtering!C496,"N/A")</f>
        <v>N/A</v>
      </c>
      <c r="J496" t="str">
        <f>IF(_xlfn.CONCAT(Filtering!A496,Filtering!B496,Filtering!C496)=$M$2,Filtering!D496,"N/A")</f>
        <v>N/A</v>
      </c>
    </row>
    <row r="497" spans="3:10" x14ac:dyDescent="0.25">
      <c r="C497" t="str">
        <f>IF(Filtering!F497&gt;0,Filtering!B497,"N/A")</f>
        <v>N/A</v>
      </c>
      <c r="D497" t="str">
        <f>IF('Data Validation'!C497=Filtering!B497,Filtering!C497,"N/A")</f>
        <v>N/A</v>
      </c>
      <c r="J497" t="str">
        <f>IF(_xlfn.CONCAT(Filtering!A497,Filtering!B497,Filtering!C497)=$M$2,Filtering!D497,"N/A")</f>
        <v>N/A</v>
      </c>
    </row>
    <row r="498" spans="3:10" x14ac:dyDescent="0.25">
      <c r="C498" t="str">
        <f>IF(Filtering!F498&gt;0,Filtering!B498,"N/A")</f>
        <v>N/A</v>
      </c>
      <c r="D498" t="str">
        <f>IF('Data Validation'!C498=Filtering!B498,Filtering!C498,"N/A")</f>
        <v>N/A</v>
      </c>
      <c r="J498" t="str">
        <f>IF(_xlfn.CONCAT(Filtering!A498,Filtering!B498,Filtering!C498)=$M$2,Filtering!D498,"N/A")</f>
        <v>N/A</v>
      </c>
    </row>
    <row r="499" spans="3:10" x14ac:dyDescent="0.25">
      <c r="C499" t="str">
        <f>IF(Filtering!F499&gt;0,Filtering!B499,"N/A")</f>
        <v>N/A</v>
      </c>
      <c r="D499" t="str">
        <f>IF('Data Validation'!C499=Filtering!B499,Filtering!C499,"N/A")</f>
        <v>N/A</v>
      </c>
      <c r="J499" t="str">
        <f>IF(_xlfn.CONCAT(Filtering!A499,Filtering!B499,Filtering!C499)=$M$2,Filtering!D499,"N/A")</f>
        <v>N/A</v>
      </c>
    </row>
    <row r="500" spans="3:10" x14ac:dyDescent="0.25">
      <c r="C500" t="str">
        <f>IF(Filtering!F500&gt;0,Filtering!B500,"N/A")</f>
        <v>N/A</v>
      </c>
      <c r="D500" t="str">
        <f>IF('Data Validation'!C500=Filtering!B500,Filtering!C500,"N/A")</f>
        <v>N/A</v>
      </c>
      <c r="J500" t="str">
        <f>IF(_xlfn.CONCAT(Filtering!A500,Filtering!B500,Filtering!C500)=$M$2,Filtering!D500,"N/A")</f>
        <v>N/A</v>
      </c>
    </row>
    <row r="501" spans="3:10" x14ac:dyDescent="0.25">
      <c r="C501" t="str">
        <f>IF(Filtering!F501&gt;0,Filtering!B501,"N/A")</f>
        <v>N/A</v>
      </c>
      <c r="D501" t="str">
        <f>IF('Data Validation'!C501=Filtering!B501,Filtering!C501,"N/A")</f>
        <v>N/A</v>
      </c>
      <c r="J501" t="str">
        <f>IF(_xlfn.CONCAT(Filtering!A501,Filtering!B501,Filtering!C501)=$M$2,Filtering!D501,"N/A")</f>
        <v>N/A</v>
      </c>
    </row>
    <row r="502" spans="3:10" x14ac:dyDescent="0.25">
      <c r="C502" t="str">
        <f>IF(Filtering!F502&gt;0,Filtering!B502,"N/A")</f>
        <v>N/A</v>
      </c>
      <c r="D502" t="str">
        <f>IF('Data Validation'!C502=Filtering!B502,Filtering!C502,"N/A")</f>
        <v>N/A</v>
      </c>
      <c r="J502" t="str">
        <f>IF(_xlfn.CONCAT(Filtering!A502,Filtering!B502,Filtering!C502)=$M$2,Filtering!D502,"N/A")</f>
        <v>N/A</v>
      </c>
    </row>
    <row r="503" spans="3:10" x14ac:dyDescent="0.25">
      <c r="C503" t="str">
        <f>IF(Filtering!F503&gt;0,Filtering!B503,"N/A")</f>
        <v>N/A</v>
      </c>
      <c r="D503" t="str">
        <f>IF('Data Validation'!C503=Filtering!B503,Filtering!C503,"N/A")</f>
        <v>N/A</v>
      </c>
      <c r="J503" t="str">
        <f>IF(_xlfn.CONCAT(Filtering!A503,Filtering!B503,Filtering!C503)=$M$2,Filtering!D503,"N/A")</f>
        <v>N/A</v>
      </c>
    </row>
    <row r="504" spans="3:10" x14ac:dyDescent="0.25">
      <c r="C504" t="str">
        <f>IF(Filtering!F504&gt;0,Filtering!B504,"N/A")</f>
        <v>N/A</v>
      </c>
      <c r="D504" t="str">
        <f>IF('Data Validation'!C504=Filtering!B504,Filtering!C504,"N/A")</f>
        <v>N/A</v>
      </c>
      <c r="J504" t="str">
        <f>IF(_xlfn.CONCAT(Filtering!A504,Filtering!B504,Filtering!C504)=$M$2,Filtering!D504,"N/A")</f>
        <v>N/A</v>
      </c>
    </row>
    <row r="505" spans="3:10" x14ac:dyDescent="0.25">
      <c r="C505" t="str">
        <f>IF(Filtering!F505&gt;0,Filtering!B505,"N/A")</f>
        <v>N/A</v>
      </c>
      <c r="D505" t="str">
        <f>IF('Data Validation'!C505=Filtering!B505,Filtering!C505,"N/A")</f>
        <v>N/A</v>
      </c>
      <c r="J505" t="str">
        <f>IF(_xlfn.CONCAT(Filtering!A505,Filtering!B505,Filtering!C505)=$M$2,Filtering!D505,"N/A")</f>
        <v>N/A</v>
      </c>
    </row>
    <row r="506" spans="3:10" x14ac:dyDescent="0.25">
      <c r="C506" t="str">
        <f>IF(Filtering!F506&gt;0,Filtering!B506,"N/A")</f>
        <v>N/A</v>
      </c>
      <c r="D506" t="str">
        <f>IF('Data Validation'!C506=Filtering!B506,Filtering!C506,"N/A")</f>
        <v>N/A</v>
      </c>
      <c r="J506" t="str">
        <f>IF(_xlfn.CONCAT(Filtering!A506,Filtering!B506,Filtering!C506)=$M$2,Filtering!D506,"N/A")</f>
        <v>N/A</v>
      </c>
    </row>
    <row r="507" spans="3:10" x14ac:dyDescent="0.25">
      <c r="C507" t="str">
        <f>IF(Filtering!F507&gt;0,Filtering!B507,"N/A")</f>
        <v>N/A</v>
      </c>
      <c r="D507" t="str">
        <f>IF('Data Validation'!C507=Filtering!B507,Filtering!C507,"N/A")</f>
        <v>N/A</v>
      </c>
      <c r="J507" t="str">
        <f>IF(_xlfn.CONCAT(Filtering!A507,Filtering!B507,Filtering!C507)=$M$2,Filtering!D507,"N/A")</f>
        <v>N/A</v>
      </c>
    </row>
    <row r="508" spans="3:10" x14ac:dyDescent="0.25">
      <c r="C508" t="str">
        <f>IF(Filtering!F508&gt;0,Filtering!B508,"N/A")</f>
        <v>N/A</v>
      </c>
      <c r="D508" t="str">
        <f>IF('Data Validation'!C508=Filtering!B508,Filtering!C508,"N/A")</f>
        <v>N/A</v>
      </c>
      <c r="J508" t="str">
        <f>IF(_xlfn.CONCAT(Filtering!A508,Filtering!B508,Filtering!C508)=$M$2,Filtering!D508,"N/A")</f>
        <v>N/A</v>
      </c>
    </row>
    <row r="509" spans="3:10" x14ac:dyDescent="0.25">
      <c r="C509" t="str">
        <f>IF(Filtering!F509&gt;0,Filtering!B509,"N/A")</f>
        <v>N/A</v>
      </c>
      <c r="D509" t="str">
        <f>IF('Data Validation'!C509=Filtering!B509,Filtering!C509,"N/A")</f>
        <v>N/A</v>
      </c>
      <c r="J509" t="str">
        <f>IF(_xlfn.CONCAT(Filtering!A509,Filtering!B509,Filtering!C509)=$M$2,Filtering!D509,"N/A")</f>
        <v>N/A</v>
      </c>
    </row>
    <row r="510" spans="3:10" x14ac:dyDescent="0.25">
      <c r="C510" t="str">
        <f>IF(Filtering!F510&gt;0,Filtering!B510,"N/A")</f>
        <v>N/A</v>
      </c>
      <c r="D510" t="str">
        <f>IF('Data Validation'!C510=Filtering!B510,Filtering!C510,"N/A")</f>
        <v>N/A</v>
      </c>
      <c r="J510" t="str">
        <f>IF(_xlfn.CONCAT(Filtering!A510,Filtering!B510,Filtering!C510)=$M$2,Filtering!D510,"N/A")</f>
        <v>N/A</v>
      </c>
    </row>
    <row r="511" spans="3:10" x14ac:dyDescent="0.25">
      <c r="C511" t="str">
        <f>IF(Filtering!F511&gt;0,Filtering!B511,"N/A")</f>
        <v>N/A</v>
      </c>
      <c r="D511" t="str">
        <f>IF('Data Validation'!C511=Filtering!B511,Filtering!C511,"N/A")</f>
        <v>N/A</v>
      </c>
      <c r="J511" t="str">
        <f>IF(_xlfn.CONCAT(Filtering!A511,Filtering!B511,Filtering!C511)=$M$2,Filtering!D511,"N/A")</f>
        <v>N/A</v>
      </c>
    </row>
    <row r="512" spans="3:10" x14ac:dyDescent="0.25">
      <c r="C512" t="str">
        <f>IF(Filtering!F512&gt;0,Filtering!B512,"N/A")</f>
        <v>N/A</v>
      </c>
      <c r="D512" t="str">
        <f>IF('Data Validation'!C512=Filtering!B512,Filtering!C512,"N/A")</f>
        <v>N/A</v>
      </c>
      <c r="J512" t="str">
        <f>IF(_xlfn.CONCAT(Filtering!A512,Filtering!B512,Filtering!C512)=$M$2,Filtering!D512,"N/A")</f>
        <v>N/A</v>
      </c>
    </row>
    <row r="513" spans="3:10" x14ac:dyDescent="0.25">
      <c r="C513" t="str">
        <f>IF(Filtering!F513&gt;0,Filtering!B513,"N/A")</f>
        <v>N/A</v>
      </c>
      <c r="D513" t="str">
        <f>IF('Data Validation'!C513=Filtering!B513,Filtering!C513,"N/A")</f>
        <v>N/A</v>
      </c>
      <c r="J513" t="str">
        <f>IF(_xlfn.CONCAT(Filtering!A513,Filtering!B513,Filtering!C513)=$M$2,Filtering!D513,"N/A")</f>
        <v>N/A</v>
      </c>
    </row>
    <row r="514" spans="3:10" x14ac:dyDescent="0.25">
      <c r="C514" t="str">
        <f>IF(Filtering!F514&gt;0,Filtering!B514,"N/A")</f>
        <v>N/A</v>
      </c>
      <c r="D514" t="str">
        <f>IF('Data Validation'!C514=Filtering!B514,Filtering!C514,"N/A")</f>
        <v>N/A</v>
      </c>
      <c r="J514" t="str">
        <f>IF(_xlfn.CONCAT(Filtering!A514,Filtering!B514,Filtering!C514)=$M$2,Filtering!D514,"N/A")</f>
        <v>N/A</v>
      </c>
    </row>
    <row r="515" spans="3:10" x14ac:dyDescent="0.25">
      <c r="C515" t="str">
        <f>IF(Filtering!F515&gt;0,Filtering!B515,"N/A")</f>
        <v>N/A</v>
      </c>
      <c r="D515" t="str">
        <f>IF('Data Validation'!C515=Filtering!B515,Filtering!C515,"N/A")</f>
        <v>N/A</v>
      </c>
      <c r="J515" t="str">
        <f>IF(_xlfn.CONCAT(Filtering!A515,Filtering!B515,Filtering!C515)=$M$2,Filtering!D515,"N/A")</f>
        <v>N/A</v>
      </c>
    </row>
    <row r="516" spans="3:10" x14ac:dyDescent="0.25">
      <c r="C516" t="str">
        <f>IF(Filtering!F516&gt;0,Filtering!B516,"N/A")</f>
        <v>N/A</v>
      </c>
      <c r="D516" t="str">
        <f>IF('Data Validation'!C516=Filtering!B516,Filtering!C516,"N/A")</f>
        <v>N/A</v>
      </c>
      <c r="J516" t="str">
        <f>IF(_xlfn.CONCAT(Filtering!A516,Filtering!B516,Filtering!C516)=$M$2,Filtering!D516,"N/A")</f>
        <v>N/A</v>
      </c>
    </row>
    <row r="517" spans="3:10" x14ac:dyDescent="0.25">
      <c r="C517" t="str">
        <f>IF(Filtering!F517&gt;0,Filtering!B517,"N/A")</f>
        <v>N/A</v>
      </c>
      <c r="D517" t="str">
        <f>IF('Data Validation'!C517=Filtering!B517,Filtering!C517,"N/A")</f>
        <v>N/A</v>
      </c>
      <c r="J517" t="str">
        <f>IF(_xlfn.CONCAT(Filtering!A517,Filtering!B517,Filtering!C517)=$M$2,Filtering!D517,"N/A")</f>
        <v>N/A</v>
      </c>
    </row>
    <row r="518" spans="3:10" x14ac:dyDescent="0.25">
      <c r="C518" t="str">
        <f>IF(Filtering!F518&gt;0,Filtering!B518,"N/A")</f>
        <v>N/A</v>
      </c>
      <c r="D518" t="str">
        <f>IF('Data Validation'!C518=Filtering!B518,Filtering!C518,"N/A")</f>
        <v>N/A</v>
      </c>
      <c r="J518" t="str">
        <f>IF(_xlfn.CONCAT(Filtering!A518,Filtering!B518,Filtering!C518)=$M$2,Filtering!D518,"N/A")</f>
        <v>N/A</v>
      </c>
    </row>
    <row r="519" spans="3:10" x14ac:dyDescent="0.25">
      <c r="C519" t="str">
        <f>IF(Filtering!F519&gt;0,Filtering!B519,"N/A")</f>
        <v>N/A</v>
      </c>
      <c r="D519" t="str">
        <f>IF('Data Validation'!C519=Filtering!B519,Filtering!C519,"N/A")</f>
        <v>N/A</v>
      </c>
      <c r="J519" t="str">
        <f>IF(_xlfn.CONCAT(Filtering!A519,Filtering!B519,Filtering!C519)=$M$2,Filtering!D519,"N/A")</f>
        <v>N/A</v>
      </c>
    </row>
    <row r="520" spans="3:10" x14ac:dyDescent="0.25">
      <c r="C520" t="str">
        <f>IF(Filtering!F520&gt;0,Filtering!B520,"N/A")</f>
        <v>N/A</v>
      </c>
      <c r="D520" t="str">
        <f>IF('Data Validation'!C520=Filtering!B520,Filtering!C520,"N/A")</f>
        <v>N/A</v>
      </c>
      <c r="J520" t="str">
        <f>IF(_xlfn.CONCAT(Filtering!A520,Filtering!B520,Filtering!C520)=$M$2,Filtering!D520,"N/A")</f>
        <v>N/A</v>
      </c>
    </row>
    <row r="521" spans="3:10" x14ac:dyDescent="0.25">
      <c r="C521" t="str">
        <f>IF(Filtering!F521&gt;0,Filtering!B521,"N/A")</f>
        <v>N/A</v>
      </c>
      <c r="D521" t="str">
        <f>IF('Data Validation'!C521=Filtering!B521,Filtering!C521,"N/A")</f>
        <v>N/A</v>
      </c>
      <c r="J521" t="str">
        <f>IF(_xlfn.CONCAT(Filtering!A521,Filtering!B521,Filtering!C521)=$M$2,Filtering!D521,"N/A")</f>
        <v>N/A</v>
      </c>
    </row>
    <row r="522" spans="3:10" x14ac:dyDescent="0.25">
      <c r="C522" t="str">
        <f>IF(Filtering!F522&gt;0,Filtering!B522,"N/A")</f>
        <v>N/A</v>
      </c>
      <c r="D522" t="str">
        <f>IF('Data Validation'!C522=Filtering!B522,Filtering!C522,"N/A")</f>
        <v>N/A</v>
      </c>
      <c r="J522" t="str">
        <f>IF(_xlfn.CONCAT(Filtering!A522,Filtering!B522,Filtering!C522)=$M$2,Filtering!D522,"N/A")</f>
        <v>N/A</v>
      </c>
    </row>
    <row r="523" spans="3:10" x14ac:dyDescent="0.25">
      <c r="C523" t="str">
        <f>IF(Filtering!F523&gt;0,Filtering!B523,"N/A")</f>
        <v>N/A</v>
      </c>
      <c r="D523" t="str">
        <f>IF('Data Validation'!C523=Filtering!B523,Filtering!C523,"N/A")</f>
        <v>N/A</v>
      </c>
      <c r="J523" t="str">
        <f>IF(_xlfn.CONCAT(Filtering!A523,Filtering!B523,Filtering!C523)=$M$2,Filtering!D523,"N/A")</f>
        <v>N/A</v>
      </c>
    </row>
    <row r="524" spans="3:10" x14ac:dyDescent="0.25">
      <c r="C524" t="str">
        <f>IF(Filtering!F524&gt;0,Filtering!B524,"N/A")</f>
        <v>N/A</v>
      </c>
      <c r="D524" t="str">
        <f>IF('Data Validation'!C524=Filtering!B524,Filtering!C524,"N/A")</f>
        <v>N/A</v>
      </c>
      <c r="J524" t="str">
        <f>IF(_xlfn.CONCAT(Filtering!A524,Filtering!B524,Filtering!C524)=$M$2,Filtering!D524,"N/A")</f>
        <v>N/A</v>
      </c>
    </row>
    <row r="525" spans="3:10" x14ac:dyDescent="0.25">
      <c r="C525" t="str">
        <f>IF(Filtering!F525&gt;0,Filtering!B525,"N/A")</f>
        <v>N/A</v>
      </c>
      <c r="D525" t="str">
        <f>IF('Data Validation'!C525=Filtering!B525,Filtering!C525,"N/A")</f>
        <v>N/A</v>
      </c>
      <c r="J525" t="str">
        <f>IF(_xlfn.CONCAT(Filtering!A525,Filtering!B525,Filtering!C525)=$M$2,Filtering!D525,"N/A")</f>
        <v>N/A</v>
      </c>
    </row>
    <row r="526" spans="3:10" x14ac:dyDescent="0.25">
      <c r="C526" t="str">
        <f>IF(Filtering!F526&gt;0,Filtering!B526,"N/A")</f>
        <v>N/A</v>
      </c>
      <c r="D526" t="str">
        <f>IF('Data Validation'!C526=Filtering!B526,Filtering!C526,"N/A")</f>
        <v>N/A</v>
      </c>
      <c r="J526" t="str">
        <f>IF(_xlfn.CONCAT(Filtering!A526,Filtering!B526,Filtering!C526)=$M$2,Filtering!D526,"N/A")</f>
        <v>N/A</v>
      </c>
    </row>
    <row r="527" spans="3:10" x14ac:dyDescent="0.25">
      <c r="C527" t="str">
        <f>IF(Filtering!F527&gt;0,Filtering!B527,"N/A")</f>
        <v>N/A</v>
      </c>
      <c r="D527" t="str">
        <f>IF('Data Validation'!C527=Filtering!B527,Filtering!C527,"N/A")</f>
        <v>N/A</v>
      </c>
      <c r="J527" t="str">
        <f>IF(_xlfn.CONCAT(Filtering!A527,Filtering!B527,Filtering!C527)=$M$2,Filtering!D527,"N/A")</f>
        <v>N/A</v>
      </c>
    </row>
    <row r="528" spans="3:10" x14ac:dyDescent="0.25">
      <c r="C528" t="str">
        <f>IF(Filtering!F528&gt;0,Filtering!B528,"N/A")</f>
        <v>N/A</v>
      </c>
      <c r="D528" t="str">
        <f>IF('Data Validation'!C528=Filtering!B528,Filtering!C528,"N/A")</f>
        <v>N/A</v>
      </c>
      <c r="J528" t="str">
        <f>IF(_xlfn.CONCAT(Filtering!A528,Filtering!B528,Filtering!C528)=$M$2,Filtering!D528,"N/A")</f>
        <v>N/A</v>
      </c>
    </row>
    <row r="529" spans="3:10" x14ac:dyDescent="0.25">
      <c r="C529" t="str">
        <f>IF(Filtering!F529&gt;0,Filtering!B529,"N/A")</f>
        <v>N/A</v>
      </c>
      <c r="D529" t="str">
        <f>IF('Data Validation'!C529=Filtering!B529,Filtering!C529,"N/A")</f>
        <v>N/A</v>
      </c>
      <c r="J529" t="str">
        <f>IF(_xlfn.CONCAT(Filtering!A529,Filtering!B529,Filtering!C529)=$M$2,Filtering!D529,"N/A")</f>
        <v>N/A</v>
      </c>
    </row>
    <row r="530" spans="3:10" x14ac:dyDescent="0.25">
      <c r="C530" t="str">
        <f>IF(Filtering!F530&gt;0,Filtering!B530,"N/A")</f>
        <v>N/A</v>
      </c>
      <c r="D530" t="str">
        <f>IF('Data Validation'!C530=Filtering!B530,Filtering!C530,"N/A")</f>
        <v>N/A</v>
      </c>
      <c r="J530" t="str">
        <f>IF(_xlfn.CONCAT(Filtering!A530,Filtering!B530,Filtering!C530)=$M$2,Filtering!D530,"N/A")</f>
        <v>N/A</v>
      </c>
    </row>
    <row r="531" spans="3:10" x14ac:dyDescent="0.25">
      <c r="C531" t="str">
        <f>IF(Filtering!F531&gt;0,Filtering!B531,"N/A")</f>
        <v>N/A</v>
      </c>
      <c r="D531" t="str">
        <f>IF('Data Validation'!C531=Filtering!B531,Filtering!C531,"N/A")</f>
        <v>N/A</v>
      </c>
      <c r="J531" t="str">
        <f>IF(_xlfn.CONCAT(Filtering!A531,Filtering!B531,Filtering!C531)=$M$2,Filtering!D531,"N/A")</f>
        <v>N/A</v>
      </c>
    </row>
    <row r="532" spans="3:10" x14ac:dyDescent="0.25">
      <c r="C532" t="str">
        <f>IF(Filtering!F532&gt;0,Filtering!B532,"N/A")</f>
        <v>N/A</v>
      </c>
      <c r="D532" t="str">
        <f>IF('Data Validation'!C532=Filtering!B532,Filtering!C532,"N/A")</f>
        <v>N/A</v>
      </c>
      <c r="J532" t="str">
        <f>IF(_xlfn.CONCAT(Filtering!A532,Filtering!B532,Filtering!C532)=$M$2,Filtering!D532,"N/A")</f>
        <v>N/A</v>
      </c>
    </row>
    <row r="533" spans="3:10" x14ac:dyDescent="0.25">
      <c r="C533" t="str">
        <f>IF(Filtering!F533&gt;0,Filtering!B533,"N/A")</f>
        <v>N/A</v>
      </c>
      <c r="D533" t="str">
        <f>IF('Data Validation'!C533=Filtering!B533,Filtering!C533,"N/A")</f>
        <v>N/A</v>
      </c>
      <c r="J533" t="str">
        <f>IF(_xlfn.CONCAT(Filtering!A533,Filtering!B533,Filtering!C533)=$M$2,Filtering!D533,"N/A")</f>
        <v>N/A</v>
      </c>
    </row>
    <row r="534" spans="3:10" x14ac:dyDescent="0.25">
      <c r="C534" t="str">
        <f>IF(Filtering!F534&gt;0,Filtering!B534,"N/A")</f>
        <v>N/A</v>
      </c>
      <c r="D534" t="str">
        <f>IF('Data Validation'!C534=Filtering!B534,Filtering!C534,"N/A")</f>
        <v>N/A</v>
      </c>
      <c r="J534" t="str">
        <f>IF(_xlfn.CONCAT(Filtering!A534,Filtering!B534,Filtering!C534)=$M$2,Filtering!D534,"N/A")</f>
        <v>N/A</v>
      </c>
    </row>
    <row r="535" spans="3:10" x14ac:dyDescent="0.25">
      <c r="C535" t="str">
        <f>IF(Filtering!F535&gt;0,Filtering!B535,"N/A")</f>
        <v>N/A</v>
      </c>
      <c r="D535" t="str">
        <f>IF('Data Validation'!C535=Filtering!B535,Filtering!C535,"N/A")</f>
        <v>N/A</v>
      </c>
      <c r="J535" t="str">
        <f>IF(_xlfn.CONCAT(Filtering!A535,Filtering!B535,Filtering!C535)=$M$2,Filtering!D535,"N/A")</f>
        <v>N/A</v>
      </c>
    </row>
    <row r="536" spans="3:10" x14ac:dyDescent="0.25">
      <c r="C536" t="str">
        <f>IF(Filtering!F536&gt;0,Filtering!B536,"N/A")</f>
        <v>N/A</v>
      </c>
      <c r="D536" t="str">
        <f>IF('Data Validation'!C536=Filtering!B536,Filtering!C536,"N/A")</f>
        <v>N/A</v>
      </c>
      <c r="J536" t="str">
        <f>IF(_xlfn.CONCAT(Filtering!A536,Filtering!B536,Filtering!C536)=$M$2,Filtering!D536,"N/A")</f>
        <v>N/A</v>
      </c>
    </row>
    <row r="537" spans="3:10" x14ac:dyDescent="0.25">
      <c r="C537" t="str">
        <f>IF(Filtering!F537&gt;0,Filtering!B537,"N/A")</f>
        <v>N/A</v>
      </c>
      <c r="D537" t="str">
        <f>IF('Data Validation'!C537=Filtering!B537,Filtering!C537,"N/A")</f>
        <v>N/A</v>
      </c>
      <c r="J537" t="str">
        <f>IF(_xlfn.CONCAT(Filtering!A537,Filtering!B537,Filtering!C537)=$M$2,Filtering!D537,"N/A")</f>
        <v>N/A</v>
      </c>
    </row>
    <row r="538" spans="3:10" x14ac:dyDescent="0.25">
      <c r="C538" t="str">
        <f>IF(Filtering!F538&gt;0,Filtering!B538,"N/A")</f>
        <v>N/A</v>
      </c>
      <c r="D538" t="str">
        <f>IF('Data Validation'!C538=Filtering!B538,Filtering!C538,"N/A")</f>
        <v>N/A</v>
      </c>
      <c r="J538" t="str">
        <f>IF(_xlfn.CONCAT(Filtering!A538,Filtering!B538,Filtering!C538)=$M$2,Filtering!D538,"N/A")</f>
        <v>N/A</v>
      </c>
    </row>
    <row r="539" spans="3:10" x14ac:dyDescent="0.25">
      <c r="C539" t="str">
        <f>IF(Filtering!F539&gt;0,Filtering!B539,"N/A")</f>
        <v>N/A</v>
      </c>
      <c r="D539" t="str">
        <f>IF('Data Validation'!C539=Filtering!B539,Filtering!C539,"N/A")</f>
        <v>N/A</v>
      </c>
      <c r="J539" t="str">
        <f>IF(_xlfn.CONCAT(Filtering!A539,Filtering!B539,Filtering!C539)=$M$2,Filtering!D539,"N/A")</f>
        <v>N/A</v>
      </c>
    </row>
    <row r="540" spans="3:10" x14ac:dyDescent="0.25">
      <c r="C540" t="str">
        <f>IF(Filtering!F540&gt;0,Filtering!B540,"N/A")</f>
        <v>N/A</v>
      </c>
      <c r="D540" t="str">
        <f>IF('Data Validation'!C540=Filtering!B540,Filtering!C540,"N/A")</f>
        <v>N/A</v>
      </c>
      <c r="J540" t="str">
        <f>IF(_xlfn.CONCAT(Filtering!A540,Filtering!B540,Filtering!C540)=$M$2,Filtering!D540,"N/A")</f>
        <v>N/A</v>
      </c>
    </row>
    <row r="541" spans="3:10" x14ac:dyDescent="0.25">
      <c r="C541" t="str">
        <f>IF(Filtering!F541&gt;0,Filtering!B541,"N/A")</f>
        <v>N/A</v>
      </c>
      <c r="D541" t="str">
        <f>IF('Data Validation'!C541=Filtering!B541,Filtering!C541,"N/A")</f>
        <v>N/A</v>
      </c>
      <c r="J541" t="str">
        <f>IF(_xlfn.CONCAT(Filtering!A541,Filtering!B541,Filtering!C541)=$M$2,Filtering!D541,"N/A")</f>
        <v>N/A</v>
      </c>
    </row>
    <row r="542" spans="3:10" x14ac:dyDescent="0.25">
      <c r="C542" t="str">
        <f>IF(Filtering!F542&gt;0,Filtering!B542,"N/A")</f>
        <v>N/A</v>
      </c>
      <c r="D542" t="str">
        <f>IF('Data Validation'!C542=Filtering!B542,Filtering!C542,"N/A")</f>
        <v>N/A</v>
      </c>
      <c r="J542" t="str">
        <f>IF(_xlfn.CONCAT(Filtering!A542,Filtering!B542,Filtering!C542)=$M$2,Filtering!D542,"N/A")</f>
        <v>N/A</v>
      </c>
    </row>
    <row r="543" spans="3:10" x14ac:dyDescent="0.25">
      <c r="C543" t="str">
        <f>IF(Filtering!F543&gt;0,Filtering!B543,"N/A")</f>
        <v>N/A</v>
      </c>
      <c r="D543" t="str">
        <f>IF('Data Validation'!C543=Filtering!B543,Filtering!C543,"N/A")</f>
        <v>N/A</v>
      </c>
      <c r="J543" t="str">
        <f>IF(_xlfn.CONCAT(Filtering!A543,Filtering!B543,Filtering!C543)=$M$2,Filtering!D543,"N/A")</f>
        <v>N/A</v>
      </c>
    </row>
    <row r="544" spans="3:10" x14ac:dyDescent="0.25">
      <c r="C544" t="str">
        <f>IF(Filtering!F544&gt;0,Filtering!B544,"N/A")</f>
        <v>N/A</v>
      </c>
      <c r="D544" t="str">
        <f>IF('Data Validation'!C544=Filtering!B544,Filtering!C544,"N/A")</f>
        <v>N/A</v>
      </c>
      <c r="J544" t="str">
        <f>IF(_xlfn.CONCAT(Filtering!A544,Filtering!B544,Filtering!C544)=$M$2,Filtering!D544,"N/A")</f>
        <v>N/A</v>
      </c>
    </row>
    <row r="545" spans="3:10" x14ac:dyDescent="0.25">
      <c r="C545" t="str">
        <f>IF(Filtering!F545&gt;0,Filtering!B545,"N/A")</f>
        <v>N/A</v>
      </c>
      <c r="D545" t="str">
        <f>IF('Data Validation'!C545=Filtering!B545,Filtering!C545,"N/A")</f>
        <v>N/A</v>
      </c>
      <c r="J545" t="str">
        <f>IF(_xlfn.CONCAT(Filtering!A545,Filtering!B545,Filtering!C545)=$M$2,Filtering!D545,"N/A")</f>
        <v>N/A</v>
      </c>
    </row>
    <row r="546" spans="3:10" x14ac:dyDescent="0.25">
      <c r="C546" t="str">
        <f>IF(Filtering!F546&gt;0,Filtering!B546,"N/A")</f>
        <v>N/A</v>
      </c>
      <c r="D546" t="str">
        <f>IF('Data Validation'!C546=Filtering!B546,Filtering!C546,"N/A")</f>
        <v>N/A</v>
      </c>
      <c r="J546" t="str">
        <f>IF(_xlfn.CONCAT(Filtering!A546,Filtering!B546,Filtering!C546)=$M$2,Filtering!D546,"N/A")</f>
        <v>N/A</v>
      </c>
    </row>
    <row r="547" spans="3:10" x14ac:dyDescent="0.25">
      <c r="C547" t="str">
        <f>IF(Filtering!F547&gt;0,Filtering!B547,"N/A")</f>
        <v>N/A</v>
      </c>
      <c r="D547" t="str">
        <f>IF('Data Validation'!C547=Filtering!B547,Filtering!C547,"N/A")</f>
        <v>N/A</v>
      </c>
      <c r="J547" t="str">
        <f>IF(_xlfn.CONCAT(Filtering!A547,Filtering!B547,Filtering!C547)=$M$2,Filtering!D547,"N/A")</f>
        <v>N/A</v>
      </c>
    </row>
    <row r="548" spans="3:10" x14ac:dyDescent="0.25">
      <c r="C548" t="str">
        <f>IF(Filtering!F548&gt;0,Filtering!B548,"N/A")</f>
        <v>N/A</v>
      </c>
      <c r="D548" t="str">
        <f>IF('Data Validation'!C548=Filtering!B548,Filtering!C548,"N/A")</f>
        <v>N/A</v>
      </c>
      <c r="J548" t="str">
        <f>IF(_xlfn.CONCAT(Filtering!A548,Filtering!B548,Filtering!C548)=$M$2,Filtering!D548,"N/A")</f>
        <v>N/A</v>
      </c>
    </row>
    <row r="549" spans="3:10" x14ac:dyDescent="0.25">
      <c r="C549" t="str">
        <f>IF(Filtering!F549&gt;0,Filtering!B549,"N/A")</f>
        <v>N/A</v>
      </c>
      <c r="D549" t="str">
        <f>IF('Data Validation'!C549=Filtering!B549,Filtering!C549,"N/A")</f>
        <v>N/A</v>
      </c>
      <c r="J549" t="str">
        <f>IF(_xlfn.CONCAT(Filtering!A549,Filtering!B549,Filtering!C549)=$M$2,Filtering!D549,"N/A")</f>
        <v>N/A</v>
      </c>
    </row>
    <row r="550" spans="3:10" x14ac:dyDescent="0.25">
      <c r="C550" t="str">
        <f>IF(Filtering!F550&gt;0,Filtering!B550,"N/A")</f>
        <v>N/A</v>
      </c>
      <c r="D550" t="str">
        <f>IF('Data Validation'!C550=Filtering!B550,Filtering!C550,"N/A")</f>
        <v>N/A</v>
      </c>
      <c r="J550" t="str">
        <f>IF(_xlfn.CONCAT(Filtering!A550,Filtering!B550,Filtering!C550)=$M$2,Filtering!D550,"N/A")</f>
        <v>N/A</v>
      </c>
    </row>
    <row r="551" spans="3:10" x14ac:dyDescent="0.25">
      <c r="C551" t="str">
        <f>IF(Filtering!F551&gt;0,Filtering!B551,"N/A")</f>
        <v>N/A</v>
      </c>
      <c r="D551" t="str">
        <f>IF('Data Validation'!C551=Filtering!B551,Filtering!C551,"N/A")</f>
        <v>N/A</v>
      </c>
      <c r="J551" t="str">
        <f>IF(_xlfn.CONCAT(Filtering!A551,Filtering!B551,Filtering!C551)=$M$2,Filtering!D551,"N/A")</f>
        <v>N/A</v>
      </c>
    </row>
    <row r="552" spans="3:10" x14ac:dyDescent="0.25">
      <c r="C552" t="str">
        <f>IF(Filtering!F552&gt;0,Filtering!B552,"N/A")</f>
        <v>N/A</v>
      </c>
      <c r="D552" t="str">
        <f>IF('Data Validation'!C552=Filtering!B552,Filtering!C552,"N/A")</f>
        <v>N/A</v>
      </c>
      <c r="J552" t="str">
        <f>IF(_xlfn.CONCAT(Filtering!A552,Filtering!B552,Filtering!C552)=$M$2,Filtering!D552,"N/A")</f>
        <v>N/A</v>
      </c>
    </row>
    <row r="553" spans="3:10" x14ac:dyDescent="0.25">
      <c r="C553" t="str">
        <f>IF(Filtering!F553&gt;0,Filtering!B553,"N/A")</f>
        <v>N/A</v>
      </c>
      <c r="D553" t="str">
        <f>IF('Data Validation'!C553=Filtering!B553,Filtering!C553,"N/A")</f>
        <v>N/A</v>
      </c>
      <c r="J553" t="str">
        <f>IF(_xlfn.CONCAT(Filtering!A553,Filtering!B553,Filtering!C553)=$M$2,Filtering!D553,"N/A")</f>
        <v>N/A</v>
      </c>
    </row>
    <row r="554" spans="3:10" x14ac:dyDescent="0.25">
      <c r="C554" t="str">
        <f>IF(Filtering!F554&gt;0,Filtering!B554,"N/A")</f>
        <v>N/A</v>
      </c>
      <c r="D554" t="str">
        <f>IF('Data Validation'!C554=Filtering!B554,Filtering!C554,"N/A")</f>
        <v>N/A</v>
      </c>
      <c r="J554" t="str">
        <f>IF(_xlfn.CONCAT(Filtering!A554,Filtering!B554,Filtering!C554)=$M$2,Filtering!D554,"N/A")</f>
        <v>N/A</v>
      </c>
    </row>
    <row r="555" spans="3:10" x14ac:dyDescent="0.25">
      <c r="C555" t="str">
        <f>IF(Filtering!F555&gt;0,Filtering!B555,"N/A")</f>
        <v>N/A</v>
      </c>
      <c r="D555" t="str">
        <f>IF('Data Validation'!C555=Filtering!B555,Filtering!C555,"N/A")</f>
        <v>N/A</v>
      </c>
      <c r="J555" t="str">
        <f>IF(_xlfn.CONCAT(Filtering!A555,Filtering!B555,Filtering!C555)=$M$2,Filtering!D555,"N/A")</f>
        <v>N/A</v>
      </c>
    </row>
    <row r="556" spans="3:10" x14ac:dyDescent="0.25">
      <c r="C556" t="str">
        <f>IF(Filtering!F556&gt;0,Filtering!B556,"N/A")</f>
        <v>N/A</v>
      </c>
      <c r="D556" t="str">
        <f>IF('Data Validation'!C556=Filtering!B556,Filtering!C556,"N/A")</f>
        <v>N/A</v>
      </c>
      <c r="J556" t="str">
        <f>IF(_xlfn.CONCAT(Filtering!A556,Filtering!B556,Filtering!C556)=$M$2,Filtering!D556,"N/A")</f>
        <v>N/A</v>
      </c>
    </row>
    <row r="557" spans="3:10" x14ac:dyDescent="0.25">
      <c r="C557" t="str">
        <f>IF(Filtering!F557&gt;0,Filtering!B557,"N/A")</f>
        <v>N/A</v>
      </c>
      <c r="D557" t="str">
        <f>IF('Data Validation'!C557=Filtering!B557,Filtering!C557,"N/A")</f>
        <v>N/A</v>
      </c>
      <c r="J557" t="str">
        <f>IF(_xlfn.CONCAT(Filtering!A557,Filtering!B557,Filtering!C557)=$M$2,Filtering!D557,"N/A")</f>
        <v>N/A</v>
      </c>
    </row>
    <row r="558" spans="3:10" x14ac:dyDescent="0.25">
      <c r="C558" t="str">
        <f>IF(Filtering!F558&gt;0,Filtering!B558,"N/A")</f>
        <v>N/A</v>
      </c>
      <c r="D558" t="str">
        <f>IF('Data Validation'!C558=Filtering!B558,Filtering!C558,"N/A")</f>
        <v>N/A</v>
      </c>
      <c r="J558" t="str">
        <f>IF(_xlfn.CONCAT(Filtering!A558,Filtering!B558,Filtering!C558)=$M$2,Filtering!D558,"N/A")</f>
        <v>N/A</v>
      </c>
    </row>
    <row r="559" spans="3:10" x14ac:dyDescent="0.25">
      <c r="C559" t="str">
        <f>IF(Filtering!F559&gt;0,Filtering!B559,"N/A")</f>
        <v>N/A</v>
      </c>
      <c r="D559" t="str">
        <f>IF('Data Validation'!C559=Filtering!B559,Filtering!C559,"N/A")</f>
        <v>N/A</v>
      </c>
      <c r="J559" t="str">
        <f>IF(_xlfn.CONCAT(Filtering!A559,Filtering!B559,Filtering!C559)=$M$2,Filtering!D559,"N/A")</f>
        <v>N/A</v>
      </c>
    </row>
    <row r="560" spans="3:10" x14ac:dyDescent="0.25">
      <c r="C560" t="str">
        <f>IF(Filtering!F560&gt;0,Filtering!B560,"N/A")</f>
        <v>N/A</v>
      </c>
      <c r="D560" t="str">
        <f>IF('Data Validation'!C560=Filtering!B560,Filtering!C560,"N/A")</f>
        <v>N/A</v>
      </c>
      <c r="J560" t="str">
        <f>IF(_xlfn.CONCAT(Filtering!A560,Filtering!B560,Filtering!C560)=$M$2,Filtering!D560,"N/A")</f>
        <v>N/A</v>
      </c>
    </row>
    <row r="561" spans="3:10" x14ac:dyDescent="0.25">
      <c r="C561" t="str">
        <f>IF(Filtering!F561&gt;0,Filtering!B561,"N/A")</f>
        <v>N/A</v>
      </c>
      <c r="D561" t="str">
        <f>IF('Data Validation'!C561=Filtering!B561,Filtering!C561,"N/A")</f>
        <v>N/A</v>
      </c>
      <c r="J561" t="str">
        <f>IF(_xlfn.CONCAT(Filtering!A561,Filtering!B561,Filtering!C561)=$M$2,Filtering!D561,"N/A")</f>
        <v>N/A</v>
      </c>
    </row>
    <row r="562" spans="3:10" x14ac:dyDescent="0.25">
      <c r="C562" t="str">
        <f>IF(Filtering!F562&gt;0,Filtering!B562,"N/A")</f>
        <v>N/A</v>
      </c>
      <c r="D562" t="str">
        <f>IF('Data Validation'!C562=Filtering!B562,Filtering!C562,"N/A")</f>
        <v>N/A</v>
      </c>
      <c r="J562" t="str">
        <f>IF(_xlfn.CONCAT(Filtering!A562,Filtering!B562,Filtering!C562)=$M$2,Filtering!D562,"N/A")</f>
        <v>N/A</v>
      </c>
    </row>
    <row r="563" spans="3:10" x14ac:dyDescent="0.25">
      <c r="C563" t="str">
        <f>IF(Filtering!F563&gt;0,Filtering!B563,"N/A")</f>
        <v>N/A</v>
      </c>
      <c r="D563" t="str">
        <f>IF('Data Validation'!C563=Filtering!B563,Filtering!C563,"N/A")</f>
        <v>N/A</v>
      </c>
      <c r="J563" t="str">
        <f>IF(_xlfn.CONCAT(Filtering!A563,Filtering!B563,Filtering!C563)=$M$2,Filtering!D563,"N/A")</f>
        <v>N/A</v>
      </c>
    </row>
    <row r="564" spans="3:10" x14ac:dyDescent="0.25">
      <c r="C564" t="str">
        <f>IF(Filtering!F564&gt;0,Filtering!B564,"N/A")</f>
        <v>N/A</v>
      </c>
      <c r="D564" t="str">
        <f>IF('Data Validation'!C564=Filtering!B564,Filtering!C564,"N/A")</f>
        <v>N/A</v>
      </c>
      <c r="J564" t="str">
        <f>IF(_xlfn.CONCAT(Filtering!A564,Filtering!B564,Filtering!C564)=$M$2,Filtering!D564,"N/A")</f>
        <v>N/A</v>
      </c>
    </row>
    <row r="565" spans="3:10" x14ac:dyDescent="0.25">
      <c r="C565" t="str">
        <f>IF(Filtering!F565&gt;0,Filtering!B565,"N/A")</f>
        <v>N/A</v>
      </c>
      <c r="D565" t="str">
        <f>IF('Data Validation'!C565=Filtering!B565,Filtering!C565,"N/A")</f>
        <v>N/A</v>
      </c>
      <c r="J565" t="str">
        <f>IF(_xlfn.CONCAT(Filtering!A565,Filtering!B565,Filtering!C565)=$M$2,Filtering!D565,"N/A")</f>
        <v>N/A</v>
      </c>
    </row>
    <row r="566" spans="3:10" x14ac:dyDescent="0.25">
      <c r="C566" t="str">
        <f>IF(Filtering!F566&gt;0,Filtering!B566,"N/A")</f>
        <v>N/A</v>
      </c>
      <c r="D566" t="str">
        <f>IF('Data Validation'!C566=Filtering!B566,Filtering!C566,"N/A")</f>
        <v>N/A</v>
      </c>
      <c r="J566" t="str">
        <f>IF(_xlfn.CONCAT(Filtering!A566,Filtering!B566,Filtering!C566)=$M$2,Filtering!D566,"N/A")</f>
        <v>N/A</v>
      </c>
    </row>
    <row r="567" spans="3:10" x14ac:dyDescent="0.25">
      <c r="C567" t="str">
        <f>IF(Filtering!F567&gt;0,Filtering!B567,"N/A")</f>
        <v>N/A</v>
      </c>
      <c r="D567" t="str">
        <f>IF('Data Validation'!C567=Filtering!B567,Filtering!C567,"N/A")</f>
        <v>N/A</v>
      </c>
      <c r="J567" t="str">
        <f>IF(_xlfn.CONCAT(Filtering!A567,Filtering!B567,Filtering!C567)=$M$2,Filtering!D567,"N/A")</f>
        <v>N/A</v>
      </c>
    </row>
    <row r="568" spans="3:10" x14ac:dyDescent="0.25">
      <c r="C568" t="str">
        <f>IF(Filtering!F568&gt;0,Filtering!B568,"N/A")</f>
        <v>N/A</v>
      </c>
      <c r="D568" t="str">
        <f>IF('Data Validation'!C568=Filtering!B568,Filtering!C568,"N/A")</f>
        <v>N/A</v>
      </c>
      <c r="J568" t="str">
        <f>IF(_xlfn.CONCAT(Filtering!A568,Filtering!B568,Filtering!C568)=$M$2,Filtering!D568,"N/A")</f>
        <v>N/A</v>
      </c>
    </row>
    <row r="569" spans="3:10" x14ac:dyDescent="0.25">
      <c r="C569" t="str">
        <f>IF(Filtering!F569&gt;0,Filtering!B569,"N/A")</f>
        <v>N/A</v>
      </c>
      <c r="D569" t="str">
        <f>IF('Data Validation'!C569=Filtering!B569,Filtering!C569,"N/A")</f>
        <v>N/A</v>
      </c>
      <c r="J569" t="str">
        <f>IF(_xlfn.CONCAT(Filtering!A569,Filtering!B569,Filtering!C569)=$M$2,Filtering!D569,"N/A")</f>
        <v>N/A</v>
      </c>
    </row>
    <row r="570" spans="3:10" x14ac:dyDescent="0.25">
      <c r="C570" t="str">
        <f>IF(Filtering!F570&gt;0,Filtering!B570,"N/A")</f>
        <v>N/A</v>
      </c>
      <c r="D570" t="str">
        <f>IF('Data Validation'!C570=Filtering!B570,Filtering!C570,"N/A")</f>
        <v>N/A</v>
      </c>
      <c r="J570" t="str">
        <f>IF(_xlfn.CONCAT(Filtering!A570,Filtering!B570,Filtering!C570)=$M$2,Filtering!D570,"N/A")</f>
        <v>N/A</v>
      </c>
    </row>
    <row r="571" spans="3:10" x14ac:dyDescent="0.25">
      <c r="C571" t="str">
        <f>IF(Filtering!F571&gt;0,Filtering!B571,"N/A")</f>
        <v>N/A</v>
      </c>
      <c r="D571" t="str">
        <f>IF('Data Validation'!C571=Filtering!B571,Filtering!C571,"N/A")</f>
        <v>N/A</v>
      </c>
      <c r="J571" t="str">
        <f>IF(_xlfn.CONCAT(Filtering!A571,Filtering!B571,Filtering!C571)=$M$2,Filtering!D571,"N/A")</f>
        <v>N/A</v>
      </c>
    </row>
    <row r="572" spans="3:10" x14ac:dyDescent="0.25">
      <c r="C572" t="str">
        <f>IF(Filtering!F572&gt;0,Filtering!B572,"N/A")</f>
        <v>N/A</v>
      </c>
      <c r="D572" t="str">
        <f>IF('Data Validation'!C572=Filtering!B572,Filtering!C572,"N/A")</f>
        <v>N/A</v>
      </c>
      <c r="J572" t="str">
        <f>IF(_xlfn.CONCAT(Filtering!A572,Filtering!B572,Filtering!C572)=$M$2,Filtering!D572,"N/A")</f>
        <v>N/A</v>
      </c>
    </row>
    <row r="573" spans="3:10" x14ac:dyDescent="0.25">
      <c r="C573" t="str">
        <f>IF(Filtering!F573&gt;0,Filtering!B573,"N/A")</f>
        <v>N/A</v>
      </c>
      <c r="D573" t="str">
        <f>IF('Data Validation'!C573=Filtering!B573,Filtering!C573,"N/A")</f>
        <v>N/A</v>
      </c>
      <c r="J573" t="str">
        <f>IF(_xlfn.CONCAT(Filtering!A573,Filtering!B573,Filtering!C573)=$M$2,Filtering!D573,"N/A")</f>
        <v>N/A</v>
      </c>
    </row>
    <row r="574" spans="3:10" x14ac:dyDescent="0.25">
      <c r="C574" t="str">
        <f>IF(Filtering!F574&gt;0,Filtering!B574,"N/A")</f>
        <v>N/A</v>
      </c>
      <c r="D574" t="str">
        <f>IF('Data Validation'!C574=Filtering!B574,Filtering!C574,"N/A")</f>
        <v>N/A</v>
      </c>
      <c r="J574" t="str">
        <f>IF(_xlfn.CONCAT(Filtering!A574,Filtering!B574,Filtering!C574)=$M$2,Filtering!D574,"N/A")</f>
        <v>N/A</v>
      </c>
    </row>
    <row r="575" spans="3:10" x14ac:dyDescent="0.25">
      <c r="C575" t="str">
        <f>IF(Filtering!F575&gt;0,Filtering!B575,"N/A")</f>
        <v>N/A</v>
      </c>
      <c r="D575" t="str">
        <f>IF('Data Validation'!C575=Filtering!B575,Filtering!C575,"N/A")</f>
        <v>N/A</v>
      </c>
      <c r="J575" t="str">
        <f>IF(_xlfn.CONCAT(Filtering!A575,Filtering!B575,Filtering!C575)=$M$2,Filtering!D575,"N/A")</f>
        <v>N/A</v>
      </c>
    </row>
    <row r="576" spans="3:10" x14ac:dyDescent="0.25">
      <c r="C576" t="str">
        <f>IF(Filtering!F576&gt;0,Filtering!B576,"N/A")</f>
        <v>N/A</v>
      </c>
      <c r="D576" t="str">
        <f>IF('Data Validation'!C576=Filtering!B576,Filtering!C576,"N/A")</f>
        <v>N/A</v>
      </c>
      <c r="J576" t="str">
        <f>IF(_xlfn.CONCAT(Filtering!A576,Filtering!B576,Filtering!C576)=$M$2,Filtering!D576,"N/A")</f>
        <v>N/A</v>
      </c>
    </row>
    <row r="577" spans="3:10" x14ac:dyDescent="0.25">
      <c r="C577" t="str">
        <f>IF(Filtering!F577&gt;0,Filtering!B577,"N/A")</f>
        <v>N/A</v>
      </c>
      <c r="D577" t="str">
        <f>IF('Data Validation'!C577=Filtering!B577,Filtering!C577,"N/A")</f>
        <v>N/A</v>
      </c>
      <c r="J577" t="str">
        <f>IF(_xlfn.CONCAT(Filtering!A577,Filtering!B577,Filtering!C577)=$M$2,Filtering!D577,"N/A")</f>
        <v>N/A</v>
      </c>
    </row>
    <row r="578" spans="3:10" x14ac:dyDescent="0.25">
      <c r="C578" t="str">
        <f>IF(Filtering!F578&gt;0,Filtering!B578,"N/A")</f>
        <v>N/A</v>
      </c>
      <c r="D578" t="str">
        <f>IF('Data Validation'!C578=Filtering!B578,Filtering!C578,"N/A")</f>
        <v>N/A</v>
      </c>
      <c r="J578" t="str">
        <f>IF(_xlfn.CONCAT(Filtering!A578,Filtering!B578,Filtering!C578)=$M$2,Filtering!D578,"N/A")</f>
        <v>N/A</v>
      </c>
    </row>
    <row r="579" spans="3:10" x14ac:dyDescent="0.25">
      <c r="C579" t="str">
        <f>IF(Filtering!F579&gt;0,Filtering!B579,"N/A")</f>
        <v>N/A</v>
      </c>
      <c r="D579" t="str">
        <f>IF('Data Validation'!C579=Filtering!B579,Filtering!C579,"N/A")</f>
        <v>N/A</v>
      </c>
      <c r="J579" t="str">
        <f>IF(_xlfn.CONCAT(Filtering!A579,Filtering!B579,Filtering!C579)=$M$2,Filtering!D579,"N/A")</f>
        <v>N/A</v>
      </c>
    </row>
    <row r="580" spans="3:10" x14ac:dyDescent="0.25">
      <c r="C580" t="str">
        <f>IF(Filtering!F580&gt;0,Filtering!B580,"N/A")</f>
        <v>N/A</v>
      </c>
      <c r="D580" t="str">
        <f>IF('Data Validation'!C580=Filtering!B580,Filtering!C580,"N/A")</f>
        <v>N/A</v>
      </c>
      <c r="J580" t="str">
        <f>IF(_xlfn.CONCAT(Filtering!A580,Filtering!B580,Filtering!C580)=$M$2,Filtering!D580,"N/A")</f>
        <v>N/A</v>
      </c>
    </row>
    <row r="581" spans="3:10" x14ac:dyDescent="0.25">
      <c r="C581" t="str">
        <f>IF(Filtering!F581&gt;0,Filtering!B581,"N/A")</f>
        <v>N/A</v>
      </c>
      <c r="D581" t="str">
        <f>IF('Data Validation'!C581=Filtering!B581,Filtering!C581,"N/A")</f>
        <v>N/A</v>
      </c>
      <c r="J581" t="str">
        <f>IF(_xlfn.CONCAT(Filtering!A581,Filtering!B581,Filtering!C581)=$M$2,Filtering!D581,"N/A")</f>
        <v>N/A</v>
      </c>
    </row>
    <row r="582" spans="3:10" x14ac:dyDescent="0.25">
      <c r="C582" t="str">
        <f>IF(Filtering!F582&gt;0,Filtering!B582,"N/A")</f>
        <v>N/A</v>
      </c>
      <c r="D582" t="str">
        <f>IF('Data Validation'!C582=Filtering!B582,Filtering!C582,"N/A")</f>
        <v>N/A</v>
      </c>
      <c r="J582" t="str">
        <f>IF(_xlfn.CONCAT(Filtering!A582,Filtering!B582,Filtering!C582)=$M$2,Filtering!D582,"N/A")</f>
        <v>N/A</v>
      </c>
    </row>
    <row r="583" spans="3:10" x14ac:dyDescent="0.25">
      <c r="C583" t="str">
        <f>IF(Filtering!F583&gt;0,Filtering!B583,"N/A")</f>
        <v>N/A</v>
      </c>
      <c r="D583" t="str">
        <f>IF('Data Validation'!C583=Filtering!B583,Filtering!C583,"N/A")</f>
        <v>N/A</v>
      </c>
      <c r="J583" t="str">
        <f>IF(_xlfn.CONCAT(Filtering!A583,Filtering!B583,Filtering!C583)=$M$2,Filtering!D583,"N/A")</f>
        <v>N/A</v>
      </c>
    </row>
    <row r="584" spans="3:10" x14ac:dyDescent="0.25">
      <c r="C584" t="str">
        <f>IF(Filtering!F584&gt;0,Filtering!B584,"N/A")</f>
        <v>N/A</v>
      </c>
      <c r="D584" t="str">
        <f>IF('Data Validation'!C584=Filtering!B584,Filtering!C584,"N/A")</f>
        <v>N/A</v>
      </c>
      <c r="J584" t="str">
        <f>IF(_xlfn.CONCAT(Filtering!A584,Filtering!B584,Filtering!C584)=$M$2,Filtering!D584,"N/A")</f>
        <v>N/A</v>
      </c>
    </row>
    <row r="585" spans="3:10" x14ac:dyDescent="0.25">
      <c r="C585" t="str">
        <f>IF(Filtering!F585&gt;0,Filtering!B585,"N/A")</f>
        <v>N/A</v>
      </c>
      <c r="D585" t="str">
        <f>IF('Data Validation'!C585=Filtering!B585,Filtering!C585,"N/A")</f>
        <v>N/A</v>
      </c>
      <c r="J585" t="str">
        <f>IF(_xlfn.CONCAT(Filtering!A585,Filtering!B585,Filtering!C585)=$M$2,Filtering!D585,"N/A")</f>
        <v>N/A</v>
      </c>
    </row>
    <row r="586" spans="3:10" x14ac:dyDescent="0.25">
      <c r="C586" t="str">
        <f>IF(Filtering!F586&gt;0,Filtering!B586,"N/A")</f>
        <v>N/A</v>
      </c>
      <c r="D586" t="str">
        <f>IF('Data Validation'!C586=Filtering!B586,Filtering!C586,"N/A")</f>
        <v>N/A</v>
      </c>
      <c r="J586" t="str">
        <f>IF(_xlfn.CONCAT(Filtering!A586,Filtering!B586,Filtering!C586)=$M$2,Filtering!D586,"N/A")</f>
        <v>N/A</v>
      </c>
    </row>
    <row r="587" spans="3:10" x14ac:dyDescent="0.25">
      <c r="C587" t="str">
        <f>IF(Filtering!F587&gt;0,Filtering!B587,"N/A")</f>
        <v>N/A</v>
      </c>
      <c r="D587" t="str">
        <f>IF('Data Validation'!C587=Filtering!B587,Filtering!C587,"N/A")</f>
        <v>N/A</v>
      </c>
      <c r="J587" t="str">
        <f>IF(_xlfn.CONCAT(Filtering!A587,Filtering!B587,Filtering!C587)=$M$2,Filtering!D587,"N/A")</f>
        <v>N/A</v>
      </c>
    </row>
    <row r="588" spans="3:10" x14ac:dyDescent="0.25">
      <c r="C588" t="str">
        <f>IF(Filtering!F588&gt;0,Filtering!B588,"N/A")</f>
        <v>N/A</v>
      </c>
      <c r="D588" t="str">
        <f>IF('Data Validation'!C588=Filtering!B588,Filtering!C588,"N/A")</f>
        <v>N/A</v>
      </c>
      <c r="J588" t="str">
        <f>IF(_xlfn.CONCAT(Filtering!A588,Filtering!B588,Filtering!C588)=$M$2,Filtering!D588,"N/A")</f>
        <v>N/A</v>
      </c>
    </row>
    <row r="589" spans="3:10" x14ac:dyDescent="0.25">
      <c r="C589" t="str">
        <f>IF(Filtering!F589&gt;0,Filtering!B589,"N/A")</f>
        <v>N/A</v>
      </c>
      <c r="D589" t="str">
        <f>IF('Data Validation'!C589=Filtering!B589,Filtering!C589,"N/A")</f>
        <v>N/A</v>
      </c>
      <c r="J589" t="str">
        <f>IF(_xlfn.CONCAT(Filtering!A589,Filtering!B589,Filtering!C589)=$M$2,Filtering!D589,"N/A")</f>
        <v>N/A</v>
      </c>
    </row>
    <row r="590" spans="3:10" x14ac:dyDescent="0.25">
      <c r="C590" t="str">
        <f>IF(Filtering!F590&gt;0,Filtering!B590,"N/A")</f>
        <v>N/A</v>
      </c>
      <c r="D590" t="str">
        <f>IF('Data Validation'!C590=Filtering!B590,Filtering!C590,"N/A")</f>
        <v>N/A</v>
      </c>
      <c r="J590" t="str">
        <f>IF(_xlfn.CONCAT(Filtering!A590,Filtering!B590,Filtering!C590)=$M$2,Filtering!D590,"N/A")</f>
        <v>N/A</v>
      </c>
    </row>
    <row r="591" spans="3:10" x14ac:dyDescent="0.25">
      <c r="C591" t="str">
        <f>IF(Filtering!F591&gt;0,Filtering!B591,"N/A")</f>
        <v>N/A</v>
      </c>
      <c r="D591" t="str">
        <f>IF('Data Validation'!C591=Filtering!B591,Filtering!C591,"N/A")</f>
        <v>N/A</v>
      </c>
      <c r="J591" t="str">
        <f>IF(_xlfn.CONCAT(Filtering!A591,Filtering!B591,Filtering!C591)=$M$2,Filtering!D591,"N/A")</f>
        <v>N/A</v>
      </c>
    </row>
    <row r="592" spans="3:10" x14ac:dyDescent="0.25">
      <c r="C592" t="str">
        <f>IF(Filtering!F592&gt;0,Filtering!B592,"N/A")</f>
        <v>N/A</v>
      </c>
      <c r="D592" t="str">
        <f>IF('Data Validation'!C592=Filtering!B592,Filtering!C592,"N/A")</f>
        <v>N/A</v>
      </c>
      <c r="J592" t="str">
        <f>IF(_xlfn.CONCAT(Filtering!A592,Filtering!B592,Filtering!C592)=$M$2,Filtering!D592,"N/A")</f>
        <v>N/A</v>
      </c>
    </row>
    <row r="593" spans="3:10" x14ac:dyDescent="0.25">
      <c r="C593" t="str">
        <f>IF(Filtering!F593&gt;0,Filtering!B593,"N/A")</f>
        <v>N/A</v>
      </c>
      <c r="D593" t="str">
        <f>IF('Data Validation'!C593=Filtering!B593,Filtering!C593,"N/A")</f>
        <v>N/A</v>
      </c>
      <c r="J593" t="str">
        <f>IF(_xlfn.CONCAT(Filtering!A593,Filtering!B593,Filtering!C593)=$M$2,Filtering!D593,"N/A")</f>
        <v>N/A</v>
      </c>
    </row>
    <row r="594" spans="3:10" x14ac:dyDescent="0.25">
      <c r="C594" t="str">
        <f>IF(Filtering!F594&gt;0,Filtering!B594,"N/A")</f>
        <v>N/A</v>
      </c>
      <c r="D594" t="str">
        <f>IF('Data Validation'!C594=Filtering!B594,Filtering!C594,"N/A")</f>
        <v>N/A</v>
      </c>
      <c r="J594" t="str">
        <f>IF(_xlfn.CONCAT(Filtering!A594,Filtering!B594,Filtering!C594)=$M$2,Filtering!D594,"N/A")</f>
        <v>N/A</v>
      </c>
    </row>
    <row r="595" spans="3:10" x14ac:dyDescent="0.25">
      <c r="C595" t="str">
        <f>IF(Filtering!F595&gt;0,Filtering!B595,"N/A")</f>
        <v>N/A</v>
      </c>
      <c r="D595" t="str">
        <f>IF('Data Validation'!C595=Filtering!B595,Filtering!C595,"N/A")</f>
        <v>N/A</v>
      </c>
      <c r="J595" t="str">
        <f>IF(_xlfn.CONCAT(Filtering!A595,Filtering!B595,Filtering!C595)=$M$2,Filtering!D595,"N/A")</f>
        <v>N/A</v>
      </c>
    </row>
    <row r="596" spans="3:10" x14ac:dyDescent="0.25">
      <c r="C596" t="str">
        <f>IF(Filtering!F596&gt;0,Filtering!B596,"N/A")</f>
        <v>N/A</v>
      </c>
      <c r="D596" t="str">
        <f>IF('Data Validation'!C596=Filtering!B596,Filtering!C596,"N/A")</f>
        <v>N/A</v>
      </c>
      <c r="J596" t="str">
        <f>IF(_xlfn.CONCAT(Filtering!A596,Filtering!B596,Filtering!C596)=$M$2,Filtering!D596,"N/A")</f>
        <v>N/A</v>
      </c>
    </row>
    <row r="597" spans="3:10" x14ac:dyDescent="0.25">
      <c r="C597" t="str">
        <f>IF(Filtering!F597&gt;0,Filtering!B597,"N/A")</f>
        <v>N/A</v>
      </c>
      <c r="D597" t="str">
        <f>IF('Data Validation'!C597=Filtering!B597,Filtering!C597,"N/A")</f>
        <v>N/A</v>
      </c>
      <c r="J597" t="str">
        <f>IF(_xlfn.CONCAT(Filtering!A597,Filtering!B597,Filtering!C597)=$M$2,Filtering!D597,"N/A")</f>
        <v>N/A</v>
      </c>
    </row>
    <row r="598" spans="3:10" x14ac:dyDescent="0.25">
      <c r="C598" t="str">
        <f>IF(Filtering!F598&gt;0,Filtering!B598,"N/A")</f>
        <v>N/A</v>
      </c>
      <c r="D598" t="str">
        <f>IF('Data Validation'!C598=Filtering!B598,Filtering!C598,"N/A")</f>
        <v>N/A</v>
      </c>
      <c r="J598" t="str">
        <f>IF(_xlfn.CONCAT(Filtering!A598,Filtering!B598,Filtering!C598)=$M$2,Filtering!D598,"N/A")</f>
        <v>N/A</v>
      </c>
    </row>
    <row r="599" spans="3:10" x14ac:dyDescent="0.25">
      <c r="C599" t="str">
        <f>IF(Filtering!F599&gt;0,Filtering!B599,"N/A")</f>
        <v>N/A</v>
      </c>
      <c r="D599" t="str">
        <f>IF('Data Validation'!C599=Filtering!B599,Filtering!C599,"N/A")</f>
        <v>N/A</v>
      </c>
      <c r="J599" t="str">
        <f>IF(_xlfn.CONCAT(Filtering!A599,Filtering!B599,Filtering!C599)=$M$2,Filtering!D599,"N/A")</f>
        <v>N/A</v>
      </c>
    </row>
    <row r="600" spans="3:10" x14ac:dyDescent="0.25">
      <c r="C600" t="str">
        <f>IF(Filtering!F600&gt;0,Filtering!B600,"N/A")</f>
        <v>N/A</v>
      </c>
      <c r="D600" t="str">
        <f>IF('Data Validation'!C600=Filtering!B600,Filtering!C600,"N/A")</f>
        <v>N/A</v>
      </c>
      <c r="J600" t="str">
        <f>IF(_xlfn.CONCAT(Filtering!A600,Filtering!B600,Filtering!C600)=$M$2,Filtering!D600,"N/A")</f>
        <v>N/A</v>
      </c>
    </row>
    <row r="601" spans="3:10" x14ac:dyDescent="0.25">
      <c r="C601" t="str">
        <f>IF(Filtering!F601&gt;0,Filtering!B601,"N/A")</f>
        <v>N/A</v>
      </c>
      <c r="D601" t="str">
        <f>IF('Data Validation'!C601=Filtering!B601,Filtering!C601,"N/A")</f>
        <v>N/A</v>
      </c>
      <c r="J601" t="str">
        <f>IF(_xlfn.CONCAT(Filtering!A601,Filtering!B601,Filtering!C601)=$M$2,Filtering!D601,"N/A")</f>
        <v>N/A</v>
      </c>
    </row>
    <row r="602" spans="3:10" x14ac:dyDescent="0.25">
      <c r="C602" t="str">
        <f>IF(Filtering!F602&gt;0,Filtering!B602,"N/A")</f>
        <v>N/A</v>
      </c>
      <c r="D602" t="str">
        <f>IF('Data Validation'!C602=Filtering!B602,Filtering!C602,"N/A")</f>
        <v>N/A</v>
      </c>
      <c r="J602" t="str">
        <f>IF(_xlfn.CONCAT(Filtering!A602,Filtering!B602,Filtering!C602)=$M$2,Filtering!D602,"N/A")</f>
        <v>N/A</v>
      </c>
    </row>
    <row r="603" spans="3:10" x14ac:dyDescent="0.25">
      <c r="C603" t="str">
        <f>IF(Filtering!F603&gt;0,Filtering!B603,"N/A")</f>
        <v>N/A</v>
      </c>
      <c r="D603" t="str">
        <f>IF('Data Validation'!C603=Filtering!B603,Filtering!C603,"N/A")</f>
        <v>N/A</v>
      </c>
      <c r="J603" t="str">
        <f>IF(_xlfn.CONCAT(Filtering!A603,Filtering!B603,Filtering!C603)=$M$2,Filtering!D603,"N/A")</f>
        <v>N/A</v>
      </c>
    </row>
    <row r="604" spans="3:10" x14ac:dyDescent="0.25">
      <c r="C604" t="str">
        <f>IF(Filtering!F604&gt;0,Filtering!B604,"N/A")</f>
        <v>N/A</v>
      </c>
      <c r="D604" t="str">
        <f>IF('Data Validation'!C604=Filtering!B604,Filtering!C604,"N/A")</f>
        <v>N/A</v>
      </c>
      <c r="J604" t="str">
        <f>IF(_xlfn.CONCAT(Filtering!A604,Filtering!B604,Filtering!C604)=$M$2,Filtering!D604,"N/A")</f>
        <v>N/A</v>
      </c>
    </row>
    <row r="605" spans="3:10" x14ac:dyDescent="0.25">
      <c r="C605" t="str">
        <f>IF(Filtering!F605&gt;0,Filtering!B605,"N/A")</f>
        <v>N/A</v>
      </c>
      <c r="D605" t="str">
        <f>IF('Data Validation'!C605=Filtering!B605,Filtering!C605,"N/A")</f>
        <v>N/A</v>
      </c>
      <c r="J605" t="str">
        <f>IF(_xlfn.CONCAT(Filtering!A605,Filtering!B605,Filtering!C605)=$M$2,Filtering!D605,"N/A")</f>
        <v>N/A</v>
      </c>
    </row>
    <row r="606" spans="3:10" x14ac:dyDescent="0.25">
      <c r="C606" t="str">
        <f>IF(Filtering!F606&gt;0,Filtering!B606,"N/A")</f>
        <v>N/A</v>
      </c>
      <c r="D606" t="str">
        <f>IF('Data Validation'!C606=Filtering!B606,Filtering!C606,"N/A")</f>
        <v>N/A</v>
      </c>
      <c r="J606" t="str">
        <f>IF(_xlfn.CONCAT(Filtering!A606,Filtering!B606,Filtering!C606)=$M$2,Filtering!D606,"N/A")</f>
        <v>N/A</v>
      </c>
    </row>
    <row r="607" spans="3:10" x14ac:dyDescent="0.25">
      <c r="C607" t="str">
        <f>IF(Filtering!F607&gt;0,Filtering!B607,"N/A")</f>
        <v>N/A</v>
      </c>
      <c r="D607" t="str">
        <f>IF('Data Validation'!C607=Filtering!B607,Filtering!C607,"N/A")</f>
        <v>N/A</v>
      </c>
      <c r="J607" t="str">
        <f>IF(_xlfn.CONCAT(Filtering!A607,Filtering!B607,Filtering!C607)=$M$2,Filtering!D607,"N/A")</f>
        <v>N/A</v>
      </c>
    </row>
    <row r="608" spans="3:10" x14ac:dyDescent="0.25">
      <c r="C608" t="str">
        <f>IF(Filtering!F608&gt;0,Filtering!B608,"N/A")</f>
        <v>N/A</v>
      </c>
      <c r="D608" t="str">
        <f>IF('Data Validation'!C608=Filtering!B608,Filtering!C608,"N/A")</f>
        <v>N/A</v>
      </c>
      <c r="J608" t="str">
        <f>IF(_xlfn.CONCAT(Filtering!A608,Filtering!B608,Filtering!C608)=$M$2,Filtering!D608,"N/A")</f>
        <v>N/A</v>
      </c>
    </row>
    <row r="609" spans="3:10" x14ac:dyDescent="0.25">
      <c r="C609" t="str">
        <f>IF(Filtering!F609&gt;0,Filtering!B609,"N/A")</f>
        <v>N/A</v>
      </c>
      <c r="D609" t="str">
        <f>IF('Data Validation'!C609=Filtering!B609,Filtering!C609,"N/A")</f>
        <v>N/A</v>
      </c>
      <c r="J609" t="str">
        <f>IF(_xlfn.CONCAT(Filtering!A609,Filtering!B609,Filtering!C609)=$M$2,Filtering!D609,"N/A")</f>
        <v>N/A</v>
      </c>
    </row>
    <row r="610" spans="3:10" x14ac:dyDescent="0.25">
      <c r="C610" t="str">
        <f>IF(Filtering!F610&gt;0,Filtering!B610,"N/A")</f>
        <v>N/A</v>
      </c>
      <c r="D610" t="str">
        <f>IF('Data Validation'!C610=Filtering!B610,Filtering!C610,"N/A")</f>
        <v>N/A</v>
      </c>
      <c r="J610" t="str">
        <f>IF(_xlfn.CONCAT(Filtering!A610,Filtering!B610,Filtering!C610)=$M$2,Filtering!D610,"N/A")</f>
        <v>N/A</v>
      </c>
    </row>
    <row r="611" spans="3:10" x14ac:dyDescent="0.25">
      <c r="C611" t="str">
        <f>IF(Filtering!F611&gt;0,Filtering!B611,"N/A")</f>
        <v>N/A</v>
      </c>
      <c r="D611" t="str">
        <f>IF('Data Validation'!C611=Filtering!B611,Filtering!C611,"N/A")</f>
        <v>N/A</v>
      </c>
      <c r="J611" t="str">
        <f>IF(_xlfn.CONCAT(Filtering!A611,Filtering!B611,Filtering!C611)=$M$2,Filtering!D611,"N/A")</f>
        <v>N/A</v>
      </c>
    </row>
    <row r="612" spans="3:10" x14ac:dyDescent="0.25">
      <c r="C612" t="str">
        <f>IF(Filtering!F612&gt;0,Filtering!B612,"N/A")</f>
        <v>N/A</v>
      </c>
      <c r="D612" t="str">
        <f>IF('Data Validation'!C612=Filtering!B612,Filtering!C612,"N/A")</f>
        <v>N/A</v>
      </c>
      <c r="J612" t="str">
        <f>IF(_xlfn.CONCAT(Filtering!A612,Filtering!B612,Filtering!C612)=$M$2,Filtering!D612,"N/A")</f>
        <v>N/A</v>
      </c>
    </row>
    <row r="613" spans="3:10" x14ac:dyDescent="0.25">
      <c r="C613" t="str">
        <f>IF(Filtering!F613&gt;0,Filtering!B613,"N/A")</f>
        <v>N/A</v>
      </c>
      <c r="D613" t="str">
        <f>IF('Data Validation'!C613=Filtering!B613,Filtering!C613,"N/A")</f>
        <v>N/A</v>
      </c>
      <c r="J613" t="str">
        <f>IF(_xlfn.CONCAT(Filtering!A613,Filtering!B613,Filtering!C613)=$M$2,Filtering!D613,"N/A")</f>
        <v>N/A</v>
      </c>
    </row>
    <row r="614" spans="3:10" x14ac:dyDescent="0.25">
      <c r="C614" t="str">
        <f>IF(Filtering!F614&gt;0,Filtering!B614,"N/A")</f>
        <v>N/A</v>
      </c>
      <c r="D614" t="str">
        <f>IF('Data Validation'!C614=Filtering!B614,Filtering!C614,"N/A")</f>
        <v>N/A</v>
      </c>
      <c r="J614" t="str">
        <f>IF(_xlfn.CONCAT(Filtering!A614,Filtering!B614,Filtering!C614)=$M$2,Filtering!D614,"N/A")</f>
        <v>N/A</v>
      </c>
    </row>
    <row r="615" spans="3:10" x14ac:dyDescent="0.25">
      <c r="C615" t="str">
        <f>IF(Filtering!F615&gt;0,Filtering!B615,"N/A")</f>
        <v>N/A</v>
      </c>
      <c r="D615" t="str">
        <f>IF('Data Validation'!C615=Filtering!B615,Filtering!C615,"N/A")</f>
        <v>N/A</v>
      </c>
      <c r="J615" t="str">
        <f>IF(_xlfn.CONCAT(Filtering!A615,Filtering!B615,Filtering!C615)=$M$2,Filtering!D615,"N/A")</f>
        <v>N/A</v>
      </c>
    </row>
    <row r="616" spans="3:10" x14ac:dyDescent="0.25">
      <c r="C616" t="str">
        <f>IF(Filtering!F616&gt;0,Filtering!B616,"N/A")</f>
        <v>N/A</v>
      </c>
      <c r="D616" t="str">
        <f>IF('Data Validation'!C616=Filtering!B616,Filtering!C616,"N/A")</f>
        <v>N/A</v>
      </c>
      <c r="J616" t="str">
        <f>IF(_xlfn.CONCAT(Filtering!A616,Filtering!B616,Filtering!C616)=$M$2,Filtering!D616,"N/A")</f>
        <v>N/A</v>
      </c>
    </row>
    <row r="617" spans="3:10" x14ac:dyDescent="0.25">
      <c r="C617" t="str">
        <f>IF(Filtering!F617&gt;0,Filtering!B617,"N/A")</f>
        <v>N/A</v>
      </c>
      <c r="D617" t="str">
        <f>IF('Data Validation'!C617=Filtering!B617,Filtering!C617,"N/A")</f>
        <v>N/A</v>
      </c>
      <c r="J617" t="str">
        <f>IF(_xlfn.CONCAT(Filtering!A617,Filtering!B617,Filtering!C617)=$M$2,Filtering!D617,"N/A")</f>
        <v>N/A</v>
      </c>
    </row>
    <row r="618" spans="3:10" x14ac:dyDescent="0.25">
      <c r="C618" t="str">
        <f>IF(Filtering!F618&gt;0,Filtering!B618,"N/A")</f>
        <v>N/A</v>
      </c>
      <c r="D618" t="str">
        <f>IF('Data Validation'!C618=Filtering!B618,Filtering!C618,"N/A")</f>
        <v>N/A</v>
      </c>
      <c r="J618" t="str">
        <f>IF(_xlfn.CONCAT(Filtering!A618,Filtering!B618,Filtering!C618)=$M$2,Filtering!D618,"N/A")</f>
        <v>N/A</v>
      </c>
    </row>
    <row r="619" spans="3:10" x14ac:dyDescent="0.25">
      <c r="C619" t="str">
        <f>IF(Filtering!F619&gt;0,Filtering!B619,"N/A")</f>
        <v>N/A</v>
      </c>
      <c r="D619" t="str">
        <f>IF('Data Validation'!C619=Filtering!B619,Filtering!C619,"N/A")</f>
        <v>N/A</v>
      </c>
      <c r="J619" t="str">
        <f>IF(_xlfn.CONCAT(Filtering!A619,Filtering!B619,Filtering!C619)=$M$2,Filtering!D619,"N/A")</f>
        <v>N/A</v>
      </c>
    </row>
    <row r="620" spans="3:10" x14ac:dyDescent="0.25">
      <c r="C620" t="str">
        <f>IF(Filtering!F620&gt;0,Filtering!B620,"N/A")</f>
        <v>N/A</v>
      </c>
      <c r="D620" t="str">
        <f>IF('Data Validation'!C620=Filtering!B620,Filtering!C620,"N/A")</f>
        <v>N/A</v>
      </c>
      <c r="J620" t="str">
        <f>IF(_xlfn.CONCAT(Filtering!A620,Filtering!B620,Filtering!C620)=$M$2,Filtering!D620,"N/A")</f>
        <v>N/A</v>
      </c>
    </row>
    <row r="621" spans="3:10" x14ac:dyDescent="0.25">
      <c r="C621" t="str">
        <f>IF(Filtering!F621&gt;0,Filtering!B621,"N/A")</f>
        <v>N/A</v>
      </c>
      <c r="D621" t="str">
        <f>IF('Data Validation'!C621=Filtering!B621,Filtering!C621,"N/A")</f>
        <v>N/A</v>
      </c>
      <c r="J621" t="str">
        <f>IF(_xlfn.CONCAT(Filtering!A621,Filtering!B621,Filtering!C621)=$M$2,Filtering!D621,"N/A")</f>
        <v>N/A</v>
      </c>
    </row>
    <row r="622" spans="3:10" x14ac:dyDescent="0.25">
      <c r="C622" t="str">
        <f>IF(Filtering!F622&gt;0,Filtering!B622,"N/A")</f>
        <v>N/A</v>
      </c>
      <c r="D622" t="str">
        <f>IF('Data Validation'!C622=Filtering!B622,Filtering!C622,"N/A")</f>
        <v>N/A</v>
      </c>
      <c r="J622" t="str">
        <f>IF(_xlfn.CONCAT(Filtering!A622,Filtering!B622,Filtering!C622)=$M$2,Filtering!D622,"N/A")</f>
        <v>N/A</v>
      </c>
    </row>
    <row r="623" spans="3:10" x14ac:dyDescent="0.25">
      <c r="C623" t="str">
        <f>IF(Filtering!F623&gt;0,Filtering!B623,"N/A")</f>
        <v>N/A</v>
      </c>
      <c r="D623" t="str">
        <f>IF('Data Validation'!C623=Filtering!B623,Filtering!C623,"N/A")</f>
        <v>N/A</v>
      </c>
      <c r="J623" t="str">
        <f>IF(_xlfn.CONCAT(Filtering!A623,Filtering!B623,Filtering!C623)=$M$2,Filtering!D623,"N/A")</f>
        <v>N/A</v>
      </c>
    </row>
    <row r="624" spans="3:10" x14ac:dyDescent="0.25">
      <c r="C624" t="str">
        <f>IF(Filtering!F624&gt;0,Filtering!B624,"N/A")</f>
        <v>N/A</v>
      </c>
      <c r="D624" t="str">
        <f>IF('Data Validation'!C624=Filtering!B624,Filtering!C624,"N/A")</f>
        <v>N/A</v>
      </c>
      <c r="J624" t="str">
        <f>IF(_xlfn.CONCAT(Filtering!A624,Filtering!B624,Filtering!C624)=$M$2,Filtering!D624,"N/A")</f>
        <v>N/A</v>
      </c>
    </row>
    <row r="625" spans="3:10" x14ac:dyDescent="0.25">
      <c r="C625" t="str">
        <f>IF(Filtering!F625&gt;0,Filtering!B625,"N/A")</f>
        <v>N/A</v>
      </c>
      <c r="D625" t="str">
        <f>IF('Data Validation'!C625=Filtering!B625,Filtering!C625,"N/A")</f>
        <v>N/A</v>
      </c>
      <c r="J625" t="str">
        <f>IF(_xlfn.CONCAT(Filtering!A625,Filtering!B625,Filtering!C625)=$M$2,Filtering!D625,"N/A")</f>
        <v>N/A</v>
      </c>
    </row>
    <row r="626" spans="3:10" x14ac:dyDescent="0.25">
      <c r="C626" t="str">
        <f>IF(Filtering!F626&gt;0,Filtering!B626,"N/A")</f>
        <v>N/A</v>
      </c>
      <c r="D626" t="str">
        <f>IF('Data Validation'!C626=Filtering!B626,Filtering!C626,"N/A")</f>
        <v>N/A</v>
      </c>
      <c r="J626" t="str">
        <f>IF(_xlfn.CONCAT(Filtering!A626,Filtering!B626,Filtering!C626)=$M$2,Filtering!D626,"N/A")</f>
        <v>N/A</v>
      </c>
    </row>
    <row r="627" spans="3:10" x14ac:dyDescent="0.25">
      <c r="C627" t="str">
        <f>IF(Filtering!F627&gt;0,Filtering!B627,"N/A")</f>
        <v>N/A</v>
      </c>
      <c r="D627" t="str">
        <f>IF('Data Validation'!C627=Filtering!B627,Filtering!C627,"N/A")</f>
        <v>N/A</v>
      </c>
      <c r="J627" t="str">
        <f>IF(_xlfn.CONCAT(Filtering!A627,Filtering!B627,Filtering!C627)=$M$2,Filtering!D627,"N/A")</f>
        <v>N/A</v>
      </c>
    </row>
    <row r="628" spans="3:10" x14ac:dyDescent="0.25">
      <c r="C628" t="str">
        <f>IF(Filtering!F628&gt;0,Filtering!B628,"N/A")</f>
        <v>N/A</v>
      </c>
      <c r="D628" t="str">
        <f>IF('Data Validation'!C628=Filtering!B628,Filtering!C628,"N/A")</f>
        <v>N/A</v>
      </c>
      <c r="J628" t="str">
        <f>IF(_xlfn.CONCAT(Filtering!A628,Filtering!B628,Filtering!C628)=$M$2,Filtering!D628,"N/A")</f>
        <v>N/A</v>
      </c>
    </row>
    <row r="629" spans="3:10" x14ac:dyDescent="0.25">
      <c r="C629" t="str">
        <f>IF(Filtering!F629&gt;0,Filtering!B629,"N/A")</f>
        <v>N/A</v>
      </c>
      <c r="D629" t="str">
        <f>IF('Data Validation'!C629=Filtering!B629,Filtering!C629,"N/A")</f>
        <v>N/A</v>
      </c>
      <c r="J629" t="str">
        <f>IF(_xlfn.CONCAT(Filtering!A629,Filtering!B629,Filtering!C629)=$M$2,Filtering!D629,"N/A")</f>
        <v>N/A</v>
      </c>
    </row>
    <row r="630" spans="3:10" x14ac:dyDescent="0.25">
      <c r="C630" t="str">
        <f>IF(Filtering!F630&gt;0,Filtering!B630,"N/A")</f>
        <v>N/A</v>
      </c>
      <c r="D630" t="str">
        <f>IF('Data Validation'!C630=Filtering!B630,Filtering!C630,"N/A")</f>
        <v>N/A</v>
      </c>
      <c r="J630" t="str">
        <f>IF(_xlfn.CONCAT(Filtering!A630,Filtering!B630,Filtering!C630)=$M$2,Filtering!D630,"N/A")</f>
        <v>N/A</v>
      </c>
    </row>
    <row r="631" spans="3:10" x14ac:dyDescent="0.25">
      <c r="C631" t="str">
        <f>IF(Filtering!F631&gt;0,Filtering!B631,"N/A")</f>
        <v>N/A</v>
      </c>
      <c r="D631" t="str">
        <f>IF('Data Validation'!C631=Filtering!B631,Filtering!C631,"N/A")</f>
        <v>N/A</v>
      </c>
      <c r="J631" t="str">
        <f>IF(_xlfn.CONCAT(Filtering!A631,Filtering!B631,Filtering!C631)=$M$2,Filtering!D631,"N/A")</f>
        <v>N/A</v>
      </c>
    </row>
    <row r="632" spans="3:10" x14ac:dyDescent="0.25">
      <c r="C632" t="str">
        <f>IF(Filtering!F632&gt;0,Filtering!B632,"N/A")</f>
        <v>N/A</v>
      </c>
      <c r="D632" t="str">
        <f>IF('Data Validation'!C632=Filtering!B632,Filtering!C632,"N/A")</f>
        <v>N/A</v>
      </c>
      <c r="J632" t="str">
        <f>IF(_xlfn.CONCAT(Filtering!A632,Filtering!B632,Filtering!C632)=$M$2,Filtering!D632,"N/A")</f>
        <v>N/A</v>
      </c>
    </row>
    <row r="633" spans="3:10" x14ac:dyDescent="0.25">
      <c r="C633" t="str">
        <f>IF(Filtering!F633&gt;0,Filtering!B633,"N/A")</f>
        <v>N/A</v>
      </c>
      <c r="D633" t="str">
        <f>IF('Data Validation'!C633=Filtering!B633,Filtering!C633,"N/A")</f>
        <v>N/A</v>
      </c>
      <c r="J633" t="str">
        <f>IF(_xlfn.CONCAT(Filtering!A633,Filtering!B633,Filtering!C633)=$M$2,Filtering!D633,"N/A")</f>
        <v>N/A</v>
      </c>
    </row>
    <row r="634" spans="3:10" x14ac:dyDescent="0.25">
      <c r="C634" t="str">
        <f>IF(Filtering!F634&gt;0,Filtering!B634,"N/A")</f>
        <v>N/A</v>
      </c>
      <c r="D634" t="str">
        <f>IF('Data Validation'!C634=Filtering!B634,Filtering!C634,"N/A")</f>
        <v>N/A</v>
      </c>
      <c r="J634" t="str">
        <f>IF(_xlfn.CONCAT(Filtering!A634,Filtering!B634,Filtering!C634)=$M$2,Filtering!D634,"N/A")</f>
        <v>N/A</v>
      </c>
    </row>
    <row r="635" spans="3:10" x14ac:dyDescent="0.25">
      <c r="C635" t="str">
        <f>IF(Filtering!F635&gt;0,Filtering!B635,"N/A")</f>
        <v>N/A</v>
      </c>
      <c r="D635" t="str">
        <f>IF('Data Validation'!C635=Filtering!B635,Filtering!C635,"N/A")</f>
        <v>N/A</v>
      </c>
      <c r="J635" t="str">
        <f>IF(_xlfn.CONCAT(Filtering!A635,Filtering!B635,Filtering!C635)=$M$2,Filtering!D635,"N/A")</f>
        <v>N/A</v>
      </c>
    </row>
    <row r="636" spans="3:10" x14ac:dyDescent="0.25">
      <c r="C636" t="str">
        <f>IF(Filtering!F636&gt;0,Filtering!B636,"N/A")</f>
        <v>N/A</v>
      </c>
      <c r="D636" t="str">
        <f>IF('Data Validation'!C636=Filtering!B636,Filtering!C636,"N/A")</f>
        <v>N/A</v>
      </c>
      <c r="J636" t="str">
        <f>IF(_xlfn.CONCAT(Filtering!A636,Filtering!B636,Filtering!C636)=$M$2,Filtering!D636,"N/A")</f>
        <v>N/A</v>
      </c>
    </row>
    <row r="637" spans="3:10" x14ac:dyDescent="0.25">
      <c r="C637" t="str">
        <f>IF(Filtering!F637&gt;0,Filtering!B637,"N/A")</f>
        <v>N/A</v>
      </c>
      <c r="D637" t="str">
        <f>IF('Data Validation'!C637=Filtering!B637,Filtering!C637,"N/A")</f>
        <v>N/A</v>
      </c>
      <c r="J637" t="str">
        <f>IF(_xlfn.CONCAT(Filtering!A637,Filtering!B637,Filtering!C637)=$M$2,Filtering!D637,"N/A")</f>
        <v>N/A</v>
      </c>
    </row>
    <row r="638" spans="3:10" x14ac:dyDescent="0.25">
      <c r="C638" t="str">
        <f>IF(Filtering!F638&gt;0,Filtering!B638,"N/A")</f>
        <v>N/A</v>
      </c>
      <c r="D638" t="str">
        <f>IF('Data Validation'!C638=Filtering!B638,Filtering!C638,"N/A")</f>
        <v>N/A</v>
      </c>
      <c r="J638" t="str">
        <f>IF(_xlfn.CONCAT(Filtering!A638,Filtering!B638,Filtering!C638)=$M$2,Filtering!D638,"N/A")</f>
        <v>N/A</v>
      </c>
    </row>
    <row r="639" spans="3:10" x14ac:dyDescent="0.25">
      <c r="C639" t="str">
        <f>IF(Filtering!F639&gt;0,Filtering!B639,"N/A")</f>
        <v>N/A</v>
      </c>
      <c r="D639" t="str">
        <f>IF('Data Validation'!C639=Filtering!B639,Filtering!C639,"N/A")</f>
        <v>N/A</v>
      </c>
      <c r="J639" t="str">
        <f>IF(_xlfn.CONCAT(Filtering!A639,Filtering!B639,Filtering!C639)=$M$2,Filtering!D639,"N/A")</f>
        <v>N/A</v>
      </c>
    </row>
    <row r="640" spans="3:10" x14ac:dyDescent="0.25">
      <c r="C640" t="str">
        <f>IF(Filtering!F640&gt;0,Filtering!B640,"N/A")</f>
        <v>N/A</v>
      </c>
      <c r="D640" t="str">
        <f>IF('Data Validation'!C640=Filtering!B640,Filtering!C640,"N/A")</f>
        <v>N/A</v>
      </c>
      <c r="J640" t="str">
        <f>IF(_xlfn.CONCAT(Filtering!A640,Filtering!B640,Filtering!C640)=$M$2,Filtering!D640,"N/A")</f>
        <v>N/A</v>
      </c>
    </row>
    <row r="641" spans="3:10" x14ac:dyDescent="0.25">
      <c r="C641" t="str">
        <f>IF(Filtering!F641&gt;0,Filtering!B641,"N/A")</f>
        <v>N/A</v>
      </c>
      <c r="D641" t="str">
        <f>IF('Data Validation'!C641=Filtering!B641,Filtering!C641,"N/A")</f>
        <v>N/A</v>
      </c>
      <c r="J641" t="str">
        <f>IF(_xlfn.CONCAT(Filtering!A641,Filtering!B641,Filtering!C641)=$M$2,Filtering!D641,"N/A")</f>
        <v>N/A</v>
      </c>
    </row>
    <row r="642" spans="3:10" x14ac:dyDescent="0.25">
      <c r="C642" t="str">
        <f>IF(Filtering!F642&gt;0,Filtering!B642,"N/A")</f>
        <v>N/A</v>
      </c>
      <c r="D642" t="str">
        <f>IF('Data Validation'!C642=Filtering!B642,Filtering!C642,"N/A")</f>
        <v>N/A</v>
      </c>
      <c r="J642" t="str">
        <f>IF(_xlfn.CONCAT(Filtering!A642,Filtering!B642,Filtering!C642)=$M$2,Filtering!D642,"N/A")</f>
        <v>N/A</v>
      </c>
    </row>
    <row r="643" spans="3:10" x14ac:dyDescent="0.25">
      <c r="C643" t="str">
        <f>IF(Filtering!F643&gt;0,Filtering!B643,"N/A")</f>
        <v>N/A</v>
      </c>
      <c r="D643" t="str">
        <f>IF('Data Validation'!C643=Filtering!B643,Filtering!C643,"N/A")</f>
        <v>N/A</v>
      </c>
      <c r="J643" t="str">
        <f>IF(_xlfn.CONCAT(Filtering!A643,Filtering!B643,Filtering!C643)=$M$2,Filtering!D643,"N/A")</f>
        <v>N/A</v>
      </c>
    </row>
    <row r="644" spans="3:10" x14ac:dyDescent="0.25">
      <c r="C644" t="str">
        <f>IF(Filtering!F644&gt;0,Filtering!B644,"N/A")</f>
        <v>N/A</v>
      </c>
      <c r="D644" t="str">
        <f>IF('Data Validation'!C644=Filtering!B644,Filtering!C644,"N/A")</f>
        <v>N/A</v>
      </c>
      <c r="J644" t="str">
        <f>IF(_xlfn.CONCAT(Filtering!A644,Filtering!B644,Filtering!C644)=$M$2,Filtering!D644,"N/A")</f>
        <v>N/A</v>
      </c>
    </row>
    <row r="645" spans="3:10" x14ac:dyDescent="0.25">
      <c r="C645" t="str">
        <f>IF(Filtering!F645&gt;0,Filtering!B645,"N/A")</f>
        <v>N/A</v>
      </c>
      <c r="D645" t="str">
        <f>IF('Data Validation'!C645=Filtering!B645,Filtering!C645,"N/A")</f>
        <v>N/A</v>
      </c>
      <c r="J645" t="str">
        <f>IF(_xlfn.CONCAT(Filtering!A645,Filtering!B645,Filtering!C645)=$M$2,Filtering!D645,"N/A")</f>
        <v>N/A</v>
      </c>
    </row>
    <row r="646" spans="3:10" x14ac:dyDescent="0.25">
      <c r="C646" t="str">
        <f>IF(Filtering!F646&gt;0,Filtering!B646,"N/A")</f>
        <v>N/A</v>
      </c>
      <c r="D646" t="str">
        <f>IF('Data Validation'!C646=Filtering!B646,Filtering!C646,"N/A")</f>
        <v>N/A</v>
      </c>
      <c r="J646" t="str">
        <f>IF(_xlfn.CONCAT(Filtering!A646,Filtering!B646,Filtering!C646)=$M$2,Filtering!D646,"N/A")</f>
        <v>N/A</v>
      </c>
    </row>
    <row r="647" spans="3:10" x14ac:dyDescent="0.25">
      <c r="C647" t="str">
        <f>IF(Filtering!F647&gt;0,Filtering!B647,"N/A")</f>
        <v>N/A</v>
      </c>
      <c r="D647" t="str">
        <f>IF('Data Validation'!C647=Filtering!B647,Filtering!C647,"N/A")</f>
        <v>N/A</v>
      </c>
      <c r="J647" t="str">
        <f>IF(_xlfn.CONCAT(Filtering!A647,Filtering!B647,Filtering!C647)=$M$2,Filtering!D647,"N/A")</f>
        <v>N/A</v>
      </c>
    </row>
    <row r="648" spans="3:10" x14ac:dyDescent="0.25">
      <c r="C648" t="str">
        <f>IF(Filtering!F648&gt;0,Filtering!B648,"N/A")</f>
        <v>N/A</v>
      </c>
      <c r="D648" t="str">
        <f>IF('Data Validation'!C648=Filtering!B648,Filtering!C648,"N/A")</f>
        <v>N/A</v>
      </c>
      <c r="J648" t="str">
        <f>IF(_xlfn.CONCAT(Filtering!A648,Filtering!B648,Filtering!C648)=$M$2,Filtering!D648,"N/A")</f>
        <v>N/A</v>
      </c>
    </row>
    <row r="649" spans="3:10" x14ac:dyDescent="0.25">
      <c r="C649" t="str">
        <f>IF(Filtering!F649&gt;0,Filtering!B649,"N/A")</f>
        <v>N/A</v>
      </c>
      <c r="D649" t="str">
        <f>IF('Data Validation'!C649=Filtering!B649,Filtering!C649,"N/A")</f>
        <v>N/A</v>
      </c>
      <c r="J649" t="str">
        <f>IF(_xlfn.CONCAT(Filtering!A649,Filtering!B649,Filtering!C649)=$M$2,Filtering!D649,"N/A")</f>
        <v>N/A</v>
      </c>
    </row>
    <row r="650" spans="3:10" x14ac:dyDescent="0.25">
      <c r="C650" t="str">
        <f>IF(Filtering!F650&gt;0,Filtering!B650,"N/A")</f>
        <v>N/A</v>
      </c>
      <c r="D650" t="str">
        <f>IF('Data Validation'!C650=Filtering!B650,Filtering!C650,"N/A")</f>
        <v>N/A</v>
      </c>
      <c r="J650" t="str">
        <f>IF(_xlfn.CONCAT(Filtering!A650,Filtering!B650,Filtering!C650)=$M$2,Filtering!D650,"N/A")</f>
        <v>N/A</v>
      </c>
    </row>
    <row r="651" spans="3:10" x14ac:dyDescent="0.25">
      <c r="C651" t="str">
        <f>IF(Filtering!F651&gt;0,Filtering!B651,"N/A")</f>
        <v>N/A</v>
      </c>
      <c r="D651" t="str">
        <f>IF('Data Validation'!C651=Filtering!B651,Filtering!C651,"N/A")</f>
        <v>N/A</v>
      </c>
      <c r="J651" t="str">
        <f>IF(_xlfn.CONCAT(Filtering!A651,Filtering!B651,Filtering!C651)=$M$2,Filtering!D651,"N/A")</f>
        <v>N/A</v>
      </c>
    </row>
    <row r="652" spans="3:10" x14ac:dyDescent="0.25">
      <c r="C652" t="str">
        <f>IF(Filtering!F652&gt;0,Filtering!B652,"N/A")</f>
        <v>N/A</v>
      </c>
      <c r="D652" t="str">
        <f>IF('Data Validation'!C652=Filtering!B652,Filtering!C652,"N/A")</f>
        <v>N/A</v>
      </c>
      <c r="J652" t="str">
        <f>IF(_xlfn.CONCAT(Filtering!A652,Filtering!B652,Filtering!C652)=$M$2,Filtering!D652,"N/A")</f>
        <v>N/A</v>
      </c>
    </row>
    <row r="653" spans="3:10" x14ac:dyDescent="0.25">
      <c r="C653" t="str">
        <f>IF(Filtering!F653&gt;0,Filtering!B653,"N/A")</f>
        <v>N/A</v>
      </c>
      <c r="D653" t="str">
        <f>IF('Data Validation'!C653=Filtering!B653,Filtering!C653,"N/A")</f>
        <v>N/A</v>
      </c>
      <c r="J653" t="str">
        <f>IF(_xlfn.CONCAT(Filtering!A653,Filtering!B653,Filtering!C653)=$M$2,Filtering!D653,"N/A")</f>
        <v>N/A</v>
      </c>
    </row>
    <row r="654" spans="3:10" x14ac:dyDescent="0.25">
      <c r="C654" t="str">
        <f>IF(Filtering!F654&gt;0,Filtering!B654,"N/A")</f>
        <v>N/A</v>
      </c>
      <c r="D654" t="str">
        <f>IF('Data Validation'!C654=Filtering!B654,Filtering!C654,"N/A")</f>
        <v>N/A</v>
      </c>
      <c r="J654" t="str">
        <f>IF(_xlfn.CONCAT(Filtering!A654,Filtering!B654,Filtering!C654)=$M$2,Filtering!D654,"N/A")</f>
        <v>N/A</v>
      </c>
    </row>
    <row r="655" spans="3:10" x14ac:dyDescent="0.25">
      <c r="C655" t="str">
        <f>IF(Filtering!F655&gt;0,Filtering!B655,"N/A")</f>
        <v>N/A</v>
      </c>
      <c r="D655" t="str">
        <f>IF('Data Validation'!C655=Filtering!B655,Filtering!C655,"N/A")</f>
        <v>N/A</v>
      </c>
      <c r="J655" t="str">
        <f>IF(_xlfn.CONCAT(Filtering!A655,Filtering!B655,Filtering!C655)=$M$2,Filtering!D655,"N/A")</f>
        <v>N/A</v>
      </c>
    </row>
    <row r="656" spans="3:10" x14ac:dyDescent="0.25">
      <c r="C656" t="str">
        <f>IF(Filtering!F656&gt;0,Filtering!B656,"N/A")</f>
        <v>N/A</v>
      </c>
      <c r="D656" t="str">
        <f>IF('Data Validation'!C656=Filtering!B656,Filtering!C656,"N/A")</f>
        <v>N/A</v>
      </c>
      <c r="J656" t="str">
        <f>IF(_xlfn.CONCAT(Filtering!A656,Filtering!B656,Filtering!C656)=$M$2,Filtering!D656,"N/A")</f>
        <v>N/A</v>
      </c>
    </row>
    <row r="657" spans="3:10" x14ac:dyDescent="0.25">
      <c r="C657" t="str">
        <f>IF(Filtering!F657&gt;0,Filtering!B657,"N/A")</f>
        <v>N/A</v>
      </c>
      <c r="D657" t="str">
        <f>IF('Data Validation'!C657=Filtering!B657,Filtering!C657,"N/A")</f>
        <v>N/A</v>
      </c>
      <c r="J657" t="str">
        <f>IF(_xlfn.CONCAT(Filtering!A657,Filtering!B657,Filtering!C657)=$M$2,Filtering!D657,"N/A")</f>
        <v>N/A</v>
      </c>
    </row>
    <row r="658" spans="3:10" x14ac:dyDescent="0.25">
      <c r="C658" t="str">
        <f>IF(Filtering!F658&gt;0,Filtering!B658,"N/A")</f>
        <v>N/A</v>
      </c>
      <c r="D658" t="str">
        <f>IF('Data Validation'!C658=Filtering!B658,Filtering!C658,"N/A")</f>
        <v>N/A</v>
      </c>
      <c r="J658" t="str">
        <f>IF(_xlfn.CONCAT(Filtering!A658,Filtering!B658,Filtering!C658)=$M$2,Filtering!D658,"N/A")</f>
        <v>N/A</v>
      </c>
    </row>
    <row r="659" spans="3:10" x14ac:dyDescent="0.25">
      <c r="C659" t="str">
        <f>IF(Filtering!F659&gt;0,Filtering!B659,"N/A")</f>
        <v>N/A</v>
      </c>
      <c r="D659" t="str">
        <f>IF('Data Validation'!C659=Filtering!B659,Filtering!C659,"N/A")</f>
        <v>N/A</v>
      </c>
      <c r="J659" t="str">
        <f>IF(_xlfn.CONCAT(Filtering!A659,Filtering!B659,Filtering!C659)=$M$2,Filtering!D659,"N/A")</f>
        <v>N/A</v>
      </c>
    </row>
    <row r="660" spans="3:10" x14ac:dyDescent="0.25">
      <c r="C660" t="str">
        <f>IF(Filtering!F660&gt;0,Filtering!B660,"N/A")</f>
        <v>N/A</v>
      </c>
      <c r="D660" t="str">
        <f>IF('Data Validation'!C660=Filtering!B660,Filtering!C660,"N/A")</f>
        <v>N/A</v>
      </c>
      <c r="J660" t="str">
        <f>IF(_xlfn.CONCAT(Filtering!A660,Filtering!B660,Filtering!C660)=$M$2,Filtering!D660,"N/A")</f>
        <v>N/A</v>
      </c>
    </row>
    <row r="661" spans="3:10" x14ac:dyDescent="0.25">
      <c r="C661" t="str">
        <f>IF(Filtering!F661&gt;0,Filtering!B661,"N/A")</f>
        <v>N/A</v>
      </c>
      <c r="D661" t="str">
        <f>IF('Data Validation'!C661=Filtering!B661,Filtering!C661,"N/A")</f>
        <v>N/A</v>
      </c>
      <c r="J661" t="str">
        <f>IF(_xlfn.CONCAT(Filtering!A661,Filtering!B661,Filtering!C661)=$M$2,Filtering!D661,"N/A")</f>
        <v>N/A</v>
      </c>
    </row>
    <row r="662" spans="3:10" x14ac:dyDescent="0.25">
      <c r="C662" t="str">
        <f>IF(Filtering!F662&gt;0,Filtering!B662,"N/A")</f>
        <v>N/A</v>
      </c>
      <c r="D662" t="str">
        <f>IF('Data Validation'!C662=Filtering!B662,Filtering!C662,"N/A")</f>
        <v>N/A</v>
      </c>
      <c r="J662" t="str">
        <f>IF(_xlfn.CONCAT(Filtering!A662,Filtering!B662,Filtering!C662)=$M$2,Filtering!D662,"N/A")</f>
        <v>N/A</v>
      </c>
    </row>
    <row r="663" spans="3:10" x14ac:dyDescent="0.25">
      <c r="C663" t="str">
        <f>IF(Filtering!F663&gt;0,Filtering!B663,"N/A")</f>
        <v>N/A</v>
      </c>
      <c r="D663" t="str">
        <f>IF('Data Validation'!C663=Filtering!B663,Filtering!C663,"N/A")</f>
        <v>N/A</v>
      </c>
      <c r="J663" t="str">
        <f>IF(_xlfn.CONCAT(Filtering!A663,Filtering!B663,Filtering!C663)=$M$2,Filtering!D663,"N/A")</f>
        <v>N/A</v>
      </c>
    </row>
    <row r="664" spans="3:10" x14ac:dyDescent="0.25">
      <c r="C664" t="str">
        <f>IF(Filtering!F664&gt;0,Filtering!B664,"N/A")</f>
        <v>N/A</v>
      </c>
      <c r="D664" t="str">
        <f>IF('Data Validation'!C664=Filtering!B664,Filtering!C664,"N/A")</f>
        <v>N/A</v>
      </c>
      <c r="J664" t="str">
        <f>IF(_xlfn.CONCAT(Filtering!A664,Filtering!B664,Filtering!C664)=$M$2,Filtering!D664,"N/A")</f>
        <v>N/A</v>
      </c>
    </row>
    <row r="665" spans="3:10" x14ac:dyDescent="0.25">
      <c r="C665" t="str">
        <f>IF(Filtering!F665&gt;0,Filtering!B665,"N/A")</f>
        <v>N/A</v>
      </c>
      <c r="D665" t="str">
        <f>IF('Data Validation'!C665=Filtering!B665,Filtering!C665,"N/A")</f>
        <v>N/A</v>
      </c>
      <c r="J665" t="str">
        <f>IF(_xlfn.CONCAT(Filtering!A665,Filtering!B665,Filtering!C665)=$M$2,Filtering!D665,"N/A")</f>
        <v>N/A</v>
      </c>
    </row>
    <row r="666" spans="3:10" x14ac:dyDescent="0.25">
      <c r="C666" t="str">
        <f>IF(Filtering!F666&gt;0,Filtering!B666,"N/A")</f>
        <v>N/A</v>
      </c>
      <c r="D666" t="str">
        <f>IF('Data Validation'!C666=Filtering!B666,Filtering!C666,"N/A")</f>
        <v>N/A</v>
      </c>
      <c r="J666" t="str">
        <f>IF(_xlfn.CONCAT(Filtering!A666,Filtering!B666,Filtering!C666)=$M$2,Filtering!D666,"N/A")</f>
        <v>N/A</v>
      </c>
    </row>
    <row r="667" spans="3:10" x14ac:dyDescent="0.25">
      <c r="C667" t="str">
        <f>IF(Filtering!F667&gt;0,Filtering!B667,"N/A")</f>
        <v>N/A</v>
      </c>
      <c r="D667" t="str">
        <f>IF('Data Validation'!C667=Filtering!B667,Filtering!C667,"N/A")</f>
        <v>N/A</v>
      </c>
      <c r="J667" t="str">
        <f>IF(_xlfn.CONCAT(Filtering!A667,Filtering!B667,Filtering!C667)=$M$2,Filtering!D667,"N/A")</f>
        <v>N/A</v>
      </c>
    </row>
    <row r="668" spans="3:10" x14ac:dyDescent="0.25">
      <c r="C668" t="str">
        <f>IF(Filtering!F668&gt;0,Filtering!B668,"N/A")</f>
        <v>N/A</v>
      </c>
      <c r="D668" t="str">
        <f>IF('Data Validation'!C668=Filtering!B668,Filtering!C668,"N/A")</f>
        <v>N/A</v>
      </c>
      <c r="J668" t="str">
        <f>IF(_xlfn.CONCAT(Filtering!A668,Filtering!B668,Filtering!C668)=$M$2,Filtering!D668,"N/A")</f>
        <v>N/A</v>
      </c>
    </row>
    <row r="669" spans="3:10" x14ac:dyDescent="0.25">
      <c r="C669" t="str">
        <f>IF(Filtering!F669&gt;0,Filtering!B669,"N/A")</f>
        <v>N/A</v>
      </c>
      <c r="D669" t="str">
        <f>IF('Data Validation'!C669=Filtering!B669,Filtering!C669,"N/A")</f>
        <v>N/A</v>
      </c>
      <c r="J669" t="str">
        <f>IF(_xlfn.CONCAT(Filtering!A669,Filtering!B669,Filtering!C669)=$M$2,Filtering!D669,"N/A")</f>
        <v>N/A</v>
      </c>
    </row>
    <row r="670" spans="3:10" x14ac:dyDescent="0.25">
      <c r="C670" t="str">
        <f>IF(Filtering!F670&gt;0,Filtering!B670,"N/A")</f>
        <v>N/A</v>
      </c>
      <c r="D670" t="str">
        <f>IF('Data Validation'!C670=Filtering!B670,Filtering!C670,"N/A")</f>
        <v>N/A</v>
      </c>
      <c r="J670" t="str">
        <f>IF(_xlfn.CONCAT(Filtering!A670,Filtering!B670,Filtering!C670)=$M$2,Filtering!D670,"N/A")</f>
        <v>N/A</v>
      </c>
    </row>
    <row r="671" spans="3:10" x14ac:dyDescent="0.25">
      <c r="C671" t="str">
        <f>IF(Filtering!F671&gt;0,Filtering!B671,"N/A")</f>
        <v>N/A</v>
      </c>
      <c r="D671" t="str">
        <f>IF('Data Validation'!C671=Filtering!B671,Filtering!C671,"N/A")</f>
        <v>N/A</v>
      </c>
      <c r="J671" t="str">
        <f>IF(_xlfn.CONCAT(Filtering!A671,Filtering!B671,Filtering!C671)=$M$2,Filtering!D671,"N/A")</f>
        <v>N/A</v>
      </c>
    </row>
    <row r="672" spans="3:10" x14ac:dyDescent="0.25">
      <c r="C672" t="str">
        <f>IF(Filtering!F672&gt;0,Filtering!B672,"N/A")</f>
        <v>N/A</v>
      </c>
      <c r="D672" t="str">
        <f>IF('Data Validation'!C672=Filtering!B672,Filtering!C672,"N/A")</f>
        <v>N/A</v>
      </c>
      <c r="J672" t="str">
        <f>IF(_xlfn.CONCAT(Filtering!A672,Filtering!B672,Filtering!C672)=$M$2,Filtering!D672,"N/A")</f>
        <v>N/A</v>
      </c>
    </row>
    <row r="673" spans="3:10" x14ac:dyDescent="0.25">
      <c r="C673" t="str">
        <f>IF(Filtering!F673&gt;0,Filtering!B673,"N/A")</f>
        <v>N/A</v>
      </c>
      <c r="D673" t="str">
        <f>IF('Data Validation'!C673=Filtering!B673,Filtering!C673,"N/A")</f>
        <v>N/A</v>
      </c>
      <c r="J673" t="str">
        <f>IF(_xlfn.CONCAT(Filtering!A673,Filtering!B673,Filtering!C673)=$M$2,Filtering!D673,"N/A")</f>
        <v>N/A</v>
      </c>
    </row>
    <row r="674" spans="3:10" x14ac:dyDescent="0.25">
      <c r="C674" t="str">
        <f>IF(Filtering!F674&gt;0,Filtering!B674,"N/A")</f>
        <v>N/A</v>
      </c>
      <c r="D674" t="str">
        <f>IF('Data Validation'!C674=Filtering!B674,Filtering!C674,"N/A")</f>
        <v>N/A</v>
      </c>
      <c r="J674" t="str">
        <f>IF(_xlfn.CONCAT(Filtering!A674,Filtering!B674,Filtering!C674)=$M$2,Filtering!D674,"N/A")</f>
        <v>N/A</v>
      </c>
    </row>
    <row r="675" spans="3:10" x14ac:dyDescent="0.25">
      <c r="C675" t="str">
        <f>IF(Filtering!F675&gt;0,Filtering!B675,"N/A")</f>
        <v>N/A</v>
      </c>
      <c r="D675" t="str">
        <f>IF('Data Validation'!C675=Filtering!B675,Filtering!C675,"N/A")</f>
        <v>N/A</v>
      </c>
      <c r="J675" t="str">
        <f>IF(_xlfn.CONCAT(Filtering!A675,Filtering!B675,Filtering!C675)=$M$2,Filtering!D675,"N/A")</f>
        <v>N/A</v>
      </c>
    </row>
    <row r="676" spans="3:10" x14ac:dyDescent="0.25">
      <c r="C676" t="str">
        <f>IF(Filtering!F676&gt;0,Filtering!B676,"N/A")</f>
        <v>N/A</v>
      </c>
      <c r="D676" t="str">
        <f>IF('Data Validation'!C676=Filtering!B676,Filtering!C676,"N/A")</f>
        <v>N/A</v>
      </c>
      <c r="J676" t="str">
        <f>IF(_xlfn.CONCAT(Filtering!A676,Filtering!B676,Filtering!C676)=$M$2,Filtering!D676,"N/A")</f>
        <v>N/A</v>
      </c>
    </row>
    <row r="677" spans="3:10" x14ac:dyDescent="0.25">
      <c r="C677" t="str">
        <f>IF(Filtering!F677&gt;0,Filtering!B677,"N/A")</f>
        <v>N/A</v>
      </c>
      <c r="D677" t="str">
        <f>IF('Data Validation'!C677=Filtering!B677,Filtering!C677,"N/A")</f>
        <v>N/A</v>
      </c>
      <c r="J677" t="str">
        <f>IF(_xlfn.CONCAT(Filtering!A677,Filtering!B677,Filtering!C677)=$M$2,Filtering!D677,"N/A")</f>
        <v>N/A</v>
      </c>
    </row>
    <row r="678" spans="3:10" x14ac:dyDescent="0.25">
      <c r="C678" t="str">
        <f>IF(Filtering!F678&gt;0,Filtering!B678,"N/A")</f>
        <v>N/A</v>
      </c>
      <c r="D678" t="str">
        <f>IF('Data Validation'!C678=Filtering!B678,Filtering!C678,"N/A")</f>
        <v>N/A</v>
      </c>
      <c r="J678" t="str">
        <f>IF(_xlfn.CONCAT(Filtering!A678,Filtering!B678,Filtering!C678)=$M$2,Filtering!D678,"N/A")</f>
        <v>N/A</v>
      </c>
    </row>
    <row r="679" spans="3:10" x14ac:dyDescent="0.25">
      <c r="C679" t="str">
        <f>IF(Filtering!F679&gt;0,Filtering!B679,"N/A")</f>
        <v>N/A</v>
      </c>
      <c r="D679" t="str">
        <f>IF('Data Validation'!C679=Filtering!B679,Filtering!C679,"N/A")</f>
        <v>N/A</v>
      </c>
      <c r="J679" t="str">
        <f>IF(_xlfn.CONCAT(Filtering!A679,Filtering!B679,Filtering!C679)=$M$2,Filtering!D679,"N/A")</f>
        <v>N/A</v>
      </c>
    </row>
    <row r="680" spans="3:10" x14ac:dyDescent="0.25">
      <c r="C680" t="str">
        <f>IF(Filtering!F680&gt;0,Filtering!B680,"N/A")</f>
        <v>N/A</v>
      </c>
      <c r="D680" t="str">
        <f>IF('Data Validation'!C680=Filtering!B680,Filtering!C680,"N/A")</f>
        <v>N/A</v>
      </c>
      <c r="J680" t="str">
        <f>IF(_xlfn.CONCAT(Filtering!A680,Filtering!B680,Filtering!C680)=$M$2,Filtering!D680,"N/A")</f>
        <v>N/A</v>
      </c>
    </row>
    <row r="681" spans="3:10" x14ac:dyDescent="0.25">
      <c r="C681" t="str">
        <f>IF(Filtering!F681&gt;0,Filtering!B681,"N/A")</f>
        <v>N/A</v>
      </c>
      <c r="D681" t="str">
        <f>IF('Data Validation'!C681=Filtering!B681,Filtering!C681,"N/A")</f>
        <v>N/A</v>
      </c>
      <c r="J681" t="str">
        <f>IF(_xlfn.CONCAT(Filtering!A681,Filtering!B681,Filtering!C681)=$M$2,Filtering!D681,"N/A")</f>
        <v>N/A</v>
      </c>
    </row>
    <row r="682" spans="3:10" x14ac:dyDescent="0.25">
      <c r="C682" t="str">
        <f>IF(Filtering!F682&gt;0,Filtering!B682,"N/A")</f>
        <v>N/A</v>
      </c>
      <c r="D682" t="str">
        <f>IF('Data Validation'!C682=Filtering!B682,Filtering!C682,"N/A")</f>
        <v>N/A</v>
      </c>
      <c r="J682" t="str">
        <f>IF(_xlfn.CONCAT(Filtering!A682,Filtering!B682,Filtering!C682)=$M$2,Filtering!D682,"N/A")</f>
        <v>N/A</v>
      </c>
    </row>
    <row r="683" spans="3:10" x14ac:dyDescent="0.25">
      <c r="C683" t="str">
        <f>IF(Filtering!F683&gt;0,Filtering!B683,"N/A")</f>
        <v>N/A</v>
      </c>
      <c r="D683" t="str">
        <f>IF('Data Validation'!C683=Filtering!B683,Filtering!C683,"N/A")</f>
        <v>N/A</v>
      </c>
      <c r="J683" t="str">
        <f>IF(_xlfn.CONCAT(Filtering!A683,Filtering!B683,Filtering!C683)=$M$2,Filtering!D683,"N/A")</f>
        <v>N/A</v>
      </c>
    </row>
    <row r="684" spans="3:10" x14ac:dyDescent="0.25">
      <c r="C684" t="str">
        <f>IF(Filtering!F684&gt;0,Filtering!B684,"N/A")</f>
        <v>N/A</v>
      </c>
      <c r="D684" t="str">
        <f>IF('Data Validation'!C684=Filtering!B684,Filtering!C684,"N/A")</f>
        <v>N/A</v>
      </c>
      <c r="J684" t="str">
        <f>IF(_xlfn.CONCAT(Filtering!A684,Filtering!B684,Filtering!C684)=$M$2,Filtering!D684,"N/A")</f>
        <v>N/A</v>
      </c>
    </row>
    <row r="685" spans="3:10" x14ac:dyDescent="0.25">
      <c r="C685" t="str">
        <f>IF(Filtering!F685&gt;0,Filtering!B685,"N/A")</f>
        <v>N/A</v>
      </c>
      <c r="D685" t="str">
        <f>IF('Data Validation'!C685=Filtering!B685,Filtering!C685,"N/A")</f>
        <v>N/A</v>
      </c>
      <c r="J685" t="str">
        <f>IF(_xlfn.CONCAT(Filtering!A685,Filtering!B685,Filtering!C685)=$M$2,Filtering!D685,"N/A")</f>
        <v>N/A</v>
      </c>
    </row>
    <row r="686" spans="3:10" x14ac:dyDescent="0.25">
      <c r="C686" t="str">
        <f>IF(Filtering!F686&gt;0,Filtering!B686,"N/A")</f>
        <v>N/A</v>
      </c>
      <c r="D686" t="str">
        <f>IF('Data Validation'!C686=Filtering!B686,Filtering!C686,"N/A")</f>
        <v>N/A</v>
      </c>
      <c r="J686" t="str">
        <f>IF(_xlfn.CONCAT(Filtering!A686,Filtering!B686,Filtering!C686)=$M$2,Filtering!D686,"N/A")</f>
        <v>N/A</v>
      </c>
    </row>
    <row r="687" spans="3:10" x14ac:dyDescent="0.25">
      <c r="C687" t="str">
        <f>IF(Filtering!F687&gt;0,Filtering!B687,"N/A")</f>
        <v>N/A</v>
      </c>
      <c r="D687" t="str">
        <f>IF('Data Validation'!C687=Filtering!B687,Filtering!C687,"N/A")</f>
        <v>N/A</v>
      </c>
      <c r="J687" t="str">
        <f>IF(_xlfn.CONCAT(Filtering!A687,Filtering!B687,Filtering!C687)=$M$2,Filtering!D687,"N/A")</f>
        <v>N/A</v>
      </c>
    </row>
    <row r="688" spans="3:10" x14ac:dyDescent="0.25">
      <c r="C688" t="str">
        <f>IF(Filtering!F688&gt;0,Filtering!B688,"N/A")</f>
        <v>N/A</v>
      </c>
      <c r="D688" t="str">
        <f>IF('Data Validation'!C688=Filtering!B688,Filtering!C688,"N/A")</f>
        <v>N/A</v>
      </c>
      <c r="J688" t="str">
        <f>IF(_xlfn.CONCAT(Filtering!A688,Filtering!B688,Filtering!C688)=$M$2,Filtering!D688,"N/A")</f>
        <v>N/A</v>
      </c>
    </row>
    <row r="689" spans="3:10" x14ac:dyDescent="0.25">
      <c r="C689" t="str">
        <f>IF(Filtering!F689&gt;0,Filtering!B689,"N/A")</f>
        <v>N/A</v>
      </c>
      <c r="D689" t="str">
        <f>IF('Data Validation'!C689=Filtering!B689,Filtering!C689,"N/A")</f>
        <v>N/A</v>
      </c>
      <c r="J689" t="str">
        <f>IF(_xlfn.CONCAT(Filtering!A689,Filtering!B689,Filtering!C689)=$M$2,Filtering!D689,"N/A")</f>
        <v>N/A</v>
      </c>
    </row>
    <row r="690" spans="3:10" x14ac:dyDescent="0.25">
      <c r="C690" t="str">
        <f>IF(Filtering!F690&gt;0,Filtering!B690,"N/A")</f>
        <v>N/A</v>
      </c>
      <c r="D690" t="str">
        <f>IF('Data Validation'!C690=Filtering!B690,Filtering!C690,"N/A")</f>
        <v>N/A</v>
      </c>
      <c r="J690" t="str">
        <f>IF(_xlfn.CONCAT(Filtering!A690,Filtering!B690,Filtering!C690)=$M$2,Filtering!D690,"N/A")</f>
        <v>N/A</v>
      </c>
    </row>
    <row r="691" spans="3:10" x14ac:dyDescent="0.25">
      <c r="C691" t="str">
        <f>IF(Filtering!F691&gt;0,Filtering!B691,"N/A")</f>
        <v>N/A</v>
      </c>
      <c r="D691" t="str">
        <f>IF('Data Validation'!C691=Filtering!B691,Filtering!C691,"N/A")</f>
        <v>N/A</v>
      </c>
      <c r="J691" t="str">
        <f>IF(_xlfn.CONCAT(Filtering!A691,Filtering!B691,Filtering!C691)=$M$2,Filtering!D691,"N/A")</f>
        <v>N/A</v>
      </c>
    </row>
    <row r="692" spans="3:10" x14ac:dyDescent="0.25">
      <c r="C692" t="str">
        <f>IF(Filtering!F692&gt;0,Filtering!B692,"N/A")</f>
        <v>N/A</v>
      </c>
      <c r="D692" t="str">
        <f>IF('Data Validation'!C692=Filtering!B692,Filtering!C692,"N/A")</f>
        <v>N/A</v>
      </c>
      <c r="J692" t="str">
        <f>IF(_xlfn.CONCAT(Filtering!A692,Filtering!B692,Filtering!C692)=$M$2,Filtering!D692,"N/A")</f>
        <v>N/A</v>
      </c>
    </row>
    <row r="693" spans="3:10" x14ac:dyDescent="0.25">
      <c r="C693" t="str">
        <f>IF(Filtering!F693&gt;0,Filtering!B693,"N/A")</f>
        <v>N/A</v>
      </c>
      <c r="D693" t="str">
        <f>IF('Data Validation'!C693=Filtering!B693,Filtering!C693,"N/A")</f>
        <v>N/A</v>
      </c>
      <c r="J693" t="str">
        <f>IF(_xlfn.CONCAT(Filtering!A693,Filtering!B693,Filtering!C693)=$M$2,Filtering!D693,"N/A")</f>
        <v>N/A</v>
      </c>
    </row>
    <row r="694" spans="3:10" x14ac:dyDescent="0.25">
      <c r="C694" t="str">
        <f>IF(Filtering!F694&gt;0,Filtering!B694,"N/A")</f>
        <v>N/A</v>
      </c>
      <c r="D694" t="str">
        <f>IF('Data Validation'!C694=Filtering!B694,Filtering!C694,"N/A")</f>
        <v>N/A</v>
      </c>
      <c r="J694" t="str">
        <f>IF(_xlfn.CONCAT(Filtering!A694,Filtering!B694,Filtering!C694)=$M$2,Filtering!D694,"N/A")</f>
        <v>N/A</v>
      </c>
    </row>
    <row r="695" spans="3:10" x14ac:dyDescent="0.25">
      <c r="C695" t="str">
        <f>IF(Filtering!F695&gt;0,Filtering!B695,"N/A")</f>
        <v>N/A</v>
      </c>
      <c r="D695" t="str">
        <f>IF('Data Validation'!C695=Filtering!B695,Filtering!C695,"N/A")</f>
        <v>N/A</v>
      </c>
      <c r="J695" t="str">
        <f>IF(_xlfn.CONCAT(Filtering!A695,Filtering!B695,Filtering!C695)=$M$2,Filtering!D695,"N/A")</f>
        <v>N/A</v>
      </c>
    </row>
    <row r="696" spans="3:10" x14ac:dyDescent="0.25">
      <c r="C696" t="str">
        <f>IF(Filtering!F696&gt;0,Filtering!B696,"N/A")</f>
        <v>N/A</v>
      </c>
      <c r="D696" t="str">
        <f>IF('Data Validation'!C696=Filtering!B696,Filtering!C696,"N/A")</f>
        <v>N/A</v>
      </c>
      <c r="J696" t="str">
        <f>IF(_xlfn.CONCAT(Filtering!A696,Filtering!B696,Filtering!C696)=$M$2,Filtering!D696,"N/A")</f>
        <v>N/A</v>
      </c>
    </row>
    <row r="697" spans="3:10" x14ac:dyDescent="0.25">
      <c r="C697" t="str">
        <f>IF(Filtering!F697&gt;0,Filtering!B697,"N/A")</f>
        <v>N/A</v>
      </c>
      <c r="D697" t="str">
        <f>IF('Data Validation'!C697=Filtering!B697,Filtering!C697,"N/A")</f>
        <v>N/A</v>
      </c>
      <c r="J697" t="str">
        <f>IF(_xlfn.CONCAT(Filtering!A697,Filtering!B697,Filtering!C697)=$M$2,Filtering!D697,"N/A")</f>
        <v>N/A</v>
      </c>
    </row>
    <row r="698" spans="3:10" x14ac:dyDescent="0.25">
      <c r="C698" t="str">
        <f>IF(Filtering!F698&gt;0,Filtering!B698,"N/A")</f>
        <v>N/A</v>
      </c>
      <c r="D698" t="str">
        <f>IF('Data Validation'!C698=Filtering!B698,Filtering!C698,"N/A")</f>
        <v>N/A</v>
      </c>
      <c r="J698" t="str">
        <f>IF(_xlfn.CONCAT(Filtering!A698,Filtering!B698,Filtering!C698)=$M$2,Filtering!D698,"N/A")</f>
        <v>N/A</v>
      </c>
    </row>
    <row r="699" spans="3:10" x14ac:dyDescent="0.25">
      <c r="C699" t="str">
        <f>IF(Filtering!F699&gt;0,Filtering!B699,"N/A")</f>
        <v>N/A</v>
      </c>
      <c r="D699" t="str">
        <f>IF('Data Validation'!C699=Filtering!B699,Filtering!C699,"N/A")</f>
        <v>N/A</v>
      </c>
      <c r="J699" t="str">
        <f>IF(_xlfn.CONCAT(Filtering!A699,Filtering!B699,Filtering!C699)=$M$2,Filtering!D699,"N/A")</f>
        <v>N/A</v>
      </c>
    </row>
    <row r="700" spans="3:10" x14ac:dyDescent="0.25">
      <c r="C700" t="str">
        <f>IF(Filtering!F700&gt;0,Filtering!B700,"N/A")</f>
        <v>N/A</v>
      </c>
      <c r="D700" t="str">
        <f>IF('Data Validation'!C700=Filtering!B700,Filtering!C700,"N/A")</f>
        <v>N/A</v>
      </c>
      <c r="J700" t="str">
        <f>IF(_xlfn.CONCAT(Filtering!A700,Filtering!B700,Filtering!C700)=$M$2,Filtering!D700,"N/A")</f>
        <v>N/A</v>
      </c>
    </row>
    <row r="701" spans="3:10" x14ac:dyDescent="0.25">
      <c r="C701" t="str">
        <f>IF(Filtering!F701&gt;0,Filtering!B701,"N/A")</f>
        <v>N/A</v>
      </c>
      <c r="D701" t="str">
        <f>IF('Data Validation'!C701=Filtering!B701,Filtering!C701,"N/A")</f>
        <v>N/A</v>
      </c>
      <c r="J701" t="str">
        <f>IF(_xlfn.CONCAT(Filtering!A701,Filtering!B701,Filtering!C701)=$M$2,Filtering!D701,"N/A")</f>
        <v>N/A</v>
      </c>
    </row>
    <row r="702" spans="3:10" x14ac:dyDescent="0.25">
      <c r="C702" t="str">
        <f>IF(Filtering!F702&gt;0,Filtering!B702,"N/A")</f>
        <v>N/A</v>
      </c>
      <c r="D702" t="str">
        <f>IF('Data Validation'!C702=Filtering!B702,Filtering!C702,"N/A")</f>
        <v>N/A</v>
      </c>
      <c r="J702" t="str">
        <f>IF(_xlfn.CONCAT(Filtering!A702,Filtering!B702,Filtering!C702)=$M$2,Filtering!D702,"N/A")</f>
        <v>N/A</v>
      </c>
    </row>
    <row r="703" spans="3:10" x14ac:dyDescent="0.25">
      <c r="C703" t="str">
        <f>IF(Filtering!F703&gt;0,Filtering!B703,"N/A")</f>
        <v>N/A</v>
      </c>
      <c r="D703" t="str">
        <f>IF('Data Validation'!C703=Filtering!B703,Filtering!C703,"N/A")</f>
        <v>N/A</v>
      </c>
      <c r="J703" t="str">
        <f>IF(_xlfn.CONCAT(Filtering!A703,Filtering!B703,Filtering!C703)=$M$2,Filtering!D703,"N/A")</f>
        <v>N/A</v>
      </c>
    </row>
    <row r="704" spans="3:10" x14ac:dyDescent="0.25">
      <c r="C704" t="str">
        <f>IF(Filtering!F704&gt;0,Filtering!B704,"N/A")</f>
        <v>N/A</v>
      </c>
      <c r="D704" t="str">
        <f>IF('Data Validation'!C704=Filtering!B704,Filtering!C704,"N/A")</f>
        <v>N/A</v>
      </c>
      <c r="J704" t="str">
        <f>IF(_xlfn.CONCAT(Filtering!A704,Filtering!B704,Filtering!C704)=$M$2,Filtering!D704,"N/A")</f>
        <v>N/A</v>
      </c>
    </row>
    <row r="705" spans="3:10" x14ac:dyDescent="0.25">
      <c r="C705" t="str">
        <f>IF(Filtering!F705&gt;0,Filtering!B705,"N/A")</f>
        <v>N/A</v>
      </c>
      <c r="D705" t="str">
        <f>IF('Data Validation'!C705=Filtering!B705,Filtering!C705,"N/A")</f>
        <v>N/A</v>
      </c>
      <c r="J705" t="str">
        <f>IF(_xlfn.CONCAT(Filtering!A705,Filtering!B705,Filtering!C705)=$M$2,Filtering!D705,"N/A")</f>
        <v>N/A</v>
      </c>
    </row>
    <row r="706" spans="3:10" x14ac:dyDescent="0.25">
      <c r="C706" t="str">
        <f>IF(Filtering!F706&gt;0,Filtering!B706,"N/A")</f>
        <v>N/A</v>
      </c>
      <c r="D706" t="str">
        <f>IF('Data Validation'!C706=Filtering!B706,Filtering!C706,"N/A")</f>
        <v>N/A</v>
      </c>
      <c r="J706" t="str">
        <f>IF(_xlfn.CONCAT(Filtering!A706,Filtering!B706,Filtering!C706)=$M$2,Filtering!D706,"N/A")</f>
        <v>N/A</v>
      </c>
    </row>
    <row r="707" spans="3:10" x14ac:dyDescent="0.25">
      <c r="C707" t="str">
        <f>IF(Filtering!F707&gt;0,Filtering!B707,"N/A")</f>
        <v>N/A</v>
      </c>
      <c r="D707" t="str">
        <f>IF('Data Validation'!C707=Filtering!B707,Filtering!C707,"N/A")</f>
        <v>N/A</v>
      </c>
      <c r="J707" t="str">
        <f>IF(_xlfn.CONCAT(Filtering!A707,Filtering!B707,Filtering!C707)=$M$2,Filtering!D707,"N/A")</f>
        <v>N/A</v>
      </c>
    </row>
    <row r="708" spans="3:10" x14ac:dyDescent="0.25">
      <c r="C708" t="str">
        <f>IF(Filtering!F708&gt;0,Filtering!B708,"N/A")</f>
        <v>N/A</v>
      </c>
      <c r="D708" t="str">
        <f>IF('Data Validation'!C708=Filtering!B708,Filtering!C708,"N/A")</f>
        <v>N/A</v>
      </c>
      <c r="J708" t="str">
        <f>IF(_xlfn.CONCAT(Filtering!A708,Filtering!B708,Filtering!C708)=$M$2,Filtering!D708,"N/A")</f>
        <v>N/A</v>
      </c>
    </row>
    <row r="709" spans="3:10" x14ac:dyDescent="0.25">
      <c r="C709" t="str">
        <f>IF(Filtering!F709&gt;0,Filtering!B709,"N/A")</f>
        <v>N/A</v>
      </c>
      <c r="D709" t="str">
        <f>IF('Data Validation'!C709=Filtering!B709,Filtering!C709,"N/A")</f>
        <v>N/A</v>
      </c>
      <c r="J709" t="str">
        <f>IF(_xlfn.CONCAT(Filtering!A709,Filtering!B709,Filtering!C709)=$M$2,Filtering!D709,"N/A")</f>
        <v>N/A</v>
      </c>
    </row>
    <row r="710" spans="3:10" x14ac:dyDescent="0.25">
      <c r="C710" t="str">
        <f>IF(Filtering!F710&gt;0,Filtering!B710,"N/A")</f>
        <v>N/A</v>
      </c>
      <c r="D710" t="str">
        <f>IF('Data Validation'!C710=Filtering!B710,Filtering!C710,"N/A")</f>
        <v>N/A</v>
      </c>
      <c r="J710" t="str">
        <f>IF(_xlfn.CONCAT(Filtering!A710,Filtering!B710,Filtering!C710)=$M$2,Filtering!D710,"N/A")</f>
        <v>N/A</v>
      </c>
    </row>
    <row r="711" spans="3:10" x14ac:dyDescent="0.25">
      <c r="C711" t="str">
        <f>IF(Filtering!F711&gt;0,Filtering!B711,"N/A")</f>
        <v>N/A</v>
      </c>
      <c r="D711" t="str">
        <f>IF('Data Validation'!C711=Filtering!B711,Filtering!C711,"N/A")</f>
        <v>N/A</v>
      </c>
      <c r="J711" t="str">
        <f>IF(_xlfn.CONCAT(Filtering!A711,Filtering!B711,Filtering!C711)=$M$2,Filtering!D711,"N/A")</f>
        <v>N/A</v>
      </c>
    </row>
    <row r="712" spans="3:10" x14ac:dyDescent="0.25">
      <c r="C712" t="str">
        <f>IF(Filtering!F712&gt;0,Filtering!B712,"N/A")</f>
        <v>N/A</v>
      </c>
      <c r="D712" t="str">
        <f>IF('Data Validation'!C712=Filtering!B712,Filtering!C712,"N/A")</f>
        <v>N/A</v>
      </c>
      <c r="J712" t="str">
        <f>IF(_xlfn.CONCAT(Filtering!A712,Filtering!B712,Filtering!C712)=$M$2,Filtering!D712,"N/A")</f>
        <v>N/A</v>
      </c>
    </row>
    <row r="713" spans="3:10" x14ac:dyDescent="0.25">
      <c r="C713" t="str">
        <f>IF(Filtering!F713&gt;0,Filtering!B713,"N/A")</f>
        <v>N/A</v>
      </c>
      <c r="D713" t="str">
        <f>IF('Data Validation'!C713=Filtering!B713,Filtering!C713,"N/A")</f>
        <v>N/A</v>
      </c>
      <c r="J713" t="str">
        <f>IF(_xlfn.CONCAT(Filtering!A713,Filtering!B713,Filtering!C713)=$M$2,Filtering!D713,"N/A")</f>
        <v>N/A</v>
      </c>
    </row>
    <row r="714" spans="3:10" x14ac:dyDescent="0.25">
      <c r="C714" t="str">
        <f>IF(Filtering!F714&gt;0,Filtering!B714,"N/A")</f>
        <v>N/A</v>
      </c>
      <c r="D714" t="str">
        <f>IF('Data Validation'!C714=Filtering!B714,Filtering!C714,"N/A")</f>
        <v>N/A</v>
      </c>
      <c r="J714" t="str">
        <f>IF(_xlfn.CONCAT(Filtering!A714,Filtering!B714,Filtering!C714)=$M$2,Filtering!D714,"N/A")</f>
        <v>N/A</v>
      </c>
    </row>
    <row r="715" spans="3:10" x14ac:dyDescent="0.25">
      <c r="C715" t="str">
        <f>IF(Filtering!F715&gt;0,Filtering!B715,"N/A")</f>
        <v>N/A</v>
      </c>
      <c r="D715" t="str">
        <f>IF('Data Validation'!C715=Filtering!B715,Filtering!C715,"N/A")</f>
        <v>N/A</v>
      </c>
      <c r="J715" t="str">
        <f>IF(_xlfn.CONCAT(Filtering!A715,Filtering!B715,Filtering!C715)=$M$2,Filtering!D715,"N/A")</f>
        <v>N/A</v>
      </c>
    </row>
    <row r="716" spans="3:10" x14ac:dyDescent="0.25">
      <c r="C716" t="str">
        <f>IF(Filtering!F716&gt;0,Filtering!B716,"N/A")</f>
        <v>N/A</v>
      </c>
      <c r="D716" t="str">
        <f>IF('Data Validation'!C716=Filtering!B716,Filtering!C716,"N/A")</f>
        <v>N/A</v>
      </c>
      <c r="J716" t="str">
        <f>IF(_xlfn.CONCAT(Filtering!A716,Filtering!B716,Filtering!C716)=$M$2,Filtering!D716,"N/A")</f>
        <v>N/A</v>
      </c>
    </row>
    <row r="717" spans="3:10" x14ac:dyDescent="0.25">
      <c r="C717" t="str">
        <f>IF(Filtering!F717&gt;0,Filtering!B717,"N/A")</f>
        <v>N/A</v>
      </c>
      <c r="D717" t="str">
        <f>IF('Data Validation'!C717=Filtering!B717,Filtering!C717,"N/A")</f>
        <v>N/A</v>
      </c>
      <c r="J717" t="str">
        <f>IF(_xlfn.CONCAT(Filtering!A717,Filtering!B717,Filtering!C717)=$M$2,Filtering!D717,"N/A")</f>
        <v>N/A</v>
      </c>
    </row>
    <row r="718" spans="3:10" x14ac:dyDescent="0.25">
      <c r="C718" t="str">
        <f>IF(Filtering!F718&gt;0,Filtering!B718,"N/A")</f>
        <v>N/A</v>
      </c>
      <c r="D718" t="str">
        <f>IF('Data Validation'!C718=Filtering!B718,Filtering!C718,"N/A")</f>
        <v>N/A</v>
      </c>
      <c r="J718" t="str">
        <f>IF(_xlfn.CONCAT(Filtering!A718,Filtering!B718,Filtering!C718)=$M$2,Filtering!D718,"N/A")</f>
        <v>N/A</v>
      </c>
    </row>
    <row r="719" spans="3:10" x14ac:dyDescent="0.25">
      <c r="C719" t="str">
        <f>IF(Filtering!F719&gt;0,Filtering!B719,"N/A")</f>
        <v>N/A</v>
      </c>
      <c r="D719" t="str">
        <f>IF('Data Validation'!C719=Filtering!B719,Filtering!C719,"N/A")</f>
        <v>N/A</v>
      </c>
      <c r="J719" t="str">
        <f>IF(_xlfn.CONCAT(Filtering!A719,Filtering!B719,Filtering!C719)=$M$2,Filtering!D719,"N/A")</f>
        <v>N/A</v>
      </c>
    </row>
    <row r="720" spans="3:10" x14ac:dyDescent="0.25">
      <c r="C720" t="str">
        <f>IF(Filtering!F720&gt;0,Filtering!B720,"N/A")</f>
        <v>N/A</v>
      </c>
      <c r="D720" t="str">
        <f>IF('Data Validation'!C720=Filtering!B720,Filtering!C720,"N/A")</f>
        <v>N/A</v>
      </c>
      <c r="J720" t="str">
        <f>IF(_xlfn.CONCAT(Filtering!A720,Filtering!B720,Filtering!C720)=$M$2,Filtering!D720,"N/A")</f>
        <v>N/A</v>
      </c>
    </row>
    <row r="721" spans="3:10" x14ac:dyDescent="0.25">
      <c r="C721" t="str">
        <f>IF(Filtering!F721&gt;0,Filtering!B721,"N/A")</f>
        <v>N/A</v>
      </c>
      <c r="D721" t="str">
        <f>IF('Data Validation'!C721=Filtering!B721,Filtering!C721,"N/A")</f>
        <v>N/A</v>
      </c>
      <c r="J721" t="str">
        <f>IF(_xlfn.CONCAT(Filtering!A721,Filtering!B721,Filtering!C721)=$M$2,Filtering!D721,"N/A")</f>
        <v>N/A</v>
      </c>
    </row>
    <row r="722" spans="3:10" x14ac:dyDescent="0.25">
      <c r="C722" t="str">
        <f>IF(Filtering!F722&gt;0,Filtering!B722,"N/A")</f>
        <v>N/A</v>
      </c>
      <c r="D722" t="str">
        <f>IF('Data Validation'!C722=Filtering!B722,Filtering!C722,"N/A")</f>
        <v>N/A</v>
      </c>
      <c r="J722" t="str">
        <f>IF(_xlfn.CONCAT(Filtering!A722,Filtering!B722,Filtering!C722)=$M$2,Filtering!D722,"N/A")</f>
        <v>N/A</v>
      </c>
    </row>
    <row r="723" spans="3:10" x14ac:dyDescent="0.25">
      <c r="C723" t="str">
        <f>IF(Filtering!F723&gt;0,Filtering!B723,"N/A")</f>
        <v>N/A</v>
      </c>
      <c r="D723" t="str">
        <f>IF('Data Validation'!C723=Filtering!B723,Filtering!C723,"N/A")</f>
        <v>N/A</v>
      </c>
      <c r="J723" t="str">
        <f>IF(_xlfn.CONCAT(Filtering!A723,Filtering!B723,Filtering!C723)=$M$2,Filtering!D723,"N/A")</f>
        <v>N/A</v>
      </c>
    </row>
    <row r="724" spans="3:10" x14ac:dyDescent="0.25">
      <c r="C724" t="str">
        <f>IF(Filtering!F724&gt;0,Filtering!B724,"N/A")</f>
        <v>N/A</v>
      </c>
      <c r="D724" t="str">
        <f>IF('Data Validation'!C724=Filtering!B724,Filtering!C724,"N/A")</f>
        <v>N/A</v>
      </c>
      <c r="J724" t="str">
        <f>IF(_xlfn.CONCAT(Filtering!A724,Filtering!B724,Filtering!C724)=$M$2,Filtering!D724,"N/A")</f>
        <v>N/A</v>
      </c>
    </row>
    <row r="725" spans="3:10" x14ac:dyDescent="0.25">
      <c r="C725" t="str">
        <f>IF(Filtering!F725&gt;0,Filtering!B725,"N/A")</f>
        <v>N/A</v>
      </c>
      <c r="D725" t="str">
        <f>IF('Data Validation'!C725=Filtering!B725,Filtering!C725,"N/A")</f>
        <v>N/A</v>
      </c>
      <c r="J725" t="str">
        <f>IF(_xlfn.CONCAT(Filtering!A725,Filtering!B725,Filtering!C725)=$M$2,Filtering!D725,"N/A")</f>
        <v>N/A</v>
      </c>
    </row>
    <row r="726" spans="3:10" x14ac:dyDescent="0.25">
      <c r="C726" t="str">
        <f>IF(Filtering!F726&gt;0,Filtering!B726,"N/A")</f>
        <v>N/A</v>
      </c>
      <c r="D726" t="str">
        <f>IF('Data Validation'!C726=Filtering!B726,Filtering!C726,"N/A")</f>
        <v>N/A</v>
      </c>
      <c r="J726" t="str">
        <f>IF(_xlfn.CONCAT(Filtering!A726,Filtering!B726,Filtering!C726)=$M$2,Filtering!D726,"N/A")</f>
        <v>N/A</v>
      </c>
    </row>
    <row r="727" spans="3:10" x14ac:dyDescent="0.25">
      <c r="C727" t="str">
        <f>IF(Filtering!F727&gt;0,Filtering!B727,"N/A")</f>
        <v>N/A</v>
      </c>
      <c r="D727" t="str">
        <f>IF('Data Validation'!C727=Filtering!B727,Filtering!C727,"N/A")</f>
        <v>N/A</v>
      </c>
      <c r="J727" t="str">
        <f>IF(_xlfn.CONCAT(Filtering!A727,Filtering!B727,Filtering!C727)=$M$2,Filtering!D727,"N/A")</f>
        <v>N/A</v>
      </c>
    </row>
    <row r="728" spans="3:10" x14ac:dyDescent="0.25">
      <c r="C728" t="str">
        <f>IF(Filtering!F728&gt;0,Filtering!B728,"N/A")</f>
        <v>N/A</v>
      </c>
      <c r="D728" t="str">
        <f>IF('Data Validation'!C728=Filtering!B728,Filtering!C728,"N/A")</f>
        <v>N/A</v>
      </c>
      <c r="J728" t="str">
        <f>IF(_xlfn.CONCAT(Filtering!A728,Filtering!B728,Filtering!C728)=$M$2,Filtering!D728,"N/A")</f>
        <v>N/A</v>
      </c>
    </row>
    <row r="729" spans="3:10" x14ac:dyDescent="0.25">
      <c r="C729" t="str">
        <f>IF(Filtering!F729&gt;0,Filtering!B729,"N/A")</f>
        <v>N/A</v>
      </c>
      <c r="D729" t="str">
        <f>IF('Data Validation'!C729=Filtering!B729,Filtering!C729,"N/A")</f>
        <v>N/A</v>
      </c>
      <c r="J729" t="str">
        <f>IF(_xlfn.CONCAT(Filtering!A729,Filtering!B729,Filtering!C729)=$M$2,Filtering!D729,"N/A")</f>
        <v>N/A</v>
      </c>
    </row>
    <row r="730" spans="3:10" x14ac:dyDescent="0.25">
      <c r="C730" t="str">
        <f>IF(Filtering!F730&gt;0,Filtering!B730,"N/A")</f>
        <v>N/A</v>
      </c>
      <c r="D730" t="str">
        <f>IF('Data Validation'!C730=Filtering!B730,Filtering!C730,"N/A")</f>
        <v>N/A</v>
      </c>
      <c r="J730" t="str">
        <f>IF(_xlfn.CONCAT(Filtering!A730,Filtering!B730,Filtering!C730)=$M$2,Filtering!D730,"N/A")</f>
        <v>N/A</v>
      </c>
    </row>
    <row r="731" spans="3:10" x14ac:dyDescent="0.25">
      <c r="C731" t="str">
        <f>IF(Filtering!F731&gt;0,Filtering!B731,"N/A")</f>
        <v>N/A</v>
      </c>
      <c r="D731" t="str">
        <f>IF('Data Validation'!C731=Filtering!B731,Filtering!C731,"N/A")</f>
        <v>N/A</v>
      </c>
      <c r="J731" t="str">
        <f>IF(_xlfn.CONCAT(Filtering!A731,Filtering!B731,Filtering!C731)=$M$2,Filtering!D731,"N/A")</f>
        <v>N/A</v>
      </c>
    </row>
    <row r="732" spans="3:10" x14ac:dyDescent="0.25">
      <c r="C732" t="str">
        <f>IF(Filtering!F732&gt;0,Filtering!B732,"N/A")</f>
        <v>N/A</v>
      </c>
      <c r="D732" t="str">
        <f>IF('Data Validation'!C732=Filtering!B732,Filtering!C732,"N/A")</f>
        <v>N/A</v>
      </c>
      <c r="J732" t="str">
        <f>IF(_xlfn.CONCAT(Filtering!A732,Filtering!B732,Filtering!C732)=$M$2,Filtering!D732,"N/A")</f>
        <v>N/A</v>
      </c>
    </row>
    <row r="733" spans="3:10" x14ac:dyDescent="0.25">
      <c r="C733" t="str">
        <f>IF(Filtering!F733&gt;0,Filtering!B733,"N/A")</f>
        <v>N/A</v>
      </c>
      <c r="D733" t="str">
        <f>IF('Data Validation'!C733=Filtering!B733,Filtering!C733,"N/A")</f>
        <v>N/A</v>
      </c>
      <c r="J733" t="str">
        <f>IF(_xlfn.CONCAT(Filtering!A733,Filtering!B733,Filtering!C733)=$M$2,Filtering!D733,"N/A")</f>
        <v>N/A</v>
      </c>
    </row>
    <row r="734" spans="3:10" x14ac:dyDescent="0.25">
      <c r="C734" t="str">
        <f>IF(Filtering!F734&gt;0,Filtering!B734,"N/A")</f>
        <v>N/A</v>
      </c>
      <c r="D734" t="str">
        <f>IF('Data Validation'!C734=Filtering!B734,Filtering!C734,"N/A")</f>
        <v>N/A</v>
      </c>
      <c r="J734" t="str">
        <f>IF(_xlfn.CONCAT(Filtering!A734,Filtering!B734,Filtering!C734)=$M$2,Filtering!D734,"N/A")</f>
        <v>N/A</v>
      </c>
    </row>
    <row r="735" spans="3:10" x14ac:dyDescent="0.25">
      <c r="C735" t="str">
        <f>IF(Filtering!F735&gt;0,Filtering!B735,"N/A")</f>
        <v>N/A</v>
      </c>
      <c r="D735" t="str">
        <f>IF('Data Validation'!C735=Filtering!B735,Filtering!C735,"N/A")</f>
        <v>N/A</v>
      </c>
      <c r="J735" t="str">
        <f>IF(_xlfn.CONCAT(Filtering!A735,Filtering!B735,Filtering!C735)=$M$2,Filtering!D735,"N/A")</f>
        <v>N/A</v>
      </c>
    </row>
    <row r="736" spans="3:10" x14ac:dyDescent="0.25">
      <c r="C736" t="str">
        <f>IF(Filtering!F736&gt;0,Filtering!B736,"N/A")</f>
        <v>N/A</v>
      </c>
      <c r="D736" t="str">
        <f>IF('Data Validation'!C736=Filtering!B736,Filtering!C736,"N/A")</f>
        <v>N/A</v>
      </c>
      <c r="J736" t="str">
        <f>IF(_xlfn.CONCAT(Filtering!A736,Filtering!B736,Filtering!C736)=$M$2,Filtering!D736,"N/A")</f>
        <v>N/A</v>
      </c>
    </row>
    <row r="737" spans="3:10" x14ac:dyDescent="0.25">
      <c r="C737" t="str">
        <f>IF(Filtering!F737&gt;0,Filtering!B737,"N/A")</f>
        <v>N/A</v>
      </c>
      <c r="D737" t="str">
        <f>IF('Data Validation'!C737=Filtering!B737,Filtering!C737,"N/A")</f>
        <v>N/A</v>
      </c>
      <c r="J737" t="str">
        <f>IF(_xlfn.CONCAT(Filtering!A737,Filtering!B737,Filtering!C737)=$M$2,Filtering!D737,"N/A")</f>
        <v>N/A</v>
      </c>
    </row>
    <row r="738" spans="3:10" x14ac:dyDescent="0.25">
      <c r="C738" t="str">
        <f>IF(Filtering!F738&gt;0,Filtering!B738,"N/A")</f>
        <v>N/A</v>
      </c>
      <c r="D738" t="str">
        <f>IF('Data Validation'!C738=Filtering!B738,Filtering!C738,"N/A")</f>
        <v>N/A</v>
      </c>
      <c r="J738" t="str">
        <f>IF(_xlfn.CONCAT(Filtering!A738,Filtering!B738,Filtering!C738)=$M$2,Filtering!D738,"N/A")</f>
        <v>N/A</v>
      </c>
    </row>
    <row r="739" spans="3:10" x14ac:dyDescent="0.25">
      <c r="C739" t="str">
        <f>IF(Filtering!F739&gt;0,Filtering!B739,"N/A")</f>
        <v>N/A</v>
      </c>
      <c r="D739" t="str">
        <f>IF('Data Validation'!C739=Filtering!B739,Filtering!C739,"N/A")</f>
        <v>N/A</v>
      </c>
      <c r="J739" t="str">
        <f>IF(_xlfn.CONCAT(Filtering!A739,Filtering!B739,Filtering!C739)=$M$2,Filtering!D739,"N/A")</f>
        <v>N/A</v>
      </c>
    </row>
    <row r="740" spans="3:10" x14ac:dyDescent="0.25">
      <c r="C740" t="str">
        <f>IF(Filtering!F740&gt;0,Filtering!B740,"N/A")</f>
        <v>N/A</v>
      </c>
      <c r="D740" t="str">
        <f>IF('Data Validation'!C740=Filtering!B740,Filtering!C740,"N/A")</f>
        <v>N/A</v>
      </c>
      <c r="J740" t="str">
        <f>IF(_xlfn.CONCAT(Filtering!A740,Filtering!B740,Filtering!C740)=$M$2,Filtering!D740,"N/A")</f>
        <v>N/A</v>
      </c>
    </row>
    <row r="741" spans="3:10" x14ac:dyDescent="0.25">
      <c r="C741" t="str">
        <f>IF(Filtering!F741&gt;0,Filtering!B741,"N/A")</f>
        <v>N/A</v>
      </c>
      <c r="D741" t="str">
        <f>IF('Data Validation'!C741=Filtering!B741,Filtering!C741,"N/A")</f>
        <v>N/A</v>
      </c>
      <c r="J741" t="str">
        <f>IF(_xlfn.CONCAT(Filtering!A741,Filtering!B741,Filtering!C741)=$M$2,Filtering!D741,"N/A")</f>
        <v>N/A</v>
      </c>
    </row>
    <row r="742" spans="3:10" x14ac:dyDescent="0.25">
      <c r="C742" t="str">
        <f>IF(Filtering!F742&gt;0,Filtering!B742,"N/A")</f>
        <v>N/A</v>
      </c>
      <c r="D742" t="str">
        <f>IF('Data Validation'!C742=Filtering!B742,Filtering!C742,"N/A")</f>
        <v>N/A</v>
      </c>
      <c r="J742" t="str">
        <f>IF(_xlfn.CONCAT(Filtering!A742,Filtering!B742,Filtering!C742)=$M$2,Filtering!D742,"N/A")</f>
        <v>N/A</v>
      </c>
    </row>
    <row r="743" spans="3:10" x14ac:dyDescent="0.25">
      <c r="C743" t="str">
        <f>IF(Filtering!F743&gt;0,Filtering!B743,"N/A")</f>
        <v>N/A</v>
      </c>
      <c r="D743" t="str">
        <f>IF('Data Validation'!C743=Filtering!B743,Filtering!C743,"N/A")</f>
        <v>N/A</v>
      </c>
      <c r="J743" t="str">
        <f>IF(_xlfn.CONCAT(Filtering!A743,Filtering!B743,Filtering!C743)=$M$2,Filtering!D743,"N/A")</f>
        <v>N/A</v>
      </c>
    </row>
    <row r="744" spans="3:10" x14ac:dyDescent="0.25">
      <c r="C744" t="str">
        <f>IF(Filtering!F744&gt;0,Filtering!B744,"N/A")</f>
        <v>N/A</v>
      </c>
      <c r="D744" t="str">
        <f>IF('Data Validation'!C744=Filtering!B744,Filtering!C744,"N/A")</f>
        <v>N/A</v>
      </c>
      <c r="J744" t="str">
        <f>IF(_xlfn.CONCAT(Filtering!A744,Filtering!B744,Filtering!C744)=$M$2,Filtering!D744,"N/A")</f>
        <v>N/A</v>
      </c>
    </row>
    <row r="745" spans="3:10" x14ac:dyDescent="0.25">
      <c r="C745" t="str">
        <f>IF(Filtering!F745&gt;0,Filtering!B745,"N/A")</f>
        <v>N/A</v>
      </c>
      <c r="D745" t="str">
        <f>IF('Data Validation'!C745=Filtering!B745,Filtering!C745,"N/A")</f>
        <v>N/A</v>
      </c>
      <c r="J745" t="str">
        <f>IF(_xlfn.CONCAT(Filtering!A745,Filtering!B745,Filtering!C745)=$M$2,Filtering!D745,"N/A")</f>
        <v>N/A</v>
      </c>
    </row>
    <row r="746" spans="3:10" x14ac:dyDescent="0.25">
      <c r="C746" t="str">
        <f>IF(Filtering!F746&gt;0,Filtering!B746,"N/A")</f>
        <v>N/A</v>
      </c>
      <c r="D746" t="str">
        <f>IF('Data Validation'!C746=Filtering!B746,Filtering!C746,"N/A")</f>
        <v>N/A</v>
      </c>
      <c r="J746" t="str">
        <f>IF(_xlfn.CONCAT(Filtering!A746,Filtering!B746,Filtering!C746)=$M$2,Filtering!D746,"N/A")</f>
        <v>N/A</v>
      </c>
    </row>
    <row r="747" spans="3:10" x14ac:dyDescent="0.25">
      <c r="C747" t="str">
        <f>IF(Filtering!F747&gt;0,Filtering!B747,"N/A")</f>
        <v>N/A</v>
      </c>
      <c r="D747" t="str">
        <f>IF('Data Validation'!C747=Filtering!B747,Filtering!C747,"N/A")</f>
        <v>N/A</v>
      </c>
      <c r="J747" t="str">
        <f>IF(_xlfn.CONCAT(Filtering!A747,Filtering!B747,Filtering!C747)=$M$2,Filtering!D747,"N/A")</f>
        <v>N/A</v>
      </c>
    </row>
    <row r="748" spans="3:10" x14ac:dyDescent="0.25">
      <c r="C748" t="str">
        <f>IF(Filtering!F748&gt;0,Filtering!B748,"N/A")</f>
        <v>N/A</v>
      </c>
      <c r="D748" t="str">
        <f>IF('Data Validation'!C748=Filtering!B748,Filtering!C748,"N/A")</f>
        <v>N/A</v>
      </c>
      <c r="J748" t="str">
        <f>IF(_xlfn.CONCAT(Filtering!A748,Filtering!B748,Filtering!C748)=$M$2,Filtering!D748,"N/A")</f>
        <v>N/A</v>
      </c>
    </row>
    <row r="749" spans="3:10" x14ac:dyDescent="0.25">
      <c r="C749" t="str">
        <f>IF(Filtering!F749&gt;0,Filtering!B749,"N/A")</f>
        <v>N/A</v>
      </c>
      <c r="D749" t="str">
        <f>IF('Data Validation'!C749=Filtering!B749,Filtering!C749,"N/A")</f>
        <v>N/A</v>
      </c>
      <c r="J749" t="str">
        <f>IF(_xlfn.CONCAT(Filtering!A749,Filtering!B749,Filtering!C749)=$M$2,Filtering!D749,"N/A")</f>
        <v>N/A</v>
      </c>
    </row>
    <row r="750" spans="3:10" x14ac:dyDescent="0.25">
      <c r="C750" t="str">
        <f>IF(Filtering!F750&gt;0,Filtering!B750,"N/A")</f>
        <v>N/A</v>
      </c>
      <c r="D750" t="str">
        <f>IF('Data Validation'!C750=Filtering!B750,Filtering!C750,"N/A")</f>
        <v>N/A</v>
      </c>
      <c r="J750" t="str">
        <f>IF(_xlfn.CONCAT(Filtering!A750,Filtering!B750,Filtering!C750)=$M$2,Filtering!D750,"N/A")</f>
        <v>N/A</v>
      </c>
    </row>
    <row r="751" spans="3:10" x14ac:dyDescent="0.25">
      <c r="C751" t="str">
        <f>IF(Filtering!F751&gt;0,Filtering!B751,"N/A")</f>
        <v>N/A</v>
      </c>
      <c r="D751" t="str">
        <f>IF('Data Validation'!C751=Filtering!B751,Filtering!C751,"N/A")</f>
        <v>N/A</v>
      </c>
      <c r="J751" t="str">
        <f>IF(_xlfn.CONCAT(Filtering!A751,Filtering!B751,Filtering!C751)=$M$2,Filtering!D751,"N/A")</f>
        <v>N/A</v>
      </c>
    </row>
    <row r="752" spans="3:10" x14ac:dyDescent="0.25">
      <c r="C752" t="str">
        <f>IF(Filtering!F752&gt;0,Filtering!B752,"N/A")</f>
        <v>N/A</v>
      </c>
      <c r="D752" t="str">
        <f>IF('Data Validation'!C752=Filtering!B752,Filtering!C752,"N/A")</f>
        <v>N/A</v>
      </c>
      <c r="J752" t="str">
        <f>IF(_xlfn.CONCAT(Filtering!A752,Filtering!B752,Filtering!C752)=$M$2,Filtering!D752,"N/A")</f>
        <v>N/A</v>
      </c>
    </row>
    <row r="753" spans="3:10" x14ac:dyDescent="0.25">
      <c r="C753" t="str">
        <f>IF(Filtering!F753&gt;0,Filtering!B753,"N/A")</f>
        <v>N/A</v>
      </c>
      <c r="D753" t="str">
        <f>IF('Data Validation'!C753=Filtering!B753,Filtering!C753,"N/A")</f>
        <v>N/A</v>
      </c>
      <c r="J753" t="str">
        <f>IF(_xlfn.CONCAT(Filtering!A753,Filtering!B753,Filtering!C753)=$M$2,Filtering!D753,"N/A")</f>
        <v>N/A</v>
      </c>
    </row>
    <row r="754" spans="3:10" x14ac:dyDescent="0.25">
      <c r="C754" t="str">
        <f>IF(Filtering!F754&gt;0,Filtering!B754,"N/A")</f>
        <v>N/A</v>
      </c>
      <c r="D754" t="str">
        <f>IF('Data Validation'!C754=Filtering!B754,Filtering!C754,"N/A")</f>
        <v>N/A</v>
      </c>
      <c r="J754" t="str">
        <f>IF(_xlfn.CONCAT(Filtering!A754,Filtering!B754,Filtering!C754)=$M$2,Filtering!D754,"N/A")</f>
        <v>N/A</v>
      </c>
    </row>
    <row r="755" spans="3:10" x14ac:dyDescent="0.25">
      <c r="C755" t="str">
        <f>IF(Filtering!F755&gt;0,Filtering!B755,"N/A")</f>
        <v>N/A</v>
      </c>
      <c r="D755" t="str">
        <f>IF('Data Validation'!C755=Filtering!B755,Filtering!C755,"N/A")</f>
        <v>N/A</v>
      </c>
      <c r="J755" t="str">
        <f>IF(_xlfn.CONCAT(Filtering!A755,Filtering!B755,Filtering!C755)=$M$2,Filtering!D755,"N/A")</f>
        <v>N/A</v>
      </c>
    </row>
    <row r="756" spans="3:10" x14ac:dyDescent="0.25">
      <c r="C756" t="str">
        <f>IF(Filtering!F756&gt;0,Filtering!B756,"N/A")</f>
        <v>N/A</v>
      </c>
      <c r="D756" t="str">
        <f>IF('Data Validation'!C756=Filtering!B756,Filtering!C756,"N/A")</f>
        <v>N/A</v>
      </c>
      <c r="J756" t="str">
        <f>IF(_xlfn.CONCAT(Filtering!A756,Filtering!B756,Filtering!C756)=$M$2,Filtering!D756,"N/A")</f>
        <v>N/A</v>
      </c>
    </row>
    <row r="757" spans="3:10" x14ac:dyDescent="0.25">
      <c r="C757" t="str">
        <f>IF(Filtering!F757&gt;0,Filtering!B757,"N/A")</f>
        <v>N/A</v>
      </c>
      <c r="D757" t="str">
        <f>IF('Data Validation'!C757=Filtering!B757,Filtering!C757,"N/A")</f>
        <v>N/A</v>
      </c>
      <c r="J757" t="str">
        <f>IF(_xlfn.CONCAT(Filtering!A757,Filtering!B757,Filtering!C757)=$M$2,Filtering!D757,"N/A")</f>
        <v>N/A</v>
      </c>
    </row>
    <row r="758" spans="3:10" x14ac:dyDescent="0.25">
      <c r="C758" t="str">
        <f>IF(Filtering!F758&gt;0,Filtering!B758,"N/A")</f>
        <v>N/A</v>
      </c>
      <c r="D758" t="str">
        <f>IF('Data Validation'!C758=Filtering!B758,Filtering!C758,"N/A")</f>
        <v>N/A</v>
      </c>
      <c r="J758" t="str">
        <f>IF(_xlfn.CONCAT(Filtering!A758,Filtering!B758,Filtering!C758)=$M$2,Filtering!D758,"N/A")</f>
        <v>N/A</v>
      </c>
    </row>
    <row r="759" spans="3:10" x14ac:dyDescent="0.25">
      <c r="C759" t="str">
        <f>IF(Filtering!F759&gt;0,Filtering!B759,"N/A")</f>
        <v>N/A</v>
      </c>
      <c r="D759" t="str">
        <f>IF('Data Validation'!C759=Filtering!B759,Filtering!C759,"N/A")</f>
        <v>N/A</v>
      </c>
      <c r="J759" t="str">
        <f>IF(_xlfn.CONCAT(Filtering!A759,Filtering!B759,Filtering!C759)=$M$2,Filtering!D759,"N/A")</f>
        <v>N/A</v>
      </c>
    </row>
    <row r="760" spans="3:10" x14ac:dyDescent="0.25">
      <c r="C760" t="str">
        <f>IF(Filtering!F760&gt;0,Filtering!B760,"N/A")</f>
        <v>N/A</v>
      </c>
      <c r="D760" t="str">
        <f>IF('Data Validation'!C760=Filtering!B760,Filtering!C760,"N/A")</f>
        <v>N/A</v>
      </c>
      <c r="J760" t="str">
        <f>IF(_xlfn.CONCAT(Filtering!A760,Filtering!B760,Filtering!C760)=$M$2,Filtering!D760,"N/A")</f>
        <v>N/A</v>
      </c>
    </row>
    <row r="761" spans="3:10" x14ac:dyDescent="0.25">
      <c r="C761" t="str">
        <f>IF(Filtering!F761&gt;0,Filtering!B761,"N/A")</f>
        <v>N/A</v>
      </c>
      <c r="D761" t="str">
        <f>IF('Data Validation'!C761=Filtering!B761,Filtering!C761,"N/A")</f>
        <v>N/A</v>
      </c>
      <c r="J761" t="str">
        <f>IF(_xlfn.CONCAT(Filtering!A761,Filtering!B761,Filtering!C761)=$M$2,Filtering!D761,"N/A")</f>
        <v>N/A</v>
      </c>
    </row>
    <row r="762" spans="3:10" x14ac:dyDescent="0.25">
      <c r="C762" t="str">
        <f>IF(Filtering!F762&gt;0,Filtering!B762,"N/A")</f>
        <v>N/A</v>
      </c>
      <c r="D762" t="str">
        <f>IF('Data Validation'!C762=Filtering!B762,Filtering!C762,"N/A")</f>
        <v>N/A</v>
      </c>
      <c r="J762" t="str">
        <f>IF(_xlfn.CONCAT(Filtering!A762,Filtering!B762,Filtering!C762)=$M$2,Filtering!D762,"N/A")</f>
        <v>N/A</v>
      </c>
    </row>
    <row r="763" spans="3:10" x14ac:dyDescent="0.25">
      <c r="C763" t="str">
        <f>IF(Filtering!F763&gt;0,Filtering!B763,"N/A")</f>
        <v>N/A</v>
      </c>
      <c r="D763" t="str">
        <f>IF('Data Validation'!C763=Filtering!B763,Filtering!C763,"N/A")</f>
        <v>N/A</v>
      </c>
      <c r="J763" t="str">
        <f>IF(_xlfn.CONCAT(Filtering!A763,Filtering!B763,Filtering!C763)=$M$2,Filtering!D763,"N/A")</f>
        <v>N/A</v>
      </c>
    </row>
    <row r="764" spans="3:10" x14ac:dyDescent="0.25">
      <c r="C764" t="str">
        <f>IF(Filtering!F764&gt;0,Filtering!B764,"N/A")</f>
        <v>N/A</v>
      </c>
      <c r="D764" t="str">
        <f>IF('Data Validation'!C764=Filtering!B764,Filtering!C764,"N/A")</f>
        <v>N/A</v>
      </c>
      <c r="J764" t="str">
        <f>IF(_xlfn.CONCAT(Filtering!A764,Filtering!B764,Filtering!C764)=$M$2,Filtering!D764,"N/A")</f>
        <v>N/A</v>
      </c>
    </row>
    <row r="765" spans="3:10" x14ac:dyDescent="0.25">
      <c r="C765" t="str">
        <f>IF(Filtering!F765&gt;0,Filtering!B765,"N/A")</f>
        <v>N/A</v>
      </c>
      <c r="D765" t="str">
        <f>IF('Data Validation'!C765=Filtering!B765,Filtering!C765,"N/A")</f>
        <v>N/A</v>
      </c>
      <c r="J765" t="str">
        <f>IF(_xlfn.CONCAT(Filtering!A765,Filtering!B765,Filtering!C765)=$M$2,Filtering!D765,"N/A")</f>
        <v>N/A</v>
      </c>
    </row>
    <row r="766" spans="3:10" x14ac:dyDescent="0.25">
      <c r="C766" t="str">
        <f>IF(Filtering!F766&gt;0,Filtering!B766,"N/A")</f>
        <v>N/A</v>
      </c>
      <c r="D766" t="str">
        <f>IF('Data Validation'!C766=Filtering!B766,Filtering!C766,"N/A")</f>
        <v>N/A</v>
      </c>
      <c r="J766" t="str">
        <f>IF(_xlfn.CONCAT(Filtering!A766,Filtering!B766,Filtering!C766)=$M$2,Filtering!D766,"N/A")</f>
        <v>N/A</v>
      </c>
    </row>
    <row r="767" spans="3:10" x14ac:dyDescent="0.25">
      <c r="C767" t="str">
        <f>IF(Filtering!F767&gt;0,Filtering!B767,"N/A")</f>
        <v>N/A</v>
      </c>
      <c r="D767" t="str">
        <f>IF('Data Validation'!C767=Filtering!B767,Filtering!C767,"N/A")</f>
        <v>N/A</v>
      </c>
      <c r="J767" t="str">
        <f>IF(_xlfn.CONCAT(Filtering!A767,Filtering!B767,Filtering!C767)=$M$2,Filtering!D767,"N/A")</f>
        <v>N/A</v>
      </c>
    </row>
    <row r="768" spans="3:10" x14ac:dyDescent="0.25">
      <c r="C768" t="str">
        <f>IF(Filtering!F768&gt;0,Filtering!B768,"N/A")</f>
        <v>N/A</v>
      </c>
      <c r="D768" t="str">
        <f>IF('Data Validation'!C768=Filtering!B768,Filtering!C768,"N/A")</f>
        <v>N/A</v>
      </c>
      <c r="J768" t="str">
        <f>IF(_xlfn.CONCAT(Filtering!A768,Filtering!B768,Filtering!C768)=$M$2,Filtering!D768,"N/A")</f>
        <v>N/A</v>
      </c>
    </row>
    <row r="769" spans="3:10" x14ac:dyDescent="0.25">
      <c r="C769" t="str">
        <f>IF(Filtering!F769&gt;0,Filtering!B769,"N/A")</f>
        <v>N/A</v>
      </c>
      <c r="D769" t="str">
        <f>IF('Data Validation'!C769=Filtering!B769,Filtering!C769,"N/A")</f>
        <v>N/A</v>
      </c>
      <c r="J769" t="str">
        <f>IF(_xlfn.CONCAT(Filtering!A769,Filtering!B769,Filtering!C769)=$M$2,Filtering!D769,"N/A")</f>
        <v>N/A</v>
      </c>
    </row>
    <row r="770" spans="3:10" x14ac:dyDescent="0.25">
      <c r="C770" t="str">
        <f>IF(Filtering!F770&gt;0,Filtering!B770,"N/A")</f>
        <v>N/A</v>
      </c>
      <c r="D770" t="str">
        <f>IF('Data Validation'!C770=Filtering!B770,Filtering!C770,"N/A")</f>
        <v>N/A</v>
      </c>
      <c r="J770" t="str">
        <f>IF(_xlfn.CONCAT(Filtering!A770,Filtering!B770,Filtering!C770)=$M$2,Filtering!D770,"N/A")</f>
        <v>N/A</v>
      </c>
    </row>
    <row r="771" spans="3:10" x14ac:dyDescent="0.25">
      <c r="C771" t="str">
        <f>IF(Filtering!F771&gt;0,Filtering!B771,"N/A")</f>
        <v>N/A</v>
      </c>
      <c r="D771" t="str">
        <f>IF('Data Validation'!C771=Filtering!B771,Filtering!C771,"N/A")</f>
        <v>N/A</v>
      </c>
      <c r="J771" t="str">
        <f>IF(_xlfn.CONCAT(Filtering!A771,Filtering!B771,Filtering!C771)=$M$2,Filtering!D771,"N/A")</f>
        <v>N/A</v>
      </c>
    </row>
    <row r="772" spans="3:10" x14ac:dyDescent="0.25">
      <c r="C772" t="str">
        <f>IF(Filtering!F772&gt;0,Filtering!B772,"N/A")</f>
        <v>N/A</v>
      </c>
      <c r="D772" t="str">
        <f>IF('Data Validation'!C772=Filtering!B772,Filtering!C772,"N/A")</f>
        <v>N/A</v>
      </c>
      <c r="J772" t="str">
        <f>IF(_xlfn.CONCAT(Filtering!A772,Filtering!B772,Filtering!C772)=$M$2,Filtering!D772,"N/A")</f>
        <v>N/A</v>
      </c>
    </row>
    <row r="773" spans="3:10" x14ac:dyDescent="0.25">
      <c r="C773" t="str">
        <f>IF(Filtering!F773&gt;0,Filtering!B773,"N/A")</f>
        <v>N/A</v>
      </c>
      <c r="D773" t="str">
        <f>IF('Data Validation'!C773=Filtering!B773,Filtering!C773,"N/A")</f>
        <v>N/A</v>
      </c>
      <c r="J773" t="str">
        <f>IF(_xlfn.CONCAT(Filtering!A773,Filtering!B773,Filtering!C773)=$M$2,Filtering!D773,"N/A")</f>
        <v>N/A</v>
      </c>
    </row>
    <row r="774" spans="3:10" x14ac:dyDescent="0.25">
      <c r="C774" t="str">
        <f>IF(Filtering!F774&gt;0,Filtering!B774,"N/A")</f>
        <v>N/A</v>
      </c>
      <c r="D774" t="str">
        <f>IF('Data Validation'!C774=Filtering!B774,Filtering!C774,"N/A")</f>
        <v>N/A</v>
      </c>
      <c r="J774" t="str">
        <f>IF(_xlfn.CONCAT(Filtering!A774,Filtering!B774,Filtering!C774)=$M$2,Filtering!D774,"N/A")</f>
        <v>N/A</v>
      </c>
    </row>
    <row r="775" spans="3:10" x14ac:dyDescent="0.25">
      <c r="C775" t="str">
        <f>IF(Filtering!F775&gt;0,Filtering!B775,"N/A")</f>
        <v>N/A</v>
      </c>
      <c r="D775" t="str">
        <f>IF('Data Validation'!C775=Filtering!B775,Filtering!C775,"N/A")</f>
        <v>N/A</v>
      </c>
      <c r="J775" t="str">
        <f>IF(_xlfn.CONCAT(Filtering!A775,Filtering!B775,Filtering!C775)=$M$2,Filtering!D775,"N/A")</f>
        <v>N/A</v>
      </c>
    </row>
    <row r="776" spans="3:10" x14ac:dyDescent="0.25">
      <c r="C776" t="str">
        <f>IF(Filtering!F776&gt;0,Filtering!B776,"N/A")</f>
        <v>N/A</v>
      </c>
      <c r="D776" t="str">
        <f>IF('Data Validation'!C776=Filtering!B776,Filtering!C776,"N/A")</f>
        <v>N/A</v>
      </c>
      <c r="J776" t="str">
        <f>IF(_xlfn.CONCAT(Filtering!A776,Filtering!B776,Filtering!C776)=$M$2,Filtering!D776,"N/A")</f>
        <v>N/A</v>
      </c>
    </row>
    <row r="777" spans="3:10" x14ac:dyDescent="0.25">
      <c r="C777" t="str">
        <f>IF(Filtering!F777&gt;0,Filtering!B777,"N/A")</f>
        <v>N/A</v>
      </c>
      <c r="D777" t="str">
        <f>IF('Data Validation'!C777=Filtering!B777,Filtering!C777,"N/A")</f>
        <v>N/A</v>
      </c>
      <c r="J777" t="str">
        <f>IF(_xlfn.CONCAT(Filtering!A777,Filtering!B777,Filtering!C777)=$M$2,Filtering!D777,"N/A")</f>
        <v>N/A</v>
      </c>
    </row>
    <row r="778" spans="3:10" x14ac:dyDescent="0.25">
      <c r="C778" t="str">
        <f>IF(Filtering!F778&gt;0,Filtering!B778,"N/A")</f>
        <v>N/A</v>
      </c>
      <c r="D778" t="str">
        <f>IF('Data Validation'!C778=Filtering!B778,Filtering!C778,"N/A")</f>
        <v>N/A</v>
      </c>
      <c r="J778" t="str">
        <f>IF(_xlfn.CONCAT(Filtering!A778,Filtering!B778,Filtering!C778)=$M$2,Filtering!D778,"N/A")</f>
        <v>N/A</v>
      </c>
    </row>
    <row r="779" spans="3:10" x14ac:dyDescent="0.25">
      <c r="C779" t="str">
        <f>IF(Filtering!F779&gt;0,Filtering!B779,"N/A")</f>
        <v>N/A</v>
      </c>
      <c r="D779" t="str">
        <f>IF('Data Validation'!C779=Filtering!B779,Filtering!C779,"N/A")</f>
        <v>N/A</v>
      </c>
      <c r="J779" t="str">
        <f>IF(_xlfn.CONCAT(Filtering!A779,Filtering!B779,Filtering!C779)=$M$2,Filtering!D779,"N/A")</f>
        <v>N/A</v>
      </c>
    </row>
    <row r="780" spans="3:10" x14ac:dyDescent="0.25">
      <c r="C780" t="str">
        <f>IF(Filtering!F780&gt;0,Filtering!B780,"N/A")</f>
        <v>N/A</v>
      </c>
      <c r="D780" t="str">
        <f>IF('Data Validation'!C780=Filtering!B780,Filtering!C780,"N/A")</f>
        <v>N/A</v>
      </c>
      <c r="J780" t="str">
        <f>IF(_xlfn.CONCAT(Filtering!A780,Filtering!B780,Filtering!C780)=$M$2,Filtering!D780,"N/A")</f>
        <v>N/A</v>
      </c>
    </row>
    <row r="781" spans="3:10" x14ac:dyDescent="0.25">
      <c r="C781" t="str">
        <f>IF(Filtering!F781&gt;0,Filtering!B781,"N/A")</f>
        <v>N/A</v>
      </c>
      <c r="D781" t="str">
        <f>IF('Data Validation'!C781=Filtering!B781,Filtering!C781,"N/A")</f>
        <v>N/A</v>
      </c>
      <c r="J781" t="str">
        <f>IF(_xlfn.CONCAT(Filtering!A781,Filtering!B781,Filtering!C781)=$M$2,Filtering!D781,"N/A")</f>
        <v>N/A</v>
      </c>
    </row>
    <row r="782" spans="3:10" x14ac:dyDescent="0.25">
      <c r="C782" t="str">
        <f>IF(Filtering!F782&gt;0,Filtering!B782,"N/A")</f>
        <v>N/A</v>
      </c>
      <c r="D782" t="str">
        <f>IF('Data Validation'!C782=Filtering!B782,Filtering!C782,"N/A")</f>
        <v>N/A</v>
      </c>
      <c r="J782" t="str">
        <f>IF(_xlfn.CONCAT(Filtering!A782,Filtering!B782,Filtering!C782)=$M$2,Filtering!D782,"N/A")</f>
        <v>N/A</v>
      </c>
    </row>
    <row r="783" spans="3:10" x14ac:dyDescent="0.25">
      <c r="C783" t="str">
        <f>IF(Filtering!F783&gt;0,Filtering!B783,"N/A")</f>
        <v>N/A</v>
      </c>
      <c r="D783" t="str">
        <f>IF('Data Validation'!C783=Filtering!B783,Filtering!C783,"N/A")</f>
        <v>N/A</v>
      </c>
      <c r="J783" t="str">
        <f>IF(_xlfn.CONCAT(Filtering!A783,Filtering!B783,Filtering!C783)=$M$2,Filtering!D783,"N/A")</f>
        <v>N/A</v>
      </c>
    </row>
    <row r="784" spans="3:10" x14ac:dyDescent="0.25">
      <c r="C784" t="str">
        <f>IF(Filtering!F784&gt;0,Filtering!B784,"N/A")</f>
        <v>N/A</v>
      </c>
      <c r="D784" t="str">
        <f>IF('Data Validation'!C784=Filtering!B784,Filtering!C784,"N/A")</f>
        <v>N/A</v>
      </c>
      <c r="J784" t="str">
        <f>IF(_xlfn.CONCAT(Filtering!A784,Filtering!B784,Filtering!C784)=$M$2,Filtering!D784,"N/A")</f>
        <v>N/A</v>
      </c>
    </row>
    <row r="785" spans="3:10" x14ac:dyDescent="0.25">
      <c r="C785" t="str">
        <f>IF(Filtering!F785&gt;0,Filtering!B785,"N/A")</f>
        <v>N/A</v>
      </c>
      <c r="D785" t="str">
        <f>IF('Data Validation'!C785=Filtering!B785,Filtering!C785,"N/A")</f>
        <v>N/A</v>
      </c>
      <c r="J785" t="str">
        <f>IF(_xlfn.CONCAT(Filtering!A785,Filtering!B785,Filtering!C785)=$M$2,Filtering!D785,"N/A")</f>
        <v>N/A</v>
      </c>
    </row>
    <row r="786" spans="3:10" x14ac:dyDescent="0.25">
      <c r="C786" t="str">
        <f>IF(Filtering!F786&gt;0,Filtering!B786,"N/A")</f>
        <v>N/A</v>
      </c>
      <c r="D786" t="str">
        <f>IF('Data Validation'!C786=Filtering!B786,Filtering!C786,"N/A")</f>
        <v>N/A</v>
      </c>
      <c r="J786" t="str">
        <f>IF(_xlfn.CONCAT(Filtering!A786,Filtering!B786,Filtering!C786)=$M$2,Filtering!D786,"N/A")</f>
        <v>N/A</v>
      </c>
    </row>
    <row r="787" spans="3:10" x14ac:dyDescent="0.25">
      <c r="C787" t="str">
        <f>IF(Filtering!F787&gt;0,Filtering!B787,"N/A")</f>
        <v>N/A</v>
      </c>
      <c r="D787" t="str">
        <f>IF('Data Validation'!C787=Filtering!B787,Filtering!C787,"N/A")</f>
        <v>N/A</v>
      </c>
      <c r="J787" t="str">
        <f>IF(_xlfn.CONCAT(Filtering!A787,Filtering!B787,Filtering!C787)=$M$2,Filtering!D787,"N/A")</f>
        <v>N/A</v>
      </c>
    </row>
    <row r="788" spans="3:10" x14ac:dyDescent="0.25">
      <c r="C788" t="str">
        <f>IF(Filtering!F788&gt;0,Filtering!B788,"N/A")</f>
        <v>N/A</v>
      </c>
      <c r="D788" t="str">
        <f>IF('Data Validation'!C788=Filtering!B788,Filtering!C788,"N/A")</f>
        <v>N/A</v>
      </c>
      <c r="J788" t="str">
        <f>IF(_xlfn.CONCAT(Filtering!A788,Filtering!B788,Filtering!C788)=$M$2,Filtering!D788,"N/A")</f>
        <v>N/A</v>
      </c>
    </row>
    <row r="789" spans="3:10" x14ac:dyDescent="0.25">
      <c r="C789" t="str">
        <f>IF(Filtering!F789&gt;0,Filtering!B789,"N/A")</f>
        <v>N/A</v>
      </c>
      <c r="D789" t="str">
        <f>IF('Data Validation'!C789=Filtering!B789,Filtering!C789,"N/A")</f>
        <v>N/A</v>
      </c>
      <c r="J789" t="str">
        <f>IF(_xlfn.CONCAT(Filtering!A789,Filtering!B789,Filtering!C789)=$M$2,Filtering!D789,"N/A")</f>
        <v>N/A</v>
      </c>
    </row>
    <row r="790" spans="3:10" x14ac:dyDescent="0.25">
      <c r="C790" t="str">
        <f>IF(Filtering!F790&gt;0,Filtering!B790,"N/A")</f>
        <v>N/A</v>
      </c>
      <c r="D790" t="str">
        <f>IF('Data Validation'!C790=Filtering!B790,Filtering!C790,"N/A")</f>
        <v>N/A</v>
      </c>
      <c r="J790" t="str">
        <f>IF(_xlfn.CONCAT(Filtering!A790,Filtering!B790,Filtering!C790)=$M$2,Filtering!D790,"N/A")</f>
        <v>N/A</v>
      </c>
    </row>
    <row r="791" spans="3:10" x14ac:dyDescent="0.25">
      <c r="C791" t="str">
        <f>IF(Filtering!F791&gt;0,Filtering!B791,"N/A")</f>
        <v>N/A</v>
      </c>
      <c r="D791" t="str">
        <f>IF('Data Validation'!C791=Filtering!B791,Filtering!C791,"N/A")</f>
        <v>N/A</v>
      </c>
      <c r="J791" t="str">
        <f>IF(_xlfn.CONCAT(Filtering!A791,Filtering!B791,Filtering!C791)=$M$2,Filtering!D791,"N/A")</f>
        <v>N/A</v>
      </c>
    </row>
    <row r="792" spans="3:10" x14ac:dyDescent="0.25">
      <c r="C792" t="str">
        <f>IF(Filtering!F792&gt;0,Filtering!B792,"N/A")</f>
        <v>N/A</v>
      </c>
      <c r="D792" t="str">
        <f>IF('Data Validation'!C792=Filtering!B792,Filtering!C792,"N/A")</f>
        <v>N/A</v>
      </c>
      <c r="J792" t="str">
        <f>IF(_xlfn.CONCAT(Filtering!A792,Filtering!B792,Filtering!C792)=$M$2,Filtering!D792,"N/A")</f>
        <v>N/A</v>
      </c>
    </row>
    <row r="793" spans="3:10" x14ac:dyDescent="0.25">
      <c r="C793" t="str">
        <f>IF(Filtering!F793&gt;0,Filtering!B793,"N/A")</f>
        <v>N/A</v>
      </c>
      <c r="D793" t="str">
        <f>IF('Data Validation'!C793=Filtering!B793,Filtering!C793,"N/A")</f>
        <v>N/A</v>
      </c>
      <c r="J793" t="str">
        <f>IF(_xlfn.CONCAT(Filtering!A793,Filtering!B793,Filtering!C793)=$M$2,Filtering!D793,"N/A")</f>
        <v>N/A</v>
      </c>
    </row>
    <row r="794" spans="3:10" x14ac:dyDescent="0.25">
      <c r="C794" t="str">
        <f>IF(Filtering!F794&gt;0,Filtering!B794,"N/A")</f>
        <v>N/A</v>
      </c>
      <c r="D794" t="str">
        <f>IF('Data Validation'!C794=Filtering!B794,Filtering!C794,"N/A")</f>
        <v>N/A</v>
      </c>
      <c r="J794" t="str">
        <f>IF(_xlfn.CONCAT(Filtering!A794,Filtering!B794,Filtering!C794)=$M$2,Filtering!D794,"N/A")</f>
        <v>N/A</v>
      </c>
    </row>
    <row r="795" spans="3:10" x14ac:dyDescent="0.25">
      <c r="C795" t="str">
        <f>IF(Filtering!F795&gt;0,Filtering!B795,"N/A")</f>
        <v>N/A</v>
      </c>
      <c r="D795" t="str">
        <f>IF('Data Validation'!C795=Filtering!B795,Filtering!C795,"N/A")</f>
        <v>N/A</v>
      </c>
      <c r="J795" t="str">
        <f>IF(_xlfn.CONCAT(Filtering!A795,Filtering!B795,Filtering!C795)=$M$2,Filtering!D795,"N/A")</f>
        <v>N/A</v>
      </c>
    </row>
    <row r="796" spans="3:10" x14ac:dyDescent="0.25">
      <c r="C796" t="str">
        <f>IF(Filtering!F796&gt;0,Filtering!B796,"N/A")</f>
        <v>N/A</v>
      </c>
      <c r="D796" t="str">
        <f>IF('Data Validation'!C796=Filtering!B796,Filtering!C796,"N/A")</f>
        <v>N/A</v>
      </c>
      <c r="J796" t="str">
        <f>IF(_xlfn.CONCAT(Filtering!A796,Filtering!B796,Filtering!C796)=$M$2,Filtering!D796,"N/A")</f>
        <v>N/A</v>
      </c>
    </row>
    <row r="797" spans="3:10" x14ac:dyDescent="0.25">
      <c r="C797" t="str">
        <f>IF(Filtering!F797&gt;0,Filtering!B797,"N/A")</f>
        <v>N/A</v>
      </c>
      <c r="D797" t="str">
        <f>IF('Data Validation'!C797=Filtering!B797,Filtering!C797,"N/A")</f>
        <v>N/A</v>
      </c>
      <c r="J797" t="str">
        <f>IF(_xlfn.CONCAT(Filtering!A797,Filtering!B797,Filtering!C797)=$M$2,Filtering!D797,"N/A")</f>
        <v>N/A</v>
      </c>
    </row>
    <row r="798" spans="3:10" x14ac:dyDescent="0.25">
      <c r="C798" t="str">
        <f>IF(Filtering!F798&gt;0,Filtering!B798,"N/A")</f>
        <v>N/A</v>
      </c>
      <c r="D798" t="str">
        <f>IF('Data Validation'!C798=Filtering!B798,Filtering!C798,"N/A")</f>
        <v>N/A</v>
      </c>
      <c r="J798" t="str">
        <f>IF(_xlfn.CONCAT(Filtering!A798,Filtering!B798,Filtering!C798)=$M$2,Filtering!D798,"N/A")</f>
        <v>N/A</v>
      </c>
    </row>
    <row r="799" spans="3:10" x14ac:dyDescent="0.25">
      <c r="C799" t="str">
        <f>IF(Filtering!F799&gt;0,Filtering!B799,"N/A")</f>
        <v>N/A</v>
      </c>
      <c r="D799" t="str">
        <f>IF('Data Validation'!C799=Filtering!B799,Filtering!C799,"N/A")</f>
        <v>N/A</v>
      </c>
      <c r="J799" t="str">
        <f>IF(_xlfn.CONCAT(Filtering!A799,Filtering!B799,Filtering!C799)=$M$2,Filtering!D799,"N/A")</f>
        <v>N/A</v>
      </c>
    </row>
    <row r="800" spans="3:10" x14ac:dyDescent="0.25">
      <c r="C800" t="str">
        <f>IF(Filtering!F800&gt;0,Filtering!B800,"N/A")</f>
        <v>N/A</v>
      </c>
      <c r="D800" t="str">
        <f>IF('Data Validation'!C800=Filtering!B800,Filtering!C800,"N/A")</f>
        <v>N/A</v>
      </c>
      <c r="J800" t="str">
        <f>IF(_xlfn.CONCAT(Filtering!A800,Filtering!B800,Filtering!C800)=$M$2,Filtering!D800,"N/A")</f>
        <v>N/A</v>
      </c>
    </row>
    <row r="801" spans="3:10" x14ac:dyDescent="0.25">
      <c r="C801" t="str">
        <f>IF(Filtering!F801&gt;0,Filtering!B801,"N/A")</f>
        <v>N/A</v>
      </c>
      <c r="D801" t="str">
        <f>IF('Data Validation'!C801=Filtering!B801,Filtering!C801,"N/A")</f>
        <v>N/A</v>
      </c>
      <c r="J801" t="str">
        <f>IF(_xlfn.CONCAT(Filtering!A801,Filtering!B801,Filtering!C801)=$M$2,Filtering!D801,"N/A")</f>
        <v>N/A</v>
      </c>
    </row>
    <row r="802" spans="3:10" x14ac:dyDescent="0.25">
      <c r="C802" t="str">
        <f>IF(Filtering!F802&gt;0,Filtering!B802,"N/A")</f>
        <v>N/A</v>
      </c>
      <c r="D802" t="str">
        <f>IF('Data Validation'!C802=Filtering!B802,Filtering!C802,"N/A")</f>
        <v>N/A</v>
      </c>
      <c r="J802" t="str">
        <f>IF(_xlfn.CONCAT(Filtering!A802,Filtering!B802,Filtering!C802)=$M$2,Filtering!D802,"N/A")</f>
        <v>N/A</v>
      </c>
    </row>
    <row r="803" spans="3:10" x14ac:dyDescent="0.25">
      <c r="C803" t="str">
        <f>IF(Filtering!F803&gt;0,Filtering!B803,"N/A")</f>
        <v>N/A</v>
      </c>
      <c r="D803" t="str">
        <f>IF('Data Validation'!C803=Filtering!B803,Filtering!C803,"N/A")</f>
        <v>N/A</v>
      </c>
      <c r="J803" t="str">
        <f>IF(_xlfn.CONCAT(Filtering!A803,Filtering!B803,Filtering!C803)=$M$2,Filtering!D803,"N/A")</f>
        <v>N/A</v>
      </c>
    </row>
    <row r="804" spans="3:10" x14ac:dyDescent="0.25">
      <c r="C804" t="str">
        <f>IF(Filtering!F804&gt;0,Filtering!B804,"N/A")</f>
        <v>N/A</v>
      </c>
      <c r="D804" t="str">
        <f>IF('Data Validation'!C804=Filtering!B804,Filtering!C804,"N/A")</f>
        <v>N/A</v>
      </c>
      <c r="J804" t="str">
        <f>IF(_xlfn.CONCAT(Filtering!A804,Filtering!B804,Filtering!C804)=$M$2,Filtering!D804,"N/A")</f>
        <v>N/A</v>
      </c>
    </row>
    <row r="805" spans="3:10" x14ac:dyDescent="0.25">
      <c r="C805" t="str">
        <f>IF(Filtering!F805&gt;0,Filtering!B805,"N/A")</f>
        <v>N/A</v>
      </c>
      <c r="D805" t="str">
        <f>IF('Data Validation'!C805=Filtering!B805,Filtering!C805,"N/A")</f>
        <v>N/A</v>
      </c>
      <c r="J805" t="str">
        <f>IF(_xlfn.CONCAT(Filtering!A805,Filtering!B805,Filtering!C805)=$M$2,Filtering!D805,"N/A")</f>
        <v>N/A</v>
      </c>
    </row>
    <row r="806" spans="3:10" x14ac:dyDescent="0.25">
      <c r="C806" t="str">
        <f>IF(Filtering!F806&gt;0,Filtering!B806,"N/A")</f>
        <v>N/A</v>
      </c>
      <c r="D806" t="str">
        <f>IF('Data Validation'!C806=Filtering!B806,Filtering!C806,"N/A")</f>
        <v>N/A</v>
      </c>
      <c r="J806" t="str">
        <f>IF(_xlfn.CONCAT(Filtering!A806,Filtering!B806,Filtering!C806)=$M$2,Filtering!D806,"N/A")</f>
        <v>N/A</v>
      </c>
    </row>
    <row r="807" spans="3:10" x14ac:dyDescent="0.25">
      <c r="C807" t="str">
        <f>IF(Filtering!F807&gt;0,Filtering!B807,"N/A")</f>
        <v>N/A</v>
      </c>
      <c r="D807" t="str">
        <f>IF('Data Validation'!C807=Filtering!B807,Filtering!C807,"N/A")</f>
        <v>N/A</v>
      </c>
      <c r="J807" t="str">
        <f>IF(_xlfn.CONCAT(Filtering!A807,Filtering!B807,Filtering!C807)=$M$2,Filtering!D807,"N/A")</f>
        <v>N/A</v>
      </c>
    </row>
    <row r="808" spans="3:10" x14ac:dyDescent="0.25">
      <c r="C808" t="str">
        <f>IF(Filtering!F808&gt;0,Filtering!B808,"N/A")</f>
        <v>N/A</v>
      </c>
      <c r="D808" t="str">
        <f>IF('Data Validation'!C808=Filtering!B808,Filtering!C808,"N/A")</f>
        <v>N/A</v>
      </c>
      <c r="J808" t="str">
        <f>IF(_xlfn.CONCAT(Filtering!A808,Filtering!B808,Filtering!C808)=$M$2,Filtering!D808,"N/A")</f>
        <v>N/A</v>
      </c>
    </row>
    <row r="809" spans="3:10" x14ac:dyDescent="0.25">
      <c r="C809" t="str">
        <f>IF(Filtering!F809&gt;0,Filtering!B809,"N/A")</f>
        <v>N/A</v>
      </c>
      <c r="D809" t="str">
        <f>IF('Data Validation'!C809=Filtering!B809,Filtering!C809,"N/A")</f>
        <v>N/A</v>
      </c>
      <c r="J809" t="str">
        <f>IF(_xlfn.CONCAT(Filtering!A809,Filtering!B809,Filtering!C809)=$M$2,Filtering!D809,"N/A")</f>
        <v>N/A</v>
      </c>
    </row>
    <row r="810" spans="3:10" x14ac:dyDescent="0.25">
      <c r="C810" t="str">
        <f>IF(Filtering!F810&gt;0,Filtering!B810,"N/A")</f>
        <v>N/A</v>
      </c>
      <c r="D810" t="str">
        <f>IF('Data Validation'!C810=Filtering!B810,Filtering!C810,"N/A")</f>
        <v>N/A</v>
      </c>
      <c r="J810" t="str">
        <f>IF(_xlfn.CONCAT(Filtering!A810,Filtering!B810,Filtering!C810)=$M$2,Filtering!D810,"N/A")</f>
        <v>N/A</v>
      </c>
    </row>
    <row r="811" spans="3:10" x14ac:dyDescent="0.25">
      <c r="C811" t="str">
        <f>IF(Filtering!F811&gt;0,Filtering!B811,"N/A")</f>
        <v>N/A</v>
      </c>
      <c r="D811" t="str">
        <f>IF('Data Validation'!C811=Filtering!B811,Filtering!C811,"N/A")</f>
        <v>N/A</v>
      </c>
      <c r="J811" t="str">
        <f>IF(_xlfn.CONCAT(Filtering!A811,Filtering!B811,Filtering!C811)=$M$2,Filtering!D811,"N/A")</f>
        <v>N/A</v>
      </c>
    </row>
    <row r="812" spans="3:10" x14ac:dyDescent="0.25">
      <c r="C812" t="str">
        <f>IF(Filtering!F812&gt;0,Filtering!B812,"N/A")</f>
        <v>N/A</v>
      </c>
      <c r="D812" t="str">
        <f>IF('Data Validation'!C812=Filtering!B812,Filtering!C812,"N/A")</f>
        <v>N/A</v>
      </c>
      <c r="J812" t="str">
        <f>IF(_xlfn.CONCAT(Filtering!A812,Filtering!B812,Filtering!C812)=$M$2,Filtering!D812,"N/A")</f>
        <v>N/A</v>
      </c>
    </row>
    <row r="813" spans="3:10" x14ac:dyDescent="0.25">
      <c r="C813" t="str">
        <f>IF(Filtering!F813&gt;0,Filtering!B813,"N/A")</f>
        <v>N/A</v>
      </c>
      <c r="D813" t="str">
        <f>IF('Data Validation'!C813=Filtering!B813,Filtering!C813,"N/A")</f>
        <v>N/A</v>
      </c>
      <c r="J813" t="str">
        <f>IF(_xlfn.CONCAT(Filtering!A813,Filtering!B813,Filtering!C813)=$M$2,Filtering!D813,"N/A")</f>
        <v>N/A</v>
      </c>
    </row>
    <row r="814" spans="3:10" x14ac:dyDescent="0.25">
      <c r="C814" t="str">
        <f>IF(Filtering!F814&gt;0,Filtering!B814,"N/A")</f>
        <v>N/A</v>
      </c>
      <c r="D814" t="str">
        <f>IF('Data Validation'!C814=Filtering!B814,Filtering!C814,"N/A")</f>
        <v>N/A</v>
      </c>
      <c r="J814" t="str">
        <f>IF(_xlfn.CONCAT(Filtering!A814,Filtering!B814,Filtering!C814)=$M$2,Filtering!D814,"N/A")</f>
        <v>N/A</v>
      </c>
    </row>
    <row r="815" spans="3:10" x14ac:dyDescent="0.25">
      <c r="C815" t="str">
        <f>IF(Filtering!F815&gt;0,Filtering!B815,"N/A")</f>
        <v>N/A</v>
      </c>
      <c r="D815" t="str">
        <f>IF('Data Validation'!C815=Filtering!B815,Filtering!C815,"N/A")</f>
        <v>N/A</v>
      </c>
      <c r="J815" t="str">
        <f>IF(_xlfn.CONCAT(Filtering!A815,Filtering!B815,Filtering!C815)=$M$2,Filtering!D815,"N/A")</f>
        <v>N/A</v>
      </c>
    </row>
    <row r="816" spans="3:10" x14ac:dyDescent="0.25">
      <c r="C816" t="str">
        <f>IF(Filtering!F816&gt;0,Filtering!B816,"N/A")</f>
        <v>N/A</v>
      </c>
      <c r="D816" t="str">
        <f>IF('Data Validation'!C816=Filtering!B816,Filtering!C816,"N/A")</f>
        <v>N/A</v>
      </c>
      <c r="J816" t="str">
        <f>IF(_xlfn.CONCAT(Filtering!A816,Filtering!B816,Filtering!C816)=$M$2,Filtering!D816,"N/A")</f>
        <v>N/A</v>
      </c>
    </row>
    <row r="817" spans="3:10" x14ac:dyDescent="0.25">
      <c r="C817" t="str">
        <f>IF(Filtering!F817&gt;0,Filtering!B817,"N/A")</f>
        <v>N/A</v>
      </c>
      <c r="D817" t="str">
        <f>IF('Data Validation'!C817=Filtering!B817,Filtering!C817,"N/A")</f>
        <v>N/A</v>
      </c>
      <c r="J817" t="str">
        <f>IF(_xlfn.CONCAT(Filtering!A817,Filtering!B817,Filtering!C817)=$M$2,Filtering!D817,"N/A")</f>
        <v>N/A</v>
      </c>
    </row>
    <row r="818" spans="3:10" x14ac:dyDescent="0.25">
      <c r="C818" t="str">
        <f>IF(Filtering!F818&gt;0,Filtering!B818,"N/A")</f>
        <v>N/A</v>
      </c>
      <c r="D818" t="str">
        <f>IF('Data Validation'!C818=Filtering!B818,Filtering!C818,"N/A")</f>
        <v>N/A</v>
      </c>
      <c r="J818" t="str">
        <f>IF(_xlfn.CONCAT(Filtering!A818,Filtering!B818,Filtering!C818)=$M$2,Filtering!D818,"N/A")</f>
        <v>N/A</v>
      </c>
    </row>
    <row r="819" spans="3:10" x14ac:dyDescent="0.25">
      <c r="C819" t="str">
        <f>IF(Filtering!F819&gt;0,Filtering!B819,"N/A")</f>
        <v>N/A</v>
      </c>
      <c r="D819" t="str">
        <f>IF('Data Validation'!C819=Filtering!B819,Filtering!C819,"N/A")</f>
        <v>N/A</v>
      </c>
      <c r="J819" t="str">
        <f>IF(_xlfn.CONCAT(Filtering!A819,Filtering!B819,Filtering!C819)=$M$2,Filtering!D819,"N/A")</f>
        <v>N/A</v>
      </c>
    </row>
    <row r="820" spans="3:10" x14ac:dyDescent="0.25">
      <c r="C820" t="str">
        <f>IF(Filtering!F820&gt;0,Filtering!B820,"N/A")</f>
        <v>N/A</v>
      </c>
      <c r="D820" t="str">
        <f>IF('Data Validation'!C820=Filtering!B820,Filtering!C820,"N/A")</f>
        <v>N/A</v>
      </c>
      <c r="J820" t="str">
        <f>IF(_xlfn.CONCAT(Filtering!A820,Filtering!B820,Filtering!C820)=$M$2,Filtering!D820,"N/A")</f>
        <v>N/A</v>
      </c>
    </row>
    <row r="821" spans="3:10" x14ac:dyDescent="0.25">
      <c r="C821" t="str">
        <f>IF(Filtering!F821&gt;0,Filtering!B821,"N/A")</f>
        <v>N/A</v>
      </c>
      <c r="D821" t="str">
        <f>IF('Data Validation'!C821=Filtering!B821,Filtering!C821,"N/A")</f>
        <v>N/A</v>
      </c>
      <c r="J821" t="str">
        <f>IF(_xlfn.CONCAT(Filtering!A821,Filtering!B821,Filtering!C821)=$M$2,Filtering!D821,"N/A")</f>
        <v>N/A</v>
      </c>
    </row>
    <row r="822" spans="3:10" x14ac:dyDescent="0.25">
      <c r="C822" t="str">
        <f>IF(Filtering!F822&gt;0,Filtering!B822,"N/A")</f>
        <v>N/A</v>
      </c>
      <c r="D822" t="str">
        <f>IF('Data Validation'!C822=Filtering!B822,Filtering!C822,"N/A")</f>
        <v>N/A</v>
      </c>
      <c r="J822" t="str">
        <f>IF(_xlfn.CONCAT(Filtering!A822,Filtering!B822,Filtering!C822)=$M$2,Filtering!D822,"N/A")</f>
        <v>N/A</v>
      </c>
    </row>
    <row r="823" spans="3:10" x14ac:dyDescent="0.25">
      <c r="C823" t="str">
        <f>IF(Filtering!F823&gt;0,Filtering!B823,"N/A")</f>
        <v>N/A</v>
      </c>
      <c r="D823" t="str">
        <f>IF('Data Validation'!C823=Filtering!B823,Filtering!C823,"N/A")</f>
        <v>N/A</v>
      </c>
      <c r="J823" t="str">
        <f>IF(_xlfn.CONCAT(Filtering!A823,Filtering!B823,Filtering!C823)=$M$2,Filtering!D823,"N/A")</f>
        <v>N/A</v>
      </c>
    </row>
    <row r="824" spans="3:10" x14ac:dyDescent="0.25">
      <c r="C824" t="str">
        <f>IF(Filtering!F824&gt;0,Filtering!B824,"N/A")</f>
        <v>N/A</v>
      </c>
      <c r="D824" t="str">
        <f>IF('Data Validation'!C824=Filtering!B824,Filtering!C824,"N/A")</f>
        <v>N/A</v>
      </c>
      <c r="J824" t="str">
        <f>IF(_xlfn.CONCAT(Filtering!A824,Filtering!B824,Filtering!C824)=$M$2,Filtering!D824,"N/A")</f>
        <v>N/A</v>
      </c>
    </row>
    <row r="825" spans="3:10" x14ac:dyDescent="0.25">
      <c r="C825" t="str">
        <f>IF(Filtering!F825&gt;0,Filtering!B825,"N/A")</f>
        <v>N/A</v>
      </c>
      <c r="D825" t="str">
        <f>IF('Data Validation'!C825=Filtering!B825,Filtering!C825,"N/A")</f>
        <v>N/A</v>
      </c>
      <c r="J825" t="str">
        <f>IF(_xlfn.CONCAT(Filtering!A825,Filtering!B825,Filtering!C825)=$M$2,Filtering!D825,"N/A")</f>
        <v>N/A</v>
      </c>
    </row>
    <row r="826" spans="3:10" x14ac:dyDescent="0.25">
      <c r="C826" t="str">
        <f>IF(Filtering!F826&gt;0,Filtering!B826,"N/A")</f>
        <v>N/A</v>
      </c>
      <c r="D826" t="str">
        <f>IF('Data Validation'!C826=Filtering!B826,Filtering!C826,"N/A")</f>
        <v>N/A</v>
      </c>
      <c r="J826" t="str">
        <f>IF(_xlfn.CONCAT(Filtering!A826,Filtering!B826,Filtering!C826)=$M$2,Filtering!D826,"N/A")</f>
        <v>N/A</v>
      </c>
    </row>
    <row r="827" spans="3:10" x14ac:dyDescent="0.25">
      <c r="C827" t="str">
        <f>IF(Filtering!F827&gt;0,Filtering!B827,"N/A")</f>
        <v>N/A</v>
      </c>
      <c r="D827" t="str">
        <f>IF('Data Validation'!C827=Filtering!B827,Filtering!C827,"N/A")</f>
        <v>N/A</v>
      </c>
      <c r="J827" t="str">
        <f>IF(_xlfn.CONCAT(Filtering!A827,Filtering!B827,Filtering!C827)=$M$2,Filtering!D827,"N/A")</f>
        <v>N/A</v>
      </c>
    </row>
    <row r="828" spans="3:10" x14ac:dyDescent="0.25">
      <c r="C828" t="str">
        <f>IF(Filtering!F828&gt;0,Filtering!B828,"N/A")</f>
        <v>N/A</v>
      </c>
      <c r="D828" t="str">
        <f>IF('Data Validation'!C828=Filtering!B828,Filtering!C828,"N/A")</f>
        <v>N/A</v>
      </c>
      <c r="J828" t="str">
        <f>IF(_xlfn.CONCAT(Filtering!A828,Filtering!B828,Filtering!C828)=$M$2,Filtering!D828,"N/A")</f>
        <v>N/A</v>
      </c>
    </row>
    <row r="829" spans="3:10" x14ac:dyDescent="0.25">
      <c r="C829" t="str">
        <f>IF(Filtering!F829&gt;0,Filtering!B829,"N/A")</f>
        <v>N/A</v>
      </c>
      <c r="D829" t="str">
        <f>IF('Data Validation'!C829=Filtering!B829,Filtering!C829,"N/A")</f>
        <v>N/A</v>
      </c>
      <c r="J829" t="str">
        <f>IF(_xlfn.CONCAT(Filtering!A829,Filtering!B829,Filtering!C829)=$M$2,Filtering!D829,"N/A")</f>
        <v>N/A</v>
      </c>
    </row>
    <row r="830" spans="3:10" x14ac:dyDescent="0.25">
      <c r="C830" t="str">
        <f>IF(Filtering!F830&gt;0,Filtering!B830,"N/A")</f>
        <v>N/A</v>
      </c>
      <c r="D830" t="str">
        <f>IF('Data Validation'!C830=Filtering!B830,Filtering!C830,"N/A")</f>
        <v>N/A</v>
      </c>
      <c r="J830" t="str">
        <f>IF(_xlfn.CONCAT(Filtering!A830,Filtering!B830,Filtering!C830)=$M$2,Filtering!D830,"N/A")</f>
        <v>N/A</v>
      </c>
    </row>
    <row r="831" spans="3:10" x14ac:dyDescent="0.25">
      <c r="C831" t="str">
        <f>IF(Filtering!F831&gt;0,Filtering!B831,"N/A")</f>
        <v>N/A</v>
      </c>
      <c r="D831" t="str">
        <f>IF('Data Validation'!C831=Filtering!B831,Filtering!C831,"N/A")</f>
        <v>N/A</v>
      </c>
      <c r="J831" t="str">
        <f>IF(_xlfn.CONCAT(Filtering!A831,Filtering!B831,Filtering!C831)=$M$2,Filtering!D831,"N/A")</f>
        <v>N/A</v>
      </c>
    </row>
    <row r="832" spans="3:10" x14ac:dyDescent="0.25">
      <c r="C832" t="str">
        <f>IF(Filtering!F832&gt;0,Filtering!B832,"N/A")</f>
        <v>N/A</v>
      </c>
      <c r="D832" t="str">
        <f>IF('Data Validation'!C832=Filtering!B832,Filtering!C832,"N/A")</f>
        <v>N/A</v>
      </c>
      <c r="J832" t="str">
        <f>IF(_xlfn.CONCAT(Filtering!A832,Filtering!B832,Filtering!C832)=$M$2,Filtering!D832,"N/A")</f>
        <v>N/A</v>
      </c>
    </row>
    <row r="833" spans="3:10" x14ac:dyDescent="0.25">
      <c r="C833" t="str">
        <f>IF(Filtering!F833&gt;0,Filtering!B833,"N/A")</f>
        <v>N/A</v>
      </c>
      <c r="D833" t="str">
        <f>IF('Data Validation'!C833=Filtering!B833,Filtering!C833,"N/A")</f>
        <v>N/A</v>
      </c>
      <c r="J833" t="str">
        <f>IF(_xlfn.CONCAT(Filtering!A833,Filtering!B833,Filtering!C833)=$M$2,Filtering!D833,"N/A")</f>
        <v>N/A</v>
      </c>
    </row>
    <row r="834" spans="3:10" x14ac:dyDescent="0.25">
      <c r="C834" t="str">
        <f>IF(Filtering!F834&gt;0,Filtering!B834,"N/A")</f>
        <v>N/A</v>
      </c>
      <c r="D834" t="str">
        <f>IF('Data Validation'!C834=Filtering!B834,Filtering!C834,"N/A")</f>
        <v>N/A</v>
      </c>
      <c r="J834" t="str">
        <f>IF(_xlfn.CONCAT(Filtering!A834,Filtering!B834,Filtering!C834)=$M$2,Filtering!D834,"N/A")</f>
        <v>N/A</v>
      </c>
    </row>
    <row r="835" spans="3:10" x14ac:dyDescent="0.25">
      <c r="C835" t="str">
        <f>IF(Filtering!F835&gt;0,Filtering!B835,"N/A")</f>
        <v>N/A</v>
      </c>
      <c r="D835" t="str">
        <f>IF('Data Validation'!C835=Filtering!B835,Filtering!C835,"N/A")</f>
        <v>N/A</v>
      </c>
      <c r="J835" t="str">
        <f>IF(_xlfn.CONCAT(Filtering!A835,Filtering!B835,Filtering!C835)=$M$2,Filtering!D835,"N/A")</f>
        <v>N/A</v>
      </c>
    </row>
    <row r="836" spans="3:10" x14ac:dyDescent="0.25">
      <c r="C836" t="str">
        <f>IF(Filtering!F836&gt;0,Filtering!B836,"N/A")</f>
        <v>N/A</v>
      </c>
      <c r="D836" t="str">
        <f>IF('Data Validation'!C836=Filtering!B836,Filtering!C836,"N/A")</f>
        <v>N/A</v>
      </c>
      <c r="J836" t="str">
        <f>IF(_xlfn.CONCAT(Filtering!A836,Filtering!B836,Filtering!C836)=$M$2,Filtering!D836,"N/A")</f>
        <v>N/A</v>
      </c>
    </row>
    <row r="837" spans="3:10" x14ac:dyDescent="0.25">
      <c r="C837" t="str">
        <f>IF(Filtering!F837&gt;0,Filtering!B837,"N/A")</f>
        <v>N/A</v>
      </c>
      <c r="D837" t="str">
        <f>IF('Data Validation'!C837=Filtering!B837,Filtering!C837,"N/A")</f>
        <v>N/A</v>
      </c>
      <c r="J837" t="str">
        <f>IF(_xlfn.CONCAT(Filtering!A837,Filtering!B837,Filtering!C837)=$M$2,Filtering!D837,"N/A")</f>
        <v>N/A</v>
      </c>
    </row>
    <row r="838" spans="3:10" x14ac:dyDescent="0.25">
      <c r="C838" t="str">
        <f>IF(Filtering!F838&gt;0,Filtering!B838,"N/A")</f>
        <v>N/A</v>
      </c>
      <c r="D838" t="str">
        <f>IF('Data Validation'!C838=Filtering!B838,Filtering!C838,"N/A")</f>
        <v>N/A</v>
      </c>
      <c r="J838" t="str">
        <f>IF(_xlfn.CONCAT(Filtering!A838,Filtering!B838,Filtering!C838)=$M$2,Filtering!D838,"N/A")</f>
        <v>N/A</v>
      </c>
    </row>
    <row r="839" spans="3:10" x14ac:dyDescent="0.25">
      <c r="C839" t="str">
        <f>IF(Filtering!F839&gt;0,Filtering!B839,"N/A")</f>
        <v>N/A</v>
      </c>
      <c r="D839" t="str">
        <f>IF('Data Validation'!C839=Filtering!B839,Filtering!C839,"N/A")</f>
        <v>N/A</v>
      </c>
      <c r="J839" t="str">
        <f>IF(_xlfn.CONCAT(Filtering!A839,Filtering!B839,Filtering!C839)=$M$2,Filtering!D839,"N/A")</f>
        <v>N/A</v>
      </c>
    </row>
    <row r="840" spans="3:10" x14ac:dyDescent="0.25">
      <c r="C840" t="str">
        <f>IF(Filtering!F840&gt;0,Filtering!B840,"N/A")</f>
        <v>N/A</v>
      </c>
      <c r="D840" t="str">
        <f>IF('Data Validation'!C840=Filtering!B840,Filtering!C840,"N/A")</f>
        <v>N/A</v>
      </c>
      <c r="J840" t="str">
        <f>IF(_xlfn.CONCAT(Filtering!A840,Filtering!B840,Filtering!C840)=$M$2,Filtering!D840,"N/A")</f>
        <v>N/A</v>
      </c>
    </row>
    <row r="841" spans="3:10" x14ac:dyDescent="0.25">
      <c r="C841" t="str">
        <f>IF(Filtering!F841&gt;0,Filtering!B841,"N/A")</f>
        <v>N/A</v>
      </c>
      <c r="D841" t="str">
        <f>IF('Data Validation'!C841=Filtering!B841,Filtering!C841,"N/A")</f>
        <v>N/A</v>
      </c>
      <c r="J841" t="str">
        <f>IF(_xlfn.CONCAT(Filtering!A841,Filtering!B841,Filtering!C841)=$M$2,Filtering!D841,"N/A")</f>
        <v>N/A</v>
      </c>
    </row>
    <row r="842" spans="3:10" x14ac:dyDescent="0.25">
      <c r="C842" t="str">
        <f>IF(Filtering!F842&gt;0,Filtering!B842,"N/A")</f>
        <v>N/A</v>
      </c>
      <c r="D842" t="str">
        <f>IF('Data Validation'!C842=Filtering!B842,Filtering!C842,"N/A")</f>
        <v>N/A</v>
      </c>
      <c r="J842" t="str">
        <f>IF(_xlfn.CONCAT(Filtering!A842,Filtering!B842,Filtering!C842)=$M$2,Filtering!D842,"N/A")</f>
        <v>N/A</v>
      </c>
    </row>
    <row r="843" spans="3:10" x14ac:dyDescent="0.25">
      <c r="C843" t="str">
        <f>IF(Filtering!F843&gt;0,Filtering!B843,"N/A")</f>
        <v>N/A</v>
      </c>
      <c r="D843" t="str">
        <f>IF('Data Validation'!C843=Filtering!B843,Filtering!C843,"N/A")</f>
        <v>N/A</v>
      </c>
      <c r="J843" t="str">
        <f>IF(_xlfn.CONCAT(Filtering!A843,Filtering!B843,Filtering!C843)=$M$2,Filtering!D843,"N/A")</f>
        <v>N/A</v>
      </c>
    </row>
    <row r="844" spans="3:10" x14ac:dyDescent="0.25">
      <c r="C844" t="str">
        <f>IF(Filtering!F844&gt;0,Filtering!B844,"N/A")</f>
        <v>N/A</v>
      </c>
      <c r="D844" t="str">
        <f>IF('Data Validation'!C844=Filtering!B844,Filtering!C844,"N/A")</f>
        <v>N/A</v>
      </c>
      <c r="J844" t="str">
        <f>IF(_xlfn.CONCAT(Filtering!A844,Filtering!B844,Filtering!C844)=$M$2,Filtering!D844,"N/A")</f>
        <v>N/A</v>
      </c>
    </row>
    <row r="845" spans="3:10" x14ac:dyDescent="0.25">
      <c r="C845" t="str">
        <f>IF(Filtering!F845&gt;0,Filtering!B845,"N/A")</f>
        <v>N/A</v>
      </c>
      <c r="D845" t="str">
        <f>IF('Data Validation'!C845=Filtering!B845,Filtering!C845,"N/A")</f>
        <v>N/A</v>
      </c>
      <c r="J845" t="str">
        <f>IF(_xlfn.CONCAT(Filtering!A845,Filtering!B845,Filtering!C845)=$M$2,Filtering!D845,"N/A")</f>
        <v>N/A</v>
      </c>
    </row>
    <row r="846" spans="3:10" x14ac:dyDescent="0.25">
      <c r="C846" t="str">
        <f>IF(Filtering!F846&gt;0,Filtering!B846,"N/A")</f>
        <v>N/A</v>
      </c>
      <c r="D846" t="str">
        <f>IF('Data Validation'!C846=Filtering!B846,Filtering!C846,"N/A")</f>
        <v>N/A</v>
      </c>
      <c r="J846" t="str">
        <f>IF(_xlfn.CONCAT(Filtering!A846,Filtering!B846,Filtering!C846)=$M$2,Filtering!D846,"N/A")</f>
        <v>N/A</v>
      </c>
    </row>
    <row r="847" spans="3:10" x14ac:dyDescent="0.25">
      <c r="C847" t="str">
        <f>IF(Filtering!F847&gt;0,Filtering!B847,"N/A")</f>
        <v>N/A</v>
      </c>
      <c r="D847" t="str">
        <f>IF('Data Validation'!C847=Filtering!B847,Filtering!C847,"N/A")</f>
        <v>N/A</v>
      </c>
      <c r="J847" t="str">
        <f>IF(_xlfn.CONCAT(Filtering!A847,Filtering!B847,Filtering!C847)=$M$2,Filtering!D847,"N/A")</f>
        <v>N/A</v>
      </c>
    </row>
    <row r="848" spans="3:10" x14ac:dyDescent="0.25">
      <c r="C848" t="str">
        <f>IF(Filtering!F848&gt;0,Filtering!B848,"N/A")</f>
        <v>N/A</v>
      </c>
      <c r="D848" t="str">
        <f>IF('Data Validation'!C848=Filtering!B848,Filtering!C848,"N/A")</f>
        <v>N/A</v>
      </c>
      <c r="J848" t="str">
        <f>IF(_xlfn.CONCAT(Filtering!A848,Filtering!B848,Filtering!C848)=$M$2,Filtering!D848,"N/A")</f>
        <v>N/A</v>
      </c>
    </row>
    <row r="849" spans="3:10" x14ac:dyDescent="0.25">
      <c r="C849" t="str">
        <f>IF(Filtering!F849&gt;0,Filtering!B849,"N/A")</f>
        <v>N/A</v>
      </c>
      <c r="D849" t="str">
        <f>IF('Data Validation'!C849=Filtering!B849,Filtering!C849,"N/A")</f>
        <v>N/A</v>
      </c>
      <c r="J849" t="str">
        <f>IF(_xlfn.CONCAT(Filtering!A849,Filtering!B849,Filtering!C849)=$M$2,Filtering!D849,"N/A")</f>
        <v>N/A</v>
      </c>
    </row>
    <row r="850" spans="3:10" x14ac:dyDescent="0.25">
      <c r="C850" t="str">
        <f>IF(Filtering!F850&gt;0,Filtering!B850,"N/A")</f>
        <v>N/A</v>
      </c>
      <c r="D850" t="str">
        <f>IF('Data Validation'!C850=Filtering!B850,Filtering!C850,"N/A")</f>
        <v>N/A</v>
      </c>
      <c r="J850" t="str">
        <f>IF(_xlfn.CONCAT(Filtering!A850,Filtering!B850,Filtering!C850)=$M$2,Filtering!D850,"N/A")</f>
        <v>N/A</v>
      </c>
    </row>
    <row r="851" spans="3:10" x14ac:dyDescent="0.25">
      <c r="C851" t="str">
        <f>IF(Filtering!F851&gt;0,Filtering!B851,"N/A")</f>
        <v>N/A</v>
      </c>
      <c r="D851" t="str">
        <f>IF('Data Validation'!C851=Filtering!B851,Filtering!C851,"N/A")</f>
        <v>N/A</v>
      </c>
      <c r="J851" t="str">
        <f>IF(_xlfn.CONCAT(Filtering!A851,Filtering!B851,Filtering!C851)=$M$2,Filtering!D851,"N/A")</f>
        <v>N/A</v>
      </c>
    </row>
    <row r="852" spans="3:10" x14ac:dyDescent="0.25">
      <c r="C852" t="str">
        <f>IF(Filtering!F852&gt;0,Filtering!B852,"N/A")</f>
        <v>N/A</v>
      </c>
      <c r="D852" t="str">
        <f>IF('Data Validation'!C852=Filtering!B852,Filtering!C852,"N/A")</f>
        <v>N/A</v>
      </c>
      <c r="J852" t="str">
        <f>IF(_xlfn.CONCAT(Filtering!A852,Filtering!B852,Filtering!C852)=$M$2,Filtering!D852,"N/A")</f>
        <v>N/A</v>
      </c>
    </row>
    <row r="853" spans="3:10" x14ac:dyDescent="0.25">
      <c r="C853" t="str">
        <f>IF(Filtering!F853&gt;0,Filtering!B853,"N/A")</f>
        <v>N/A</v>
      </c>
      <c r="D853" t="str">
        <f>IF('Data Validation'!C853=Filtering!B853,Filtering!C853,"N/A")</f>
        <v>N/A</v>
      </c>
      <c r="J853" t="str">
        <f>IF(_xlfn.CONCAT(Filtering!A853,Filtering!B853,Filtering!C853)=$M$2,Filtering!D853,"N/A")</f>
        <v>N/A</v>
      </c>
    </row>
    <row r="854" spans="3:10" x14ac:dyDescent="0.25">
      <c r="C854" t="str">
        <f>IF(Filtering!F854&gt;0,Filtering!B854,"N/A")</f>
        <v>N/A</v>
      </c>
      <c r="D854" t="str">
        <f>IF('Data Validation'!C854=Filtering!B854,Filtering!C854,"N/A")</f>
        <v>N/A</v>
      </c>
      <c r="J854" t="str">
        <f>IF(_xlfn.CONCAT(Filtering!A854,Filtering!B854,Filtering!C854)=$M$2,Filtering!D854,"N/A")</f>
        <v>N/A</v>
      </c>
    </row>
    <row r="855" spans="3:10" x14ac:dyDescent="0.25">
      <c r="C855" t="str">
        <f>IF(Filtering!F855&gt;0,Filtering!B855,"N/A")</f>
        <v>N/A</v>
      </c>
      <c r="D855" t="str">
        <f>IF('Data Validation'!C855=Filtering!B855,Filtering!C855,"N/A")</f>
        <v>N/A</v>
      </c>
      <c r="J855" t="str">
        <f>IF(_xlfn.CONCAT(Filtering!A855,Filtering!B855,Filtering!C855)=$M$2,Filtering!D855,"N/A")</f>
        <v>N/A</v>
      </c>
    </row>
    <row r="856" spans="3:10" x14ac:dyDescent="0.25">
      <c r="C856" t="str">
        <f>IF(Filtering!F856&gt;0,Filtering!B856,"N/A")</f>
        <v>N/A</v>
      </c>
      <c r="D856" t="str">
        <f>IF('Data Validation'!C856=Filtering!B856,Filtering!C856,"N/A")</f>
        <v>N/A</v>
      </c>
      <c r="J856" t="str">
        <f>IF(_xlfn.CONCAT(Filtering!A856,Filtering!B856,Filtering!C856)=$M$2,Filtering!D856,"N/A")</f>
        <v>N/A</v>
      </c>
    </row>
    <row r="857" spans="3:10" x14ac:dyDescent="0.25">
      <c r="C857" t="str">
        <f>IF(Filtering!F857&gt;0,Filtering!B857,"N/A")</f>
        <v>N/A</v>
      </c>
      <c r="D857" t="str">
        <f>IF('Data Validation'!C857=Filtering!B857,Filtering!C857,"N/A")</f>
        <v>N/A</v>
      </c>
      <c r="J857" t="str">
        <f>IF(_xlfn.CONCAT(Filtering!A857,Filtering!B857,Filtering!C857)=$M$2,Filtering!D857,"N/A")</f>
        <v>N/A</v>
      </c>
    </row>
    <row r="858" spans="3:10" x14ac:dyDescent="0.25">
      <c r="C858" t="str">
        <f>IF(Filtering!F858&gt;0,Filtering!B858,"N/A")</f>
        <v>N/A</v>
      </c>
      <c r="D858" t="str">
        <f>IF('Data Validation'!C858=Filtering!B858,Filtering!C858,"N/A")</f>
        <v>N/A</v>
      </c>
      <c r="J858" t="str">
        <f>IF(_xlfn.CONCAT(Filtering!A858,Filtering!B858,Filtering!C858)=$M$2,Filtering!D858,"N/A")</f>
        <v>N/A</v>
      </c>
    </row>
    <row r="859" spans="3:10" x14ac:dyDescent="0.25">
      <c r="C859" t="str">
        <f>IF(Filtering!F859&gt;0,Filtering!B859,"N/A")</f>
        <v>N/A</v>
      </c>
      <c r="D859" t="str">
        <f>IF('Data Validation'!C859=Filtering!B859,Filtering!C859,"N/A")</f>
        <v>N/A</v>
      </c>
      <c r="J859" t="str">
        <f>IF(_xlfn.CONCAT(Filtering!A859,Filtering!B859,Filtering!C859)=$M$2,Filtering!D859,"N/A")</f>
        <v>N/A</v>
      </c>
    </row>
    <row r="860" spans="3:10" x14ac:dyDescent="0.25">
      <c r="C860" t="str">
        <f>IF(Filtering!F860&gt;0,Filtering!B860,"N/A")</f>
        <v>N/A</v>
      </c>
      <c r="D860" t="str">
        <f>IF('Data Validation'!C860=Filtering!B860,Filtering!C860,"N/A")</f>
        <v>N/A</v>
      </c>
      <c r="J860" t="str">
        <f>IF(_xlfn.CONCAT(Filtering!A860,Filtering!B860,Filtering!C860)=$M$2,Filtering!D860,"N/A")</f>
        <v>N/A</v>
      </c>
    </row>
    <row r="861" spans="3:10" x14ac:dyDescent="0.25">
      <c r="C861" t="str">
        <f>IF(Filtering!F861&gt;0,Filtering!B861,"N/A")</f>
        <v>N/A</v>
      </c>
      <c r="D861" t="str">
        <f>IF('Data Validation'!C861=Filtering!B861,Filtering!C861,"N/A")</f>
        <v>N/A</v>
      </c>
      <c r="J861" t="str">
        <f>IF(_xlfn.CONCAT(Filtering!A861,Filtering!B861,Filtering!C861)=$M$2,Filtering!D861,"N/A")</f>
        <v>N/A</v>
      </c>
    </row>
    <row r="862" spans="3:10" x14ac:dyDescent="0.25">
      <c r="C862" t="str">
        <f>IF(Filtering!F862&gt;0,Filtering!B862,"N/A")</f>
        <v>N/A</v>
      </c>
      <c r="D862" t="str">
        <f>IF('Data Validation'!C862=Filtering!B862,Filtering!C862,"N/A")</f>
        <v>N/A</v>
      </c>
      <c r="J862" t="str">
        <f>IF(_xlfn.CONCAT(Filtering!A862,Filtering!B862,Filtering!C862)=$M$2,Filtering!D862,"N/A")</f>
        <v>N/A</v>
      </c>
    </row>
    <row r="863" spans="3:10" x14ac:dyDescent="0.25">
      <c r="C863" t="str">
        <f>IF(Filtering!F863&gt;0,Filtering!B863,"N/A")</f>
        <v>N/A</v>
      </c>
      <c r="D863" t="str">
        <f>IF('Data Validation'!C863=Filtering!B863,Filtering!C863,"N/A")</f>
        <v>N/A</v>
      </c>
      <c r="J863" t="str">
        <f>IF(_xlfn.CONCAT(Filtering!A863,Filtering!B863,Filtering!C863)=$M$2,Filtering!D863,"N/A")</f>
        <v>N/A</v>
      </c>
    </row>
    <row r="864" spans="3:10" x14ac:dyDescent="0.25">
      <c r="C864" t="str">
        <f>IF(Filtering!F864&gt;0,Filtering!B864,"N/A")</f>
        <v>N/A</v>
      </c>
      <c r="D864" t="str">
        <f>IF('Data Validation'!C864=Filtering!B864,Filtering!C864,"N/A")</f>
        <v>N/A</v>
      </c>
      <c r="J864" t="str">
        <f>IF(_xlfn.CONCAT(Filtering!A864,Filtering!B864,Filtering!C864)=$M$2,Filtering!D864,"N/A")</f>
        <v>N/A</v>
      </c>
    </row>
    <row r="865" spans="3:10" x14ac:dyDescent="0.25">
      <c r="C865" t="str">
        <f>IF(Filtering!F865&gt;0,Filtering!B865,"N/A")</f>
        <v>N/A</v>
      </c>
      <c r="D865" t="str">
        <f>IF('Data Validation'!C865=Filtering!B865,Filtering!C865,"N/A")</f>
        <v>N/A</v>
      </c>
      <c r="J865" t="str">
        <f>IF(_xlfn.CONCAT(Filtering!A865,Filtering!B865,Filtering!C865)=$M$2,Filtering!D865,"N/A")</f>
        <v>N/A</v>
      </c>
    </row>
    <row r="866" spans="3:10" x14ac:dyDescent="0.25">
      <c r="C866" t="str">
        <f>IF(Filtering!F866&gt;0,Filtering!B866,"N/A")</f>
        <v>N/A</v>
      </c>
      <c r="D866" t="str">
        <f>IF('Data Validation'!C866=Filtering!B866,Filtering!C866,"N/A")</f>
        <v>N/A</v>
      </c>
      <c r="J866" t="str">
        <f>IF(_xlfn.CONCAT(Filtering!A866,Filtering!B866,Filtering!C866)=$M$2,Filtering!D866,"N/A")</f>
        <v>N/A</v>
      </c>
    </row>
    <row r="867" spans="3:10" x14ac:dyDescent="0.25">
      <c r="C867" t="str">
        <f>IF(Filtering!F867&gt;0,Filtering!B867,"N/A")</f>
        <v>N/A</v>
      </c>
      <c r="D867" t="str">
        <f>IF('Data Validation'!C867=Filtering!B867,Filtering!C867,"N/A")</f>
        <v>N/A</v>
      </c>
      <c r="J867" t="str">
        <f>IF(_xlfn.CONCAT(Filtering!A867,Filtering!B867,Filtering!C867)=$M$2,Filtering!D867,"N/A")</f>
        <v>N/A</v>
      </c>
    </row>
    <row r="868" spans="3:10" x14ac:dyDescent="0.25">
      <c r="C868" t="str">
        <f>IF(Filtering!F868&gt;0,Filtering!B868,"N/A")</f>
        <v>N/A</v>
      </c>
      <c r="D868" t="str">
        <f>IF('Data Validation'!C868=Filtering!B868,Filtering!C868,"N/A")</f>
        <v>N/A</v>
      </c>
      <c r="J868" t="str">
        <f>IF(_xlfn.CONCAT(Filtering!A868,Filtering!B868,Filtering!C868)=$M$2,Filtering!D868,"N/A")</f>
        <v>N/A</v>
      </c>
    </row>
    <row r="869" spans="3:10" x14ac:dyDescent="0.25">
      <c r="C869" t="str">
        <f>IF(Filtering!F869&gt;0,Filtering!B869,"N/A")</f>
        <v>N/A</v>
      </c>
      <c r="D869" t="str">
        <f>IF('Data Validation'!C869=Filtering!B869,Filtering!C869,"N/A")</f>
        <v>N/A</v>
      </c>
      <c r="J869" t="str">
        <f>IF(_xlfn.CONCAT(Filtering!A869,Filtering!B869,Filtering!C869)=$M$2,Filtering!D869,"N/A")</f>
        <v>N/A</v>
      </c>
    </row>
    <row r="870" spans="3:10" x14ac:dyDescent="0.25">
      <c r="C870" t="str">
        <f>IF(Filtering!F870&gt;0,Filtering!B870,"N/A")</f>
        <v>N/A</v>
      </c>
      <c r="D870" t="str">
        <f>IF('Data Validation'!C870=Filtering!B870,Filtering!C870,"N/A")</f>
        <v>N/A</v>
      </c>
      <c r="J870" t="str">
        <f>IF(_xlfn.CONCAT(Filtering!A870,Filtering!B870,Filtering!C870)=$M$2,Filtering!D870,"N/A")</f>
        <v>N/A</v>
      </c>
    </row>
    <row r="871" spans="3:10" x14ac:dyDescent="0.25">
      <c r="C871" t="str">
        <f>IF(Filtering!F871&gt;0,Filtering!B871,"N/A")</f>
        <v>N/A</v>
      </c>
      <c r="D871" t="str">
        <f>IF('Data Validation'!C871=Filtering!B871,Filtering!C871,"N/A")</f>
        <v>N/A</v>
      </c>
      <c r="J871" t="str">
        <f>IF(_xlfn.CONCAT(Filtering!A871,Filtering!B871,Filtering!C871)=$M$2,Filtering!D871,"N/A")</f>
        <v>N/A</v>
      </c>
    </row>
    <row r="872" spans="3:10" x14ac:dyDescent="0.25">
      <c r="C872" t="str">
        <f>IF(Filtering!F872&gt;0,Filtering!B872,"N/A")</f>
        <v>N/A</v>
      </c>
      <c r="D872" t="str">
        <f>IF('Data Validation'!C872=Filtering!B872,Filtering!C872,"N/A")</f>
        <v>N/A</v>
      </c>
      <c r="J872" t="str">
        <f>IF(_xlfn.CONCAT(Filtering!A872,Filtering!B872,Filtering!C872)=$M$2,Filtering!D872,"N/A")</f>
        <v>N/A</v>
      </c>
    </row>
    <row r="873" spans="3:10" x14ac:dyDescent="0.25">
      <c r="C873" t="str">
        <f>IF(Filtering!F873&gt;0,Filtering!B873,"N/A")</f>
        <v>N/A</v>
      </c>
      <c r="D873" t="str">
        <f>IF('Data Validation'!C873=Filtering!B873,Filtering!C873,"N/A")</f>
        <v>N/A</v>
      </c>
      <c r="J873" t="str">
        <f>IF(_xlfn.CONCAT(Filtering!A873,Filtering!B873,Filtering!C873)=$M$2,Filtering!D873,"N/A")</f>
        <v>N/A</v>
      </c>
    </row>
    <row r="874" spans="3:10" x14ac:dyDescent="0.25">
      <c r="C874" t="str">
        <f>IF(Filtering!F874&gt;0,Filtering!B874,"N/A")</f>
        <v>N/A</v>
      </c>
      <c r="D874" t="str">
        <f>IF('Data Validation'!C874=Filtering!B874,Filtering!C874,"N/A")</f>
        <v>N/A</v>
      </c>
      <c r="J874" t="str">
        <f>IF(_xlfn.CONCAT(Filtering!A874,Filtering!B874,Filtering!C874)=$M$2,Filtering!D874,"N/A")</f>
        <v>N/A</v>
      </c>
    </row>
    <row r="875" spans="3:10" x14ac:dyDescent="0.25">
      <c r="C875" t="str">
        <f>IF(Filtering!F875&gt;0,Filtering!B875,"N/A")</f>
        <v>N/A</v>
      </c>
      <c r="D875" t="str">
        <f>IF('Data Validation'!C875=Filtering!B875,Filtering!C875,"N/A")</f>
        <v>N/A</v>
      </c>
      <c r="J875" t="str">
        <f>IF(_xlfn.CONCAT(Filtering!A875,Filtering!B875,Filtering!C875)=$M$2,Filtering!D875,"N/A")</f>
        <v>N/A</v>
      </c>
    </row>
    <row r="876" spans="3:10" x14ac:dyDescent="0.25">
      <c r="C876" t="str">
        <f>IF(Filtering!F876&gt;0,Filtering!B876,"N/A")</f>
        <v>N/A</v>
      </c>
      <c r="D876" t="str">
        <f>IF('Data Validation'!C876=Filtering!B876,Filtering!C876,"N/A")</f>
        <v>N/A</v>
      </c>
      <c r="J876" t="str">
        <f>IF(_xlfn.CONCAT(Filtering!A876,Filtering!B876,Filtering!C876)=$M$2,Filtering!D876,"N/A")</f>
        <v>N/A</v>
      </c>
    </row>
    <row r="877" spans="3:10" x14ac:dyDescent="0.25">
      <c r="C877" t="str">
        <f>IF(Filtering!F877&gt;0,Filtering!B877,"N/A")</f>
        <v>N/A</v>
      </c>
      <c r="D877" t="str">
        <f>IF('Data Validation'!C877=Filtering!B877,Filtering!C877,"N/A")</f>
        <v>N/A</v>
      </c>
      <c r="J877" t="str">
        <f>IF(_xlfn.CONCAT(Filtering!A877,Filtering!B877,Filtering!C877)=$M$2,Filtering!D877,"N/A")</f>
        <v>N/A</v>
      </c>
    </row>
    <row r="878" spans="3:10" x14ac:dyDescent="0.25">
      <c r="C878" t="str">
        <f>IF(Filtering!F878&gt;0,Filtering!B878,"N/A")</f>
        <v>N/A</v>
      </c>
      <c r="D878" t="str">
        <f>IF('Data Validation'!C878=Filtering!B878,Filtering!C878,"N/A")</f>
        <v>N/A</v>
      </c>
      <c r="J878" t="str">
        <f>IF(_xlfn.CONCAT(Filtering!A878,Filtering!B878,Filtering!C878)=$M$2,Filtering!D878,"N/A")</f>
        <v>N/A</v>
      </c>
    </row>
    <row r="879" spans="3:10" x14ac:dyDescent="0.25">
      <c r="C879" t="str">
        <f>IF(Filtering!F879&gt;0,Filtering!B879,"N/A")</f>
        <v>N/A</v>
      </c>
      <c r="D879" t="str">
        <f>IF('Data Validation'!C879=Filtering!B879,Filtering!C879,"N/A")</f>
        <v>N/A</v>
      </c>
      <c r="J879" t="str">
        <f>IF(_xlfn.CONCAT(Filtering!A879,Filtering!B879,Filtering!C879)=$M$2,Filtering!D879,"N/A")</f>
        <v>N/A</v>
      </c>
    </row>
    <row r="880" spans="3:10" x14ac:dyDescent="0.25">
      <c r="C880" t="str">
        <f>IF(Filtering!F880&gt;0,Filtering!B880,"N/A")</f>
        <v>N/A</v>
      </c>
      <c r="D880" t="str">
        <f>IF('Data Validation'!C880=Filtering!B880,Filtering!C880,"N/A")</f>
        <v>N/A</v>
      </c>
      <c r="J880" t="str">
        <f>IF(_xlfn.CONCAT(Filtering!A880,Filtering!B880,Filtering!C880)=$M$2,Filtering!D880,"N/A")</f>
        <v>N/A</v>
      </c>
    </row>
    <row r="881" spans="3:10" x14ac:dyDescent="0.25">
      <c r="C881" t="str">
        <f>IF(Filtering!F881&gt;0,Filtering!B881,"N/A")</f>
        <v>N/A</v>
      </c>
      <c r="D881" t="str">
        <f>IF('Data Validation'!C881=Filtering!B881,Filtering!C881,"N/A")</f>
        <v>N/A</v>
      </c>
      <c r="J881" t="str">
        <f>IF(_xlfn.CONCAT(Filtering!A881,Filtering!B881,Filtering!C881)=$M$2,Filtering!D881,"N/A")</f>
        <v>N/A</v>
      </c>
    </row>
    <row r="882" spans="3:10" x14ac:dyDescent="0.25">
      <c r="C882" t="str">
        <f>IF(Filtering!F882&gt;0,Filtering!B882,"N/A")</f>
        <v>N/A</v>
      </c>
      <c r="D882" t="str">
        <f>IF('Data Validation'!C882=Filtering!B882,Filtering!C882,"N/A")</f>
        <v>N/A</v>
      </c>
      <c r="J882" t="str">
        <f>IF(_xlfn.CONCAT(Filtering!A882,Filtering!B882,Filtering!C882)=$M$2,Filtering!D882,"N/A")</f>
        <v>N/A</v>
      </c>
    </row>
    <row r="883" spans="3:10" x14ac:dyDescent="0.25">
      <c r="C883" t="str">
        <f>IF(Filtering!F883&gt;0,Filtering!B883,"N/A")</f>
        <v>N/A</v>
      </c>
      <c r="D883" t="str">
        <f>IF('Data Validation'!C883=Filtering!B883,Filtering!C883,"N/A")</f>
        <v>N/A</v>
      </c>
      <c r="J883" t="str">
        <f>IF(_xlfn.CONCAT(Filtering!A883,Filtering!B883,Filtering!C883)=$M$2,Filtering!D883,"N/A")</f>
        <v>N/A</v>
      </c>
    </row>
    <row r="884" spans="3:10" x14ac:dyDescent="0.25">
      <c r="C884" t="str">
        <f>IF(Filtering!F884&gt;0,Filtering!B884,"N/A")</f>
        <v>N/A</v>
      </c>
      <c r="D884" t="str">
        <f>IF('Data Validation'!C884=Filtering!B884,Filtering!C884,"N/A")</f>
        <v>N/A</v>
      </c>
      <c r="J884" t="str">
        <f>IF(_xlfn.CONCAT(Filtering!A884,Filtering!B884,Filtering!C884)=$M$2,Filtering!D884,"N/A")</f>
        <v>N/A</v>
      </c>
    </row>
    <row r="885" spans="3:10" x14ac:dyDescent="0.25">
      <c r="C885" t="str">
        <f>IF(Filtering!F885&gt;0,Filtering!B885,"N/A")</f>
        <v>N/A</v>
      </c>
      <c r="D885" t="str">
        <f>IF('Data Validation'!C885=Filtering!B885,Filtering!C885,"N/A")</f>
        <v>N/A</v>
      </c>
      <c r="J885" t="str">
        <f>IF(_xlfn.CONCAT(Filtering!A885,Filtering!B885,Filtering!C885)=$M$2,Filtering!D885,"N/A")</f>
        <v>N/A</v>
      </c>
    </row>
    <row r="886" spans="3:10" x14ac:dyDescent="0.25">
      <c r="C886" t="str">
        <f>IF(Filtering!F886&gt;0,Filtering!B886,"N/A")</f>
        <v>N/A</v>
      </c>
      <c r="D886" t="str">
        <f>IF('Data Validation'!C886=Filtering!B886,Filtering!C886,"N/A")</f>
        <v>N/A</v>
      </c>
      <c r="J886" t="str">
        <f>IF(_xlfn.CONCAT(Filtering!A886,Filtering!B886,Filtering!C886)=$M$2,Filtering!D886,"N/A")</f>
        <v>N/A</v>
      </c>
    </row>
    <row r="887" spans="3:10" x14ac:dyDescent="0.25">
      <c r="C887" t="str">
        <f>IF(Filtering!F887&gt;0,Filtering!B887,"N/A")</f>
        <v>N/A</v>
      </c>
      <c r="D887" t="str">
        <f>IF('Data Validation'!C887=Filtering!B887,Filtering!C887,"N/A")</f>
        <v>N/A</v>
      </c>
      <c r="J887" t="str">
        <f>IF(_xlfn.CONCAT(Filtering!A887,Filtering!B887,Filtering!C887)=$M$2,Filtering!D887,"N/A")</f>
        <v>N/A</v>
      </c>
    </row>
    <row r="888" spans="3:10" x14ac:dyDescent="0.25">
      <c r="C888" t="str">
        <f>IF(Filtering!F888&gt;0,Filtering!B888,"N/A")</f>
        <v>N/A</v>
      </c>
      <c r="D888" t="str">
        <f>IF('Data Validation'!C888=Filtering!B888,Filtering!C888,"N/A")</f>
        <v>N/A</v>
      </c>
      <c r="J888" t="str">
        <f>IF(_xlfn.CONCAT(Filtering!A888,Filtering!B888,Filtering!C888)=$M$2,Filtering!D888,"N/A")</f>
        <v>N/A</v>
      </c>
    </row>
    <row r="889" spans="3:10" x14ac:dyDescent="0.25">
      <c r="C889" t="str">
        <f>IF(Filtering!F889&gt;0,Filtering!B889,"N/A")</f>
        <v>N/A</v>
      </c>
      <c r="D889" t="str">
        <f>IF('Data Validation'!C889=Filtering!B889,Filtering!C889,"N/A")</f>
        <v>N/A</v>
      </c>
      <c r="J889" t="str">
        <f>IF(_xlfn.CONCAT(Filtering!A889,Filtering!B889,Filtering!C889)=$M$2,Filtering!D889,"N/A")</f>
        <v>N/A</v>
      </c>
    </row>
    <row r="890" spans="3:10" x14ac:dyDescent="0.25">
      <c r="C890" t="str">
        <f>IF(Filtering!F890&gt;0,Filtering!B890,"N/A")</f>
        <v>N/A</v>
      </c>
      <c r="D890" t="str">
        <f>IF('Data Validation'!C890=Filtering!B890,Filtering!C890,"N/A")</f>
        <v>N/A</v>
      </c>
      <c r="J890" t="str">
        <f>IF(_xlfn.CONCAT(Filtering!A890,Filtering!B890,Filtering!C890)=$M$2,Filtering!D890,"N/A")</f>
        <v>N/A</v>
      </c>
    </row>
    <row r="891" spans="3:10" x14ac:dyDescent="0.25">
      <c r="C891" t="str">
        <f>IF(Filtering!F891&gt;0,Filtering!B891,"N/A")</f>
        <v>N/A</v>
      </c>
      <c r="D891" t="str">
        <f>IF('Data Validation'!C891=Filtering!B891,Filtering!C891,"N/A")</f>
        <v>N/A</v>
      </c>
      <c r="J891" t="str">
        <f>IF(_xlfn.CONCAT(Filtering!A891,Filtering!B891,Filtering!C891)=$M$2,Filtering!D891,"N/A")</f>
        <v>N/A</v>
      </c>
    </row>
    <row r="892" spans="3:10" x14ac:dyDescent="0.25">
      <c r="C892" t="str">
        <f>IF(Filtering!F892&gt;0,Filtering!B892,"N/A")</f>
        <v>N/A</v>
      </c>
      <c r="D892" t="str">
        <f>IF('Data Validation'!C892=Filtering!B892,Filtering!C892,"N/A")</f>
        <v>N/A</v>
      </c>
      <c r="J892" t="str">
        <f>IF(_xlfn.CONCAT(Filtering!A892,Filtering!B892,Filtering!C892)=$M$2,Filtering!D892,"N/A")</f>
        <v>N/A</v>
      </c>
    </row>
    <row r="893" spans="3:10" x14ac:dyDescent="0.25">
      <c r="C893" t="str">
        <f>IF(Filtering!F893&gt;0,Filtering!B893,"N/A")</f>
        <v>N/A</v>
      </c>
      <c r="D893" t="str">
        <f>IF('Data Validation'!C893=Filtering!B893,Filtering!C893,"N/A")</f>
        <v>N/A</v>
      </c>
      <c r="J893" t="str">
        <f>IF(_xlfn.CONCAT(Filtering!A893,Filtering!B893,Filtering!C893)=$M$2,Filtering!D893,"N/A")</f>
        <v>N/A</v>
      </c>
    </row>
    <row r="894" spans="3:10" x14ac:dyDescent="0.25">
      <c r="C894" t="str">
        <f>IF(Filtering!F894&gt;0,Filtering!B894,"N/A")</f>
        <v>N/A</v>
      </c>
      <c r="D894" t="str">
        <f>IF('Data Validation'!C894=Filtering!B894,Filtering!C894,"N/A")</f>
        <v>N/A</v>
      </c>
      <c r="J894" t="str">
        <f>IF(_xlfn.CONCAT(Filtering!A894,Filtering!B894,Filtering!C894)=$M$2,Filtering!D894,"N/A")</f>
        <v>N/A</v>
      </c>
    </row>
    <row r="895" spans="3:10" x14ac:dyDescent="0.25">
      <c r="C895" t="str">
        <f>IF(Filtering!F895&gt;0,Filtering!B895,"N/A")</f>
        <v>N/A</v>
      </c>
      <c r="D895" t="str">
        <f>IF('Data Validation'!C895=Filtering!B895,Filtering!C895,"N/A")</f>
        <v>N/A</v>
      </c>
      <c r="J895" t="str">
        <f>IF(_xlfn.CONCAT(Filtering!A895,Filtering!B895,Filtering!C895)=$M$2,Filtering!D895,"N/A")</f>
        <v>N/A</v>
      </c>
    </row>
    <row r="896" spans="3:10" x14ac:dyDescent="0.25">
      <c r="C896" t="str">
        <f>IF(Filtering!F896&gt;0,Filtering!B896,"N/A")</f>
        <v>N/A</v>
      </c>
      <c r="D896" t="str">
        <f>IF('Data Validation'!C896=Filtering!B896,Filtering!C896,"N/A")</f>
        <v>N/A</v>
      </c>
      <c r="J896" t="str">
        <f>IF(_xlfn.CONCAT(Filtering!A896,Filtering!B896,Filtering!C896)=$M$2,Filtering!D896,"N/A")</f>
        <v>N/A</v>
      </c>
    </row>
    <row r="897" spans="3:10" x14ac:dyDescent="0.25">
      <c r="C897" t="str">
        <f>IF(Filtering!F897&gt;0,Filtering!B897,"N/A")</f>
        <v>N/A</v>
      </c>
      <c r="D897" t="str">
        <f>IF('Data Validation'!C897=Filtering!B897,Filtering!C897,"N/A")</f>
        <v>N/A</v>
      </c>
      <c r="J897" t="str">
        <f>IF(_xlfn.CONCAT(Filtering!A897,Filtering!B897,Filtering!C897)=$M$2,Filtering!D897,"N/A")</f>
        <v>N/A</v>
      </c>
    </row>
    <row r="898" spans="3:10" x14ac:dyDescent="0.25">
      <c r="C898" t="str">
        <f>IF(Filtering!F898&gt;0,Filtering!B898,"N/A")</f>
        <v>N/A</v>
      </c>
      <c r="D898" t="str">
        <f>IF('Data Validation'!C898=Filtering!B898,Filtering!C898,"N/A")</f>
        <v>N/A</v>
      </c>
      <c r="J898" t="str">
        <f>IF(_xlfn.CONCAT(Filtering!A898,Filtering!B898,Filtering!C898)=$M$2,Filtering!D898,"N/A")</f>
        <v>N/A</v>
      </c>
    </row>
    <row r="899" spans="3:10" x14ac:dyDescent="0.25">
      <c r="C899" t="str">
        <f>IF(Filtering!F899&gt;0,Filtering!B899,"N/A")</f>
        <v>N/A</v>
      </c>
      <c r="D899" t="str">
        <f>IF('Data Validation'!C899=Filtering!B899,Filtering!C899,"N/A")</f>
        <v>N/A</v>
      </c>
      <c r="J899" t="str">
        <f>IF(_xlfn.CONCAT(Filtering!A899,Filtering!B899,Filtering!C899)=$M$2,Filtering!D899,"N/A")</f>
        <v>N/A</v>
      </c>
    </row>
    <row r="900" spans="3:10" x14ac:dyDescent="0.25">
      <c r="C900" t="str">
        <f>IF(Filtering!F900&gt;0,Filtering!B900,"N/A")</f>
        <v>N/A</v>
      </c>
      <c r="D900" t="str">
        <f>IF('Data Validation'!C900=Filtering!B900,Filtering!C900,"N/A")</f>
        <v>N/A</v>
      </c>
      <c r="J900" t="str">
        <f>IF(_xlfn.CONCAT(Filtering!A900,Filtering!B900,Filtering!C900)=$M$2,Filtering!D900,"N/A")</f>
        <v>N/A</v>
      </c>
    </row>
    <row r="901" spans="3:10" x14ac:dyDescent="0.25">
      <c r="C901" t="str">
        <f>IF(Filtering!F901&gt;0,Filtering!B901,"N/A")</f>
        <v>N/A</v>
      </c>
      <c r="D901" t="str">
        <f>IF('Data Validation'!C901=Filtering!B901,Filtering!C901,"N/A")</f>
        <v>N/A</v>
      </c>
      <c r="J901" t="str">
        <f>IF(_xlfn.CONCAT(Filtering!A901,Filtering!B901,Filtering!C901)=$M$2,Filtering!D901,"N/A")</f>
        <v>N/A</v>
      </c>
    </row>
    <row r="902" spans="3:10" x14ac:dyDescent="0.25">
      <c r="C902" t="str">
        <f>IF(Filtering!F902&gt;0,Filtering!B902,"N/A")</f>
        <v>N/A</v>
      </c>
      <c r="D902" t="str">
        <f>IF('Data Validation'!C902=Filtering!B902,Filtering!C902,"N/A")</f>
        <v>N/A</v>
      </c>
      <c r="J902" t="str">
        <f>IF(_xlfn.CONCAT(Filtering!A902,Filtering!B902,Filtering!C902)=$M$2,Filtering!D902,"N/A")</f>
        <v>N/A</v>
      </c>
    </row>
    <row r="903" spans="3:10" x14ac:dyDescent="0.25">
      <c r="C903" t="str">
        <f>IF(Filtering!F903&gt;0,Filtering!B903,"N/A")</f>
        <v>N/A</v>
      </c>
      <c r="D903" t="str">
        <f>IF('Data Validation'!C903=Filtering!B903,Filtering!C903,"N/A")</f>
        <v>N/A</v>
      </c>
      <c r="J903" t="str">
        <f>IF(_xlfn.CONCAT(Filtering!A903,Filtering!B903,Filtering!C903)=$M$2,Filtering!D903,"N/A")</f>
        <v>N/A</v>
      </c>
    </row>
    <row r="904" spans="3:10" x14ac:dyDescent="0.25">
      <c r="C904" t="str">
        <f>IF(Filtering!F904&gt;0,Filtering!B904,"N/A")</f>
        <v>N/A</v>
      </c>
      <c r="D904" t="str">
        <f>IF('Data Validation'!C904=Filtering!B904,Filtering!C904,"N/A")</f>
        <v>N/A</v>
      </c>
      <c r="J904" t="str">
        <f>IF(_xlfn.CONCAT(Filtering!A904,Filtering!B904,Filtering!C904)=$M$2,Filtering!D904,"N/A")</f>
        <v>N/A</v>
      </c>
    </row>
    <row r="905" spans="3:10" x14ac:dyDescent="0.25">
      <c r="C905" t="str">
        <f>IF(Filtering!F905&gt;0,Filtering!B905,"N/A")</f>
        <v>N/A</v>
      </c>
      <c r="D905" t="str">
        <f>IF('Data Validation'!C905=Filtering!B905,Filtering!C905,"N/A")</f>
        <v>N/A</v>
      </c>
      <c r="J905" t="str">
        <f>IF(_xlfn.CONCAT(Filtering!A905,Filtering!B905,Filtering!C905)=$M$2,Filtering!D905,"N/A")</f>
        <v>N/A</v>
      </c>
    </row>
    <row r="906" spans="3:10" x14ac:dyDescent="0.25">
      <c r="C906" t="str">
        <f>IF(Filtering!F906&gt;0,Filtering!B906,"N/A")</f>
        <v>N/A</v>
      </c>
      <c r="D906" t="str">
        <f>IF('Data Validation'!C906=Filtering!B906,Filtering!C906,"N/A")</f>
        <v>N/A</v>
      </c>
      <c r="J906" t="str">
        <f>IF(_xlfn.CONCAT(Filtering!A906,Filtering!B906,Filtering!C906)=$M$2,Filtering!D906,"N/A")</f>
        <v>N/A</v>
      </c>
    </row>
    <row r="907" spans="3:10" x14ac:dyDescent="0.25">
      <c r="C907" t="str">
        <f>IF(Filtering!F907&gt;0,Filtering!B907,"N/A")</f>
        <v>N/A</v>
      </c>
      <c r="D907" t="str">
        <f>IF('Data Validation'!C907=Filtering!B907,Filtering!C907,"N/A")</f>
        <v>N/A</v>
      </c>
      <c r="J907" t="str">
        <f>IF(_xlfn.CONCAT(Filtering!A907,Filtering!B907,Filtering!C907)=$M$2,Filtering!D907,"N/A")</f>
        <v>N/A</v>
      </c>
    </row>
    <row r="908" spans="3:10" x14ac:dyDescent="0.25">
      <c r="C908" t="str">
        <f>IF(Filtering!F908&gt;0,Filtering!B908,"N/A")</f>
        <v>N/A</v>
      </c>
      <c r="D908" t="str">
        <f>IF('Data Validation'!C908=Filtering!B908,Filtering!C908,"N/A")</f>
        <v>N/A</v>
      </c>
      <c r="J908" t="str">
        <f>IF(_xlfn.CONCAT(Filtering!A908,Filtering!B908,Filtering!C908)=$M$2,Filtering!D908,"N/A")</f>
        <v>N/A</v>
      </c>
    </row>
    <row r="909" spans="3:10" x14ac:dyDescent="0.25">
      <c r="C909" t="str">
        <f>IF(Filtering!F909&gt;0,Filtering!B909,"N/A")</f>
        <v>N/A</v>
      </c>
      <c r="D909" t="str">
        <f>IF('Data Validation'!C909=Filtering!B909,Filtering!C909,"N/A")</f>
        <v>N/A</v>
      </c>
      <c r="J909" t="str">
        <f>IF(_xlfn.CONCAT(Filtering!A909,Filtering!B909,Filtering!C909)=$M$2,Filtering!D909,"N/A")</f>
        <v>N/A</v>
      </c>
    </row>
    <row r="910" spans="3:10" x14ac:dyDescent="0.25">
      <c r="C910" t="str">
        <f>IF(Filtering!F910&gt;0,Filtering!B910,"N/A")</f>
        <v>N/A</v>
      </c>
      <c r="D910" t="str">
        <f>IF('Data Validation'!C910=Filtering!B910,Filtering!C910,"N/A")</f>
        <v>N/A</v>
      </c>
      <c r="J910" t="str">
        <f>IF(_xlfn.CONCAT(Filtering!A910,Filtering!B910,Filtering!C910)=$M$2,Filtering!D910,"N/A")</f>
        <v>N/A</v>
      </c>
    </row>
    <row r="911" spans="3:10" x14ac:dyDescent="0.25">
      <c r="C911" t="str">
        <f>IF(Filtering!F911&gt;0,Filtering!B911,"N/A")</f>
        <v>N/A</v>
      </c>
      <c r="D911" t="str">
        <f>IF('Data Validation'!C911=Filtering!B911,Filtering!C911,"N/A")</f>
        <v>N/A</v>
      </c>
      <c r="J911" t="str">
        <f>IF(_xlfn.CONCAT(Filtering!A911,Filtering!B911,Filtering!C911)=$M$2,Filtering!D911,"N/A")</f>
        <v>N/A</v>
      </c>
    </row>
    <row r="912" spans="3:10" x14ac:dyDescent="0.25">
      <c r="C912" t="str">
        <f>IF(Filtering!F912&gt;0,Filtering!B912,"N/A")</f>
        <v>N/A</v>
      </c>
      <c r="D912" t="str">
        <f>IF('Data Validation'!C912=Filtering!B912,Filtering!C912,"N/A")</f>
        <v>N/A</v>
      </c>
      <c r="J912" t="str">
        <f>IF(_xlfn.CONCAT(Filtering!A912,Filtering!B912,Filtering!C912)=$M$2,Filtering!D912,"N/A")</f>
        <v>N/A</v>
      </c>
    </row>
    <row r="913" spans="3:10" x14ac:dyDescent="0.25">
      <c r="C913" t="str">
        <f>IF(Filtering!F913&gt;0,Filtering!B913,"N/A")</f>
        <v>N/A</v>
      </c>
      <c r="D913" t="str">
        <f>IF('Data Validation'!C913=Filtering!B913,Filtering!C913,"N/A")</f>
        <v>N/A</v>
      </c>
      <c r="J913" t="str">
        <f>IF(_xlfn.CONCAT(Filtering!A913,Filtering!B913,Filtering!C913)=$M$2,Filtering!D913,"N/A")</f>
        <v>N/A</v>
      </c>
    </row>
    <row r="914" spans="3:10" x14ac:dyDescent="0.25">
      <c r="C914" t="str">
        <f>IF(Filtering!F914&gt;0,Filtering!B914,"N/A")</f>
        <v>N/A</v>
      </c>
      <c r="D914" t="str">
        <f>IF('Data Validation'!C914=Filtering!B914,Filtering!C914,"N/A")</f>
        <v>N/A</v>
      </c>
      <c r="J914" t="str">
        <f>IF(_xlfn.CONCAT(Filtering!A914,Filtering!B914,Filtering!C914)=$M$2,Filtering!D914,"N/A")</f>
        <v>N/A</v>
      </c>
    </row>
    <row r="915" spans="3:10" x14ac:dyDescent="0.25">
      <c r="C915" t="str">
        <f>IF(Filtering!F915&gt;0,Filtering!B915,"N/A")</f>
        <v>N/A</v>
      </c>
      <c r="D915" t="str">
        <f>IF('Data Validation'!C915=Filtering!B915,Filtering!C915,"N/A")</f>
        <v>N/A</v>
      </c>
      <c r="J915" t="str">
        <f>IF(_xlfn.CONCAT(Filtering!A915,Filtering!B915,Filtering!C915)=$M$2,Filtering!D915,"N/A")</f>
        <v>N/A</v>
      </c>
    </row>
    <row r="916" spans="3:10" x14ac:dyDescent="0.25">
      <c r="C916" t="str">
        <f>IF(Filtering!F916&gt;0,Filtering!B916,"N/A")</f>
        <v>N/A</v>
      </c>
      <c r="D916" t="str">
        <f>IF('Data Validation'!C916=Filtering!B916,Filtering!C916,"N/A")</f>
        <v>N/A</v>
      </c>
      <c r="J916" t="str">
        <f>IF(_xlfn.CONCAT(Filtering!A916,Filtering!B916,Filtering!C916)=$M$2,Filtering!D916,"N/A")</f>
        <v>N/A</v>
      </c>
    </row>
    <row r="917" spans="3:10" x14ac:dyDescent="0.25">
      <c r="C917" t="str">
        <f>IF(Filtering!F917&gt;0,Filtering!B917,"N/A")</f>
        <v>N/A</v>
      </c>
      <c r="D917" t="str">
        <f>IF('Data Validation'!C917=Filtering!B917,Filtering!C917,"N/A")</f>
        <v>N/A</v>
      </c>
      <c r="J917" t="str">
        <f>IF(_xlfn.CONCAT(Filtering!A917,Filtering!B917,Filtering!C917)=$M$2,Filtering!D917,"N/A")</f>
        <v>N/A</v>
      </c>
    </row>
    <row r="918" spans="3:10" x14ac:dyDescent="0.25">
      <c r="C918" t="str">
        <f>IF(Filtering!F918&gt;0,Filtering!B918,"N/A")</f>
        <v>N/A</v>
      </c>
      <c r="D918" t="str">
        <f>IF('Data Validation'!C918=Filtering!B918,Filtering!C918,"N/A")</f>
        <v>N/A</v>
      </c>
      <c r="J918" t="str">
        <f>IF(_xlfn.CONCAT(Filtering!A918,Filtering!B918,Filtering!C918)=$M$2,Filtering!D918,"N/A")</f>
        <v>N/A</v>
      </c>
    </row>
    <row r="919" spans="3:10" x14ac:dyDescent="0.25">
      <c r="C919" t="str">
        <f>IF(Filtering!F919&gt;0,Filtering!B919,"N/A")</f>
        <v>N/A</v>
      </c>
      <c r="D919" t="str">
        <f>IF('Data Validation'!C919=Filtering!B919,Filtering!C919,"N/A")</f>
        <v>N/A</v>
      </c>
      <c r="J919" t="str">
        <f>IF(_xlfn.CONCAT(Filtering!A919,Filtering!B919,Filtering!C919)=$M$2,Filtering!D919,"N/A")</f>
        <v>N/A</v>
      </c>
    </row>
    <row r="920" spans="3:10" x14ac:dyDescent="0.25">
      <c r="C920" t="str">
        <f>IF(Filtering!F920&gt;0,Filtering!B920,"N/A")</f>
        <v>N/A</v>
      </c>
      <c r="D920" t="str">
        <f>IF('Data Validation'!C920=Filtering!B920,Filtering!C920,"N/A")</f>
        <v>N/A</v>
      </c>
      <c r="J920" t="str">
        <f>IF(_xlfn.CONCAT(Filtering!A920,Filtering!B920,Filtering!C920)=$M$2,Filtering!D920,"N/A")</f>
        <v>N/A</v>
      </c>
    </row>
    <row r="921" spans="3:10" x14ac:dyDescent="0.25">
      <c r="C921" t="str">
        <f>IF(Filtering!F921&gt;0,Filtering!B921,"N/A")</f>
        <v>N/A</v>
      </c>
      <c r="D921" t="str">
        <f>IF('Data Validation'!C921=Filtering!B921,Filtering!C921,"N/A")</f>
        <v>N/A</v>
      </c>
      <c r="J921" t="str">
        <f>IF(_xlfn.CONCAT(Filtering!A921,Filtering!B921,Filtering!C921)=$M$2,Filtering!D921,"N/A")</f>
        <v>N/A</v>
      </c>
    </row>
    <row r="922" spans="3:10" x14ac:dyDescent="0.25">
      <c r="C922" t="str">
        <f>IF(Filtering!F922&gt;0,Filtering!B922,"N/A")</f>
        <v>N/A</v>
      </c>
      <c r="D922" t="str">
        <f>IF('Data Validation'!C922=Filtering!B922,Filtering!C922,"N/A")</f>
        <v>N/A</v>
      </c>
      <c r="J922" t="str">
        <f>IF(_xlfn.CONCAT(Filtering!A922,Filtering!B922,Filtering!C922)=$M$2,Filtering!D922,"N/A")</f>
        <v>N/A</v>
      </c>
    </row>
    <row r="923" spans="3:10" x14ac:dyDescent="0.25">
      <c r="C923" t="str">
        <f>IF(Filtering!F923&gt;0,Filtering!B923,"N/A")</f>
        <v>N/A</v>
      </c>
      <c r="D923" t="str">
        <f>IF('Data Validation'!C923=Filtering!B923,Filtering!C923,"N/A")</f>
        <v>N/A</v>
      </c>
      <c r="J923" t="str">
        <f>IF(_xlfn.CONCAT(Filtering!A923,Filtering!B923,Filtering!C923)=$M$2,Filtering!D923,"N/A")</f>
        <v>N/A</v>
      </c>
    </row>
    <row r="924" spans="3:10" x14ac:dyDescent="0.25">
      <c r="C924" t="str">
        <f>IF(Filtering!F924&gt;0,Filtering!B924,"N/A")</f>
        <v>N/A</v>
      </c>
      <c r="D924" t="str">
        <f>IF('Data Validation'!C924=Filtering!B924,Filtering!C924,"N/A")</f>
        <v>N/A</v>
      </c>
      <c r="J924" t="str">
        <f>IF(_xlfn.CONCAT(Filtering!A924,Filtering!B924,Filtering!C924)=$M$2,Filtering!D924,"N/A")</f>
        <v>N/A</v>
      </c>
    </row>
    <row r="925" spans="3:10" x14ac:dyDescent="0.25">
      <c r="C925" t="str">
        <f>IF(Filtering!F925&gt;0,Filtering!B925,"N/A")</f>
        <v>N/A</v>
      </c>
      <c r="D925" t="str">
        <f>IF('Data Validation'!C925=Filtering!B925,Filtering!C925,"N/A")</f>
        <v>N/A</v>
      </c>
      <c r="J925" t="str">
        <f>IF(_xlfn.CONCAT(Filtering!A925,Filtering!B925,Filtering!C925)=$M$2,Filtering!D925,"N/A")</f>
        <v>N/A</v>
      </c>
    </row>
    <row r="926" spans="3:10" x14ac:dyDescent="0.25">
      <c r="C926" t="str">
        <f>IF(Filtering!F926&gt;0,Filtering!B926,"N/A")</f>
        <v>N/A</v>
      </c>
      <c r="D926" t="str">
        <f>IF('Data Validation'!C926=Filtering!B926,Filtering!C926,"N/A")</f>
        <v>N/A</v>
      </c>
      <c r="J926" t="str">
        <f>IF(_xlfn.CONCAT(Filtering!A926,Filtering!B926,Filtering!C926)=$M$2,Filtering!D926,"N/A")</f>
        <v>N/A</v>
      </c>
    </row>
    <row r="927" spans="3:10" x14ac:dyDescent="0.25">
      <c r="C927" t="str">
        <f>IF(Filtering!F927&gt;0,Filtering!B927,"N/A")</f>
        <v>N/A</v>
      </c>
      <c r="D927" t="str">
        <f>IF('Data Validation'!C927=Filtering!B927,Filtering!C927,"N/A")</f>
        <v>N/A</v>
      </c>
      <c r="J927" t="str">
        <f>IF(_xlfn.CONCAT(Filtering!A927,Filtering!B927,Filtering!C927)=$M$2,Filtering!D927,"N/A")</f>
        <v>N/A</v>
      </c>
    </row>
    <row r="928" spans="3:10" x14ac:dyDescent="0.25">
      <c r="C928" t="str">
        <f>IF(Filtering!F928&gt;0,Filtering!B928,"N/A")</f>
        <v>N/A</v>
      </c>
      <c r="D928" t="str">
        <f>IF('Data Validation'!C928=Filtering!B928,Filtering!C928,"N/A")</f>
        <v>N/A</v>
      </c>
      <c r="J928" t="str">
        <f>IF(_xlfn.CONCAT(Filtering!A928,Filtering!B928,Filtering!C928)=$M$2,Filtering!D928,"N/A")</f>
        <v>N/A</v>
      </c>
    </row>
    <row r="929" spans="3:10" x14ac:dyDescent="0.25">
      <c r="C929" t="str">
        <f>IF(Filtering!F929&gt;0,Filtering!B929,"N/A")</f>
        <v>N/A</v>
      </c>
      <c r="D929" t="str">
        <f>IF('Data Validation'!C929=Filtering!B929,Filtering!C929,"N/A")</f>
        <v>N/A</v>
      </c>
      <c r="J929" t="str">
        <f>IF(_xlfn.CONCAT(Filtering!A929,Filtering!B929,Filtering!C929)=$M$2,Filtering!D929,"N/A")</f>
        <v>N/A</v>
      </c>
    </row>
    <row r="930" spans="3:10" x14ac:dyDescent="0.25">
      <c r="C930" t="str">
        <f>IF(Filtering!F930&gt;0,Filtering!B930,"N/A")</f>
        <v>N/A</v>
      </c>
      <c r="D930" t="str">
        <f>IF('Data Validation'!C930=Filtering!B930,Filtering!C930,"N/A")</f>
        <v>N/A</v>
      </c>
      <c r="J930" t="str">
        <f>IF(_xlfn.CONCAT(Filtering!A930,Filtering!B930,Filtering!C930)=$M$2,Filtering!D930,"N/A")</f>
        <v>N/A</v>
      </c>
    </row>
    <row r="931" spans="3:10" x14ac:dyDescent="0.25">
      <c r="C931" t="str">
        <f>IF(Filtering!F931&gt;0,Filtering!B931,"N/A")</f>
        <v>N/A</v>
      </c>
      <c r="D931" t="str">
        <f>IF('Data Validation'!C931=Filtering!B931,Filtering!C931,"N/A")</f>
        <v>N/A</v>
      </c>
      <c r="J931" t="str">
        <f>IF(_xlfn.CONCAT(Filtering!A931,Filtering!B931,Filtering!C931)=$M$2,Filtering!D931,"N/A")</f>
        <v>N/A</v>
      </c>
    </row>
    <row r="932" spans="3:10" x14ac:dyDescent="0.25">
      <c r="C932" t="str">
        <f>IF(Filtering!F932&gt;0,Filtering!B932,"N/A")</f>
        <v>N/A</v>
      </c>
      <c r="D932" t="str">
        <f>IF('Data Validation'!C932=Filtering!B932,Filtering!C932,"N/A")</f>
        <v>N/A</v>
      </c>
      <c r="J932" t="str">
        <f>IF(_xlfn.CONCAT(Filtering!A932,Filtering!B932,Filtering!C932)=$M$2,Filtering!D932,"N/A")</f>
        <v>N/A</v>
      </c>
    </row>
    <row r="933" spans="3:10" x14ac:dyDescent="0.25">
      <c r="C933" t="str">
        <f>IF(Filtering!F933&gt;0,Filtering!B933,"N/A")</f>
        <v>N/A</v>
      </c>
      <c r="D933" t="str">
        <f>IF('Data Validation'!C933=Filtering!B933,Filtering!C933,"N/A")</f>
        <v>N/A</v>
      </c>
      <c r="J933" t="str">
        <f>IF(_xlfn.CONCAT(Filtering!A933,Filtering!B933,Filtering!C933)=$M$2,Filtering!D933,"N/A")</f>
        <v>N/A</v>
      </c>
    </row>
    <row r="934" spans="3:10" x14ac:dyDescent="0.25">
      <c r="C934" t="str">
        <f>IF(Filtering!F934&gt;0,Filtering!B934,"N/A")</f>
        <v>N/A</v>
      </c>
      <c r="D934" t="str">
        <f>IF('Data Validation'!C934=Filtering!B934,Filtering!C934,"N/A")</f>
        <v>N/A</v>
      </c>
      <c r="J934" t="str">
        <f>IF(_xlfn.CONCAT(Filtering!A934,Filtering!B934,Filtering!C934)=$M$2,Filtering!D934,"N/A")</f>
        <v>N/A</v>
      </c>
    </row>
    <row r="935" spans="3:10" x14ac:dyDescent="0.25">
      <c r="C935" t="str">
        <f>IF(Filtering!F935&gt;0,Filtering!B935,"N/A")</f>
        <v>N/A</v>
      </c>
      <c r="D935" t="str">
        <f>IF('Data Validation'!C935=Filtering!B935,Filtering!C935,"N/A")</f>
        <v>N/A</v>
      </c>
      <c r="J935" t="str">
        <f>IF(_xlfn.CONCAT(Filtering!A935,Filtering!B935,Filtering!C935)=$M$2,Filtering!D935,"N/A")</f>
        <v>N/A</v>
      </c>
    </row>
    <row r="936" spans="3:10" x14ac:dyDescent="0.25">
      <c r="C936" t="str">
        <f>IF(Filtering!F936&gt;0,Filtering!B936,"N/A")</f>
        <v>N/A</v>
      </c>
      <c r="D936" t="str">
        <f>IF('Data Validation'!C936=Filtering!B936,Filtering!C936,"N/A")</f>
        <v>N/A</v>
      </c>
      <c r="J936" t="str">
        <f>IF(_xlfn.CONCAT(Filtering!A936,Filtering!B936,Filtering!C936)=$M$2,Filtering!D936,"N/A")</f>
        <v>N/A</v>
      </c>
    </row>
    <row r="937" spans="3:10" x14ac:dyDescent="0.25">
      <c r="C937" t="str">
        <f>IF(Filtering!F937&gt;0,Filtering!B937,"N/A")</f>
        <v>N/A</v>
      </c>
      <c r="D937" t="str">
        <f>IF('Data Validation'!C937=Filtering!B937,Filtering!C937,"N/A")</f>
        <v>N/A</v>
      </c>
      <c r="J937" t="str">
        <f>IF(_xlfn.CONCAT(Filtering!A937,Filtering!B937,Filtering!C937)=$M$2,Filtering!D937,"N/A")</f>
        <v>N/A</v>
      </c>
    </row>
    <row r="938" spans="3:10" x14ac:dyDescent="0.25">
      <c r="C938" t="str">
        <f>IF(Filtering!F938&gt;0,Filtering!B938,"N/A")</f>
        <v>N/A</v>
      </c>
      <c r="D938" t="str">
        <f>IF('Data Validation'!C938=Filtering!B938,Filtering!C938,"N/A")</f>
        <v>N/A</v>
      </c>
      <c r="J938" t="str">
        <f>IF(_xlfn.CONCAT(Filtering!A938,Filtering!B938,Filtering!C938)=$M$2,Filtering!D938,"N/A")</f>
        <v>N/A</v>
      </c>
    </row>
    <row r="939" spans="3:10" x14ac:dyDescent="0.25">
      <c r="C939" t="str">
        <f>IF(Filtering!F939&gt;0,Filtering!B939,"N/A")</f>
        <v>N/A</v>
      </c>
      <c r="D939" t="str">
        <f>IF('Data Validation'!C939=Filtering!B939,Filtering!C939,"N/A")</f>
        <v>N/A</v>
      </c>
      <c r="J939" t="str">
        <f>IF(_xlfn.CONCAT(Filtering!A939,Filtering!B939,Filtering!C939)=$M$2,Filtering!D939,"N/A")</f>
        <v>N/A</v>
      </c>
    </row>
    <row r="940" spans="3:10" x14ac:dyDescent="0.25">
      <c r="C940" t="str">
        <f>IF(Filtering!F940&gt;0,Filtering!B940,"N/A")</f>
        <v>N/A</v>
      </c>
      <c r="D940" t="str">
        <f>IF('Data Validation'!C940=Filtering!B940,Filtering!C940,"N/A")</f>
        <v>N/A</v>
      </c>
      <c r="J940" t="str">
        <f>IF(_xlfn.CONCAT(Filtering!A940,Filtering!B940,Filtering!C940)=$M$2,Filtering!D940,"N/A")</f>
        <v>N/A</v>
      </c>
    </row>
    <row r="941" spans="3:10" x14ac:dyDescent="0.25">
      <c r="C941" t="str">
        <f>IF(Filtering!F941&gt;0,Filtering!B941,"N/A")</f>
        <v>N/A</v>
      </c>
      <c r="D941" t="str">
        <f>IF('Data Validation'!C941=Filtering!B941,Filtering!C941,"N/A")</f>
        <v>N/A</v>
      </c>
      <c r="J941" t="str">
        <f>IF(_xlfn.CONCAT(Filtering!A941,Filtering!B941,Filtering!C941)=$M$2,Filtering!D941,"N/A")</f>
        <v>N/A</v>
      </c>
    </row>
    <row r="942" spans="3:10" x14ac:dyDescent="0.25">
      <c r="C942" t="str">
        <f>IF(Filtering!F942&gt;0,Filtering!B942,"N/A")</f>
        <v>N/A</v>
      </c>
      <c r="D942" t="str">
        <f>IF('Data Validation'!C942=Filtering!B942,Filtering!C942,"N/A")</f>
        <v>N/A</v>
      </c>
      <c r="J942" t="str">
        <f>IF(_xlfn.CONCAT(Filtering!A942,Filtering!B942,Filtering!C942)=$M$2,Filtering!D942,"N/A")</f>
        <v>N/A</v>
      </c>
    </row>
    <row r="943" spans="3:10" x14ac:dyDescent="0.25">
      <c r="C943" t="str">
        <f>IF(Filtering!F943&gt;0,Filtering!B943,"N/A")</f>
        <v>N/A</v>
      </c>
      <c r="D943" t="str">
        <f>IF('Data Validation'!C943=Filtering!B943,Filtering!C943,"N/A")</f>
        <v>N/A</v>
      </c>
      <c r="J943" t="str">
        <f>IF(_xlfn.CONCAT(Filtering!A943,Filtering!B943,Filtering!C943)=$M$2,Filtering!D943,"N/A")</f>
        <v>N/A</v>
      </c>
    </row>
    <row r="944" spans="3:10" x14ac:dyDescent="0.25">
      <c r="C944" t="str">
        <f>IF(Filtering!F944&gt;0,Filtering!B944,"N/A")</f>
        <v>N/A</v>
      </c>
      <c r="D944" t="str">
        <f>IF('Data Validation'!C944=Filtering!B944,Filtering!C944,"N/A")</f>
        <v>N/A</v>
      </c>
      <c r="J944" t="str">
        <f>IF(_xlfn.CONCAT(Filtering!A944,Filtering!B944,Filtering!C944)=$M$2,Filtering!D944,"N/A")</f>
        <v>N/A</v>
      </c>
    </row>
    <row r="945" spans="3:10" x14ac:dyDescent="0.25">
      <c r="C945" t="str">
        <f>IF(Filtering!F945&gt;0,Filtering!B945,"N/A")</f>
        <v>N/A</v>
      </c>
      <c r="D945" t="str">
        <f>IF('Data Validation'!C945=Filtering!B945,Filtering!C945,"N/A")</f>
        <v>N/A</v>
      </c>
      <c r="J945" t="str">
        <f>IF(_xlfn.CONCAT(Filtering!A945,Filtering!B945,Filtering!C945)=$M$2,Filtering!D945,"N/A")</f>
        <v>N/A</v>
      </c>
    </row>
    <row r="946" spans="3:10" x14ac:dyDescent="0.25">
      <c r="C946" t="str">
        <f>IF(Filtering!F946&gt;0,Filtering!B946,"N/A")</f>
        <v>N/A</v>
      </c>
      <c r="D946" t="str">
        <f>IF('Data Validation'!C946=Filtering!B946,Filtering!C946,"N/A")</f>
        <v>N/A</v>
      </c>
      <c r="J946" t="str">
        <f>IF(_xlfn.CONCAT(Filtering!A946,Filtering!B946,Filtering!C946)=$M$2,Filtering!D946,"N/A")</f>
        <v>N/A</v>
      </c>
    </row>
    <row r="947" spans="3:10" x14ac:dyDescent="0.25">
      <c r="C947" t="str">
        <f>IF(Filtering!F947&gt;0,Filtering!B947,"N/A")</f>
        <v>N/A</v>
      </c>
      <c r="D947" t="str">
        <f>IF('Data Validation'!C947=Filtering!B947,Filtering!C947,"N/A")</f>
        <v>N/A</v>
      </c>
      <c r="J947" t="str">
        <f>IF(_xlfn.CONCAT(Filtering!A947,Filtering!B947,Filtering!C947)=$M$2,Filtering!D947,"N/A")</f>
        <v>N/A</v>
      </c>
    </row>
    <row r="948" spans="3:10" x14ac:dyDescent="0.25">
      <c r="C948" t="str">
        <f>IF(Filtering!F948&gt;0,Filtering!B948,"N/A")</f>
        <v>N/A</v>
      </c>
      <c r="D948" t="str">
        <f>IF('Data Validation'!C948=Filtering!B948,Filtering!C948,"N/A")</f>
        <v>N/A</v>
      </c>
      <c r="J948" t="str">
        <f>IF(_xlfn.CONCAT(Filtering!A948,Filtering!B948,Filtering!C948)=$M$2,Filtering!D948,"N/A")</f>
        <v>N/A</v>
      </c>
    </row>
    <row r="949" spans="3:10" x14ac:dyDescent="0.25">
      <c r="C949" t="str">
        <f>IF(Filtering!F949&gt;0,Filtering!B949,"N/A")</f>
        <v>N/A</v>
      </c>
      <c r="D949" t="str">
        <f>IF('Data Validation'!C949=Filtering!B949,Filtering!C949,"N/A")</f>
        <v>N/A</v>
      </c>
      <c r="J949" t="str">
        <f>IF(_xlfn.CONCAT(Filtering!A949,Filtering!B949,Filtering!C949)=$M$2,Filtering!D949,"N/A")</f>
        <v>N/A</v>
      </c>
    </row>
    <row r="950" spans="3:10" x14ac:dyDescent="0.25">
      <c r="C950" t="str">
        <f>IF(Filtering!F950&gt;0,Filtering!B950,"N/A")</f>
        <v>N/A</v>
      </c>
      <c r="D950" t="str">
        <f>IF('Data Validation'!C950=Filtering!B950,Filtering!C950,"N/A")</f>
        <v>N/A</v>
      </c>
      <c r="J950" t="str">
        <f>IF(_xlfn.CONCAT(Filtering!A950,Filtering!B950,Filtering!C950)=$M$2,Filtering!D950,"N/A")</f>
        <v>N/A</v>
      </c>
    </row>
    <row r="951" spans="3:10" x14ac:dyDescent="0.25">
      <c r="C951" t="str">
        <f>IF(Filtering!F951&gt;0,Filtering!B951,"N/A")</f>
        <v>N/A</v>
      </c>
      <c r="D951" t="str">
        <f>IF('Data Validation'!C951=Filtering!B951,Filtering!C951,"N/A")</f>
        <v>N/A</v>
      </c>
      <c r="J951" t="str">
        <f>IF(_xlfn.CONCAT(Filtering!A951,Filtering!B951,Filtering!C951)=$M$2,Filtering!D951,"N/A")</f>
        <v>N/A</v>
      </c>
    </row>
    <row r="952" spans="3:10" x14ac:dyDescent="0.25">
      <c r="C952" t="str">
        <f>IF(Filtering!F952&gt;0,Filtering!B952,"N/A")</f>
        <v>N/A</v>
      </c>
      <c r="D952" t="str">
        <f>IF('Data Validation'!C952=Filtering!B952,Filtering!C952,"N/A")</f>
        <v>N/A</v>
      </c>
      <c r="J952" t="str">
        <f>IF(_xlfn.CONCAT(Filtering!A952,Filtering!B952,Filtering!C952)=$M$2,Filtering!D952,"N/A")</f>
        <v>N/A</v>
      </c>
    </row>
    <row r="953" spans="3:10" x14ac:dyDescent="0.25">
      <c r="C953" t="str">
        <f>IF(Filtering!F953&gt;0,Filtering!B953,"N/A")</f>
        <v>N/A</v>
      </c>
      <c r="D953" t="str">
        <f>IF('Data Validation'!C953=Filtering!B953,Filtering!C953,"N/A")</f>
        <v>N/A</v>
      </c>
      <c r="J953" t="str">
        <f>IF(_xlfn.CONCAT(Filtering!A953,Filtering!B953,Filtering!C953)=$M$2,Filtering!D953,"N/A")</f>
        <v>N/A</v>
      </c>
    </row>
    <row r="954" spans="3:10" x14ac:dyDescent="0.25">
      <c r="C954" t="str">
        <f>IF(Filtering!F954&gt;0,Filtering!B954,"N/A")</f>
        <v>N/A</v>
      </c>
      <c r="D954" t="str">
        <f>IF('Data Validation'!C954=Filtering!B954,Filtering!C954,"N/A")</f>
        <v>N/A</v>
      </c>
      <c r="J954" t="str">
        <f>IF(_xlfn.CONCAT(Filtering!A954,Filtering!B954,Filtering!C954)=$M$2,Filtering!D954,"N/A")</f>
        <v>N/A</v>
      </c>
    </row>
    <row r="955" spans="3:10" x14ac:dyDescent="0.25">
      <c r="C955" t="str">
        <f>IF(Filtering!F955&gt;0,Filtering!B955,"N/A")</f>
        <v>N/A</v>
      </c>
      <c r="D955" t="str">
        <f>IF('Data Validation'!C955=Filtering!B955,Filtering!C955,"N/A")</f>
        <v>N/A</v>
      </c>
      <c r="J955" t="str">
        <f>IF(_xlfn.CONCAT(Filtering!A955,Filtering!B955,Filtering!C955)=$M$2,Filtering!D955,"N/A")</f>
        <v>N/A</v>
      </c>
    </row>
    <row r="956" spans="3:10" x14ac:dyDescent="0.25">
      <c r="C956" t="str">
        <f>IF(Filtering!F956&gt;0,Filtering!B956,"N/A")</f>
        <v>N/A</v>
      </c>
      <c r="D956" t="str">
        <f>IF('Data Validation'!C956=Filtering!B956,Filtering!C956,"N/A")</f>
        <v>N/A</v>
      </c>
      <c r="J956" t="str">
        <f>IF(_xlfn.CONCAT(Filtering!A956,Filtering!B956,Filtering!C956)=$M$2,Filtering!D956,"N/A")</f>
        <v>N/A</v>
      </c>
    </row>
    <row r="957" spans="3:10" x14ac:dyDescent="0.25">
      <c r="C957" t="str">
        <f>IF(Filtering!F957&gt;0,Filtering!B957,"N/A")</f>
        <v>N/A</v>
      </c>
      <c r="D957" t="str">
        <f>IF('Data Validation'!C957=Filtering!B957,Filtering!C957,"N/A")</f>
        <v>N/A</v>
      </c>
      <c r="J957" t="str">
        <f>IF(_xlfn.CONCAT(Filtering!A957,Filtering!B957,Filtering!C957)=$M$2,Filtering!D957,"N/A")</f>
        <v>N/A</v>
      </c>
    </row>
    <row r="958" spans="3:10" x14ac:dyDescent="0.25">
      <c r="C958" t="str">
        <f>IF(Filtering!F958&gt;0,Filtering!B958,"N/A")</f>
        <v>N/A</v>
      </c>
      <c r="D958" t="str">
        <f>IF('Data Validation'!C958=Filtering!B958,Filtering!C958,"N/A")</f>
        <v>N/A</v>
      </c>
      <c r="J958" t="str">
        <f>IF(_xlfn.CONCAT(Filtering!A958,Filtering!B958,Filtering!C958)=$M$2,Filtering!D958,"N/A")</f>
        <v>N/A</v>
      </c>
    </row>
    <row r="959" spans="3:10" x14ac:dyDescent="0.25">
      <c r="C959" t="str">
        <f>IF(Filtering!F959&gt;0,Filtering!B959,"N/A")</f>
        <v>N/A</v>
      </c>
      <c r="D959" t="str">
        <f>IF('Data Validation'!C959=Filtering!B959,Filtering!C959,"N/A")</f>
        <v>N/A</v>
      </c>
      <c r="J959" t="str">
        <f>IF(_xlfn.CONCAT(Filtering!A959,Filtering!B959,Filtering!C959)=$M$2,Filtering!D959,"N/A")</f>
        <v>N/A</v>
      </c>
    </row>
    <row r="960" spans="3:10" x14ac:dyDescent="0.25">
      <c r="C960" t="str">
        <f>IF(Filtering!F960&gt;0,Filtering!B960,"N/A")</f>
        <v>N/A</v>
      </c>
      <c r="D960" t="str">
        <f>IF('Data Validation'!C960=Filtering!B960,Filtering!C960,"N/A")</f>
        <v>N/A</v>
      </c>
      <c r="J960" t="str">
        <f>IF(_xlfn.CONCAT(Filtering!A960,Filtering!B960,Filtering!C960)=$M$2,Filtering!D960,"N/A")</f>
        <v>N/A</v>
      </c>
    </row>
    <row r="961" spans="3:10" x14ac:dyDescent="0.25">
      <c r="C961" t="str">
        <f>IF(Filtering!F961&gt;0,Filtering!B961,"N/A")</f>
        <v>N/A</v>
      </c>
      <c r="D961" t="str">
        <f>IF('Data Validation'!C961=Filtering!B961,Filtering!C961,"N/A")</f>
        <v>N/A</v>
      </c>
      <c r="J961" t="str">
        <f>IF(_xlfn.CONCAT(Filtering!A961,Filtering!B961,Filtering!C961)=$M$2,Filtering!D961,"N/A")</f>
        <v>N/A</v>
      </c>
    </row>
    <row r="962" spans="3:10" x14ac:dyDescent="0.25">
      <c r="C962" t="str">
        <f>IF(Filtering!F962&gt;0,Filtering!B962,"N/A")</f>
        <v>N/A</v>
      </c>
      <c r="D962" t="str">
        <f>IF('Data Validation'!C962=Filtering!B962,Filtering!C962,"N/A")</f>
        <v>N/A</v>
      </c>
      <c r="J962" t="str">
        <f>IF(_xlfn.CONCAT(Filtering!A962,Filtering!B962,Filtering!C962)=$M$2,Filtering!D962,"N/A")</f>
        <v>N/A</v>
      </c>
    </row>
    <row r="963" spans="3:10" x14ac:dyDescent="0.25">
      <c r="C963" t="str">
        <f>IF(Filtering!F963&gt;0,Filtering!B963,"N/A")</f>
        <v>N/A</v>
      </c>
      <c r="D963" t="str">
        <f>IF('Data Validation'!C963=Filtering!B963,Filtering!C963,"N/A")</f>
        <v>N/A</v>
      </c>
      <c r="J963" t="str">
        <f>IF(_xlfn.CONCAT(Filtering!A963,Filtering!B963,Filtering!C963)=$M$2,Filtering!D963,"N/A")</f>
        <v>N/A</v>
      </c>
    </row>
    <row r="964" spans="3:10" x14ac:dyDescent="0.25">
      <c r="C964" t="str">
        <f>IF(Filtering!F964&gt;0,Filtering!B964,"N/A")</f>
        <v>N/A</v>
      </c>
      <c r="D964" t="str">
        <f>IF('Data Validation'!C964=Filtering!B964,Filtering!C964,"N/A")</f>
        <v>N/A</v>
      </c>
      <c r="J964" t="str">
        <f>IF(_xlfn.CONCAT(Filtering!A964,Filtering!B964,Filtering!C964)=$M$2,Filtering!D964,"N/A")</f>
        <v>N/A</v>
      </c>
    </row>
    <row r="965" spans="3:10" x14ac:dyDescent="0.25">
      <c r="C965" t="str">
        <f>IF(Filtering!F965&gt;0,Filtering!B965,"N/A")</f>
        <v>N/A</v>
      </c>
      <c r="D965" t="str">
        <f>IF('Data Validation'!C965=Filtering!B965,Filtering!C965,"N/A")</f>
        <v>N/A</v>
      </c>
      <c r="J965" t="str">
        <f>IF(_xlfn.CONCAT(Filtering!A965,Filtering!B965,Filtering!C965)=$M$2,Filtering!D965,"N/A")</f>
        <v>N/A</v>
      </c>
    </row>
    <row r="966" spans="3:10" x14ac:dyDescent="0.25">
      <c r="C966" t="str">
        <f>IF(Filtering!F966&gt;0,Filtering!B966,"N/A")</f>
        <v>N/A</v>
      </c>
      <c r="D966" t="str">
        <f>IF('Data Validation'!C966=Filtering!B966,Filtering!C966,"N/A")</f>
        <v>N/A</v>
      </c>
      <c r="J966" t="str">
        <f>IF(_xlfn.CONCAT(Filtering!A966,Filtering!B966,Filtering!C966)=$M$2,Filtering!D966,"N/A")</f>
        <v>N/A</v>
      </c>
    </row>
    <row r="967" spans="3:10" x14ac:dyDescent="0.25">
      <c r="C967" t="str">
        <f>IF(Filtering!F967&gt;0,Filtering!B967,"N/A")</f>
        <v>N/A</v>
      </c>
      <c r="D967" t="str">
        <f>IF('Data Validation'!C967=Filtering!B967,Filtering!C967,"N/A")</f>
        <v>N/A</v>
      </c>
      <c r="J967" t="str">
        <f>IF(_xlfn.CONCAT(Filtering!A967,Filtering!B967,Filtering!C967)=$M$2,Filtering!D967,"N/A")</f>
        <v>N/A</v>
      </c>
    </row>
    <row r="968" spans="3:10" x14ac:dyDescent="0.25">
      <c r="C968" t="str">
        <f>IF(Filtering!F968&gt;0,Filtering!B968,"N/A")</f>
        <v>N/A</v>
      </c>
      <c r="D968" t="str">
        <f>IF('Data Validation'!C968=Filtering!B968,Filtering!C968,"N/A")</f>
        <v>N/A</v>
      </c>
      <c r="J968" t="str">
        <f>IF(_xlfn.CONCAT(Filtering!A968,Filtering!B968,Filtering!C968)=$M$2,Filtering!D968,"N/A")</f>
        <v>N/A</v>
      </c>
    </row>
    <row r="969" spans="3:10" x14ac:dyDescent="0.25">
      <c r="C969" t="str">
        <f>IF(Filtering!F969&gt;0,Filtering!B969,"N/A")</f>
        <v>N/A</v>
      </c>
      <c r="D969" t="str">
        <f>IF('Data Validation'!C969=Filtering!B969,Filtering!C969,"N/A")</f>
        <v>N/A</v>
      </c>
      <c r="J969" t="str">
        <f>IF(_xlfn.CONCAT(Filtering!A969,Filtering!B969,Filtering!C969)=$M$2,Filtering!D969,"N/A")</f>
        <v>N/A</v>
      </c>
    </row>
    <row r="970" spans="3:10" x14ac:dyDescent="0.25">
      <c r="C970" t="str">
        <f>IF(Filtering!F970&gt;0,Filtering!B970,"N/A")</f>
        <v>N/A</v>
      </c>
      <c r="D970" t="str">
        <f>IF('Data Validation'!C970=Filtering!B970,Filtering!C970,"N/A")</f>
        <v>N/A</v>
      </c>
      <c r="J970" t="str">
        <f>IF(_xlfn.CONCAT(Filtering!A970,Filtering!B970,Filtering!C970)=$M$2,Filtering!D970,"N/A")</f>
        <v>N/A</v>
      </c>
    </row>
    <row r="971" spans="3:10" x14ac:dyDescent="0.25">
      <c r="C971" t="str">
        <f>IF(Filtering!F971&gt;0,Filtering!B971,"N/A")</f>
        <v>N/A</v>
      </c>
      <c r="D971" t="str">
        <f>IF('Data Validation'!C971=Filtering!B971,Filtering!C971,"N/A")</f>
        <v>N/A</v>
      </c>
      <c r="J971" t="str">
        <f>IF(_xlfn.CONCAT(Filtering!A971,Filtering!B971,Filtering!C971)=$M$2,Filtering!D971,"N/A")</f>
        <v>N/A</v>
      </c>
    </row>
    <row r="972" spans="3:10" x14ac:dyDescent="0.25">
      <c r="C972" t="str">
        <f>IF(Filtering!F972&gt;0,Filtering!B972,"N/A")</f>
        <v>N/A</v>
      </c>
      <c r="D972" t="str">
        <f>IF('Data Validation'!C972=Filtering!B972,Filtering!C972,"N/A")</f>
        <v>N/A</v>
      </c>
      <c r="J972" t="str">
        <f>IF(_xlfn.CONCAT(Filtering!A972,Filtering!B972,Filtering!C972)=$M$2,Filtering!D972,"N/A")</f>
        <v>N/A</v>
      </c>
    </row>
    <row r="973" spans="3:10" x14ac:dyDescent="0.25">
      <c r="C973" t="str">
        <f>IF(Filtering!F973&gt;0,Filtering!B973,"N/A")</f>
        <v>N/A</v>
      </c>
      <c r="D973" t="str">
        <f>IF('Data Validation'!C973=Filtering!B973,Filtering!C973,"N/A")</f>
        <v>N/A</v>
      </c>
      <c r="J973" t="str">
        <f>IF(_xlfn.CONCAT(Filtering!A973,Filtering!B973,Filtering!C973)=$M$2,Filtering!D973,"N/A")</f>
        <v>N/A</v>
      </c>
    </row>
    <row r="974" spans="3:10" x14ac:dyDescent="0.25">
      <c r="C974" t="str">
        <f>IF(Filtering!F974&gt;0,Filtering!B974,"N/A")</f>
        <v>N/A</v>
      </c>
      <c r="D974" t="str">
        <f>IF('Data Validation'!C974=Filtering!B974,Filtering!C974,"N/A")</f>
        <v>N/A</v>
      </c>
      <c r="J974" t="str">
        <f>IF(_xlfn.CONCAT(Filtering!A974,Filtering!B974,Filtering!C974)=$M$2,Filtering!D974,"N/A")</f>
        <v>N/A</v>
      </c>
    </row>
    <row r="975" spans="3:10" x14ac:dyDescent="0.25">
      <c r="C975" t="str">
        <f>IF(Filtering!F975&gt;0,Filtering!B975,"N/A")</f>
        <v>N/A</v>
      </c>
      <c r="D975" t="str">
        <f>IF('Data Validation'!C975=Filtering!B975,Filtering!C975,"N/A")</f>
        <v>N/A</v>
      </c>
      <c r="J975" t="str">
        <f>IF(_xlfn.CONCAT(Filtering!A975,Filtering!B975,Filtering!C975)=$M$2,Filtering!D975,"N/A")</f>
        <v>N/A</v>
      </c>
    </row>
    <row r="976" spans="3:10" x14ac:dyDescent="0.25">
      <c r="C976" t="str">
        <f>IF(Filtering!F976&gt;0,Filtering!B976,"N/A")</f>
        <v>N/A</v>
      </c>
      <c r="D976" t="str">
        <f>IF('Data Validation'!C976=Filtering!B976,Filtering!C976,"N/A")</f>
        <v>N/A</v>
      </c>
      <c r="J976" t="str">
        <f>IF(_xlfn.CONCAT(Filtering!A976,Filtering!B976,Filtering!C976)=$M$2,Filtering!D976,"N/A")</f>
        <v>N/A</v>
      </c>
    </row>
    <row r="977" spans="3:10" x14ac:dyDescent="0.25">
      <c r="C977" t="str">
        <f>IF(Filtering!F977&gt;0,Filtering!B977,"N/A")</f>
        <v>N/A</v>
      </c>
      <c r="D977" t="str">
        <f>IF('Data Validation'!C977=Filtering!B977,Filtering!C977,"N/A")</f>
        <v>N/A</v>
      </c>
      <c r="J977" t="str">
        <f>IF(_xlfn.CONCAT(Filtering!A977,Filtering!B977,Filtering!C977)=$M$2,Filtering!D977,"N/A")</f>
        <v>N/A</v>
      </c>
    </row>
    <row r="978" spans="3:10" x14ac:dyDescent="0.25">
      <c r="C978" t="str">
        <f>IF(Filtering!F978&gt;0,Filtering!B978,"N/A")</f>
        <v>N/A</v>
      </c>
      <c r="D978" t="str">
        <f>IF('Data Validation'!C978=Filtering!B978,Filtering!C978,"N/A")</f>
        <v>N/A</v>
      </c>
      <c r="J978" t="str">
        <f>IF(_xlfn.CONCAT(Filtering!A978,Filtering!B978,Filtering!C978)=$M$2,Filtering!D978,"N/A")</f>
        <v>N/A</v>
      </c>
    </row>
    <row r="979" spans="3:10" x14ac:dyDescent="0.25">
      <c r="C979" t="str">
        <f>IF(Filtering!F979&gt;0,Filtering!B979,"N/A")</f>
        <v>N/A</v>
      </c>
      <c r="D979" t="str">
        <f>IF('Data Validation'!C979=Filtering!B979,Filtering!C979,"N/A")</f>
        <v>N/A</v>
      </c>
      <c r="J979" t="str">
        <f>IF(_xlfn.CONCAT(Filtering!A979,Filtering!B979,Filtering!C979)=$M$2,Filtering!D979,"N/A")</f>
        <v>N/A</v>
      </c>
    </row>
    <row r="980" spans="3:10" x14ac:dyDescent="0.25">
      <c r="C980" t="str">
        <f>IF(Filtering!F980&gt;0,Filtering!B980,"N/A")</f>
        <v>N/A</v>
      </c>
      <c r="D980" t="str">
        <f>IF('Data Validation'!C980=Filtering!B980,Filtering!C980,"N/A")</f>
        <v>N/A</v>
      </c>
      <c r="J980" t="str">
        <f>IF(_xlfn.CONCAT(Filtering!A980,Filtering!B980,Filtering!C980)=$M$2,Filtering!D980,"N/A")</f>
        <v>N/A</v>
      </c>
    </row>
    <row r="981" spans="3:10" x14ac:dyDescent="0.25">
      <c r="C981" t="str">
        <f>IF(Filtering!F981&gt;0,Filtering!B981,"N/A")</f>
        <v>N/A</v>
      </c>
      <c r="D981" t="str">
        <f>IF('Data Validation'!C981=Filtering!B981,Filtering!C981,"N/A")</f>
        <v>N/A</v>
      </c>
      <c r="J981" t="str">
        <f>IF(_xlfn.CONCAT(Filtering!A981,Filtering!B981,Filtering!C981)=$M$2,Filtering!D981,"N/A")</f>
        <v>N/A</v>
      </c>
    </row>
    <row r="982" spans="3:10" x14ac:dyDescent="0.25">
      <c r="C982" t="str">
        <f>IF(Filtering!F982&gt;0,Filtering!B982,"N/A")</f>
        <v>N/A</v>
      </c>
      <c r="D982" t="str">
        <f>IF('Data Validation'!C982=Filtering!B982,Filtering!C982,"N/A")</f>
        <v>N/A</v>
      </c>
      <c r="J982" t="str">
        <f>IF(_xlfn.CONCAT(Filtering!A982,Filtering!B982,Filtering!C982)=$M$2,Filtering!D982,"N/A")</f>
        <v>N/A</v>
      </c>
    </row>
    <row r="983" spans="3:10" x14ac:dyDescent="0.25">
      <c r="C983" t="str">
        <f>IF(Filtering!F983&gt;0,Filtering!B983,"N/A")</f>
        <v>N/A</v>
      </c>
      <c r="D983" t="str">
        <f>IF('Data Validation'!C983=Filtering!B983,Filtering!C983,"N/A")</f>
        <v>N/A</v>
      </c>
      <c r="J983" t="str">
        <f>IF(_xlfn.CONCAT(Filtering!A983,Filtering!B983,Filtering!C983)=$M$2,Filtering!D983,"N/A")</f>
        <v>N/A</v>
      </c>
    </row>
    <row r="984" spans="3:10" x14ac:dyDescent="0.25">
      <c r="C984" t="str">
        <f>IF(Filtering!F984&gt;0,Filtering!B984,"N/A")</f>
        <v>N/A</v>
      </c>
      <c r="D984" t="str">
        <f>IF('Data Validation'!C984=Filtering!B984,Filtering!C984,"N/A")</f>
        <v>N/A</v>
      </c>
      <c r="J984" t="str">
        <f>IF(_xlfn.CONCAT(Filtering!A984,Filtering!B984,Filtering!C984)=$M$2,Filtering!D984,"N/A")</f>
        <v>N/A</v>
      </c>
    </row>
    <row r="985" spans="3:10" x14ac:dyDescent="0.25">
      <c r="C985" t="str">
        <f>IF(Filtering!F985&gt;0,Filtering!B985,"N/A")</f>
        <v>N/A</v>
      </c>
      <c r="D985" t="str">
        <f>IF('Data Validation'!C985=Filtering!B985,Filtering!C985,"N/A")</f>
        <v>N/A</v>
      </c>
      <c r="J985" t="str">
        <f>IF(_xlfn.CONCAT(Filtering!A985,Filtering!B985,Filtering!C985)=$M$2,Filtering!D985,"N/A")</f>
        <v>N/A</v>
      </c>
    </row>
    <row r="986" spans="3:10" x14ac:dyDescent="0.25">
      <c r="C986" t="str">
        <f>IF(Filtering!F986&gt;0,Filtering!B986,"N/A")</f>
        <v>N/A</v>
      </c>
      <c r="D986" t="str">
        <f>IF('Data Validation'!C986=Filtering!B986,Filtering!C986,"N/A")</f>
        <v>N/A</v>
      </c>
      <c r="J986" t="str">
        <f>IF(_xlfn.CONCAT(Filtering!A986,Filtering!B986,Filtering!C986)=$M$2,Filtering!D986,"N/A")</f>
        <v>N/A</v>
      </c>
    </row>
    <row r="987" spans="3:10" x14ac:dyDescent="0.25">
      <c r="C987" t="str">
        <f>IF(Filtering!F987&gt;0,Filtering!B987,"N/A")</f>
        <v>N/A</v>
      </c>
      <c r="D987" t="str">
        <f>IF('Data Validation'!C987=Filtering!B987,Filtering!C987,"N/A")</f>
        <v>N/A</v>
      </c>
      <c r="J987" t="str">
        <f>IF(_xlfn.CONCAT(Filtering!A987,Filtering!B987,Filtering!C987)=$M$2,Filtering!D987,"N/A")</f>
        <v>N/A</v>
      </c>
    </row>
    <row r="988" spans="3:10" x14ac:dyDescent="0.25">
      <c r="C988" t="str">
        <f>IF(Filtering!F988&gt;0,Filtering!B988,"N/A")</f>
        <v>N/A</v>
      </c>
      <c r="D988" t="str">
        <f>IF('Data Validation'!C988=Filtering!B988,Filtering!C988,"N/A")</f>
        <v>N/A</v>
      </c>
      <c r="J988" t="str">
        <f>IF(_xlfn.CONCAT(Filtering!A988,Filtering!B988,Filtering!C988)=$M$2,Filtering!D988,"N/A")</f>
        <v>N/A</v>
      </c>
    </row>
    <row r="989" spans="3:10" x14ac:dyDescent="0.25">
      <c r="C989" t="str">
        <f>IF(Filtering!F989&gt;0,Filtering!B989,"N/A")</f>
        <v>N/A</v>
      </c>
      <c r="D989" t="str">
        <f>IF('Data Validation'!C989=Filtering!B989,Filtering!C989,"N/A")</f>
        <v>N/A</v>
      </c>
      <c r="J989" t="str">
        <f>IF(_xlfn.CONCAT(Filtering!A989,Filtering!B989,Filtering!C989)=$M$2,Filtering!D989,"N/A")</f>
        <v>N/A</v>
      </c>
    </row>
    <row r="990" spans="3:10" x14ac:dyDescent="0.25">
      <c r="C990" t="str">
        <f>IF(Filtering!F990&gt;0,Filtering!B990,"N/A")</f>
        <v>N/A</v>
      </c>
      <c r="D990" t="str">
        <f>IF('Data Validation'!C990=Filtering!B990,Filtering!C990,"N/A")</f>
        <v>N/A</v>
      </c>
      <c r="J990" t="str">
        <f>IF(_xlfn.CONCAT(Filtering!A990,Filtering!B990,Filtering!C990)=$M$2,Filtering!D990,"N/A")</f>
        <v>N/A</v>
      </c>
    </row>
    <row r="991" spans="3:10" x14ac:dyDescent="0.25">
      <c r="C991" t="str">
        <f>IF(Filtering!F991&gt;0,Filtering!B991,"N/A")</f>
        <v>N/A</v>
      </c>
      <c r="D991" t="str">
        <f>IF('Data Validation'!C991=Filtering!B991,Filtering!C991,"N/A")</f>
        <v>N/A</v>
      </c>
      <c r="J991" t="str">
        <f>IF(_xlfn.CONCAT(Filtering!A991,Filtering!B991,Filtering!C991)=$M$2,Filtering!D991,"N/A")</f>
        <v>N/A</v>
      </c>
    </row>
    <row r="992" spans="3:10" x14ac:dyDescent="0.25">
      <c r="C992" t="str">
        <f>IF(Filtering!F992&gt;0,Filtering!B992,"N/A")</f>
        <v>N/A</v>
      </c>
      <c r="D992" t="str">
        <f>IF('Data Validation'!C992=Filtering!B992,Filtering!C992,"N/A")</f>
        <v>N/A</v>
      </c>
      <c r="J992" t="str">
        <f>IF(_xlfn.CONCAT(Filtering!A992,Filtering!B992,Filtering!C992)=$M$2,Filtering!D992,"N/A")</f>
        <v>N/A</v>
      </c>
    </row>
    <row r="993" spans="3:10" x14ac:dyDescent="0.25">
      <c r="C993" t="str">
        <f>IF(Filtering!F993&gt;0,Filtering!B993,"N/A")</f>
        <v>N/A</v>
      </c>
      <c r="D993" t="str">
        <f>IF('Data Validation'!C993=Filtering!B993,Filtering!C993,"N/A")</f>
        <v>N/A</v>
      </c>
      <c r="J993" t="str">
        <f>IF(_xlfn.CONCAT(Filtering!A993,Filtering!B993,Filtering!C993)=$M$2,Filtering!D993,"N/A")</f>
        <v>N/A</v>
      </c>
    </row>
    <row r="994" spans="3:10" x14ac:dyDescent="0.25">
      <c r="C994" t="str">
        <f>IF(Filtering!F994&gt;0,Filtering!B994,"N/A")</f>
        <v>N/A</v>
      </c>
      <c r="D994" t="str">
        <f>IF('Data Validation'!C994=Filtering!B994,Filtering!C994,"N/A")</f>
        <v>N/A</v>
      </c>
      <c r="J994" t="str">
        <f>IF(_xlfn.CONCAT(Filtering!A994,Filtering!B994,Filtering!C994)=$M$2,Filtering!D994,"N/A")</f>
        <v>N/A</v>
      </c>
    </row>
    <row r="995" spans="3:10" x14ac:dyDescent="0.25">
      <c r="C995" t="str">
        <f>IF(Filtering!F995&gt;0,Filtering!B995,"N/A")</f>
        <v>N/A</v>
      </c>
      <c r="D995" t="str">
        <f>IF('Data Validation'!C995=Filtering!B995,Filtering!C995,"N/A")</f>
        <v>N/A</v>
      </c>
      <c r="J995" t="str">
        <f>IF(_xlfn.CONCAT(Filtering!A995,Filtering!B995,Filtering!C995)=$M$2,Filtering!D995,"N/A")</f>
        <v>N/A</v>
      </c>
    </row>
    <row r="996" spans="3:10" x14ac:dyDescent="0.25">
      <c r="C996" t="str">
        <f>IF(Filtering!F996&gt;0,Filtering!B996,"N/A")</f>
        <v>N/A</v>
      </c>
      <c r="D996" t="str">
        <f>IF('Data Validation'!C996=Filtering!B996,Filtering!C996,"N/A")</f>
        <v>N/A</v>
      </c>
      <c r="J996" t="str">
        <f>IF(_xlfn.CONCAT(Filtering!A996,Filtering!B996,Filtering!C996)=$M$2,Filtering!D996,"N/A")</f>
        <v>N/A</v>
      </c>
    </row>
    <row r="997" spans="3:10" x14ac:dyDescent="0.25">
      <c r="C997" t="str">
        <f>IF(Filtering!F997&gt;0,Filtering!B997,"N/A")</f>
        <v>N/A</v>
      </c>
      <c r="D997" t="str">
        <f>IF('Data Validation'!C997=Filtering!B997,Filtering!C997,"N/A")</f>
        <v>N/A</v>
      </c>
      <c r="J997" t="str">
        <f>IF(_xlfn.CONCAT(Filtering!A997,Filtering!B997,Filtering!C997)=$M$2,Filtering!D997,"N/A")</f>
        <v>N/A</v>
      </c>
    </row>
    <row r="998" spans="3:10" x14ac:dyDescent="0.25">
      <c r="C998" t="str">
        <f>IF(Filtering!F998&gt;0,Filtering!B998,"N/A")</f>
        <v>N/A</v>
      </c>
      <c r="D998" t="str">
        <f>IF('Data Validation'!C998=Filtering!B998,Filtering!C998,"N/A")</f>
        <v>N/A</v>
      </c>
      <c r="J998" t="str">
        <f>IF(_xlfn.CONCAT(Filtering!A998,Filtering!B998,Filtering!C998)=$M$2,Filtering!D998,"N/A")</f>
        <v>N/A</v>
      </c>
    </row>
    <row r="999" spans="3:10" x14ac:dyDescent="0.25">
      <c r="C999" t="str">
        <f>IF(Filtering!F999&gt;0,Filtering!B999,"N/A")</f>
        <v>N/A</v>
      </c>
      <c r="D999" t="str">
        <f>IF('Data Validation'!C999=Filtering!B999,Filtering!C999,"N/A")</f>
        <v>N/A</v>
      </c>
      <c r="J999" t="str">
        <f>IF(_xlfn.CONCAT(Filtering!A999,Filtering!B999,Filtering!C999)=$M$2,Filtering!D999,"N/A")</f>
        <v>N/A</v>
      </c>
    </row>
    <row r="1000" spans="3:10" x14ac:dyDescent="0.25">
      <c r="C1000" t="str">
        <f>IF(Filtering!F1000&gt;0,Filtering!B1000,"N/A")</f>
        <v>N/A</v>
      </c>
      <c r="D1000" t="str">
        <f>IF('Data Validation'!C1000=Filtering!B1000,Filtering!C1000,"N/A")</f>
        <v>N/A</v>
      </c>
      <c r="J1000" t="str">
        <f>IF(_xlfn.CONCAT(Filtering!A1000,Filtering!B1000,Filtering!C1000)=$M$2,Filtering!D1000,"N/A")</f>
        <v>N/A</v>
      </c>
    </row>
    <row r="1001" spans="3:10" x14ac:dyDescent="0.25">
      <c r="C1001" t="str">
        <f>IF(Filtering!F1001&gt;0,Filtering!B1001,"N/A")</f>
        <v>N/A</v>
      </c>
      <c r="D1001" t="str">
        <f>IF('Data Validation'!C1001=Filtering!B1001,Filtering!C1001,"N/A")</f>
        <v>N/A</v>
      </c>
      <c r="J1001" t="str">
        <f>IF(_xlfn.CONCAT(Filtering!A1001,Filtering!B1001,Filtering!C1001)=$M$2,Filtering!D1001,"N/A")</f>
        <v>N/A</v>
      </c>
    </row>
    <row r="1002" spans="3:10" x14ac:dyDescent="0.25">
      <c r="C1002" t="str">
        <f>IF(Filtering!F1002&gt;0,Filtering!B1002,"N/A")</f>
        <v>N/A</v>
      </c>
      <c r="D1002" t="str">
        <f>IF('Data Validation'!C1002=Filtering!B1002,Filtering!C1002,"N/A")</f>
        <v>N/A</v>
      </c>
      <c r="J1002" t="str">
        <f>IF(_xlfn.CONCAT(Filtering!A1002,Filtering!B1002,Filtering!C1002)=$M$2,Filtering!D1002,"N/A")</f>
        <v>N/A</v>
      </c>
    </row>
    <row r="1003" spans="3:10" x14ac:dyDescent="0.25">
      <c r="C1003" t="str">
        <f>IF(Filtering!F1003&gt;0,Filtering!B1003,"N/A")</f>
        <v>N/A</v>
      </c>
      <c r="D1003" t="str">
        <f>IF('Data Validation'!C1003=Filtering!B1003,Filtering!C1003,"N/A")</f>
        <v>N/A</v>
      </c>
      <c r="J1003" t="str">
        <f>IF(_xlfn.CONCAT(Filtering!A1003,Filtering!B1003,Filtering!C1003)=$M$2,Filtering!D1003,"N/A")</f>
        <v>N/A</v>
      </c>
    </row>
    <row r="1004" spans="3:10" x14ac:dyDescent="0.25">
      <c r="C1004" t="str">
        <f>IF(Filtering!F1004&gt;0,Filtering!B1004,"N/A")</f>
        <v>N/A</v>
      </c>
      <c r="D1004" t="str">
        <f>IF('Data Validation'!C1004=Filtering!B1004,Filtering!C1004,"N/A")</f>
        <v>N/A</v>
      </c>
      <c r="J1004" t="str">
        <f>IF(_xlfn.CONCAT(Filtering!A1004,Filtering!B1004,Filtering!C1004)=$M$2,Filtering!D1004,"N/A")</f>
        <v>N/A</v>
      </c>
    </row>
    <row r="1005" spans="3:10" x14ac:dyDescent="0.25">
      <c r="C1005" t="str">
        <f>IF(Filtering!F1005&gt;0,Filtering!B1005,"N/A")</f>
        <v>N/A</v>
      </c>
      <c r="D1005" t="str">
        <f>IF('Data Validation'!C1005=Filtering!B1005,Filtering!C1005,"N/A")</f>
        <v>N/A</v>
      </c>
      <c r="J1005" t="str">
        <f>IF(_xlfn.CONCAT(Filtering!A1005,Filtering!B1005,Filtering!C1005)=$M$2,Filtering!D1005,"N/A")</f>
        <v>N/A</v>
      </c>
    </row>
    <row r="1006" spans="3:10" x14ac:dyDescent="0.25">
      <c r="C1006" t="str">
        <f>IF(Filtering!F1006&gt;0,Filtering!B1006,"N/A")</f>
        <v>N/A</v>
      </c>
      <c r="D1006" t="str">
        <f>IF('Data Validation'!C1006=Filtering!B1006,Filtering!C1006,"N/A")</f>
        <v>N/A</v>
      </c>
      <c r="J1006" t="str">
        <f>IF(_xlfn.CONCAT(Filtering!A1006,Filtering!B1006,Filtering!C1006)=$M$2,Filtering!D1006,"N/A")</f>
        <v>N/A</v>
      </c>
    </row>
    <row r="1007" spans="3:10" x14ac:dyDescent="0.25">
      <c r="C1007" t="str">
        <f>IF(Filtering!F1007&gt;0,Filtering!B1007,"N/A")</f>
        <v>N/A</v>
      </c>
      <c r="D1007" t="str">
        <f>IF('Data Validation'!C1007=Filtering!B1007,Filtering!C1007,"N/A")</f>
        <v>N/A</v>
      </c>
      <c r="J1007" t="str">
        <f>IF(_xlfn.CONCAT(Filtering!A1007,Filtering!B1007,Filtering!C1007)=$M$2,Filtering!D1007,"N/A")</f>
        <v>N/A</v>
      </c>
    </row>
    <row r="1008" spans="3:10" x14ac:dyDescent="0.25">
      <c r="C1008" t="str">
        <f>IF(Filtering!F1008&gt;0,Filtering!B1008,"N/A")</f>
        <v>N/A</v>
      </c>
      <c r="D1008" t="str">
        <f>IF('Data Validation'!C1008=Filtering!B1008,Filtering!C1008,"N/A")</f>
        <v>N/A</v>
      </c>
      <c r="J1008" t="str">
        <f>IF(_xlfn.CONCAT(Filtering!A1008,Filtering!B1008,Filtering!C1008)=$M$2,Filtering!D1008,"N/A")</f>
        <v>N/A</v>
      </c>
    </row>
    <row r="1009" spans="3:10" x14ac:dyDescent="0.25">
      <c r="C1009" t="str">
        <f>IF(Filtering!F1009&gt;0,Filtering!B1009,"N/A")</f>
        <v>N/A</v>
      </c>
      <c r="D1009" t="str">
        <f>IF('Data Validation'!C1009=Filtering!B1009,Filtering!C1009,"N/A")</f>
        <v>N/A</v>
      </c>
      <c r="J1009" t="str">
        <f>IF(_xlfn.CONCAT(Filtering!A1009,Filtering!B1009,Filtering!C1009)=$M$2,Filtering!D1009,"N/A")</f>
        <v>N/A</v>
      </c>
    </row>
    <row r="1010" spans="3:10" x14ac:dyDescent="0.25">
      <c r="C1010" t="str">
        <f>IF(Filtering!F1010&gt;0,Filtering!B1010,"N/A")</f>
        <v>N/A</v>
      </c>
      <c r="D1010" t="str">
        <f>IF('Data Validation'!C1010=Filtering!B1010,Filtering!C1010,"N/A")</f>
        <v>N/A</v>
      </c>
      <c r="J1010" t="str">
        <f>IF(_xlfn.CONCAT(Filtering!A1010,Filtering!B1010,Filtering!C1010)=$M$2,Filtering!D1010,"N/A")</f>
        <v>N/A</v>
      </c>
    </row>
    <row r="1011" spans="3:10" x14ac:dyDescent="0.25">
      <c r="C1011" t="str">
        <f>IF(Filtering!F1011&gt;0,Filtering!B1011,"N/A")</f>
        <v>N/A</v>
      </c>
      <c r="D1011" t="str">
        <f>IF('Data Validation'!C1011=Filtering!B1011,Filtering!C1011,"N/A")</f>
        <v>N/A</v>
      </c>
      <c r="J1011" t="str">
        <f>IF(_xlfn.CONCAT(Filtering!A1011,Filtering!B1011,Filtering!C1011)=$M$2,Filtering!D1011,"N/A")</f>
        <v>N/A</v>
      </c>
    </row>
    <row r="1012" spans="3:10" x14ac:dyDescent="0.25">
      <c r="C1012" t="str">
        <f>IF(Filtering!F1012&gt;0,Filtering!B1012,"N/A")</f>
        <v>N/A</v>
      </c>
      <c r="D1012" t="str">
        <f>IF('Data Validation'!C1012=Filtering!B1012,Filtering!C1012,"N/A")</f>
        <v>N/A</v>
      </c>
      <c r="J1012" t="str">
        <f>IF(_xlfn.CONCAT(Filtering!A1012,Filtering!B1012,Filtering!C1012)=$M$2,Filtering!D1012,"N/A")</f>
        <v>N/A</v>
      </c>
    </row>
    <row r="1013" spans="3:10" x14ac:dyDescent="0.25">
      <c r="C1013" t="str">
        <f>IF(Filtering!F1013&gt;0,Filtering!B1013,"N/A")</f>
        <v>N/A</v>
      </c>
      <c r="D1013" t="str">
        <f>IF('Data Validation'!C1013=Filtering!B1013,Filtering!C1013,"N/A")</f>
        <v>N/A</v>
      </c>
      <c r="J1013" t="str">
        <f>IF(_xlfn.CONCAT(Filtering!A1013,Filtering!B1013,Filtering!C1013)=$M$2,Filtering!D1013,"N/A")</f>
        <v>N/A</v>
      </c>
    </row>
    <row r="1014" spans="3:10" x14ac:dyDescent="0.25">
      <c r="C1014" t="str">
        <f>IF(Filtering!F1014&gt;0,Filtering!B1014,"N/A")</f>
        <v>N/A</v>
      </c>
      <c r="D1014" t="str">
        <f>IF('Data Validation'!C1014=Filtering!B1014,Filtering!C1014,"N/A")</f>
        <v>N/A</v>
      </c>
      <c r="J1014" t="str">
        <f>IF(_xlfn.CONCAT(Filtering!A1014,Filtering!B1014,Filtering!C1014)=$M$2,Filtering!D1014,"N/A")</f>
        <v>N/A</v>
      </c>
    </row>
    <row r="1015" spans="3:10" x14ac:dyDescent="0.25">
      <c r="C1015" t="str">
        <f>IF(Filtering!F1015&gt;0,Filtering!B1015,"N/A")</f>
        <v>N/A</v>
      </c>
      <c r="D1015" t="str">
        <f>IF('Data Validation'!C1015=Filtering!B1015,Filtering!C1015,"N/A")</f>
        <v>N/A</v>
      </c>
      <c r="J1015" t="str">
        <f>IF(_xlfn.CONCAT(Filtering!A1015,Filtering!B1015,Filtering!C1015)=$M$2,Filtering!D1015,"N/A")</f>
        <v>N/A</v>
      </c>
    </row>
    <row r="1016" spans="3:10" x14ac:dyDescent="0.25">
      <c r="C1016" t="str">
        <f>IF(Filtering!F1016&gt;0,Filtering!B1016,"N/A")</f>
        <v>N/A</v>
      </c>
      <c r="D1016" t="str">
        <f>IF('Data Validation'!C1016=Filtering!B1016,Filtering!C1016,"N/A")</f>
        <v>N/A</v>
      </c>
      <c r="J1016" t="str">
        <f>IF(_xlfn.CONCAT(Filtering!A1016,Filtering!B1016,Filtering!C1016)=$M$2,Filtering!D1016,"N/A")</f>
        <v>N/A</v>
      </c>
    </row>
    <row r="1017" spans="3:10" x14ac:dyDescent="0.25">
      <c r="C1017" t="str">
        <f>IF(Filtering!F1017&gt;0,Filtering!B1017,"N/A")</f>
        <v>N/A</v>
      </c>
      <c r="D1017" t="str">
        <f>IF('Data Validation'!C1017=Filtering!B1017,Filtering!C1017,"N/A")</f>
        <v>N/A</v>
      </c>
      <c r="J1017" t="str">
        <f>IF(_xlfn.CONCAT(Filtering!A1017,Filtering!B1017,Filtering!C1017)=$M$2,Filtering!D1017,"N/A")</f>
        <v>N/A</v>
      </c>
    </row>
    <row r="1018" spans="3:10" x14ac:dyDescent="0.25">
      <c r="C1018" t="str">
        <f>IF(Filtering!F1018&gt;0,Filtering!B1018,"N/A")</f>
        <v>N/A</v>
      </c>
      <c r="D1018" t="str">
        <f>IF('Data Validation'!C1018=Filtering!B1018,Filtering!C1018,"N/A")</f>
        <v>N/A</v>
      </c>
      <c r="J1018" t="str">
        <f>IF(_xlfn.CONCAT(Filtering!A1018,Filtering!B1018,Filtering!C1018)=$M$2,Filtering!D1018,"N/A")</f>
        <v>N/A</v>
      </c>
    </row>
    <row r="1019" spans="3:10" x14ac:dyDescent="0.25">
      <c r="C1019" t="str">
        <f>IF(Filtering!F1019&gt;0,Filtering!B1019,"N/A")</f>
        <v>N/A</v>
      </c>
      <c r="D1019" t="str">
        <f>IF('Data Validation'!C1019=Filtering!B1019,Filtering!C1019,"N/A")</f>
        <v>N/A</v>
      </c>
      <c r="J1019" t="str">
        <f>IF(_xlfn.CONCAT(Filtering!A1019,Filtering!B1019,Filtering!C1019)=$M$2,Filtering!D1019,"N/A")</f>
        <v>N/A</v>
      </c>
    </row>
    <row r="1020" spans="3:10" x14ac:dyDescent="0.25">
      <c r="C1020" t="str">
        <f>IF(Filtering!F1020&gt;0,Filtering!B1020,"N/A")</f>
        <v>N/A</v>
      </c>
      <c r="D1020" t="str">
        <f>IF('Data Validation'!C1020=Filtering!B1020,Filtering!C1020,"N/A")</f>
        <v>N/A</v>
      </c>
      <c r="J1020" t="str">
        <f>IF(_xlfn.CONCAT(Filtering!A1020,Filtering!B1020,Filtering!C1020)=$M$2,Filtering!D1020,"N/A")</f>
        <v>N/A</v>
      </c>
    </row>
    <row r="1021" spans="3:10" x14ac:dyDescent="0.25">
      <c r="C1021" t="str">
        <f>IF(Filtering!F1021&gt;0,Filtering!B1021,"N/A")</f>
        <v>N/A</v>
      </c>
      <c r="D1021" t="str">
        <f>IF('Data Validation'!C1021=Filtering!B1021,Filtering!C1021,"N/A")</f>
        <v>N/A</v>
      </c>
      <c r="J1021" t="str">
        <f>IF(_xlfn.CONCAT(Filtering!A1021,Filtering!B1021,Filtering!C1021)=$M$2,Filtering!D1021,"N/A")</f>
        <v>N/A</v>
      </c>
    </row>
    <row r="1022" spans="3:10" x14ac:dyDescent="0.25">
      <c r="C1022" t="str">
        <f>IF(Filtering!F1022&gt;0,Filtering!B1022,"N/A")</f>
        <v>N/A</v>
      </c>
      <c r="D1022" t="str">
        <f>IF('Data Validation'!C1022=Filtering!B1022,Filtering!C1022,"N/A")</f>
        <v>N/A</v>
      </c>
      <c r="J1022" t="str">
        <f>IF(_xlfn.CONCAT(Filtering!A1022,Filtering!B1022,Filtering!C1022)=$M$2,Filtering!D1022,"N/A")</f>
        <v>N/A</v>
      </c>
    </row>
    <row r="1023" spans="3:10" x14ac:dyDescent="0.25">
      <c r="C1023" t="str">
        <f>IF(Filtering!F1023&gt;0,Filtering!B1023,"N/A")</f>
        <v>N/A</v>
      </c>
      <c r="D1023" t="str">
        <f>IF('Data Validation'!C1023=Filtering!B1023,Filtering!C1023,"N/A")</f>
        <v>N/A</v>
      </c>
      <c r="J1023" t="str">
        <f>IF(_xlfn.CONCAT(Filtering!A1023,Filtering!B1023,Filtering!C1023)=$M$2,Filtering!D1023,"N/A")</f>
        <v>N/A</v>
      </c>
    </row>
    <row r="1024" spans="3:10" x14ac:dyDescent="0.25">
      <c r="C1024" t="str">
        <f>IF(Filtering!F1024&gt;0,Filtering!B1024,"N/A")</f>
        <v>N/A</v>
      </c>
      <c r="D1024" t="str">
        <f>IF('Data Validation'!C1024=Filtering!B1024,Filtering!C1024,"N/A")</f>
        <v>N/A</v>
      </c>
      <c r="J1024" t="str">
        <f>IF(_xlfn.CONCAT(Filtering!A1024,Filtering!B1024,Filtering!C1024)=$M$2,Filtering!D1024,"N/A")</f>
        <v>N/A</v>
      </c>
    </row>
    <row r="1025" spans="3:10" x14ac:dyDescent="0.25">
      <c r="C1025" t="str">
        <f>IF(Filtering!F1025&gt;0,Filtering!B1025,"N/A")</f>
        <v>N/A</v>
      </c>
      <c r="D1025" t="str">
        <f>IF('Data Validation'!C1025=Filtering!B1025,Filtering!C1025,"N/A")</f>
        <v>N/A</v>
      </c>
      <c r="J1025" t="str">
        <f>IF(_xlfn.CONCAT(Filtering!A1025,Filtering!B1025,Filtering!C1025)=$M$2,Filtering!D1025,"N/A")</f>
        <v>N/A</v>
      </c>
    </row>
    <row r="1026" spans="3:10" x14ac:dyDescent="0.25">
      <c r="C1026" t="str">
        <f>IF(Filtering!F1026&gt;0,Filtering!B1026,"N/A")</f>
        <v>N/A</v>
      </c>
      <c r="D1026" t="str">
        <f>IF('Data Validation'!C1026=Filtering!B1026,Filtering!C1026,"N/A")</f>
        <v>N/A</v>
      </c>
      <c r="J1026" t="str">
        <f>IF(_xlfn.CONCAT(Filtering!A1026,Filtering!B1026,Filtering!C1026)=$M$2,Filtering!D1026,"N/A")</f>
        <v>N/A</v>
      </c>
    </row>
    <row r="1027" spans="3:10" x14ac:dyDescent="0.25">
      <c r="C1027" t="str">
        <f>IF(Filtering!F1027&gt;0,Filtering!B1027,"N/A")</f>
        <v>N/A</v>
      </c>
      <c r="D1027" t="str">
        <f>IF('Data Validation'!C1027=Filtering!B1027,Filtering!C1027,"N/A")</f>
        <v>N/A</v>
      </c>
      <c r="J1027" t="str">
        <f>IF(_xlfn.CONCAT(Filtering!A1027,Filtering!B1027,Filtering!C1027)=$M$2,Filtering!D1027,"N/A")</f>
        <v>N/A</v>
      </c>
    </row>
    <row r="1028" spans="3:10" x14ac:dyDescent="0.25">
      <c r="C1028" t="str">
        <f>IF(Filtering!F1028&gt;0,Filtering!B1028,"N/A")</f>
        <v>N/A</v>
      </c>
      <c r="D1028" t="str">
        <f>IF('Data Validation'!C1028=Filtering!B1028,Filtering!C1028,"N/A")</f>
        <v>N/A</v>
      </c>
      <c r="J1028" t="str">
        <f>IF(_xlfn.CONCAT(Filtering!A1028,Filtering!B1028,Filtering!C1028)=$M$2,Filtering!D1028,"N/A")</f>
        <v>N/A</v>
      </c>
    </row>
    <row r="1029" spans="3:10" x14ac:dyDescent="0.25">
      <c r="C1029" t="str">
        <f>IF(Filtering!F1029&gt;0,Filtering!B1029,"N/A")</f>
        <v>N/A</v>
      </c>
      <c r="D1029" t="str">
        <f>IF('Data Validation'!C1029=Filtering!B1029,Filtering!C1029,"N/A")</f>
        <v>N/A</v>
      </c>
      <c r="J1029" t="str">
        <f>IF(_xlfn.CONCAT(Filtering!A1029,Filtering!B1029,Filtering!C1029)=$M$2,Filtering!D1029,"N/A")</f>
        <v>N/A</v>
      </c>
    </row>
    <row r="1030" spans="3:10" x14ac:dyDescent="0.25">
      <c r="C1030" t="str">
        <f>IF(Filtering!F1030&gt;0,Filtering!B1030,"N/A")</f>
        <v>N/A</v>
      </c>
      <c r="D1030" t="str">
        <f>IF('Data Validation'!C1030=Filtering!B1030,Filtering!C1030,"N/A")</f>
        <v>N/A</v>
      </c>
      <c r="J1030" t="str">
        <f>IF(_xlfn.CONCAT(Filtering!A1030,Filtering!B1030,Filtering!C1030)=$M$2,Filtering!D1030,"N/A")</f>
        <v>N/A</v>
      </c>
    </row>
    <row r="1031" spans="3:10" x14ac:dyDescent="0.25">
      <c r="C1031" t="str">
        <f>IF(Filtering!F1031&gt;0,Filtering!B1031,"N/A")</f>
        <v>N/A</v>
      </c>
      <c r="D1031" t="str">
        <f>IF('Data Validation'!C1031=Filtering!B1031,Filtering!C1031,"N/A")</f>
        <v>N/A</v>
      </c>
      <c r="J1031" t="str">
        <f>IF(_xlfn.CONCAT(Filtering!A1031,Filtering!B1031,Filtering!C1031)=$M$2,Filtering!D1031,"N/A")</f>
        <v>N/A</v>
      </c>
    </row>
    <row r="1032" spans="3:10" x14ac:dyDescent="0.25">
      <c r="C1032" t="str">
        <f>IF(Filtering!F1032&gt;0,Filtering!B1032,"N/A")</f>
        <v>N/A</v>
      </c>
      <c r="D1032" t="str">
        <f>IF('Data Validation'!C1032=Filtering!B1032,Filtering!C1032,"N/A")</f>
        <v>N/A</v>
      </c>
      <c r="J1032" t="str">
        <f>IF(_xlfn.CONCAT(Filtering!A1032,Filtering!B1032,Filtering!C1032)=$M$2,Filtering!D1032,"N/A")</f>
        <v>N/A</v>
      </c>
    </row>
    <row r="1033" spans="3:10" x14ac:dyDescent="0.25">
      <c r="C1033" t="str">
        <f>IF(Filtering!F1033&gt;0,Filtering!B1033,"N/A")</f>
        <v>N/A</v>
      </c>
      <c r="D1033" t="str">
        <f>IF('Data Validation'!C1033=Filtering!B1033,Filtering!C1033,"N/A")</f>
        <v>N/A</v>
      </c>
      <c r="J1033" t="str">
        <f>IF(_xlfn.CONCAT(Filtering!A1033,Filtering!B1033,Filtering!C1033)=$M$2,Filtering!D1033,"N/A")</f>
        <v>N/A</v>
      </c>
    </row>
    <row r="1034" spans="3:10" x14ac:dyDescent="0.25">
      <c r="C1034" t="str">
        <f>IF(Filtering!F1034&gt;0,Filtering!B1034,"N/A")</f>
        <v>N/A</v>
      </c>
      <c r="D1034" t="str">
        <f>IF('Data Validation'!C1034=Filtering!B1034,Filtering!C1034,"N/A")</f>
        <v>N/A</v>
      </c>
      <c r="J1034" t="str">
        <f>IF(_xlfn.CONCAT(Filtering!A1034,Filtering!B1034,Filtering!C1034)=$M$2,Filtering!D1034,"N/A")</f>
        <v>N/A</v>
      </c>
    </row>
    <row r="1035" spans="3:10" x14ac:dyDescent="0.25">
      <c r="C1035" t="str">
        <f>IF(Filtering!F1035&gt;0,Filtering!B1035,"N/A")</f>
        <v>N/A</v>
      </c>
      <c r="D1035" t="str">
        <f>IF('Data Validation'!C1035=Filtering!B1035,Filtering!C1035,"N/A")</f>
        <v>N/A</v>
      </c>
      <c r="J1035" t="str">
        <f>IF(_xlfn.CONCAT(Filtering!A1035,Filtering!B1035,Filtering!C1035)=$M$2,Filtering!D1035,"N/A")</f>
        <v>N/A</v>
      </c>
    </row>
    <row r="1036" spans="3:10" x14ac:dyDescent="0.25">
      <c r="C1036" t="str">
        <f>IF(Filtering!F1036&gt;0,Filtering!B1036,"N/A")</f>
        <v>N/A</v>
      </c>
      <c r="D1036" t="str">
        <f>IF('Data Validation'!C1036=Filtering!B1036,Filtering!C1036,"N/A")</f>
        <v>N/A</v>
      </c>
      <c r="J1036" t="str">
        <f>IF(_xlfn.CONCAT(Filtering!A1036,Filtering!B1036,Filtering!C1036)=$M$2,Filtering!D1036,"N/A")</f>
        <v>N/A</v>
      </c>
    </row>
    <row r="1037" spans="3:10" x14ac:dyDescent="0.25">
      <c r="C1037" t="str">
        <f>IF(Filtering!F1037&gt;0,Filtering!B1037,"N/A")</f>
        <v>N/A</v>
      </c>
      <c r="D1037" t="str">
        <f>IF('Data Validation'!C1037=Filtering!B1037,Filtering!C1037,"N/A")</f>
        <v>N/A</v>
      </c>
      <c r="J1037" t="str">
        <f>IF(_xlfn.CONCAT(Filtering!A1037,Filtering!B1037,Filtering!C1037)=$M$2,Filtering!D1037,"N/A")</f>
        <v>N/A</v>
      </c>
    </row>
    <row r="1038" spans="3:10" x14ac:dyDescent="0.25">
      <c r="C1038" t="str">
        <f>IF(Filtering!F1038&gt;0,Filtering!B1038,"N/A")</f>
        <v>N/A</v>
      </c>
      <c r="D1038" t="str">
        <f>IF('Data Validation'!C1038=Filtering!B1038,Filtering!C1038,"N/A")</f>
        <v>N/A</v>
      </c>
      <c r="J1038" t="str">
        <f>IF(_xlfn.CONCAT(Filtering!A1038,Filtering!B1038,Filtering!C1038)=$M$2,Filtering!D1038,"N/A")</f>
        <v>N/A</v>
      </c>
    </row>
    <row r="1039" spans="3:10" x14ac:dyDescent="0.25">
      <c r="C1039" t="str">
        <f>IF(Filtering!F1039&gt;0,Filtering!B1039,"N/A")</f>
        <v>N/A</v>
      </c>
      <c r="D1039" t="str">
        <f>IF('Data Validation'!C1039=Filtering!B1039,Filtering!C1039,"N/A")</f>
        <v>N/A</v>
      </c>
      <c r="J1039" t="str">
        <f>IF(_xlfn.CONCAT(Filtering!A1039,Filtering!B1039,Filtering!C1039)=$M$2,Filtering!D1039,"N/A")</f>
        <v>N/A</v>
      </c>
    </row>
    <row r="1040" spans="3:10" x14ac:dyDescent="0.25">
      <c r="C1040" t="str">
        <f>IF(Filtering!F1040&gt;0,Filtering!B1040,"N/A")</f>
        <v>N/A</v>
      </c>
      <c r="D1040" t="str">
        <f>IF('Data Validation'!C1040=Filtering!B1040,Filtering!C1040,"N/A")</f>
        <v>N/A</v>
      </c>
      <c r="J1040" t="str">
        <f>IF(_xlfn.CONCAT(Filtering!A1040,Filtering!B1040,Filtering!C1040)=$M$2,Filtering!D1040,"N/A")</f>
        <v>N/A</v>
      </c>
    </row>
    <row r="1041" spans="3:10" x14ac:dyDescent="0.25">
      <c r="C1041" t="str">
        <f>IF(Filtering!F1041&gt;0,Filtering!B1041,"N/A")</f>
        <v>N/A</v>
      </c>
      <c r="D1041" t="str">
        <f>IF('Data Validation'!C1041=Filtering!B1041,Filtering!C1041,"N/A")</f>
        <v>N/A</v>
      </c>
      <c r="J1041" t="str">
        <f>IF(_xlfn.CONCAT(Filtering!A1041,Filtering!B1041,Filtering!C1041)=$M$2,Filtering!D1041,"N/A")</f>
        <v>N/A</v>
      </c>
    </row>
    <row r="1042" spans="3:10" x14ac:dyDescent="0.25">
      <c r="C1042" t="str">
        <f>IF(Filtering!F1042&gt;0,Filtering!B1042,"N/A")</f>
        <v>N/A</v>
      </c>
      <c r="D1042" t="str">
        <f>IF('Data Validation'!C1042=Filtering!B1042,Filtering!C1042,"N/A")</f>
        <v>N/A</v>
      </c>
      <c r="J1042" t="str">
        <f>IF(_xlfn.CONCAT(Filtering!A1042,Filtering!B1042,Filtering!C1042)=$M$2,Filtering!D1042,"N/A")</f>
        <v>N/A</v>
      </c>
    </row>
    <row r="1043" spans="3:10" x14ac:dyDescent="0.25">
      <c r="C1043" t="str">
        <f>IF(Filtering!F1043&gt;0,Filtering!B1043,"N/A")</f>
        <v>N/A</v>
      </c>
      <c r="D1043" t="str">
        <f>IF('Data Validation'!C1043=Filtering!B1043,Filtering!C1043,"N/A")</f>
        <v>N/A</v>
      </c>
      <c r="J1043" t="str">
        <f>IF(_xlfn.CONCAT(Filtering!A1043,Filtering!B1043,Filtering!C1043)=$M$2,Filtering!D1043,"N/A")</f>
        <v>N/A</v>
      </c>
    </row>
    <row r="1044" spans="3:10" x14ac:dyDescent="0.25">
      <c r="C1044" t="str">
        <f>IF(Filtering!F1044&gt;0,Filtering!B1044,"N/A")</f>
        <v>N/A</v>
      </c>
      <c r="D1044" t="str">
        <f>IF('Data Validation'!C1044=Filtering!B1044,Filtering!C1044,"N/A")</f>
        <v>N/A</v>
      </c>
      <c r="J1044" t="str">
        <f>IF(_xlfn.CONCAT(Filtering!A1044,Filtering!B1044,Filtering!C1044)=$M$2,Filtering!D1044,"N/A")</f>
        <v>N/A</v>
      </c>
    </row>
    <row r="1045" spans="3:10" x14ac:dyDescent="0.25">
      <c r="C1045" t="str">
        <f>IF(Filtering!F1045&gt;0,Filtering!B1045,"N/A")</f>
        <v>N/A</v>
      </c>
      <c r="D1045" t="str">
        <f>IF('Data Validation'!C1045=Filtering!B1045,Filtering!C1045,"N/A")</f>
        <v>N/A</v>
      </c>
      <c r="J1045" t="str">
        <f>IF(_xlfn.CONCAT(Filtering!A1045,Filtering!B1045,Filtering!C1045)=$M$2,Filtering!D1045,"N/A")</f>
        <v>N/A</v>
      </c>
    </row>
    <row r="1046" spans="3:10" x14ac:dyDescent="0.25">
      <c r="C1046" t="str">
        <f>IF(Filtering!F1046&gt;0,Filtering!B1046,"N/A")</f>
        <v>N/A</v>
      </c>
      <c r="D1046" t="str">
        <f>IF('Data Validation'!C1046=Filtering!B1046,Filtering!C1046,"N/A")</f>
        <v>N/A</v>
      </c>
      <c r="J1046" t="str">
        <f>IF(_xlfn.CONCAT(Filtering!A1046,Filtering!B1046,Filtering!C1046)=$M$2,Filtering!D1046,"N/A")</f>
        <v>N/A</v>
      </c>
    </row>
    <row r="1047" spans="3:10" x14ac:dyDescent="0.25">
      <c r="C1047" t="str">
        <f>IF(Filtering!F1047&gt;0,Filtering!B1047,"N/A")</f>
        <v>N/A</v>
      </c>
      <c r="D1047" t="str">
        <f>IF('Data Validation'!C1047=Filtering!B1047,Filtering!C1047,"N/A")</f>
        <v>N/A</v>
      </c>
      <c r="J1047" t="str">
        <f>IF(_xlfn.CONCAT(Filtering!A1047,Filtering!B1047,Filtering!C1047)=$M$2,Filtering!D1047,"N/A")</f>
        <v>N/A</v>
      </c>
    </row>
    <row r="1048" spans="3:10" x14ac:dyDescent="0.25">
      <c r="C1048" t="str">
        <f>IF(Filtering!F1048&gt;0,Filtering!B1048,"N/A")</f>
        <v>N/A</v>
      </c>
      <c r="D1048" t="str">
        <f>IF('Data Validation'!C1048=Filtering!B1048,Filtering!C1048,"N/A")</f>
        <v>N/A</v>
      </c>
      <c r="J1048" t="str">
        <f>IF(_xlfn.CONCAT(Filtering!A1048,Filtering!B1048,Filtering!C1048)=$M$2,Filtering!D1048,"N/A")</f>
        <v>N/A</v>
      </c>
    </row>
    <row r="1049" spans="3:10" x14ac:dyDescent="0.25">
      <c r="C1049" t="str">
        <f>IF(Filtering!F1049&gt;0,Filtering!B1049,"N/A")</f>
        <v>N/A</v>
      </c>
      <c r="D1049" t="str">
        <f>IF('Data Validation'!C1049=Filtering!B1049,Filtering!C1049,"N/A")</f>
        <v>N/A</v>
      </c>
      <c r="J1049" t="str">
        <f>IF(_xlfn.CONCAT(Filtering!A1049,Filtering!B1049,Filtering!C1049)=$M$2,Filtering!D1049,"N/A")</f>
        <v>N/A</v>
      </c>
    </row>
    <row r="1050" spans="3:10" x14ac:dyDescent="0.25">
      <c r="C1050" t="str">
        <f>IF(Filtering!F1050&gt;0,Filtering!B1050,"N/A")</f>
        <v>N/A</v>
      </c>
      <c r="D1050" t="str">
        <f>IF('Data Validation'!C1050=Filtering!B1050,Filtering!C1050,"N/A")</f>
        <v>N/A</v>
      </c>
      <c r="J1050" t="str">
        <f>IF(_xlfn.CONCAT(Filtering!A1050,Filtering!B1050,Filtering!C1050)=$M$2,Filtering!D1050,"N/A")</f>
        <v>N/A</v>
      </c>
    </row>
    <row r="1051" spans="3:10" x14ac:dyDescent="0.25">
      <c r="C1051" t="str">
        <f>IF(Filtering!F1051&gt;0,Filtering!B1051,"N/A")</f>
        <v>N/A</v>
      </c>
      <c r="D1051" t="str">
        <f>IF('Data Validation'!C1051=Filtering!B1051,Filtering!C1051,"N/A")</f>
        <v>N/A</v>
      </c>
      <c r="J1051" t="str">
        <f>IF(_xlfn.CONCAT(Filtering!A1051,Filtering!B1051,Filtering!C1051)=$M$2,Filtering!D1051,"N/A")</f>
        <v>N/A</v>
      </c>
    </row>
    <row r="1052" spans="3:10" x14ac:dyDescent="0.25">
      <c r="C1052" t="str">
        <f>IF(Filtering!F1052&gt;0,Filtering!B1052,"N/A")</f>
        <v>N/A</v>
      </c>
      <c r="D1052" t="str">
        <f>IF('Data Validation'!C1052=Filtering!B1052,Filtering!C1052,"N/A")</f>
        <v>N/A</v>
      </c>
      <c r="J1052" t="str">
        <f>IF(_xlfn.CONCAT(Filtering!A1052,Filtering!B1052,Filtering!C1052)=$M$2,Filtering!D1052,"N/A")</f>
        <v>N/A</v>
      </c>
    </row>
    <row r="1053" spans="3:10" x14ac:dyDescent="0.25">
      <c r="C1053" t="str">
        <f>IF(Filtering!F1053&gt;0,Filtering!B1053,"N/A")</f>
        <v>N/A</v>
      </c>
      <c r="D1053" t="str">
        <f>IF('Data Validation'!C1053=Filtering!B1053,Filtering!C1053,"N/A")</f>
        <v>N/A</v>
      </c>
      <c r="J1053" t="str">
        <f>IF(_xlfn.CONCAT(Filtering!A1053,Filtering!B1053,Filtering!C1053)=$M$2,Filtering!D1053,"N/A")</f>
        <v>N/A</v>
      </c>
    </row>
    <row r="1054" spans="3:10" x14ac:dyDescent="0.25">
      <c r="C1054" t="str">
        <f>IF(Filtering!F1054&gt;0,Filtering!B1054,"N/A")</f>
        <v>N/A</v>
      </c>
      <c r="D1054" t="str">
        <f>IF('Data Validation'!C1054=Filtering!B1054,Filtering!C1054,"N/A")</f>
        <v>N/A</v>
      </c>
      <c r="J1054" t="str">
        <f>IF(_xlfn.CONCAT(Filtering!A1054,Filtering!B1054,Filtering!C1054)=$M$2,Filtering!D1054,"N/A")</f>
        <v>N/A</v>
      </c>
    </row>
    <row r="1055" spans="3:10" x14ac:dyDescent="0.25">
      <c r="C1055" t="str">
        <f>IF(Filtering!F1055&gt;0,Filtering!B1055,"N/A")</f>
        <v>N/A</v>
      </c>
      <c r="D1055" t="str">
        <f>IF('Data Validation'!C1055=Filtering!B1055,Filtering!C1055,"N/A")</f>
        <v>N/A</v>
      </c>
      <c r="J1055" t="str">
        <f>IF(_xlfn.CONCAT(Filtering!A1055,Filtering!B1055,Filtering!C1055)=$M$2,Filtering!D1055,"N/A")</f>
        <v>N/A</v>
      </c>
    </row>
    <row r="1056" spans="3:10" x14ac:dyDescent="0.25">
      <c r="C1056" t="str">
        <f>IF(Filtering!F1056&gt;0,Filtering!B1056,"N/A")</f>
        <v>N/A</v>
      </c>
      <c r="D1056" t="str">
        <f>IF('Data Validation'!C1056=Filtering!B1056,Filtering!C1056,"N/A")</f>
        <v>N/A</v>
      </c>
      <c r="J1056" t="str">
        <f>IF(_xlfn.CONCAT(Filtering!A1056,Filtering!B1056,Filtering!C1056)=$M$2,Filtering!D1056,"N/A")</f>
        <v>N/A</v>
      </c>
    </row>
    <row r="1057" spans="3:10" x14ac:dyDescent="0.25">
      <c r="C1057" t="str">
        <f>IF(Filtering!F1057&gt;0,Filtering!B1057,"N/A")</f>
        <v>N/A</v>
      </c>
      <c r="D1057" t="str">
        <f>IF('Data Validation'!C1057=Filtering!B1057,Filtering!C1057,"N/A")</f>
        <v>N/A</v>
      </c>
      <c r="J1057" t="str">
        <f>IF(_xlfn.CONCAT(Filtering!A1057,Filtering!B1057,Filtering!C1057)=$M$2,Filtering!D1057,"N/A")</f>
        <v>N/A</v>
      </c>
    </row>
    <row r="1058" spans="3:10" x14ac:dyDescent="0.25">
      <c r="C1058" t="str">
        <f>IF(Filtering!F1058&gt;0,Filtering!B1058,"N/A")</f>
        <v>N/A</v>
      </c>
      <c r="D1058" t="str">
        <f>IF('Data Validation'!C1058=Filtering!B1058,Filtering!C1058,"N/A")</f>
        <v>N/A</v>
      </c>
      <c r="J1058" t="str">
        <f>IF(_xlfn.CONCAT(Filtering!A1058,Filtering!B1058,Filtering!C1058)=$M$2,Filtering!D1058,"N/A")</f>
        <v>N/A</v>
      </c>
    </row>
    <row r="1059" spans="3:10" x14ac:dyDescent="0.25">
      <c r="C1059" t="str">
        <f>IF(Filtering!F1059&gt;0,Filtering!B1059,"N/A")</f>
        <v>N/A</v>
      </c>
      <c r="D1059" t="str">
        <f>IF('Data Validation'!C1059=Filtering!B1059,Filtering!C1059,"N/A")</f>
        <v>N/A</v>
      </c>
      <c r="J1059" t="str">
        <f>IF(_xlfn.CONCAT(Filtering!A1059,Filtering!B1059,Filtering!C1059)=$M$2,Filtering!D1059,"N/A")</f>
        <v>N/A</v>
      </c>
    </row>
    <row r="1060" spans="3:10" x14ac:dyDescent="0.25">
      <c r="C1060" t="str">
        <f>IF(Filtering!F1060&gt;0,Filtering!B1060,"N/A")</f>
        <v>N/A</v>
      </c>
      <c r="D1060" t="str">
        <f>IF('Data Validation'!C1060=Filtering!B1060,Filtering!C1060,"N/A")</f>
        <v>N/A</v>
      </c>
      <c r="J1060" t="str">
        <f>IF(_xlfn.CONCAT(Filtering!A1060,Filtering!B1060,Filtering!C1060)=$M$2,Filtering!D1060,"N/A")</f>
        <v>N/A</v>
      </c>
    </row>
    <row r="1061" spans="3:10" x14ac:dyDescent="0.25">
      <c r="C1061" t="str">
        <f>IF(Filtering!F1061&gt;0,Filtering!B1061,"N/A")</f>
        <v>N/A</v>
      </c>
      <c r="D1061" t="str">
        <f>IF('Data Validation'!C1061=Filtering!B1061,Filtering!C1061,"N/A")</f>
        <v>N/A</v>
      </c>
      <c r="J1061" t="str">
        <f>IF(_xlfn.CONCAT(Filtering!A1061,Filtering!B1061,Filtering!C1061)=$M$2,Filtering!D1061,"N/A")</f>
        <v>N/A</v>
      </c>
    </row>
    <row r="1062" spans="3:10" x14ac:dyDescent="0.25">
      <c r="C1062" t="str">
        <f>IF(Filtering!F1062&gt;0,Filtering!B1062,"N/A")</f>
        <v>N/A</v>
      </c>
      <c r="D1062" t="str">
        <f>IF('Data Validation'!C1062=Filtering!B1062,Filtering!C1062,"N/A")</f>
        <v>N/A</v>
      </c>
      <c r="J1062" t="str">
        <f>IF(_xlfn.CONCAT(Filtering!A1062,Filtering!B1062,Filtering!C1062)=$M$2,Filtering!D1062,"N/A")</f>
        <v>N/A</v>
      </c>
    </row>
    <row r="1063" spans="3:10" x14ac:dyDescent="0.25">
      <c r="C1063" t="str">
        <f>IF(Filtering!F1063&gt;0,Filtering!B1063,"N/A")</f>
        <v>N/A</v>
      </c>
      <c r="D1063" t="str">
        <f>IF('Data Validation'!C1063=Filtering!B1063,Filtering!C1063,"N/A")</f>
        <v>N/A</v>
      </c>
      <c r="J1063" t="str">
        <f>IF(_xlfn.CONCAT(Filtering!A1063,Filtering!B1063,Filtering!C1063)=$M$2,Filtering!D1063,"N/A")</f>
        <v>N/A</v>
      </c>
    </row>
    <row r="1064" spans="3:10" x14ac:dyDescent="0.25">
      <c r="C1064" t="str">
        <f>IF(Filtering!F1064&gt;0,Filtering!B1064,"N/A")</f>
        <v>N/A</v>
      </c>
      <c r="D1064" t="str">
        <f>IF('Data Validation'!C1064=Filtering!B1064,Filtering!C1064,"N/A")</f>
        <v>N/A</v>
      </c>
      <c r="J1064" t="str">
        <f>IF(_xlfn.CONCAT(Filtering!A1064,Filtering!B1064,Filtering!C1064)=$M$2,Filtering!D1064,"N/A")</f>
        <v>N/A</v>
      </c>
    </row>
    <row r="1065" spans="3:10" x14ac:dyDescent="0.25">
      <c r="C1065" t="str">
        <f>IF(Filtering!F1065&gt;0,Filtering!B1065,"N/A")</f>
        <v>N/A</v>
      </c>
      <c r="D1065" t="str">
        <f>IF('Data Validation'!C1065=Filtering!B1065,Filtering!C1065,"N/A")</f>
        <v>N/A</v>
      </c>
      <c r="J1065" t="str">
        <f>IF(_xlfn.CONCAT(Filtering!A1065,Filtering!B1065,Filtering!C1065)=$M$2,Filtering!D1065,"N/A")</f>
        <v>N/A</v>
      </c>
    </row>
    <row r="1066" spans="3:10" x14ac:dyDescent="0.25">
      <c r="C1066" t="str">
        <f>IF(Filtering!F1066&gt;0,Filtering!B1066,"N/A")</f>
        <v>N/A</v>
      </c>
      <c r="D1066" t="str">
        <f>IF('Data Validation'!C1066=Filtering!B1066,Filtering!C1066,"N/A")</f>
        <v>N/A</v>
      </c>
      <c r="J1066" t="str">
        <f>IF(_xlfn.CONCAT(Filtering!A1066,Filtering!B1066,Filtering!C1066)=$M$2,Filtering!D1066,"N/A")</f>
        <v>N/A</v>
      </c>
    </row>
    <row r="1067" spans="3:10" x14ac:dyDescent="0.25">
      <c r="C1067" t="str">
        <f>IF(Filtering!F1067&gt;0,Filtering!B1067,"N/A")</f>
        <v>N/A</v>
      </c>
      <c r="D1067" t="str">
        <f>IF('Data Validation'!C1067=Filtering!B1067,Filtering!C1067,"N/A")</f>
        <v>N/A</v>
      </c>
      <c r="J1067" t="str">
        <f>IF(_xlfn.CONCAT(Filtering!A1067,Filtering!B1067,Filtering!C1067)=$M$2,Filtering!D1067,"N/A")</f>
        <v>N/A</v>
      </c>
    </row>
    <row r="1068" spans="3:10" x14ac:dyDescent="0.25">
      <c r="C1068" t="str">
        <f>IF(Filtering!F1068&gt;0,Filtering!B1068,"N/A")</f>
        <v>N/A</v>
      </c>
      <c r="D1068" t="str">
        <f>IF('Data Validation'!C1068=Filtering!B1068,Filtering!C1068,"N/A")</f>
        <v>N/A</v>
      </c>
      <c r="J1068" t="str">
        <f>IF(_xlfn.CONCAT(Filtering!A1068,Filtering!B1068,Filtering!C1068)=$M$2,Filtering!D1068,"N/A")</f>
        <v>N/A</v>
      </c>
    </row>
    <row r="1069" spans="3:10" x14ac:dyDescent="0.25">
      <c r="C1069" t="str">
        <f>IF(Filtering!F1069&gt;0,Filtering!B1069,"N/A")</f>
        <v>N/A</v>
      </c>
      <c r="D1069" t="str">
        <f>IF('Data Validation'!C1069=Filtering!B1069,Filtering!C1069,"N/A")</f>
        <v>N/A</v>
      </c>
      <c r="J1069" t="str">
        <f>IF(_xlfn.CONCAT(Filtering!A1069,Filtering!B1069,Filtering!C1069)=$M$2,Filtering!D1069,"N/A")</f>
        <v>N/A</v>
      </c>
    </row>
    <row r="1070" spans="3:10" x14ac:dyDescent="0.25">
      <c r="C1070" t="str">
        <f>IF(Filtering!F1070&gt;0,Filtering!B1070,"N/A")</f>
        <v>N/A</v>
      </c>
      <c r="D1070" t="str">
        <f>IF('Data Validation'!C1070=Filtering!B1070,Filtering!C1070,"N/A")</f>
        <v>N/A</v>
      </c>
      <c r="J1070" t="str">
        <f>IF(_xlfn.CONCAT(Filtering!A1070,Filtering!B1070,Filtering!C1070)=$M$2,Filtering!D1070,"N/A")</f>
        <v>N/A</v>
      </c>
    </row>
    <row r="1071" spans="3:10" x14ac:dyDescent="0.25">
      <c r="C1071" t="str">
        <f>IF(Filtering!F1071&gt;0,Filtering!B1071,"N/A")</f>
        <v>N/A</v>
      </c>
      <c r="D1071" t="str">
        <f>IF('Data Validation'!C1071=Filtering!B1071,Filtering!C1071,"N/A")</f>
        <v>N/A</v>
      </c>
      <c r="J1071" t="str">
        <f>IF(_xlfn.CONCAT(Filtering!A1071,Filtering!B1071,Filtering!C1071)=$M$2,Filtering!D1071,"N/A")</f>
        <v>N/A</v>
      </c>
    </row>
    <row r="1072" spans="3:10" x14ac:dyDescent="0.25">
      <c r="C1072" t="str">
        <f>IF(Filtering!F1072&gt;0,Filtering!B1072,"N/A")</f>
        <v>N/A</v>
      </c>
      <c r="D1072" t="str">
        <f>IF('Data Validation'!C1072=Filtering!B1072,Filtering!C1072,"N/A")</f>
        <v>N/A</v>
      </c>
      <c r="J1072" t="str">
        <f>IF(_xlfn.CONCAT(Filtering!A1072,Filtering!B1072,Filtering!C1072)=$M$2,Filtering!D1072,"N/A")</f>
        <v>N/A</v>
      </c>
    </row>
    <row r="1073" spans="3:10" x14ac:dyDescent="0.25">
      <c r="C1073" t="str">
        <f>IF(Filtering!F1073&gt;0,Filtering!B1073,"N/A")</f>
        <v>N/A</v>
      </c>
      <c r="D1073" t="str">
        <f>IF('Data Validation'!C1073=Filtering!B1073,Filtering!C1073,"N/A")</f>
        <v>N/A</v>
      </c>
      <c r="J1073" t="str">
        <f>IF(_xlfn.CONCAT(Filtering!A1073,Filtering!B1073,Filtering!C1073)=$M$2,Filtering!D1073,"N/A")</f>
        <v>N/A</v>
      </c>
    </row>
    <row r="1074" spans="3:10" x14ac:dyDescent="0.25">
      <c r="C1074" t="str">
        <f>IF(Filtering!F1074&gt;0,Filtering!B1074,"N/A")</f>
        <v>N/A</v>
      </c>
      <c r="D1074" t="str">
        <f>IF('Data Validation'!C1074=Filtering!B1074,Filtering!C1074,"N/A")</f>
        <v>N/A</v>
      </c>
      <c r="J1074" t="str">
        <f>IF(_xlfn.CONCAT(Filtering!A1074,Filtering!B1074,Filtering!C1074)=$M$2,Filtering!D1074,"N/A")</f>
        <v>N/A</v>
      </c>
    </row>
    <row r="1075" spans="3:10" x14ac:dyDescent="0.25">
      <c r="C1075" t="str">
        <f>IF(Filtering!F1075&gt;0,Filtering!B1075,"N/A")</f>
        <v>N/A</v>
      </c>
      <c r="D1075" t="str">
        <f>IF('Data Validation'!C1075=Filtering!B1075,Filtering!C1075,"N/A")</f>
        <v>N/A</v>
      </c>
      <c r="J1075" t="str">
        <f>IF(_xlfn.CONCAT(Filtering!A1075,Filtering!B1075,Filtering!C1075)=$M$2,Filtering!D1075,"N/A")</f>
        <v>N/A</v>
      </c>
    </row>
    <row r="1076" spans="3:10" x14ac:dyDescent="0.25">
      <c r="C1076" t="str">
        <f>IF(Filtering!F1076&gt;0,Filtering!B1076,"N/A")</f>
        <v>N/A</v>
      </c>
      <c r="D1076" t="str">
        <f>IF('Data Validation'!C1076=Filtering!B1076,Filtering!C1076,"N/A")</f>
        <v>N/A</v>
      </c>
      <c r="J1076" t="str">
        <f>IF(_xlfn.CONCAT(Filtering!A1076,Filtering!B1076,Filtering!C1076)=$M$2,Filtering!D1076,"N/A")</f>
        <v>N/A</v>
      </c>
    </row>
    <row r="1077" spans="3:10" x14ac:dyDescent="0.25">
      <c r="C1077" t="str">
        <f>IF(Filtering!F1077&gt;0,Filtering!B1077,"N/A")</f>
        <v>N/A</v>
      </c>
      <c r="D1077" t="str">
        <f>IF('Data Validation'!C1077=Filtering!B1077,Filtering!C1077,"N/A")</f>
        <v>N/A</v>
      </c>
      <c r="J1077" t="str">
        <f>IF(_xlfn.CONCAT(Filtering!A1077,Filtering!B1077,Filtering!C1077)=$M$2,Filtering!D1077,"N/A")</f>
        <v>N/A</v>
      </c>
    </row>
    <row r="1078" spans="3:10" x14ac:dyDescent="0.25">
      <c r="C1078" t="str">
        <f>IF(Filtering!F1078&gt;0,Filtering!B1078,"N/A")</f>
        <v>N/A</v>
      </c>
      <c r="D1078" t="str">
        <f>IF('Data Validation'!C1078=Filtering!B1078,Filtering!C1078,"N/A")</f>
        <v>N/A</v>
      </c>
      <c r="J1078" t="str">
        <f>IF(_xlfn.CONCAT(Filtering!A1078,Filtering!B1078,Filtering!C1078)=$M$2,Filtering!D1078,"N/A")</f>
        <v>N/A</v>
      </c>
    </row>
    <row r="1079" spans="3:10" x14ac:dyDescent="0.25">
      <c r="C1079" t="str">
        <f>IF(Filtering!F1079&gt;0,Filtering!B1079,"N/A")</f>
        <v>N/A</v>
      </c>
      <c r="D1079" t="str">
        <f>IF('Data Validation'!C1079=Filtering!B1079,Filtering!C1079,"N/A")</f>
        <v>N/A</v>
      </c>
      <c r="J1079" t="str">
        <f>IF(_xlfn.CONCAT(Filtering!A1079,Filtering!B1079,Filtering!C1079)=$M$2,Filtering!D1079,"N/A")</f>
        <v>N/A</v>
      </c>
    </row>
    <row r="1080" spans="3:10" x14ac:dyDescent="0.25">
      <c r="C1080" t="str">
        <f>IF(Filtering!F1080&gt;0,Filtering!B1080,"N/A")</f>
        <v>N/A</v>
      </c>
      <c r="D1080" t="str">
        <f>IF('Data Validation'!C1080=Filtering!B1080,Filtering!C1080,"N/A")</f>
        <v>N/A</v>
      </c>
      <c r="J1080" t="str">
        <f>IF(_xlfn.CONCAT(Filtering!A1080,Filtering!B1080,Filtering!C1080)=$M$2,Filtering!D1080,"N/A")</f>
        <v>N/A</v>
      </c>
    </row>
    <row r="1081" spans="3:10" x14ac:dyDescent="0.25">
      <c r="C1081" t="str">
        <f>IF(Filtering!F1081&gt;0,Filtering!B1081,"N/A")</f>
        <v>N/A</v>
      </c>
      <c r="D1081" t="str">
        <f>IF('Data Validation'!C1081=Filtering!B1081,Filtering!C1081,"N/A")</f>
        <v>N/A</v>
      </c>
      <c r="J1081" t="str">
        <f>IF(_xlfn.CONCAT(Filtering!A1081,Filtering!B1081,Filtering!C1081)=$M$2,Filtering!D1081,"N/A")</f>
        <v>N/A</v>
      </c>
    </row>
    <row r="1082" spans="3:10" x14ac:dyDescent="0.25">
      <c r="C1082" t="str">
        <f>IF(Filtering!F1082&gt;0,Filtering!B1082,"N/A")</f>
        <v>N/A</v>
      </c>
      <c r="D1082" t="str">
        <f>IF('Data Validation'!C1082=Filtering!B1082,Filtering!C1082,"N/A")</f>
        <v>N/A</v>
      </c>
      <c r="J1082" t="str">
        <f>IF(_xlfn.CONCAT(Filtering!A1082,Filtering!B1082,Filtering!C1082)=$M$2,Filtering!D1082,"N/A")</f>
        <v>N/A</v>
      </c>
    </row>
    <row r="1083" spans="3:10" x14ac:dyDescent="0.25">
      <c r="C1083" t="str">
        <f>IF(Filtering!F1083&gt;0,Filtering!B1083,"N/A")</f>
        <v>N/A</v>
      </c>
      <c r="D1083" t="str">
        <f>IF('Data Validation'!C1083=Filtering!B1083,Filtering!C1083,"N/A")</f>
        <v>N/A</v>
      </c>
      <c r="J1083" t="str">
        <f>IF(_xlfn.CONCAT(Filtering!A1083,Filtering!B1083,Filtering!C1083)=$M$2,Filtering!D1083,"N/A")</f>
        <v>N/A</v>
      </c>
    </row>
    <row r="1084" spans="3:10" x14ac:dyDescent="0.25">
      <c r="C1084" t="str">
        <f>IF(Filtering!F1084&gt;0,Filtering!B1084,"N/A")</f>
        <v>N/A</v>
      </c>
      <c r="D1084" t="str">
        <f>IF('Data Validation'!C1084=Filtering!B1084,Filtering!C1084,"N/A")</f>
        <v>N/A</v>
      </c>
      <c r="J1084" t="str">
        <f>IF(_xlfn.CONCAT(Filtering!A1084,Filtering!B1084,Filtering!C1084)=$M$2,Filtering!D1084,"N/A")</f>
        <v>N/A</v>
      </c>
    </row>
    <row r="1085" spans="3:10" x14ac:dyDescent="0.25">
      <c r="C1085" t="str">
        <f>IF(Filtering!F1085&gt;0,Filtering!B1085,"N/A")</f>
        <v>N/A</v>
      </c>
      <c r="D1085" t="str">
        <f>IF('Data Validation'!C1085=Filtering!B1085,Filtering!C1085,"N/A")</f>
        <v>N/A</v>
      </c>
      <c r="J1085" t="str">
        <f>IF(_xlfn.CONCAT(Filtering!A1085,Filtering!B1085,Filtering!C1085)=$M$2,Filtering!D1085,"N/A")</f>
        <v>N/A</v>
      </c>
    </row>
    <row r="1086" spans="3:10" x14ac:dyDescent="0.25">
      <c r="C1086" t="str">
        <f>IF(Filtering!F1086&gt;0,Filtering!B1086,"N/A")</f>
        <v>N/A</v>
      </c>
      <c r="D1086" t="str">
        <f>IF('Data Validation'!C1086=Filtering!B1086,Filtering!C1086,"N/A")</f>
        <v>N/A</v>
      </c>
      <c r="J1086" t="str">
        <f>IF(_xlfn.CONCAT(Filtering!A1086,Filtering!B1086,Filtering!C1086)=$M$2,Filtering!D1086,"N/A")</f>
        <v>N/A</v>
      </c>
    </row>
    <row r="1087" spans="3:10" x14ac:dyDescent="0.25">
      <c r="C1087" t="str">
        <f>IF(Filtering!F1087&gt;0,Filtering!B1087,"N/A")</f>
        <v>N/A</v>
      </c>
      <c r="D1087" t="str">
        <f>IF('Data Validation'!C1087=Filtering!B1087,Filtering!C1087,"N/A")</f>
        <v>N/A</v>
      </c>
      <c r="J1087" t="str">
        <f>IF(_xlfn.CONCAT(Filtering!A1087,Filtering!B1087,Filtering!C1087)=$M$2,Filtering!D1087,"N/A")</f>
        <v>N/A</v>
      </c>
    </row>
    <row r="1088" spans="3:10" x14ac:dyDescent="0.25">
      <c r="C1088" t="str">
        <f>IF(Filtering!F1088&gt;0,Filtering!B1088,"N/A")</f>
        <v>N/A</v>
      </c>
      <c r="D1088" t="str">
        <f>IF('Data Validation'!C1088=Filtering!B1088,Filtering!C1088,"N/A")</f>
        <v>N/A</v>
      </c>
      <c r="J1088" t="str">
        <f>IF(_xlfn.CONCAT(Filtering!A1088,Filtering!B1088,Filtering!C1088)=$M$2,Filtering!D1088,"N/A")</f>
        <v>N/A</v>
      </c>
    </row>
    <row r="1089" spans="3:10" x14ac:dyDescent="0.25">
      <c r="C1089" t="str">
        <f>IF(Filtering!F1089&gt;0,Filtering!B1089,"N/A")</f>
        <v>N/A</v>
      </c>
      <c r="D1089" t="str">
        <f>IF('Data Validation'!C1089=Filtering!B1089,Filtering!C1089,"N/A")</f>
        <v>N/A</v>
      </c>
      <c r="J1089" t="str">
        <f>IF(_xlfn.CONCAT(Filtering!A1089,Filtering!B1089,Filtering!C1089)=$M$2,Filtering!D1089,"N/A")</f>
        <v>N/A</v>
      </c>
    </row>
    <row r="1090" spans="3:10" x14ac:dyDescent="0.25">
      <c r="C1090" t="str">
        <f>IF(Filtering!F1090&gt;0,Filtering!B1090,"N/A")</f>
        <v>N/A</v>
      </c>
      <c r="D1090" t="str">
        <f>IF('Data Validation'!C1090=Filtering!B1090,Filtering!C1090,"N/A")</f>
        <v>N/A</v>
      </c>
      <c r="J1090" t="str">
        <f>IF(_xlfn.CONCAT(Filtering!A1090,Filtering!B1090,Filtering!C1090)=$M$2,Filtering!D1090,"N/A")</f>
        <v>N/A</v>
      </c>
    </row>
    <row r="1091" spans="3:10" x14ac:dyDescent="0.25">
      <c r="C1091" t="str">
        <f>IF(Filtering!F1091&gt;0,Filtering!B1091,"N/A")</f>
        <v>N/A</v>
      </c>
      <c r="D1091" t="str">
        <f>IF('Data Validation'!C1091=Filtering!B1091,Filtering!C1091,"N/A")</f>
        <v>N/A</v>
      </c>
      <c r="J1091" t="str">
        <f>IF(_xlfn.CONCAT(Filtering!A1091,Filtering!B1091,Filtering!C1091)=$M$2,Filtering!D1091,"N/A")</f>
        <v>N/A</v>
      </c>
    </row>
    <row r="1092" spans="3:10" x14ac:dyDescent="0.25">
      <c r="C1092" t="str">
        <f>IF(Filtering!F1092&gt;0,Filtering!B1092,"N/A")</f>
        <v>N/A</v>
      </c>
      <c r="D1092" t="str">
        <f>IF('Data Validation'!C1092=Filtering!B1092,Filtering!C1092,"N/A")</f>
        <v>N/A</v>
      </c>
      <c r="J1092" t="str">
        <f>IF(_xlfn.CONCAT(Filtering!A1092,Filtering!B1092,Filtering!C1092)=$M$2,Filtering!D1092,"N/A")</f>
        <v>N/A</v>
      </c>
    </row>
    <row r="1093" spans="3:10" x14ac:dyDescent="0.25">
      <c r="C1093" t="str">
        <f>IF(Filtering!F1093&gt;0,Filtering!B1093,"N/A")</f>
        <v>N/A</v>
      </c>
      <c r="D1093" t="str">
        <f>IF('Data Validation'!C1093=Filtering!B1093,Filtering!C1093,"N/A")</f>
        <v>N/A</v>
      </c>
      <c r="J1093" t="str">
        <f>IF(_xlfn.CONCAT(Filtering!A1093,Filtering!B1093,Filtering!C1093)=$M$2,Filtering!D1093,"N/A")</f>
        <v>N/A</v>
      </c>
    </row>
    <row r="1094" spans="3:10" x14ac:dyDescent="0.25">
      <c r="C1094" t="str">
        <f>IF(Filtering!F1094&gt;0,Filtering!B1094,"N/A")</f>
        <v>N/A</v>
      </c>
      <c r="D1094" t="str">
        <f>IF('Data Validation'!C1094=Filtering!B1094,Filtering!C1094,"N/A")</f>
        <v>N/A</v>
      </c>
      <c r="J1094" t="str">
        <f>IF(_xlfn.CONCAT(Filtering!A1094,Filtering!B1094,Filtering!C1094)=$M$2,Filtering!D1094,"N/A")</f>
        <v>N/A</v>
      </c>
    </row>
    <row r="1095" spans="3:10" x14ac:dyDescent="0.25">
      <c r="C1095" t="str">
        <f>IF(Filtering!F1095&gt;0,Filtering!B1095,"N/A")</f>
        <v>N/A</v>
      </c>
      <c r="D1095" t="str">
        <f>IF('Data Validation'!C1095=Filtering!B1095,Filtering!C1095,"N/A")</f>
        <v>N/A</v>
      </c>
      <c r="J1095" t="str">
        <f>IF(_xlfn.CONCAT(Filtering!A1095,Filtering!B1095,Filtering!C1095)=$M$2,Filtering!D1095,"N/A")</f>
        <v>N/A</v>
      </c>
    </row>
    <row r="1096" spans="3:10" x14ac:dyDescent="0.25">
      <c r="C1096" t="str">
        <f>IF(Filtering!F1096&gt;0,Filtering!B1096,"N/A")</f>
        <v>N/A</v>
      </c>
      <c r="D1096" t="str">
        <f>IF('Data Validation'!C1096=Filtering!B1096,Filtering!C1096,"N/A")</f>
        <v>N/A</v>
      </c>
      <c r="J1096" t="str">
        <f>IF(_xlfn.CONCAT(Filtering!A1096,Filtering!B1096,Filtering!C1096)=$M$2,Filtering!D1096,"N/A")</f>
        <v>N/A</v>
      </c>
    </row>
    <row r="1097" spans="3:10" x14ac:dyDescent="0.25">
      <c r="C1097" t="str">
        <f>IF(Filtering!F1097&gt;0,Filtering!B1097,"N/A")</f>
        <v>N/A</v>
      </c>
      <c r="D1097" t="str">
        <f>IF('Data Validation'!C1097=Filtering!B1097,Filtering!C1097,"N/A")</f>
        <v>N/A</v>
      </c>
      <c r="J1097" t="str">
        <f>IF(_xlfn.CONCAT(Filtering!A1097,Filtering!B1097,Filtering!C1097)=$M$2,Filtering!D1097,"N/A")</f>
        <v>N/A</v>
      </c>
    </row>
    <row r="1098" spans="3:10" x14ac:dyDescent="0.25">
      <c r="C1098" t="str">
        <f>IF(Filtering!F1098&gt;0,Filtering!B1098,"N/A")</f>
        <v>N/A</v>
      </c>
      <c r="D1098" t="str">
        <f>IF('Data Validation'!C1098=Filtering!B1098,Filtering!C1098,"N/A")</f>
        <v>N/A</v>
      </c>
      <c r="J1098" t="str">
        <f>IF(_xlfn.CONCAT(Filtering!A1098,Filtering!B1098,Filtering!C1098)=$M$2,Filtering!D1098,"N/A")</f>
        <v>N/A</v>
      </c>
    </row>
    <row r="1099" spans="3:10" x14ac:dyDescent="0.25">
      <c r="C1099" t="str">
        <f>IF(Filtering!F1099&gt;0,Filtering!B1099,"N/A")</f>
        <v>N/A</v>
      </c>
      <c r="D1099" t="str">
        <f>IF('Data Validation'!C1099=Filtering!B1099,Filtering!C1099,"N/A")</f>
        <v>N/A</v>
      </c>
      <c r="J1099" t="str">
        <f>IF(_xlfn.CONCAT(Filtering!A1099,Filtering!B1099,Filtering!C1099)=$M$2,Filtering!D1099,"N/A")</f>
        <v>N/A</v>
      </c>
    </row>
    <row r="1100" spans="3:10" x14ac:dyDescent="0.25">
      <c r="C1100" t="str">
        <f>IF(Filtering!F1100&gt;0,Filtering!B1100,"N/A")</f>
        <v>N/A</v>
      </c>
      <c r="D1100" t="str">
        <f>IF('Data Validation'!C1100=Filtering!B1100,Filtering!C1100,"N/A")</f>
        <v>N/A</v>
      </c>
      <c r="J1100" t="str">
        <f>IF(_xlfn.CONCAT(Filtering!A1100,Filtering!B1100,Filtering!C1100)=$M$2,Filtering!D1100,"N/A")</f>
        <v>N/A</v>
      </c>
    </row>
    <row r="1101" spans="3:10" x14ac:dyDescent="0.25">
      <c r="C1101" t="str">
        <f>IF(Filtering!F1101&gt;0,Filtering!B1101,"N/A")</f>
        <v>N/A</v>
      </c>
      <c r="D1101" t="str">
        <f>IF('Data Validation'!C1101=Filtering!B1101,Filtering!C1101,"N/A")</f>
        <v>N/A</v>
      </c>
      <c r="J1101" t="str">
        <f>IF(_xlfn.CONCAT(Filtering!A1101,Filtering!B1101,Filtering!C1101)=$M$2,Filtering!D1101,"N/A")</f>
        <v>N/A</v>
      </c>
    </row>
    <row r="1102" spans="3:10" x14ac:dyDescent="0.25">
      <c r="C1102" t="str">
        <f>IF(Filtering!F1102&gt;0,Filtering!B1102,"N/A")</f>
        <v>N/A</v>
      </c>
      <c r="D1102" t="str">
        <f>IF('Data Validation'!C1102=Filtering!B1102,Filtering!C1102,"N/A")</f>
        <v>N/A</v>
      </c>
      <c r="J1102" t="str">
        <f>IF(_xlfn.CONCAT(Filtering!A1102,Filtering!B1102,Filtering!C1102)=$M$2,Filtering!D1102,"N/A")</f>
        <v>N/A</v>
      </c>
    </row>
    <row r="1103" spans="3:10" x14ac:dyDescent="0.25">
      <c r="C1103" t="str">
        <f>IF(Filtering!F1103&gt;0,Filtering!B1103,"N/A")</f>
        <v>N/A</v>
      </c>
      <c r="D1103" t="str">
        <f>IF('Data Validation'!C1103=Filtering!B1103,Filtering!C1103,"N/A")</f>
        <v>N/A</v>
      </c>
      <c r="J1103" t="str">
        <f>IF(_xlfn.CONCAT(Filtering!A1103,Filtering!B1103,Filtering!C1103)=$M$2,Filtering!D1103,"N/A")</f>
        <v>N/A</v>
      </c>
    </row>
    <row r="1104" spans="3:10" x14ac:dyDescent="0.25">
      <c r="C1104" t="str">
        <f>IF(Filtering!F1104&gt;0,Filtering!B1104,"N/A")</f>
        <v>N/A</v>
      </c>
      <c r="D1104" t="str">
        <f>IF('Data Validation'!C1104=Filtering!B1104,Filtering!C1104,"N/A")</f>
        <v>N/A</v>
      </c>
      <c r="J1104" t="str">
        <f>IF(_xlfn.CONCAT(Filtering!A1104,Filtering!B1104,Filtering!C1104)=$M$2,Filtering!D1104,"N/A")</f>
        <v>N/A</v>
      </c>
    </row>
    <row r="1105" spans="3:10" x14ac:dyDescent="0.25">
      <c r="C1105" t="str">
        <f>IF(Filtering!F1105&gt;0,Filtering!B1105,"N/A")</f>
        <v>N/A</v>
      </c>
      <c r="D1105" t="str">
        <f>IF('Data Validation'!C1105=Filtering!B1105,Filtering!C1105,"N/A")</f>
        <v>N/A</v>
      </c>
      <c r="J1105" t="str">
        <f>IF(_xlfn.CONCAT(Filtering!A1105,Filtering!B1105,Filtering!C1105)=$M$2,Filtering!D1105,"N/A")</f>
        <v>N/A</v>
      </c>
    </row>
    <row r="1106" spans="3:10" x14ac:dyDescent="0.25">
      <c r="C1106" t="str">
        <f>IF(Filtering!F1106&gt;0,Filtering!B1106,"N/A")</f>
        <v>N/A</v>
      </c>
      <c r="D1106" t="str">
        <f>IF('Data Validation'!C1106=Filtering!B1106,Filtering!C1106,"N/A")</f>
        <v>N/A</v>
      </c>
      <c r="J1106" t="str">
        <f>IF(_xlfn.CONCAT(Filtering!A1106,Filtering!B1106,Filtering!C1106)=$M$2,Filtering!D1106,"N/A")</f>
        <v>N/A</v>
      </c>
    </row>
    <row r="1107" spans="3:10" x14ac:dyDescent="0.25">
      <c r="C1107" t="str">
        <f>IF(Filtering!F1107&gt;0,Filtering!B1107,"N/A")</f>
        <v>N/A</v>
      </c>
      <c r="D1107" t="str">
        <f>IF('Data Validation'!C1107=Filtering!B1107,Filtering!C1107,"N/A")</f>
        <v>N/A</v>
      </c>
      <c r="J1107" t="str">
        <f>IF(_xlfn.CONCAT(Filtering!A1107,Filtering!B1107,Filtering!C1107)=$M$2,Filtering!D1107,"N/A")</f>
        <v>N/A</v>
      </c>
    </row>
    <row r="1108" spans="3:10" x14ac:dyDescent="0.25">
      <c r="C1108" t="str">
        <f>IF(Filtering!F1108&gt;0,Filtering!B1108,"N/A")</f>
        <v>N/A</v>
      </c>
      <c r="D1108" t="str">
        <f>IF('Data Validation'!C1108=Filtering!B1108,Filtering!C1108,"N/A")</f>
        <v>N/A</v>
      </c>
      <c r="J1108" t="str">
        <f>IF(_xlfn.CONCAT(Filtering!A1108,Filtering!B1108,Filtering!C1108)=$M$2,Filtering!D1108,"N/A")</f>
        <v>N/A</v>
      </c>
    </row>
    <row r="1109" spans="3:10" x14ac:dyDescent="0.25">
      <c r="C1109" t="str">
        <f>IF(Filtering!F1109&gt;0,Filtering!B1109,"N/A")</f>
        <v>N/A</v>
      </c>
      <c r="D1109" t="str">
        <f>IF('Data Validation'!C1109=Filtering!B1109,Filtering!C1109,"N/A")</f>
        <v>N/A</v>
      </c>
      <c r="J1109" t="str">
        <f>IF(_xlfn.CONCAT(Filtering!A1109,Filtering!B1109,Filtering!C1109)=$M$2,Filtering!D1109,"N/A")</f>
        <v>N/A</v>
      </c>
    </row>
    <row r="1110" spans="3:10" x14ac:dyDescent="0.25">
      <c r="C1110" t="str">
        <f>IF(Filtering!F1110&gt;0,Filtering!B1110,"N/A")</f>
        <v>N/A</v>
      </c>
      <c r="D1110" t="str">
        <f>IF('Data Validation'!C1110=Filtering!B1110,Filtering!C1110,"N/A")</f>
        <v>N/A</v>
      </c>
      <c r="J1110" t="str">
        <f>IF(_xlfn.CONCAT(Filtering!A1110,Filtering!B1110,Filtering!C1110)=$M$2,Filtering!D1110,"N/A")</f>
        <v>N/A</v>
      </c>
    </row>
    <row r="1111" spans="3:10" x14ac:dyDescent="0.25">
      <c r="C1111" t="str">
        <f>IF(Filtering!F1111&gt;0,Filtering!B1111,"N/A")</f>
        <v>N/A</v>
      </c>
      <c r="D1111" t="str">
        <f>IF('Data Validation'!C1111=Filtering!B1111,Filtering!C1111,"N/A")</f>
        <v>N/A</v>
      </c>
      <c r="J1111" t="str">
        <f>IF(_xlfn.CONCAT(Filtering!A1111,Filtering!B1111,Filtering!C1111)=$M$2,Filtering!D1111,"N/A")</f>
        <v>N/A</v>
      </c>
    </row>
    <row r="1112" spans="3:10" x14ac:dyDescent="0.25">
      <c r="C1112" t="str">
        <f>IF(Filtering!F1112&gt;0,Filtering!B1112,"N/A")</f>
        <v>N/A</v>
      </c>
      <c r="D1112" t="str">
        <f>IF('Data Validation'!C1112=Filtering!B1112,Filtering!C1112,"N/A")</f>
        <v>N/A</v>
      </c>
      <c r="J1112" t="str">
        <f>IF(_xlfn.CONCAT(Filtering!A1112,Filtering!B1112,Filtering!C1112)=$M$2,Filtering!D1112,"N/A")</f>
        <v>N/A</v>
      </c>
    </row>
    <row r="1113" spans="3:10" x14ac:dyDescent="0.25">
      <c r="C1113" t="str">
        <f>IF(Filtering!F1113&gt;0,Filtering!B1113,"N/A")</f>
        <v>N/A</v>
      </c>
      <c r="D1113" t="str">
        <f>IF('Data Validation'!C1113=Filtering!B1113,Filtering!C1113,"N/A")</f>
        <v>N/A</v>
      </c>
      <c r="J1113" t="str">
        <f>IF(_xlfn.CONCAT(Filtering!A1113,Filtering!B1113,Filtering!C1113)=$M$2,Filtering!D1113,"N/A")</f>
        <v>N/A</v>
      </c>
    </row>
    <row r="1114" spans="3:10" x14ac:dyDescent="0.25">
      <c r="C1114" t="str">
        <f>IF(Filtering!F1114&gt;0,Filtering!B1114,"N/A")</f>
        <v>N/A</v>
      </c>
      <c r="D1114" t="str">
        <f>IF('Data Validation'!C1114=Filtering!B1114,Filtering!C1114,"N/A")</f>
        <v>N/A</v>
      </c>
      <c r="J1114" t="str">
        <f>IF(_xlfn.CONCAT(Filtering!A1114,Filtering!B1114,Filtering!C1114)=$M$2,Filtering!D1114,"N/A")</f>
        <v>N/A</v>
      </c>
    </row>
    <row r="1115" spans="3:10" x14ac:dyDescent="0.25">
      <c r="C1115" t="str">
        <f>IF(Filtering!F1115&gt;0,Filtering!B1115,"N/A")</f>
        <v>N/A</v>
      </c>
      <c r="D1115" t="str">
        <f>IF('Data Validation'!C1115=Filtering!B1115,Filtering!C1115,"N/A")</f>
        <v>N/A</v>
      </c>
      <c r="J1115" t="str">
        <f>IF(_xlfn.CONCAT(Filtering!A1115,Filtering!B1115,Filtering!C1115)=$M$2,Filtering!D1115,"N/A")</f>
        <v>N/A</v>
      </c>
    </row>
    <row r="1116" spans="3:10" x14ac:dyDescent="0.25">
      <c r="C1116" t="str">
        <f>IF(Filtering!F1116&gt;0,Filtering!B1116,"N/A")</f>
        <v>N/A</v>
      </c>
      <c r="D1116" t="str">
        <f>IF('Data Validation'!C1116=Filtering!B1116,Filtering!C1116,"N/A")</f>
        <v>N/A</v>
      </c>
      <c r="J1116" t="str">
        <f>IF(_xlfn.CONCAT(Filtering!A1116,Filtering!B1116,Filtering!C1116)=$M$2,Filtering!D1116,"N/A")</f>
        <v>N/A</v>
      </c>
    </row>
    <row r="1117" spans="3:10" x14ac:dyDescent="0.25">
      <c r="C1117" t="str">
        <f>IF(Filtering!F1117&gt;0,Filtering!B1117,"N/A")</f>
        <v>N/A</v>
      </c>
      <c r="D1117" t="str">
        <f>IF('Data Validation'!C1117=Filtering!B1117,Filtering!C1117,"N/A")</f>
        <v>N/A</v>
      </c>
      <c r="J1117" t="str">
        <f>IF(_xlfn.CONCAT(Filtering!A1117,Filtering!B1117,Filtering!C1117)=$M$2,Filtering!D1117,"N/A")</f>
        <v>N/A</v>
      </c>
    </row>
    <row r="1118" spans="3:10" x14ac:dyDescent="0.25">
      <c r="C1118" t="str">
        <f>IF(Filtering!F1118&gt;0,Filtering!B1118,"N/A")</f>
        <v>N/A</v>
      </c>
      <c r="D1118" t="str">
        <f>IF('Data Validation'!C1118=Filtering!B1118,Filtering!C1118,"N/A")</f>
        <v>N/A</v>
      </c>
      <c r="J1118" t="str">
        <f>IF(_xlfn.CONCAT(Filtering!A1118,Filtering!B1118,Filtering!C1118)=$M$2,Filtering!D1118,"N/A")</f>
        <v>N/A</v>
      </c>
    </row>
    <row r="1119" spans="3:10" x14ac:dyDescent="0.25">
      <c r="C1119" t="str">
        <f>IF(Filtering!F1119&gt;0,Filtering!B1119,"N/A")</f>
        <v>N/A</v>
      </c>
      <c r="D1119" t="str">
        <f>IF('Data Validation'!C1119=Filtering!B1119,Filtering!C1119,"N/A")</f>
        <v>N/A</v>
      </c>
      <c r="J1119" t="str">
        <f>IF(_xlfn.CONCAT(Filtering!A1119,Filtering!B1119,Filtering!C1119)=$M$2,Filtering!D1119,"N/A")</f>
        <v>N/A</v>
      </c>
    </row>
    <row r="1120" spans="3:10" x14ac:dyDescent="0.25">
      <c r="C1120" t="str">
        <f>IF(Filtering!F1120&gt;0,Filtering!B1120,"N/A")</f>
        <v>N/A</v>
      </c>
      <c r="D1120" t="str">
        <f>IF('Data Validation'!C1120=Filtering!B1120,Filtering!C1120,"N/A")</f>
        <v>N/A</v>
      </c>
      <c r="J1120" t="str">
        <f>IF(_xlfn.CONCAT(Filtering!A1120,Filtering!B1120,Filtering!C1120)=$M$2,Filtering!D1120,"N/A")</f>
        <v>N/A</v>
      </c>
    </row>
    <row r="1121" spans="3:10" x14ac:dyDescent="0.25">
      <c r="C1121" t="str">
        <f>IF(Filtering!F1121&gt;0,Filtering!B1121,"N/A")</f>
        <v>N/A</v>
      </c>
      <c r="D1121" t="str">
        <f>IF('Data Validation'!C1121=Filtering!B1121,Filtering!C1121,"N/A")</f>
        <v>N/A</v>
      </c>
      <c r="J1121" t="str">
        <f>IF(_xlfn.CONCAT(Filtering!A1121,Filtering!B1121,Filtering!C1121)=$M$2,Filtering!D1121,"N/A")</f>
        <v>N/A</v>
      </c>
    </row>
    <row r="1122" spans="3:10" x14ac:dyDescent="0.25">
      <c r="C1122" t="str">
        <f>IF(Filtering!F1122&gt;0,Filtering!B1122,"N/A")</f>
        <v>N/A</v>
      </c>
      <c r="D1122" t="str">
        <f>IF('Data Validation'!C1122=Filtering!B1122,Filtering!C1122,"N/A")</f>
        <v>N/A</v>
      </c>
      <c r="J1122" t="str">
        <f>IF(_xlfn.CONCAT(Filtering!A1122,Filtering!B1122,Filtering!C1122)=$M$2,Filtering!D1122,"N/A")</f>
        <v>N/A</v>
      </c>
    </row>
    <row r="1123" spans="3:10" x14ac:dyDescent="0.25">
      <c r="C1123" t="str">
        <f>IF(Filtering!F1123&gt;0,Filtering!B1123,"N/A")</f>
        <v>N/A</v>
      </c>
      <c r="D1123" t="str">
        <f>IF('Data Validation'!C1123=Filtering!B1123,Filtering!C1123,"N/A")</f>
        <v>N/A</v>
      </c>
      <c r="J1123" t="str">
        <f>IF(_xlfn.CONCAT(Filtering!A1123,Filtering!B1123,Filtering!C1123)=$M$2,Filtering!D1123,"N/A")</f>
        <v>N/A</v>
      </c>
    </row>
    <row r="1124" spans="3:10" x14ac:dyDescent="0.25">
      <c r="C1124" t="str">
        <f>IF(Filtering!F1124&gt;0,Filtering!B1124,"N/A")</f>
        <v>N/A</v>
      </c>
      <c r="D1124" t="str">
        <f>IF('Data Validation'!C1124=Filtering!B1124,Filtering!C1124,"N/A")</f>
        <v>N/A</v>
      </c>
      <c r="J1124" t="str">
        <f>IF(_xlfn.CONCAT(Filtering!A1124,Filtering!B1124,Filtering!C1124)=$M$2,Filtering!D1124,"N/A")</f>
        <v>N/A</v>
      </c>
    </row>
    <row r="1125" spans="3:10" x14ac:dyDescent="0.25">
      <c r="C1125" t="str">
        <f>IF(Filtering!F1125&gt;0,Filtering!B1125,"N/A")</f>
        <v>N/A</v>
      </c>
      <c r="D1125" t="str">
        <f>IF('Data Validation'!C1125=Filtering!B1125,Filtering!C1125,"N/A")</f>
        <v>N/A</v>
      </c>
      <c r="J1125" t="str">
        <f>IF(_xlfn.CONCAT(Filtering!A1125,Filtering!B1125,Filtering!C1125)=$M$2,Filtering!D1125,"N/A")</f>
        <v>N/A</v>
      </c>
    </row>
    <row r="1126" spans="3:10" x14ac:dyDescent="0.25">
      <c r="C1126" t="str">
        <f>IF(Filtering!F1126&gt;0,Filtering!B1126,"N/A")</f>
        <v>N/A</v>
      </c>
      <c r="D1126" t="str">
        <f>IF('Data Validation'!C1126=Filtering!B1126,Filtering!C1126,"N/A")</f>
        <v>N/A</v>
      </c>
      <c r="J1126" t="str">
        <f>IF(_xlfn.CONCAT(Filtering!A1126,Filtering!B1126,Filtering!C1126)=$M$2,Filtering!D1126,"N/A")</f>
        <v>N/A</v>
      </c>
    </row>
    <row r="1127" spans="3:10" x14ac:dyDescent="0.25">
      <c r="C1127" t="str">
        <f>IF(Filtering!F1127&gt;0,Filtering!B1127,"N/A")</f>
        <v>N/A</v>
      </c>
      <c r="D1127" t="str">
        <f>IF('Data Validation'!C1127=Filtering!B1127,Filtering!C1127,"N/A")</f>
        <v>N/A</v>
      </c>
      <c r="J1127" t="str">
        <f>IF(_xlfn.CONCAT(Filtering!A1127,Filtering!B1127,Filtering!C1127)=$M$2,Filtering!D1127,"N/A")</f>
        <v>N/A</v>
      </c>
    </row>
    <row r="1128" spans="3:10" x14ac:dyDescent="0.25">
      <c r="C1128" t="str">
        <f>IF(Filtering!F1128&gt;0,Filtering!B1128,"N/A")</f>
        <v>N/A</v>
      </c>
      <c r="D1128" t="str">
        <f>IF('Data Validation'!C1128=Filtering!B1128,Filtering!C1128,"N/A")</f>
        <v>N/A</v>
      </c>
      <c r="J1128" t="str">
        <f>IF(_xlfn.CONCAT(Filtering!A1128,Filtering!B1128,Filtering!C1128)=$M$2,Filtering!D1128,"N/A")</f>
        <v>N/A</v>
      </c>
    </row>
    <row r="1129" spans="3:10" x14ac:dyDescent="0.25">
      <c r="C1129" t="str">
        <f>IF(Filtering!F1129&gt;0,Filtering!B1129,"N/A")</f>
        <v>N/A</v>
      </c>
      <c r="D1129" t="str">
        <f>IF('Data Validation'!C1129=Filtering!B1129,Filtering!C1129,"N/A")</f>
        <v>N/A</v>
      </c>
      <c r="J1129" t="str">
        <f>IF(_xlfn.CONCAT(Filtering!A1129,Filtering!B1129,Filtering!C1129)=$M$2,Filtering!D1129,"N/A")</f>
        <v>N/A</v>
      </c>
    </row>
    <row r="1130" spans="3:10" x14ac:dyDescent="0.25">
      <c r="C1130" t="str">
        <f>IF(Filtering!F1130&gt;0,Filtering!B1130,"N/A")</f>
        <v>N/A</v>
      </c>
      <c r="D1130" t="str">
        <f>IF('Data Validation'!C1130=Filtering!B1130,Filtering!C1130,"N/A")</f>
        <v>N/A</v>
      </c>
      <c r="J1130" t="str">
        <f>IF(_xlfn.CONCAT(Filtering!A1130,Filtering!B1130,Filtering!C1130)=$M$2,Filtering!D1130,"N/A")</f>
        <v>N/A</v>
      </c>
    </row>
    <row r="1131" spans="3:10" x14ac:dyDescent="0.25">
      <c r="C1131" t="str">
        <f>IF(Filtering!F1131&gt;0,Filtering!B1131,"N/A")</f>
        <v>N/A</v>
      </c>
      <c r="D1131" t="str">
        <f>IF('Data Validation'!C1131=Filtering!B1131,Filtering!C1131,"N/A")</f>
        <v>N/A</v>
      </c>
      <c r="J1131" t="str">
        <f>IF(_xlfn.CONCAT(Filtering!A1131,Filtering!B1131,Filtering!C1131)=$M$2,Filtering!D1131,"N/A")</f>
        <v>N/A</v>
      </c>
    </row>
    <row r="1132" spans="3:10" x14ac:dyDescent="0.25">
      <c r="C1132" t="str">
        <f>IF(Filtering!F1132&gt;0,Filtering!B1132,"N/A")</f>
        <v>N/A</v>
      </c>
      <c r="D1132" t="str">
        <f>IF('Data Validation'!C1132=Filtering!B1132,Filtering!C1132,"N/A")</f>
        <v>N/A</v>
      </c>
      <c r="J1132" t="str">
        <f>IF(_xlfn.CONCAT(Filtering!A1132,Filtering!B1132,Filtering!C1132)=$M$2,Filtering!D1132,"N/A")</f>
        <v>N/A</v>
      </c>
    </row>
    <row r="1133" spans="3:10" x14ac:dyDescent="0.25">
      <c r="C1133" t="str">
        <f>IF(Filtering!F1133&gt;0,Filtering!B1133,"N/A")</f>
        <v>N/A</v>
      </c>
      <c r="D1133" t="str">
        <f>IF('Data Validation'!C1133=Filtering!B1133,Filtering!C1133,"N/A")</f>
        <v>N/A</v>
      </c>
      <c r="J1133" t="str">
        <f>IF(_xlfn.CONCAT(Filtering!A1133,Filtering!B1133,Filtering!C1133)=$M$2,Filtering!D1133,"N/A")</f>
        <v>N/A</v>
      </c>
    </row>
    <row r="1134" spans="3:10" x14ac:dyDescent="0.25">
      <c r="C1134" t="str">
        <f>IF(Filtering!F1134&gt;0,Filtering!B1134,"N/A")</f>
        <v>Intel Core i5 7300HQ</v>
      </c>
      <c r="D1134" t="str">
        <f>IF('Data Validation'!C1134=Filtering!B1134,Filtering!C1134,"N/A")</f>
        <v>Intel GeForce GTX 1050</v>
      </c>
      <c r="J1134">
        <f>IF(_xlfn.CONCAT(Filtering!A1134,Filtering!B1134,Filtering!C1134)=$M$2,Filtering!D1134,"N/A")</f>
        <v>997.9</v>
      </c>
    </row>
    <row r="1135" spans="3:10" x14ac:dyDescent="0.25">
      <c r="C1135" t="str">
        <f>IF(Filtering!F1135&gt;0,Filtering!B1135,"N/A")</f>
        <v>Intel Core i5 7300HQ</v>
      </c>
      <c r="D1135" t="str">
        <f>IF('Data Validation'!C1135=Filtering!B1135,Filtering!C1135,"N/A")</f>
        <v>Intel GeForce GTX 1050</v>
      </c>
      <c r="J1135">
        <f>IF(_xlfn.CONCAT(Filtering!A1135,Filtering!B1135,Filtering!C1135)=$M$2,Filtering!D1135,"N/A")</f>
        <v>1027.74</v>
      </c>
    </row>
    <row r="1136" spans="3:10" x14ac:dyDescent="0.25">
      <c r="C1136" t="str">
        <f>IF(Filtering!F1136&gt;0,Filtering!B1136,"N/A")</f>
        <v>Intel Core i5 7300HQ</v>
      </c>
      <c r="D1136" t="str">
        <f>IF('Data Validation'!C1136=Filtering!B1136,Filtering!C1136,"N/A")</f>
        <v>Intel GeForce GTX 1050</v>
      </c>
      <c r="J1136">
        <f>IF(_xlfn.CONCAT(Filtering!A1136,Filtering!B1136,Filtering!C1136)=$M$2,Filtering!D1136,"N/A")</f>
        <v>1089</v>
      </c>
    </row>
    <row r="1137" spans="3:10" x14ac:dyDescent="0.25">
      <c r="C1137" t="str">
        <f>IF(Filtering!F1137&gt;0,Filtering!B1137,"N/A")</f>
        <v>Intel Core i5 7300HQ</v>
      </c>
      <c r="D1137" t="str">
        <f>IF('Data Validation'!C1137=Filtering!B1137,Filtering!C1137,"N/A")</f>
        <v>Intel GeForce GTX 1050</v>
      </c>
      <c r="J1137">
        <f>IF(_xlfn.CONCAT(Filtering!A1137,Filtering!B1137,Filtering!C1137)=$M$2,Filtering!D1137,"N/A")</f>
        <v>1095</v>
      </c>
    </row>
    <row r="1138" spans="3:10" x14ac:dyDescent="0.25">
      <c r="C1138" t="str">
        <f>IF(Filtering!F1138&gt;0,Filtering!B1138,"N/A")</f>
        <v>Intel Core i5 7300HQ</v>
      </c>
      <c r="D1138" t="str">
        <f>IF('Data Validation'!C1138=Filtering!B1138,Filtering!C1138,"N/A")</f>
        <v>Intel GeForce GTX 1050</v>
      </c>
      <c r="J1138">
        <f>IF(_xlfn.CONCAT(Filtering!A1138,Filtering!B1138,Filtering!C1138)=$M$2,Filtering!D1138,"N/A")</f>
        <v>1119.9100000000001</v>
      </c>
    </row>
    <row r="1139" spans="3:10" x14ac:dyDescent="0.25">
      <c r="C1139" t="str">
        <f>IF(Filtering!F1139&gt;0,Filtering!B1139,"N/A")</f>
        <v>Intel Core i5 7300HQ</v>
      </c>
      <c r="D1139" t="str">
        <f>IF('Data Validation'!C1139=Filtering!B1139,Filtering!C1139,"N/A")</f>
        <v>Intel GeForce GTX 1050</v>
      </c>
      <c r="J1139">
        <f>IF(_xlfn.CONCAT(Filtering!A1139,Filtering!B1139,Filtering!C1139)=$M$2,Filtering!D1139,"N/A")</f>
        <v>1199</v>
      </c>
    </row>
    <row r="1140" spans="3:10" x14ac:dyDescent="0.25">
      <c r="C1140" t="str">
        <f>IF(Filtering!F1140&gt;0,Filtering!B1140,"N/A")</f>
        <v>Intel Core i7 6700HQ</v>
      </c>
      <c r="D1140" t="str">
        <f>IF('Data Validation'!C1140=Filtering!B1140,Filtering!C1140,"N/A")</f>
        <v>Intel GeForce GTX 1060</v>
      </c>
      <c r="J1140" t="str">
        <f>IF(_xlfn.CONCAT(Filtering!A1140,Filtering!B1140,Filtering!C1140)=$M$2,Filtering!D1140,"N/A")</f>
        <v>N/A</v>
      </c>
    </row>
    <row r="1141" spans="3:10" x14ac:dyDescent="0.25">
      <c r="C1141" t="str">
        <f>IF(Filtering!F1141&gt;0,Filtering!B1141,"N/A")</f>
        <v>Intel Core i7 6700HQ</v>
      </c>
      <c r="D1141" t="str">
        <f>IF('Data Validation'!C1141=Filtering!B1141,Filtering!C1141,"N/A")</f>
        <v>Intel GeForce GTX 1060</v>
      </c>
      <c r="J1141" t="str">
        <f>IF(_xlfn.CONCAT(Filtering!A1141,Filtering!B1141,Filtering!C1141)=$M$2,Filtering!D1141,"N/A")</f>
        <v>N/A</v>
      </c>
    </row>
    <row r="1142" spans="3:10" x14ac:dyDescent="0.25">
      <c r="C1142" t="str">
        <f>IF(Filtering!F1142&gt;0,Filtering!B1142,"N/A")</f>
        <v>Intel Core i7 6700HQ</v>
      </c>
      <c r="D1142" t="str">
        <f>IF('Data Validation'!C1142=Filtering!B1142,Filtering!C1142,"N/A")</f>
        <v>Intel GeForce GTX 1060</v>
      </c>
      <c r="J1142" t="str">
        <f>IF(_xlfn.CONCAT(Filtering!A1142,Filtering!B1142,Filtering!C1142)=$M$2,Filtering!D1142,"N/A")</f>
        <v>N/A</v>
      </c>
    </row>
    <row r="1143" spans="3:10" x14ac:dyDescent="0.25">
      <c r="C1143" t="str">
        <f>IF(Filtering!F1143&gt;0,Filtering!B1143,"N/A")</f>
        <v>Intel Core i7 6700HQ</v>
      </c>
      <c r="D1143" t="str">
        <f>IF('Data Validation'!C1143=Filtering!B1143,Filtering!C1143,"N/A")</f>
        <v>Intel GeForce GTX 1060</v>
      </c>
      <c r="J1143" t="str">
        <f>IF(_xlfn.CONCAT(Filtering!A1143,Filtering!B1143,Filtering!C1143)=$M$2,Filtering!D1143,"N/A")</f>
        <v>N/A</v>
      </c>
    </row>
    <row r="1144" spans="3:10" x14ac:dyDescent="0.25">
      <c r="C1144" t="str">
        <f>IF(Filtering!F1144&gt;0,Filtering!B1144,"N/A")</f>
        <v>Intel Core i7 6700HQ</v>
      </c>
      <c r="D1144" t="str">
        <f>IF('Data Validation'!C1144=Filtering!B1144,Filtering!C1144,"N/A")</f>
        <v>Intel GeForce GTX 1060</v>
      </c>
      <c r="J1144" t="str">
        <f>IF(_xlfn.CONCAT(Filtering!A1144,Filtering!B1144,Filtering!C1144)=$M$2,Filtering!D1144,"N/A")</f>
        <v>N/A</v>
      </c>
    </row>
    <row r="1145" spans="3:10" x14ac:dyDescent="0.25">
      <c r="C1145" t="str">
        <f>IF(Filtering!F1145&gt;0,Filtering!B1145,"N/A")</f>
        <v>Intel Core i7 6700HQ</v>
      </c>
      <c r="D1145" t="str">
        <f>IF('Data Validation'!C1145=Filtering!B1145,Filtering!C1145,"N/A")</f>
        <v>Intel GeForce GTX 960M</v>
      </c>
      <c r="J1145" t="str">
        <f>IF(_xlfn.CONCAT(Filtering!A1145,Filtering!B1145,Filtering!C1145)=$M$2,Filtering!D1145,"N/A")</f>
        <v>N/A</v>
      </c>
    </row>
    <row r="1146" spans="3:10" x14ac:dyDescent="0.25">
      <c r="C1146" t="str">
        <f>IF(Filtering!F1146&gt;0,Filtering!B1146,"N/A")</f>
        <v>Intel Core i7 6700HQ</v>
      </c>
      <c r="D1146" t="str">
        <f>IF('Data Validation'!C1146=Filtering!B1146,Filtering!C1146,"N/A")</f>
        <v>Intel GeForce GTX 960M</v>
      </c>
      <c r="J1146" t="str">
        <f>IF(_xlfn.CONCAT(Filtering!A1146,Filtering!B1146,Filtering!C1146)=$M$2,Filtering!D1146,"N/A")</f>
        <v>N/A</v>
      </c>
    </row>
    <row r="1147" spans="3:10" x14ac:dyDescent="0.25">
      <c r="C1147" t="str">
        <f>IF(Filtering!F1147&gt;0,Filtering!B1147,"N/A")</f>
        <v>Intel Core i7 6700HQ</v>
      </c>
      <c r="D1147" t="str">
        <f>IF('Data Validation'!C1147=Filtering!B1147,Filtering!C1147,"N/A")</f>
        <v>Intel GeForce GTX 960M</v>
      </c>
      <c r="J1147" t="str">
        <f>IF(_xlfn.CONCAT(Filtering!A1147,Filtering!B1147,Filtering!C1147)=$M$2,Filtering!D1147,"N/A")</f>
        <v>N/A</v>
      </c>
    </row>
    <row r="1148" spans="3:10" x14ac:dyDescent="0.25">
      <c r="C1148" t="str">
        <f>IF(Filtering!F1148&gt;0,Filtering!B1148,"N/A")</f>
        <v>Intel Core i7 6700HQ</v>
      </c>
      <c r="D1148" t="str">
        <f>IF('Data Validation'!C1148=Filtering!B1148,Filtering!C1148,"N/A")</f>
        <v>Intel GeForce GTX 965M</v>
      </c>
      <c r="J1148" t="str">
        <f>IF(_xlfn.CONCAT(Filtering!A1148,Filtering!B1148,Filtering!C1148)=$M$2,Filtering!D1148,"N/A")</f>
        <v>N/A</v>
      </c>
    </row>
    <row r="1149" spans="3:10" x14ac:dyDescent="0.25">
      <c r="C1149" t="str">
        <f>IF(Filtering!F1149&gt;0,Filtering!B1149,"N/A")</f>
        <v>Intel Core i7 6700HQ</v>
      </c>
      <c r="D1149" t="str">
        <f>IF('Data Validation'!C1149=Filtering!B1149,Filtering!C1149,"N/A")</f>
        <v>Intel GeForce GTX 970M</v>
      </c>
      <c r="J1149" t="str">
        <f>IF(_xlfn.CONCAT(Filtering!A1149,Filtering!B1149,Filtering!C1149)=$M$2,Filtering!D1149,"N/A")</f>
        <v>N/A</v>
      </c>
    </row>
    <row r="1150" spans="3:10" x14ac:dyDescent="0.25">
      <c r="C1150" t="str">
        <f>IF(Filtering!F1150&gt;0,Filtering!B1150,"N/A")</f>
        <v>Intel Core i7 6700HQ</v>
      </c>
      <c r="D1150" t="str">
        <f>IF('Data Validation'!C1150=Filtering!B1150,Filtering!C1150,"N/A")</f>
        <v>Intel GeForce GTX 970M</v>
      </c>
      <c r="J1150" t="str">
        <f>IF(_xlfn.CONCAT(Filtering!A1150,Filtering!B1150,Filtering!C1150)=$M$2,Filtering!D1150,"N/A")</f>
        <v>N/A</v>
      </c>
    </row>
    <row r="1151" spans="3:10" x14ac:dyDescent="0.25">
      <c r="C1151" t="str">
        <f>IF(Filtering!F1151&gt;0,Filtering!B1151,"N/A")</f>
        <v>Intel Core i7 6820HK</v>
      </c>
      <c r="D1151" t="str">
        <f>IF('Data Validation'!C1151=Filtering!B1151,Filtering!C1151,"N/A")</f>
        <v>Intel GeForce GTX 970M</v>
      </c>
      <c r="J1151" t="str">
        <f>IF(_xlfn.CONCAT(Filtering!A1151,Filtering!B1151,Filtering!C1151)=$M$2,Filtering!D1151,"N/A")</f>
        <v>N/A</v>
      </c>
    </row>
    <row r="1152" spans="3:10" x14ac:dyDescent="0.25">
      <c r="C1152" t="str">
        <f>IF(Filtering!F1152&gt;0,Filtering!B1152,"N/A")</f>
        <v>Intel Core i7 6820HK</v>
      </c>
      <c r="D1152" t="str">
        <f>IF('Data Validation'!C1152=Filtering!B1152,Filtering!C1152,"N/A")</f>
        <v>Intel GeForce GTX 980M</v>
      </c>
      <c r="J1152" t="str">
        <f>IF(_xlfn.CONCAT(Filtering!A1152,Filtering!B1152,Filtering!C1152)=$M$2,Filtering!D1152,"N/A")</f>
        <v>N/A</v>
      </c>
    </row>
    <row r="1153" spans="3:10" x14ac:dyDescent="0.25">
      <c r="C1153" t="str">
        <f>IF(Filtering!F1153&gt;0,Filtering!B1153,"N/A")</f>
        <v>Intel Core i7 6820HK</v>
      </c>
      <c r="D1153" t="str">
        <f>IF('Data Validation'!C1153=Filtering!B1153,Filtering!C1153,"N/A")</f>
        <v>Intel GeForce GTX 980M</v>
      </c>
      <c r="J1153" t="str">
        <f>IF(_xlfn.CONCAT(Filtering!A1153,Filtering!B1153,Filtering!C1153)=$M$2,Filtering!D1153,"N/A")</f>
        <v>N/A</v>
      </c>
    </row>
    <row r="1154" spans="3:10" x14ac:dyDescent="0.25">
      <c r="C1154" t="str">
        <f>IF(Filtering!F1154&gt;0,Filtering!B1154,"N/A")</f>
        <v>Intel Core i7 6820HQ</v>
      </c>
      <c r="D1154" t="str">
        <f>IF('Data Validation'!C1154=Filtering!B1154,Filtering!C1154,"N/A")</f>
        <v>Intel GeForce GTX 980M</v>
      </c>
      <c r="J1154" t="str">
        <f>IF(_xlfn.CONCAT(Filtering!A1154,Filtering!B1154,Filtering!C1154)=$M$2,Filtering!D1154,"N/A")</f>
        <v>N/A</v>
      </c>
    </row>
    <row r="1155" spans="3:10" x14ac:dyDescent="0.25">
      <c r="C1155" t="str">
        <f>IF(Filtering!F1155&gt;0,Filtering!B1155,"N/A")</f>
        <v>Intel Core i7 6920HQ</v>
      </c>
      <c r="D1155" t="str">
        <f>IF('Data Validation'!C1155=Filtering!B1155,Filtering!C1155,"N/A")</f>
        <v>Intel GTX 980 SLI</v>
      </c>
      <c r="J1155" t="str">
        <f>IF(_xlfn.CONCAT(Filtering!A1155,Filtering!B1155,Filtering!C1155)=$M$2,Filtering!D1155,"N/A")</f>
        <v>N/A</v>
      </c>
    </row>
    <row r="1156" spans="3:10" x14ac:dyDescent="0.25">
      <c r="C1156" t="str">
        <f>IF(Filtering!F1156&gt;0,Filtering!B1156,"N/A")</f>
        <v>Intel Core i7 7500U</v>
      </c>
      <c r="D1156" t="str">
        <f>IF('Data Validation'!C1156=Filtering!B1156,Filtering!C1156,"N/A")</f>
        <v>Intel GeForce GTX 1050</v>
      </c>
      <c r="J1156" t="str">
        <f>IF(_xlfn.CONCAT(Filtering!A1156,Filtering!B1156,Filtering!C1156)=$M$2,Filtering!D1156,"N/A")</f>
        <v>N/A</v>
      </c>
    </row>
    <row r="1157" spans="3:10" x14ac:dyDescent="0.25">
      <c r="C1157" t="str">
        <f>IF(Filtering!F1157&gt;0,Filtering!B1157,"N/A")</f>
        <v>Intel Core i7 7700HQ</v>
      </c>
      <c r="D1157" t="str">
        <f>IF('Data Validation'!C1157=Filtering!B1157,Filtering!C1157,"N/A")</f>
        <v>Intel GeForce GTX 1050</v>
      </c>
      <c r="J1157" t="str">
        <f>IF(_xlfn.CONCAT(Filtering!A1157,Filtering!B1157,Filtering!C1157)=$M$2,Filtering!D1157,"N/A")</f>
        <v>N/A</v>
      </c>
    </row>
    <row r="1158" spans="3:10" x14ac:dyDescent="0.25">
      <c r="C1158" t="str">
        <f>IF(Filtering!F1158&gt;0,Filtering!B1158,"N/A")</f>
        <v>Intel Core i7 7700HQ</v>
      </c>
      <c r="D1158" t="str">
        <f>IF('Data Validation'!C1158=Filtering!B1158,Filtering!C1158,"N/A")</f>
        <v>Intel GeForce GTX 1050</v>
      </c>
      <c r="J1158" t="str">
        <f>IF(_xlfn.CONCAT(Filtering!A1158,Filtering!B1158,Filtering!C1158)=$M$2,Filtering!D1158,"N/A")</f>
        <v>N/A</v>
      </c>
    </row>
    <row r="1159" spans="3:10" x14ac:dyDescent="0.25">
      <c r="C1159" t="str">
        <f>IF(Filtering!F1159&gt;0,Filtering!B1159,"N/A")</f>
        <v>Intel Core i7 7700HQ</v>
      </c>
      <c r="D1159" t="str">
        <f>IF('Data Validation'!C1159=Filtering!B1159,Filtering!C1159,"N/A")</f>
        <v>Intel GeForce GTX 1050</v>
      </c>
      <c r="J1159" t="str">
        <f>IF(_xlfn.CONCAT(Filtering!A1159,Filtering!B1159,Filtering!C1159)=$M$2,Filtering!D1159,"N/A")</f>
        <v>N/A</v>
      </c>
    </row>
    <row r="1160" spans="3:10" x14ac:dyDescent="0.25">
      <c r="C1160" t="str">
        <f>IF(Filtering!F1160&gt;0,Filtering!B1160,"N/A")</f>
        <v>Intel Core i7 7700HQ</v>
      </c>
      <c r="D1160" t="str">
        <f>IF('Data Validation'!C1160=Filtering!B1160,Filtering!C1160,"N/A")</f>
        <v>Intel GeForce GTX 1050</v>
      </c>
      <c r="J1160" t="str">
        <f>IF(_xlfn.CONCAT(Filtering!A1160,Filtering!B1160,Filtering!C1160)=$M$2,Filtering!D1160,"N/A")</f>
        <v>N/A</v>
      </c>
    </row>
    <row r="1161" spans="3:10" x14ac:dyDescent="0.25">
      <c r="C1161" t="str">
        <f>IF(Filtering!F1161&gt;0,Filtering!B1161,"N/A")</f>
        <v>Intel Core i7 7700HQ</v>
      </c>
      <c r="D1161" t="str">
        <f>IF('Data Validation'!C1161=Filtering!B1161,Filtering!C1161,"N/A")</f>
        <v>Intel GeForce GTX 1050</v>
      </c>
      <c r="J1161" t="str">
        <f>IF(_xlfn.CONCAT(Filtering!A1161,Filtering!B1161,Filtering!C1161)=$M$2,Filtering!D1161,"N/A")</f>
        <v>N/A</v>
      </c>
    </row>
    <row r="1162" spans="3:10" x14ac:dyDescent="0.25">
      <c r="C1162" t="str">
        <f>IF(Filtering!F1162&gt;0,Filtering!B1162,"N/A")</f>
        <v>Intel Core i7 7700HQ</v>
      </c>
      <c r="D1162" t="str">
        <f>IF('Data Validation'!C1162=Filtering!B1162,Filtering!C1162,"N/A")</f>
        <v>Intel GeForce GTX 1050 Ti</v>
      </c>
      <c r="J1162" t="str">
        <f>IF(_xlfn.CONCAT(Filtering!A1162,Filtering!B1162,Filtering!C1162)=$M$2,Filtering!D1162,"N/A")</f>
        <v>N/A</v>
      </c>
    </row>
    <row r="1163" spans="3:10" x14ac:dyDescent="0.25">
      <c r="C1163" t="str">
        <f>IF(Filtering!F1163&gt;0,Filtering!B1163,"N/A")</f>
        <v>Intel Core i7 7700HQ</v>
      </c>
      <c r="D1163" t="str">
        <f>IF('Data Validation'!C1163=Filtering!B1163,Filtering!C1163,"N/A")</f>
        <v>Intel GeForce GTX 1050 Ti</v>
      </c>
      <c r="J1163" t="str">
        <f>IF(_xlfn.CONCAT(Filtering!A1163,Filtering!B1163,Filtering!C1163)=$M$2,Filtering!D1163,"N/A")</f>
        <v>N/A</v>
      </c>
    </row>
    <row r="1164" spans="3:10" x14ac:dyDescent="0.25">
      <c r="C1164" t="str">
        <f>IF(Filtering!F1164&gt;0,Filtering!B1164,"N/A")</f>
        <v>Intel Core i7 7700HQ</v>
      </c>
      <c r="D1164" t="str">
        <f>IF('Data Validation'!C1164=Filtering!B1164,Filtering!C1164,"N/A")</f>
        <v>Intel GeForce GTX 1050 Ti</v>
      </c>
      <c r="J1164" t="str">
        <f>IF(_xlfn.CONCAT(Filtering!A1164,Filtering!B1164,Filtering!C1164)=$M$2,Filtering!D1164,"N/A")</f>
        <v>N/A</v>
      </c>
    </row>
    <row r="1165" spans="3:10" x14ac:dyDescent="0.25">
      <c r="C1165" t="str">
        <f>IF(Filtering!F1165&gt;0,Filtering!B1165,"N/A")</f>
        <v>Intel Core i7 7700HQ</v>
      </c>
      <c r="D1165" t="str">
        <f>IF('Data Validation'!C1165=Filtering!B1165,Filtering!C1165,"N/A")</f>
        <v>Intel GeForce GTX 1050 Ti</v>
      </c>
      <c r="J1165" t="str">
        <f>IF(_xlfn.CONCAT(Filtering!A1165,Filtering!B1165,Filtering!C1165)=$M$2,Filtering!D1165,"N/A")</f>
        <v>N/A</v>
      </c>
    </row>
    <row r="1166" spans="3:10" x14ac:dyDescent="0.25">
      <c r="C1166" t="str">
        <f>IF(Filtering!F1166&gt;0,Filtering!B1166,"N/A")</f>
        <v>Intel Core i7 7700HQ</v>
      </c>
      <c r="D1166" t="str">
        <f>IF('Data Validation'!C1166=Filtering!B1166,Filtering!C1166,"N/A")</f>
        <v>Intel GeForce GTX 1050 Ti</v>
      </c>
      <c r="J1166" t="str">
        <f>IF(_xlfn.CONCAT(Filtering!A1166,Filtering!B1166,Filtering!C1166)=$M$2,Filtering!D1166,"N/A")</f>
        <v>N/A</v>
      </c>
    </row>
    <row r="1167" spans="3:10" x14ac:dyDescent="0.25">
      <c r="C1167" t="str">
        <f>IF(Filtering!F1167&gt;0,Filtering!B1167,"N/A")</f>
        <v>Intel Core i7 7700HQ</v>
      </c>
      <c r="D1167" t="str">
        <f>IF('Data Validation'!C1167=Filtering!B1167,Filtering!C1167,"N/A")</f>
        <v>Intel GeForce GTX 1050 Ti</v>
      </c>
      <c r="J1167" t="str">
        <f>IF(_xlfn.CONCAT(Filtering!A1167,Filtering!B1167,Filtering!C1167)=$M$2,Filtering!D1167,"N/A")</f>
        <v>N/A</v>
      </c>
    </row>
    <row r="1168" spans="3:10" x14ac:dyDescent="0.25">
      <c r="C1168" t="str">
        <f>IF(Filtering!F1168&gt;0,Filtering!B1168,"N/A")</f>
        <v>Intel Core i7 7700HQ</v>
      </c>
      <c r="D1168" t="str">
        <f>IF('Data Validation'!C1168=Filtering!B1168,Filtering!C1168,"N/A")</f>
        <v>Intel GeForce GTX 1050 Ti</v>
      </c>
      <c r="J1168" t="str">
        <f>IF(_xlfn.CONCAT(Filtering!A1168,Filtering!B1168,Filtering!C1168)=$M$2,Filtering!D1168,"N/A")</f>
        <v>N/A</v>
      </c>
    </row>
    <row r="1169" spans="3:10" x14ac:dyDescent="0.25">
      <c r="C1169" t="str">
        <f>IF(Filtering!F1169&gt;0,Filtering!B1169,"N/A")</f>
        <v>Intel Core i7 7700HQ</v>
      </c>
      <c r="D1169" t="str">
        <f>IF('Data Validation'!C1169=Filtering!B1169,Filtering!C1169,"N/A")</f>
        <v>Intel GeForce GTX 1060</v>
      </c>
      <c r="J1169" t="str">
        <f>IF(_xlfn.CONCAT(Filtering!A1169,Filtering!B1169,Filtering!C1169)=$M$2,Filtering!D1169,"N/A")</f>
        <v>N/A</v>
      </c>
    </row>
    <row r="1170" spans="3:10" x14ac:dyDescent="0.25">
      <c r="C1170" t="str">
        <f>IF(Filtering!F1170&gt;0,Filtering!B1170,"N/A")</f>
        <v>Intel Core i7 7700HQ</v>
      </c>
      <c r="D1170" t="str">
        <f>IF('Data Validation'!C1170=Filtering!B1170,Filtering!C1170,"N/A")</f>
        <v>Intel GeForce GTX 1060</v>
      </c>
      <c r="J1170" t="str">
        <f>IF(_xlfn.CONCAT(Filtering!A1170,Filtering!B1170,Filtering!C1170)=$M$2,Filtering!D1170,"N/A")</f>
        <v>N/A</v>
      </c>
    </row>
    <row r="1171" spans="3:10" x14ac:dyDescent="0.25">
      <c r="C1171" t="str">
        <f>IF(Filtering!F1171&gt;0,Filtering!B1171,"N/A")</f>
        <v>Intel Core i7 7700HQ</v>
      </c>
      <c r="D1171" t="str">
        <f>IF('Data Validation'!C1171=Filtering!B1171,Filtering!C1171,"N/A")</f>
        <v>Intel GeForce GTX 1060</v>
      </c>
      <c r="J1171" t="str">
        <f>IF(_xlfn.CONCAT(Filtering!A1171,Filtering!B1171,Filtering!C1171)=$M$2,Filtering!D1171,"N/A")</f>
        <v>N/A</v>
      </c>
    </row>
    <row r="1172" spans="3:10" x14ac:dyDescent="0.25">
      <c r="C1172" t="str">
        <f>IF(Filtering!F1172&gt;0,Filtering!B1172,"N/A")</f>
        <v>Intel Core i7 7700HQ</v>
      </c>
      <c r="D1172" t="str">
        <f>IF('Data Validation'!C1172=Filtering!B1172,Filtering!C1172,"N/A")</f>
        <v>Intel GeForce GTX 1060</v>
      </c>
      <c r="J1172" t="str">
        <f>IF(_xlfn.CONCAT(Filtering!A1172,Filtering!B1172,Filtering!C1172)=$M$2,Filtering!D1172,"N/A")</f>
        <v>N/A</v>
      </c>
    </row>
    <row r="1173" spans="3:10" x14ac:dyDescent="0.25">
      <c r="C1173" t="str">
        <f>IF(Filtering!F1173&gt;0,Filtering!B1173,"N/A")</f>
        <v>Intel Core i7 7700HQ</v>
      </c>
      <c r="D1173" t="str">
        <f>IF('Data Validation'!C1173=Filtering!B1173,Filtering!C1173,"N/A")</f>
        <v>Intel GeForce GTX 1060</v>
      </c>
      <c r="J1173" t="str">
        <f>IF(_xlfn.CONCAT(Filtering!A1173,Filtering!B1173,Filtering!C1173)=$M$2,Filtering!D1173,"N/A")</f>
        <v>N/A</v>
      </c>
    </row>
    <row r="1174" spans="3:10" x14ac:dyDescent="0.25">
      <c r="C1174" t="str">
        <f>IF(Filtering!F1174&gt;0,Filtering!B1174,"N/A")</f>
        <v>Intel Core i7 7700HQ</v>
      </c>
      <c r="D1174" t="str">
        <f>IF('Data Validation'!C1174=Filtering!B1174,Filtering!C1174,"N/A")</f>
        <v>Intel GeForce GTX 1060</v>
      </c>
      <c r="J1174" t="str">
        <f>IF(_xlfn.CONCAT(Filtering!A1174,Filtering!B1174,Filtering!C1174)=$M$2,Filtering!D1174,"N/A")</f>
        <v>N/A</v>
      </c>
    </row>
    <row r="1175" spans="3:10" x14ac:dyDescent="0.25">
      <c r="C1175" t="str">
        <f>IF(Filtering!F1175&gt;0,Filtering!B1175,"N/A")</f>
        <v>Intel Core i7 7700HQ</v>
      </c>
      <c r="D1175" t="str">
        <f>IF('Data Validation'!C1175=Filtering!B1175,Filtering!C1175,"N/A")</f>
        <v>Intel GeForce GTX 1060</v>
      </c>
      <c r="J1175" t="str">
        <f>IF(_xlfn.CONCAT(Filtering!A1175,Filtering!B1175,Filtering!C1175)=$M$2,Filtering!D1175,"N/A")</f>
        <v>N/A</v>
      </c>
    </row>
    <row r="1176" spans="3:10" x14ac:dyDescent="0.25">
      <c r="C1176" t="str">
        <f>IF(Filtering!F1176&gt;0,Filtering!B1176,"N/A")</f>
        <v>Intel Core i7 7700HQ</v>
      </c>
      <c r="D1176" t="str">
        <f>IF('Data Validation'!C1176=Filtering!B1176,Filtering!C1176,"N/A")</f>
        <v>Intel GeForce GTX 1060</v>
      </c>
      <c r="J1176" t="str">
        <f>IF(_xlfn.CONCAT(Filtering!A1176,Filtering!B1176,Filtering!C1176)=$M$2,Filtering!D1176,"N/A")</f>
        <v>N/A</v>
      </c>
    </row>
    <row r="1177" spans="3:10" x14ac:dyDescent="0.25">
      <c r="C1177" t="str">
        <f>IF(Filtering!F1177&gt;0,Filtering!B1177,"N/A")</f>
        <v>Intel Core i7 7700HQ</v>
      </c>
      <c r="D1177" t="str">
        <f>IF('Data Validation'!C1177=Filtering!B1177,Filtering!C1177,"N/A")</f>
        <v>Intel GeForce GTX 1060</v>
      </c>
      <c r="J1177" t="str">
        <f>IF(_xlfn.CONCAT(Filtering!A1177,Filtering!B1177,Filtering!C1177)=$M$2,Filtering!D1177,"N/A")</f>
        <v>N/A</v>
      </c>
    </row>
    <row r="1178" spans="3:10" x14ac:dyDescent="0.25">
      <c r="C1178" t="str">
        <f>IF(Filtering!F1178&gt;0,Filtering!B1178,"N/A")</f>
        <v>Intel Core i7 7700HQ</v>
      </c>
      <c r="D1178" t="str">
        <f>IF('Data Validation'!C1178=Filtering!B1178,Filtering!C1178,"N/A")</f>
        <v>Intel GeForce GTX 1070</v>
      </c>
      <c r="J1178" t="str">
        <f>IF(_xlfn.CONCAT(Filtering!A1178,Filtering!B1178,Filtering!C1178)=$M$2,Filtering!D1178,"N/A")</f>
        <v>N/A</v>
      </c>
    </row>
    <row r="1179" spans="3:10" x14ac:dyDescent="0.25">
      <c r="C1179" t="str">
        <f>IF(Filtering!F1179&gt;0,Filtering!B1179,"N/A")</f>
        <v>Intel Core i7 7700HQ</v>
      </c>
      <c r="D1179" t="str">
        <f>IF('Data Validation'!C1179=Filtering!B1179,Filtering!C1179,"N/A")</f>
        <v>Intel GeForce GTX 1070</v>
      </c>
      <c r="J1179" t="str">
        <f>IF(_xlfn.CONCAT(Filtering!A1179,Filtering!B1179,Filtering!C1179)=$M$2,Filtering!D1179,"N/A")</f>
        <v>N/A</v>
      </c>
    </row>
    <row r="1180" spans="3:10" x14ac:dyDescent="0.25">
      <c r="C1180" t="str">
        <f>IF(Filtering!F1180&gt;0,Filtering!B1180,"N/A")</f>
        <v>Intel Core i7 7700HQ</v>
      </c>
      <c r="D1180" t="str">
        <f>IF('Data Validation'!C1180=Filtering!B1180,Filtering!C1180,"N/A")</f>
        <v>Intel GeForce GTX 1070</v>
      </c>
      <c r="J1180" t="str">
        <f>IF(_xlfn.CONCAT(Filtering!A1180,Filtering!B1180,Filtering!C1180)=$M$2,Filtering!D1180,"N/A")</f>
        <v>N/A</v>
      </c>
    </row>
    <row r="1181" spans="3:10" x14ac:dyDescent="0.25">
      <c r="C1181" t="str">
        <f>IF(Filtering!F1181&gt;0,Filtering!B1181,"N/A")</f>
        <v>Intel Core i7 7700HQ</v>
      </c>
      <c r="D1181" t="str">
        <f>IF('Data Validation'!C1181=Filtering!B1181,Filtering!C1181,"N/A")</f>
        <v>Intel GeForce GTX 1070</v>
      </c>
      <c r="J1181" t="str">
        <f>IF(_xlfn.CONCAT(Filtering!A1181,Filtering!B1181,Filtering!C1181)=$M$2,Filtering!D1181,"N/A")</f>
        <v>N/A</v>
      </c>
    </row>
    <row r="1182" spans="3:10" x14ac:dyDescent="0.25">
      <c r="C1182" t="str">
        <f>IF(Filtering!F1182&gt;0,Filtering!B1182,"N/A")</f>
        <v>Intel Core i7 7700HQ</v>
      </c>
      <c r="D1182" t="str">
        <f>IF('Data Validation'!C1182=Filtering!B1182,Filtering!C1182,"N/A")</f>
        <v>Intel GeForce GTX 1070</v>
      </c>
      <c r="J1182" t="str">
        <f>IF(_xlfn.CONCAT(Filtering!A1182,Filtering!B1182,Filtering!C1182)=$M$2,Filtering!D1182,"N/A")</f>
        <v>N/A</v>
      </c>
    </row>
    <row r="1183" spans="3:10" x14ac:dyDescent="0.25">
      <c r="C1183" t="str">
        <f>IF(Filtering!F1183&gt;0,Filtering!B1183,"N/A")</f>
        <v>Intel Core i7 7700HQ</v>
      </c>
      <c r="D1183" t="str">
        <f>IF('Data Validation'!C1183=Filtering!B1183,Filtering!C1183,"N/A")</f>
        <v>Intel GeForce GTX 1070</v>
      </c>
      <c r="J1183" t="str">
        <f>IF(_xlfn.CONCAT(Filtering!A1183,Filtering!B1183,Filtering!C1183)=$M$2,Filtering!D1183,"N/A")</f>
        <v>N/A</v>
      </c>
    </row>
    <row r="1184" spans="3:10" x14ac:dyDescent="0.25">
      <c r="C1184" t="str">
        <f>IF(Filtering!F1184&gt;0,Filtering!B1184,"N/A")</f>
        <v>Intel Core i7 7700HQ</v>
      </c>
      <c r="D1184" t="str">
        <f>IF('Data Validation'!C1184=Filtering!B1184,Filtering!C1184,"N/A")</f>
        <v>Intel GeForce GTX 1070</v>
      </c>
      <c r="J1184" t="str">
        <f>IF(_xlfn.CONCAT(Filtering!A1184,Filtering!B1184,Filtering!C1184)=$M$2,Filtering!D1184,"N/A")</f>
        <v>N/A</v>
      </c>
    </row>
    <row r="1185" spans="3:10" x14ac:dyDescent="0.25">
      <c r="C1185" t="str">
        <f>IF(Filtering!F1185&gt;0,Filtering!B1185,"N/A")</f>
        <v>Intel Core i7 7700HQ</v>
      </c>
      <c r="D1185" t="str">
        <f>IF('Data Validation'!C1185=Filtering!B1185,Filtering!C1185,"N/A")</f>
        <v>Intel GeForce GTX 1070</v>
      </c>
      <c r="J1185" t="str">
        <f>IF(_xlfn.CONCAT(Filtering!A1185,Filtering!B1185,Filtering!C1185)=$M$2,Filtering!D1185,"N/A")</f>
        <v>N/A</v>
      </c>
    </row>
    <row r="1186" spans="3:10" x14ac:dyDescent="0.25">
      <c r="C1186" t="str">
        <f>IF(Filtering!F1186&gt;0,Filtering!B1186,"N/A")</f>
        <v>Intel Core i7 7820HK</v>
      </c>
      <c r="D1186" t="str">
        <f>IF('Data Validation'!C1186=Filtering!B1186,Filtering!C1186,"N/A")</f>
        <v>Intel GeForce GTX 1070</v>
      </c>
      <c r="J1186" t="str">
        <f>IF(_xlfn.CONCAT(Filtering!A1186,Filtering!B1186,Filtering!C1186)=$M$2,Filtering!D1186,"N/A")</f>
        <v>N/A</v>
      </c>
    </row>
    <row r="1187" spans="3:10" x14ac:dyDescent="0.25">
      <c r="C1187" t="str">
        <f>IF(Filtering!F1187&gt;0,Filtering!B1187,"N/A")</f>
        <v>N/A</v>
      </c>
      <c r="D1187" t="str">
        <f>IF('Data Validation'!C1187=Filtering!B1187,Filtering!C1187,"N/A")</f>
        <v>N/A</v>
      </c>
      <c r="J1187" t="str">
        <f>IF(_xlfn.CONCAT(Filtering!A1187,Filtering!B1187,Filtering!C1187)=$M$2,Filtering!D1187,"N/A")</f>
        <v>N/A</v>
      </c>
    </row>
    <row r="1188" spans="3:10" x14ac:dyDescent="0.25">
      <c r="C1188" t="str">
        <f>IF(Filtering!F1188&gt;0,Filtering!B1188,"N/A")</f>
        <v>N/A</v>
      </c>
      <c r="D1188" t="str">
        <f>IF('Data Validation'!C1188=Filtering!B1188,Filtering!C1188,"N/A")</f>
        <v>N/A</v>
      </c>
      <c r="J1188" t="str">
        <f>IF(_xlfn.CONCAT(Filtering!A1188,Filtering!B1188,Filtering!C1188)=$M$2,Filtering!D1188,"N/A")</f>
        <v>N/A</v>
      </c>
    </row>
    <row r="1189" spans="3:10" x14ac:dyDescent="0.25">
      <c r="C1189" t="str">
        <f>IF(Filtering!F1189&gt;0,Filtering!B1189,"N/A")</f>
        <v>N/A</v>
      </c>
      <c r="D1189" t="str">
        <f>IF('Data Validation'!C1189=Filtering!B1189,Filtering!C1189,"N/A")</f>
        <v>N/A</v>
      </c>
      <c r="J1189" t="str">
        <f>IF(_xlfn.CONCAT(Filtering!A1189,Filtering!B1189,Filtering!C1189)=$M$2,Filtering!D1189,"N/A")</f>
        <v>N/A</v>
      </c>
    </row>
    <row r="1190" spans="3:10" x14ac:dyDescent="0.25">
      <c r="C1190" t="str">
        <f>IF(Filtering!F1190&gt;0,Filtering!B1190,"N/A")</f>
        <v>N/A</v>
      </c>
      <c r="D1190" t="str">
        <f>IF('Data Validation'!C1190=Filtering!B1190,Filtering!C1190,"N/A")</f>
        <v>N/A</v>
      </c>
      <c r="J1190" t="str">
        <f>IF(_xlfn.CONCAT(Filtering!A1190,Filtering!B1190,Filtering!C1190)=$M$2,Filtering!D1190,"N/A")</f>
        <v>N/A</v>
      </c>
    </row>
    <row r="1191" spans="3:10" x14ac:dyDescent="0.25">
      <c r="C1191" t="str">
        <f>IF(Filtering!F1191&gt;0,Filtering!B1191,"N/A")</f>
        <v>N/A</v>
      </c>
      <c r="D1191" t="str">
        <f>IF('Data Validation'!C1191=Filtering!B1191,Filtering!C1191,"N/A")</f>
        <v>N/A</v>
      </c>
      <c r="J1191" t="str">
        <f>IF(_xlfn.CONCAT(Filtering!A1191,Filtering!B1191,Filtering!C1191)=$M$2,Filtering!D1191,"N/A")</f>
        <v>N/A</v>
      </c>
    </row>
    <row r="1192" spans="3:10" x14ac:dyDescent="0.25">
      <c r="C1192" t="str">
        <f>IF(Filtering!F1192&gt;0,Filtering!B1192,"N/A")</f>
        <v>N/A</v>
      </c>
      <c r="D1192" t="str">
        <f>IF('Data Validation'!C1192=Filtering!B1192,Filtering!C1192,"N/A")</f>
        <v>N/A</v>
      </c>
      <c r="J1192" t="str">
        <f>IF(_xlfn.CONCAT(Filtering!A1192,Filtering!B1192,Filtering!C1192)=$M$2,Filtering!D1192,"N/A")</f>
        <v>N/A</v>
      </c>
    </row>
    <row r="1193" spans="3:10" x14ac:dyDescent="0.25">
      <c r="C1193" t="str">
        <f>IF(Filtering!F1193&gt;0,Filtering!B1193,"N/A")</f>
        <v>N/A</v>
      </c>
      <c r="D1193" t="str">
        <f>IF('Data Validation'!C1193=Filtering!B1193,Filtering!C1193,"N/A")</f>
        <v>N/A</v>
      </c>
      <c r="J1193" t="str">
        <f>IF(_xlfn.CONCAT(Filtering!A1193,Filtering!B1193,Filtering!C1193)=$M$2,Filtering!D1193,"N/A")</f>
        <v>N/A</v>
      </c>
    </row>
    <row r="1194" spans="3:10" x14ac:dyDescent="0.25">
      <c r="C1194" t="str">
        <f>IF(Filtering!F1194&gt;0,Filtering!B1194,"N/A")</f>
        <v>N/A</v>
      </c>
      <c r="D1194" t="str">
        <f>IF('Data Validation'!C1194=Filtering!B1194,Filtering!C1194,"N/A")</f>
        <v>N/A</v>
      </c>
      <c r="J1194" t="str">
        <f>IF(_xlfn.CONCAT(Filtering!A1194,Filtering!B1194,Filtering!C1194)=$M$2,Filtering!D1194,"N/A")</f>
        <v>N/A</v>
      </c>
    </row>
    <row r="1195" spans="3:10" x14ac:dyDescent="0.25">
      <c r="C1195" t="str">
        <f>IF(Filtering!F1195&gt;0,Filtering!B1195,"N/A")</f>
        <v>N/A</v>
      </c>
      <c r="D1195" t="str">
        <f>IF('Data Validation'!C1195=Filtering!B1195,Filtering!C1195,"N/A")</f>
        <v>N/A</v>
      </c>
      <c r="J1195" t="str">
        <f>IF(_xlfn.CONCAT(Filtering!A1195,Filtering!B1195,Filtering!C1195)=$M$2,Filtering!D1195,"N/A")</f>
        <v>N/A</v>
      </c>
    </row>
    <row r="1196" spans="3:10" x14ac:dyDescent="0.25">
      <c r="C1196" t="str">
        <f>IF(Filtering!F1196&gt;0,Filtering!B1196,"N/A")</f>
        <v>N/A</v>
      </c>
      <c r="D1196" t="str">
        <f>IF('Data Validation'!C1196=Filtering!B1196,Filtering!C1196,"N/A")</f>
        <v>N/A</v>
      </c>
      <c r="J1196" t="str">
        <f>IF(_xlfn.CONCAT(Filtering!A1196,Filtering!B1196,Filtering!C1196)=$M$2,Filtering!D1196,"N/A")</f>
        <v>N/A</v>
      </c>
    </row>
    <row r="1197" spans="3:10" x14ac:dyDescent="0.25">
      <c r="C1197" t="str">
        <f>IF(Filtering!F1197&gt;0,Filtering!B1197,"N/A")</f>
        <v>N/A</v>
      </c>
      <c r="D1197" t="str">
        <f>IF('Data Validation'!C1197=Filtering!B1197,Filtering!C1197,"N/A")</f>
        <v>N/A</v>
      </c>
      <c r="J1197" t="str">
        <f>IF(_xlfn.CONCAT(Filtering!A1197,Filtering!B1197,Filtering!C1197)=$M$2,Filtering!D1197,"N/A")</f>
        <v>N/A</v>
      </c>
    </row>
    <row r="1198" spans="3:10" x14ac:dyDescent="0.25">
      <c r="C1198" t="str">
        <f>IF(Filtering!F1198&gt;0,Filtering!B1198,"N/A")</f>
        <v>N/A</v>
      </c>
      <c r="D1198" t="str">
        <f>IF('Data Validation'!C1198=Filtering!B1198,Filtering!C1198,"N/A")</f>
        <v>N/A</v>
      </c>
      <c r="J1198" t="str">
        <f>IF(_xlfn.CONCAT(Filtering!A1198,Filtering!B1198,Filtering!C1198)=$M$2,Filtering!D1198,"N/A")</f>
        <v>N/A</v>
      </c>
    </row>
    <row r="1199" spans="3:10" x14ac:dyDescent="0.25">
      <c r="C1199" t="str">
        <f>IF(Filtering!F1199&gt;0,Filtering!B1199,"N/A")</f>
        <v>N/A</v>
      </c>
      <c r="D1199" t="str">
        <f>IF('Data Validation'!C1199=Filtering!B1199,Filtering!C1199,"N/A")</f>
        <v>N/A</v>
      </c>
      <c r="J1199" t="str">
        <f>IF(_xlfn.CONCAT(Filtering!A1199,Filtering!B1199,Filtering!C1199)=$M$2,Filtering!D1199,"N/A")</f>
        <v>N/A</v>
      </c>
    </row>
    <row r="1200" spans="3:10" x14ac:dyDescent="0.25">
      <c r="C1200" t="str">
        <f>IF(Filtering!F1200&gt;0,Filtering!B1200,"N/A")</f>
        <v>N/A</v>
      </c>
      <c r="D1200" t="str">
        <f>IF('Data Validation'!C1200=Filtering!B1200,Filtering!C1200,"N/A")</f>
        <v>N/A</v>
      </c>
      <c r="J1200" t="str">
        <f>IF(_xlfn.CONCAT(Filtering!A1200,Filtering!B1200,Filtering!C1200)=$M$2,Filtering!D1200,"N/A")</f>
        <v>N/A</v>
      </c>
    </row>
    <row r="1201" spans="3:10" x14ac:dyDescent="0.25">
      <c r="C1201" t="str">
        <f>IF(Filtering!F1201&gt;0,Filtering!B1201,"N/A")</f>
        <v>N/A</v>
      </c>
      <c r="D1201" t="str">
        <f>IF('Data Validation'!C1201=Filtering!B1201,Filtering!C1201,"N/A")</f>
        <v>N/A</v>
      </c>
      <c r="J1201" t="str">
        <f>IF(_xlfn.CONCAT(Filtering!A1201,Filtering!B1201,Filtering!C1201)=$M$2,Filtering!D1201,"N/A")</f>
        <v>N/A</v>
      </c>
    </row>
    <row r="1202" spans="3:10" x14ac:dyDescent="0.25">
      <c r="C1202" t="str">
        <f>IF(Filtering!F1202&gt;0,Filtering!B1202,"N/A")</f>
        <v>N/A</v>
      </c>
      <c r="D1202" t="str">
        <f>IF('Data Validation'!C1202=Filtering!B1202,Filtering!C1202,"N/A")</f>
        <v>N/A</v>
      </c>
      <c r="J1202" t="str">
        <f>IF(_xlfn.CONCAT(Filtering!A1202,Filtering!B1202,Filtering!C1202)=$M$2,Filtering!D1202,"N/A")</f>
        <v>N/A</v>
      </c>
    </row>
    <row r="1203" spans="3:10" x14ac:dyDescent="0.25">
      <c r="C1203" t="str">
        <f>IF(Filtering!F1203&gt;0,Filtering!B1203,"N/A")</f>
        <v>N/A</v>
      </c>
      <c r="D1203" t="str">
        <f>IF('Data Validation'!C1203=Filtering!B1203,Filtering!C1203,"N/A")</f>
        <v>N/A</v>
      </c>
      <c r="J1203" t="str">
        <f>IF(_xlfn.CONCAT(Filtering!A1203,Filtering!B1203,Filtering!C1203)=$M$2,Filtering!D1203,"N/A")</f>
        <v>N/A</v>
      </c>
    </row>
    <row r="1204" spans="3:10" x14ac:dyDescent="0.25">
      <c r="C1204" t="str">
        <f>IF(Filtering!F1204&gt;0,Filtering!B1204,"N/A")</f>
        <v>N/A</v>
      </c>
      <c r="D1204" t="str">
        <f>IF('Data Validation'!C1204=Filtering!B1204,Filtering!C1204,"N/A")</f>
        <v>N/A</v>
      </c>
      <c r="J1204" t="str">
        <f>IF(_xlfn.CONCAT(Filtering!A1204,Filtering!B1204,Filtering!C1204)=$M$2,Filtering!D1204,"N/A")</f>
        <v>N/A</v>
      </c>
    </row>
    <row r="1205" spans="3:10" x14ac:dyDescent="0.25">
      <c r="C1205" t="str">
        <f>IF(Filtering!F1205&gt;0,Filtering!B1205,"N/A")</f>
        <v>N/A</v>
      </c>
      <c r="D1205" t="str">
        <f>IF('Data Validation'!C1205=Filtering!B1205,Filtering!C1205,"N/A")</f>
        <v>N/A</v>
      </c>
      <c r="J1205" t="str">
        <f>IF(_xlfn.CONCAT(Filtering!A1205,Filtering!B1205,Filtering!C1205)=$M$2,Filtering!D1205,"N/A")</f>
        <v>N/A</v>
      </c>
    </row>
    <row r="1206" spans="3:10" x14ac:dyDescent="0.25">
      <c r="C1206" t="str">
        <f>IF(Filtering!F1206&gt;0,Filtering!B1206,"N/A")</f>
        <v>N/A</v>
      </c>
      <c r="D1206" t="str">
        <f>IF('Data Validation'!C1206=Filtering!B1206,Filtering!C1206,"N/A")</f>
        <v>N/A</v>
      </c>
      <c r="J1206" t="str">
        <f>IF(_xlfn.CONCAT(Filtering!A1206,Filtering!B1206,Filtering!C1206)=$M$2,Filtering!D1206,"N/A")</f>
        <v>N/A</v>
      </c>
    </row>
    <row r="1207" spans="3:10" x14ac:dyDescent="0.25">
      <c r="C1207" t="str">
        <f>IF(Filtering!F1207&gt;0,Filtering!B1207,"N/A")</f>
        <v>N/A</v>
      </c>
      <c r="D1207" t="str">
        <f>IF('Data Validation'!C1207=Filtering!B1207,Filtering!C1207,"N/A")</f>
        <v>N/A</v>
      </c>
      <c r="J1207" t="str">
        <f>IF(_xlfn.CONCAT(Filtering!A1207,Filtering!B1207,Filtering!C1207)=$M$2,Filtering!D1207,"N/A")</f>
        <v>N/A</v>
      </c>
    </row>
    <row r="1208" spans="3:10" x14ac:dyDescent="0.25">
      <c r="C1208" t="str">
        <f>IF(Filtering!F1208&gt;0,Filtering!B1208,"N/A")</f>
        <v>N/A</v>
      </c>
      <c r="D1208" t="str">
        <f>IF('Data Validation'!C1208=Filtering!B1208,Filtering!C1208,"N/A")</f>
        <v>N/A</v>
      </c>
      <c r="J1208" t="str">
        <f>IF(_xlfn.CONCAT(Filtering!A1208,Filtering!B1208,Filtering!C1208)=$M$2,Filtering!D1208,"N/A")</f>
        <v>N/A</v>
      </c>
    </row>
    <row r="1209" spans="3:10" x14ac:dyDescent="0.25">
      <c r="C1209" t="str">
        <f>IF(Filtering!F1209&gt;0,Filtering!B1209,"N/A")</f>
        <v>N/A</v>
      </c>
      <c r="D1209" t="str">
        <f>IF('Data Validation'!C1209=Filtering!B1209,Filtering!C1209,"N/A")</f>
        <v>N/A</v>
      </c>
      <c r="J1209" t="str">
        <f>IF(_xlfn.CONCAT(Filtering!A1209,Filtering!B1209,Filtering!C1209)=$M$2,Filtering!D1209,"N/A")</f>
        <v>N/A</v>
      </c>
    </row>
    <row r="1210" spans="3:10" x14ac:dyDescent="0.25">
      <c r="C1210" t="str">
        <f>IF(Filtering!F1210&gt;0,Filtering!B1210,"N/A")</f>
        <v>N/A</v>
      </c>
      <c r="D1210" t="str">
        <f>IF('Data Validation'!C1210=Filtering!B1210,Filtering!C1210,"N/A")</f>
        <v>N/A</v>
      </c>
      <c r="J1210" t="str">
        <f>IF(_xlfn.CONCAT(Filtering!A1210,Filtering!B1210,Filtering!C1210)=$M$2,Filtering!D1210,"N/A")</f>
        <v>N/A</v>
      </c>
    </row>
    <row r="1211" spans="3:10" x14ac:dyDescent="0.25">
      <c r="C1211" t="str">
        <f>IF(Filtering!F1211&gt;0,Filtering!B1211,"N/A")</f>
        <v>N/A</v>
      </c>
      <c r="D1211" t="str">
        <f>IF('Data Validation'!C1211=Filtering!B1211,Filtering!C1211,"N/A")</f>
        <v>N/A</v>
      </c>
      <c r="J1211" t="str">
        <f>IF(_xlfn.CONCAT(Filtering!A1211,Filtering!B1211,Filtering!C1211)=$M$2,Filtering!D1211,"N/A")</f>
        <v>N/A</v>
      </c>
    </row>
    <row r="1212" spans="3:10" x14ac:dyDescent="0.25">
      <c r="C1212" t="str">
        <f>IF(Filtering!F1212&gt;0,Filtering!B1212,"N/A")</f>
        <v>N/A</v>
      </c>
      <c r="D1212" t="str">
        <f>IF('Data Validation'!C1212=Filtering!B1212,Filtering!C1212,"N/A")</f>
        <v>N/A</v>
      </c>
      <c r="J1212" t="str">
        <f>IF(_xlfn.CONCAT(Filtering!A1212,Filtering!B1212,Filtering!C1212)=$M$2,Filtering!D1212,"N/A")</f>
        <v>N/A</v>
      </c>
    </row>
    <row r="1213" spans="3:10" x14ac:dyDescent="0.25">
      <c r="C1213" t="str">
        <f>IF(Filtering!F1213&gt;0,Filtering!B1213,"N/A")</f>
        <v>N/A</v>
      </c>
      <c r="D1213" t="str">
        <f>IF('Data Validation'!C1213=Filtering!B1213,Filtering!C1213,"N/A")</f>
        <v>N/A</v>
      </c>
      <c r="J1213" t="str">
        <f>IF(_xlfn.CONCAT(Filtering!A1213,Filtering!B1213,Filtering!C1213)=$M$2,Filtering!D1213,"N/A")</f>
        <v>N/A</v>
      </c>
    </row>
    <row r="1214" spans="3:10" x14ac:dyDescent="0.25">
      <c r="C1214" t="str">
        <f>IF(Filtering!F1214&gt;0,Filtering!B1214,"N/A")</f>
        <v>N/A</v>
      </c>
      <c r="D1214" t="str">
        <f>IF('Data Validation'!C1214=Filtering!B1214,Filtering!C1214,"N/A")</f>
        <v>N/A</v>
      </c>
      <c r="J1214" t="str">
        <f>IF(_xlfn.CONCAT(Filtering!A1214,Filtering!B1214,Filtering!C1214)=$M$2,Filtering!D1214,"N/A")</f>
        <v>N/A</v>
      </c>
    </row>
    <row r="1215" spans="3:10" x14ac:dyDescent="0.25">
      <c r="C1215" t="str">
        <f>IF(Filtering!F1215&gt;0,Filtering!B1215,"N/A")</f>
        <v>N/A</v>
      </c>
      <c r="D1215" t="str">
        <f>IF('Data Validation'!C1215=Filtering!B1215,Filtering!C1215,"N/A")</f>
        <v>N/A</v>
      </c>
      <c r="J1215" t="str">
        <f>IF(_xlfn.CONCAT(Filtering!A1215,Filtering!B1215,Filtering!C1215)=$M$2,Filtering!D1215,"N/A")</f>
        <v>N/A</v>
      </c>
    </row>
    <row r="1216" spans="3:10" x14ac:dyDescent="0.25">
      <c r="C1216" t="str">
        <f>IF(Filtering!F1216&gt;0,Filtering!B1216,"N/A")</f>
        <v>N/A</v>
      </c>
      <c r="D1216" t="str">
        <f>IF('Data Validation'!C1216=Filtering!B1216,Filtering!C1216,"N/A")</f>
        <v>N/A</v>
      </c>
      <c r="J1216" t="str">
        <f>IF(_xlfn.CONCAT(Filtering!A1216,Filtering!B1216,Filtering!C1216)=$M$2,Filtering!D1216,"N/A")</f>
        <v>N/A</v>
      </c>
    </row>
    <row r="1217" spans="3:10" x14ac:dyDescent="0.25">
      <c r="C1217" t="str">
        <f>IF(Filtering!F1217&gt;0,Filtering!B1217,"N/A")</f>
        <v>N/A</v>
      </c>
      <c r="D1217" t="str">
        <f>IF('Data Validation'!C1217=Filtering!B1217,Filtering!C1217,"N/A")</f>
        <v>N/A</v>
      </c>
      <c r="J1217" t="str">
        <f>IF(_xlfn.CONCAT(Filtering!A1217,Filtering!B1217,Filtering!C1217)=$M$2,Filtering!D1217,"N/A")</f>
        <v>N/A</v>
      </c>
    </row>
    <row r="1218" spans="3:10" x14ac:dyDescent="0.25">
      <c r="C1218" t="str">
        <f>IF(Filtering!F1218&gt;0,Filtering!B1218,"N/A")</f>
        <v>N/A</v>
      </c>
      <c r="D1218" t="str">
        <f>IF('Data Validation'!C1218=Filtering!B1218,Filtering!C1218,"N/A")</f>
        <v>N/A</v>
      </c>
      <c r="J1218" t="str">
        <f>IF(_xlfn.CONCAT(Filtering!A1218,Filtering!B1218,Filtering!C1218)=$M$2,Filtering!D1218,"N/A")</f>
        <v>N/A</v>
      </c>
    </row>
    <row r="1219" spans="3:10" x14ac:dyDescent="0.25">
      <c r="C1219" t="str">
        <f>IF(Filtering!F1219&gt;0,Filtering!B1219,"N/A")</f>
        <v>N/A</v>
      </c>
      <c r="D1219" t="str">
        <f>IF('Data Validation'!C1219=Filtering!B1219,Filtering!C1219,"N/A")</f>
        <v>N/A</v>
      </c>
      <c r="J1219" t="str">
        <f>IF(_xlfn.CONCAT(Filtering!A1219,Filtering!B1219,Filtering!C1219)=$M$2,Filtering!D1219,"N/A")</f>
        <v>N/A</v>
      </c>
    </row>
    <row r="1220" spans="3:10" x14ac:dyDescent="0.25">
      <c r="C1220" t="str">
        <f>IF(Filtering!F1220&gt;0,Filtering!B1220,"N/A")</f>
        <v>N/A</v>
      </c>
      <c r="D1220" t="str">
        <f>IF('Data Validation'!C1220=Filtering!B1220,Filtering!C1220,"N/A")</f>
        <v>N/A</v>
      </c>
      <c r="J1220" t="str">
        <f>IF(_xlfn.CONCAT(Filtering!A1220,Filtering!B1220,Filtering!C1220)=$M$2,Filtering!D1220,"N/A")</f>
        <v>N/A</v>
      </c>
    </row>
    <row r="1221" spans="3:10" x14ac:dyDescent="0.25">
      <c r="C1221" t="str">
        <f>IF(Filtering!F1221&gt;0,Filtering!B1221,"N/A")</f>
        <v>N/A</v>
      </c>
      <c r="D1221" t="str">
        <f>IF('Data Validation'!C1221=Filtering!B1221,Filtering!C1221,"N/A")</f>
        <v>N/A</v>
      </c>
      <c r="J1221" t="str">
        <f>IF(_xlfn.CONCAT(Filtering!A1221,Filtering!B1221,Filtering!C1221)=$M$2,Filtering!D1221,"N/A")</f>
        <v>N/A</v>
      </c>
    </row>
    <row r="1222" spans="3:10" x14ac:dyDescent="0.25">
      <c r="C1222" t="str">
        <f>IF(Filtering!F1222&gt;0,Filtering!B1222,"N/A")</f>
        <v>N/A</v>
      </c>
      <c r="D1222" t="str">
        <f>IF('Data Validation'!C1222=Filtering!B1222,Filtering!C1222,"N/A")</f>
        <v>N/A</v>
      </c>
      <c r="J1222" t="str">
        <f>IF(_xlfn.CONCAT(Filtering!A1222,Filtering!B1222,Filtering!C1222)=$M$2,Filtering!D1222,"N/A")</f>
        <v>N/A</v>
      </c>
    </row>
    <row r="1223" spans="3:10" x14ac:dyDescent="0.25">
      <c r="C1223" t="str">
        <f>IF(Filtering!F1223&gt;0,Filtering!B1223,"N/A")</f>
        <v>N/A</v>
      </c>
      <c r="D1223" t="str">
        <f>IF('Data Validation'!C1223=Filtering!B1223,Filtering!C1223,"N/A")</f>
        <v>N/A</v>
      </c>
      <c r="J1223" t="str">
        <f>IF(_xlfn.CONCAT(Filtering!A1223,Filtering!B1223,Filtering!C1223)=$M$2,Filtering!D1223,"N/A")</f>
        <v>N/A</v>
      </c>
    </row>
    <row r="1224" spans="3:10" x14ac:dyDescent="0.25">
      <c r="C1224" t="str">
        <f>IF(Filtering!F1224&gt;0,Filtering!B1224,"N/A")</f>
        <v>N/A</v>
      </c>
      <c r="D1224" t="str">
        <f>IF('Data Validation'!C1224=Filtering!B1224,Filtering!C1224,"N/A")</f>
        <v>N/A</v>
      </c>
      <c r="J1224" t="str">
        <f>IF(_xlfn.CONCAT(Filtering!A1224,Filtering!B1224,Filtering!C1224)=$M$2,Filtering!D1224,"N/A")</f>
        <v>N/A</v>
      </c>
    </row>
    <row r="1225" spans="3:10" x14ac:dyDescent="0.25">
      <c r="C1225" t="str">
        <f>IF(Filtering!F1225&gt;0,Filtering!B1225,"N/A")</f>
        <v>N/A</v>
      </c>
      <c r="D1225" t="str">
        <f>IF('Data Validation'!C1225=Filtering!B1225,Filtering!C1225,"N/A")</f>
        <v>N/A</v>
      </c>
      <c r="J1225" t="str">
        <f>IF(_xlfn.CONCAT(Filtering!A1225,Filtering!B1225,Filtering!C1225)=$M$2,Filtering!D1225,"N/A")</f>
        <v>N/A</v>
      </c>
    </row>
    <row r="1226" spans="3:10" x14ac:dyDescent="0.25">
      <c r="C1226" t="str">
        <f>IF(Filtering!F1226&gt;0,Filtering!B1226,"N/A")</f>
        <v>N/A</v>
      </c>
      <c r="D1226" t="str">
        <f>IF('Data Validation'!C1226=Filtering!B1226,Filtering!C1226,"N/A")</f>
        <v>N/A</v>
      </c>
      <c r="J1226" t="str">
        <f>IF(_xlfn.CONCAT(Filtering!A1226,Filtering!B1226,Filtering!C1226)=$M$2,Filtering!D1226,"N/A")</f>
        <v>N/A</v>
      </c>
    </row>
    <row r="1227" spans="3:10" x14ac:dyDescent="0.25">
      <c r="C1227" t="str">
        <f>IF(Filtering!F1227&gt;0,Filtering!B1227,"N/A")</f>
        <v>N/A</v>
      </c>
      <c r="D1227" t="str">
        <f>IF('Data Validation'!C1227=Filtering!B1227,Filtering!C1227,"N/A")</f>
        <v>N/A</v>
      </c>
      <c r="J1227" t="str">
        <f>IF(_xlfn.CONCAT(Filtering!A1227,Filtering!B1227,Filtering!C1227)=$M$2,Filtering!D1227,"N/A")</f>
        <v>N/A</v>
      </c>
    </row>
    <row r="1228" spans="3:10" x14ac:dyDescent="0.25">
      <c r="C1228" t="str">
        <f>IF(Filtering!F1228&gt;0,Filtering!B1228,"N/A")</f>
        <v>N/A</v>
      </c>
      <c r="D1228" t="str">
        <f>IF('Data Validation'!C1228=Filtering!B1228,Filtering!C1228,"N/A")</f>
        <v>N/A</v>
      </c>
      <c r="J1228" t="str">
        <f>IF(_xlfn.CONCAT(Filtering!A1228,Filtering!B1228,Filtering!C1228)=$M$2,Filtering!D1228,"N/A")</f>
        <v>N/A</v>
      </c>
    </row>
    <row r="1229" spans="3:10" x14ac:dyDescent="0.25">
      <c r="C1229" t="str">
        <f>IF(Filtering!F1229&gt;0,Filtering!B1229,"N/A")</f>
        <v>N/A</v>
      </c>
      <c r="D1229" t="str">
        <f>IF('Data Validation'!C1229=Filtering!B1229,Filtering!C1229,"N/A")</f>
        <v>N/A</v>
      </c>
      <c r="J1229" t="str">
        <f>IF(_xlfn.CONCAT(Filtering!A1229,Filtering!B1229,Filtering!C1229)=$M$2,Filtering!D1229,"N/A")</f>
        <v>N/A</v>
      </c>
    </row>
    <row r="1230" spans="3:10" x14ac:dyDescent="0.25">
      <c r="C1230" t="str">
        <f>IF(Filtering!F1230&gt;0,Filtering!B1230,"N/A")</f>
        <v>N/A</v>
      </c>
      <c r="D1230" t="str">
        <f>IF('Data Validation'!C1230=Filtering!B1230,Filtering!C1230,"N/A")</f>
        <v>N/A</v>
      </c>
      <c r="J1230" t="str">
        <f>IF(_xlfn.CONCAT(Filtering!A1230,Filtering!B1230,Filtering!C1230)=$M$2,Filtering!D1230,"N/A")</f>
        <v>N/A</v>
      </c>
    </row>
    <row r="1231" spans="3:10" x14ac:dyDescent="0.25">
      <c r="C1231" t="str">
        <f>IF(Filtering!F1231&gt;0,Filtering!B1231,"N/A")</f>
        <v>N/A</v>
      </c>
      <c r="D1231" t="str">
        <f>IF('Data Validation'!C1231=Filtering!B1231,Filtering!C1231,"N/A")</f>
        <v>N/A</v>
      </c>
      <c r="J1231" t="str">
        <f>IF(_xlfn.CONCAT(Filtering!A1231,Filtering!B1231,Filtering!C1231)=$M$2,Filtering!D1231,"N/A")</f>
        <v>N/A</v>
      </c>
    </row>
    <row r="1232" spans="3:10" x14ac:dyDescent="0.25">
      <c r="C1232" t="str">
        <f>IF(Filtering!F1232&gt;0,Filtering!B1232,"N/A")</f>
        <v>N/A</v>
      </c>
      <c r="D1232" t="str">
        <f>IF('Data Validation'!C1232=Filtering!B1232,Filtering!C1232,"N/A")</f>
        <v>N/A</v>
      </c>
      <c r="J1232" t="str">
        <f>IF(_xlfn.CONCAT(Filtering!A1232,Filtering!B1232,Filtering!C1232)=$M$2,Filtering!D1232,"N/A")</f>
        <v>N/A</v>
      </c>
    </row>
    <row r="1233" spans="3:10" x14ac:dyDescent="0.25">
      <c r="C1233" t="str">
        <f>IF(Filtering!F1233&gt;0,Filtering!B1233,"N/A")</f>
        <v>N/A</v>
      </c>
      <c r="D1233" t="str">
        <f>IF('Data Validation'!C1233=Filtering!B1233,Filtering!C1233,"N/A")</f>
        <v>N/A</v>
      </c>
      <c r="J1233" t="str">
        <f>IF(_xlfn.CONCAT(Filtering!A1233,Filtering!B1233,Filtering!C1233)=$M$2,Filtering!D1233,"N/A")</f>
        <v>N/A</v>
      </c>
    </row>
    <row r="1234" spans="3:10" x14ac:dyDescent="0.25">
      <c r="C1234" t="str">
        <f>IF(Filtering!F1234&gt;0,Filtering!B1234,"N/A")</f>
        <v>N/A</v>
      </c>
      <c r="D1234" t="str">
        <f>IF('Data Validation'!C1234=Filtering!B1234,Filtering!C1234,"N/A")</f>
        <v>N/A</v>
      </c>
      <c r="J1234" t="str">
        <f>IF(_xlfn.CONCAT(Filtering!A1234,Filtering!B1234,Filtering!C1234)=$M$2,Filtering!D1234,"N/A")</f>
        <v>N/A</v>
      </c>
    </row>
    <row r="1235" spans="3:10" x14ac:dyDescent="0.25">
      <c r="C1235" t="str">
        <f>IF(Filtering!F1235&gt;0,Filtering!B1235,"N/A")</f>
        <v>N/A</v>
      </c>
      <c r="D1235" t="str">
        <f>IF('Data Validation'!C1235=Filtering!B1235,Filtering!C1235,"N/A")</f>
        <v>N/A</v>
      </c>
      <c r="J1235" t="str">
        <f>IF(_xlfn.CONCAT(Filtering!A1235,Filtering!B1235,Filtering!C1235)=$M$2,Filtering!D1235,"N/A")</f>
        <v>N/A</v>
      </c>
    </row>
    <row r="1236" spans="3:10" x14ac:dyDescent="0.25">
      <c r="C1236" t="str">
        <f>IF(Filtering!F1236&gt;0,Filtering!B1236,"N/A")</f>
        <v>N/A</v>
      </c>
      <c r="D1236" t="str">
        <f>IF('Data Validation'!C1236=Filtering!B1236,Filtering!C1236,"N/A")</f>
        <v>N/A</v>
      </c>
      <c r="J1236" t="str">
        <f>IF(_xlfn.CONCAT(Filtering!A1236,Filtering!B1236,Filtering!C1236)=$M$2,Filtering!D1236,"N/A")</f>
        <v>N/A</v>
      </c>
    </row>
    <row r="1237" spans="3:10" x14ac:dyDescent="0.25">
      <c r="C1237" t="str">
        <f>IF(Filtering!F1237&gt;0,Filtering!B1237,"N/A")</f>
        <v>N/A</v>
      </c>
      <c r="D1237" t="str">
        <f>IF('Data Validation'!C1237=Filtering!B1237,Filtering!C1237,"N/A")</f>
        <v>N/A</v>
      </c>
      <c r="J1237" t="str">
        <f>IF(_xlfn.CONCAT(Filtering!A1237,Filtering!B1237,Filtering!C1237)=$M$2,Filtering!D1237,"N/A")</f>
        <v>N/A</v>
      </c>
    </row>
    <row r="1238" spans="3:10" x14ac:dyDescent="0.25">
      <c r="C1238" t="str">
        <f>IF(Filtering!F1238&gt;0,Filtering!B1238,"N/A")</f>
        <v>N/A</v>
      </c>
      <c r="D1238" t="str">
        <f>IF('Data Validation'!C1238=Filtering!B1238,Filtering!C1238,"N/A")</f>
        <v>N/A</v>
      </c>
      <c r="J1238" t="str">
        <f>IF(_xlfn.CONCAT(Filtering!A1238,Filtering!B1238,Filtering!C1238)=$M$2,Filtering!D1238,"N/A")</f>
        <v>N/A</v>
      </c>
    </row>
    <row r="1239" spans="3:10" x14ac:dyDescent="0.25">
      <c r="C1239" t="str">
        <f>IF(Filtering!F1239&gt;0,Filtering!B1239,"N/A")</f>
        <v>N/A</v>
      </c>
      <c r="D1239" t="str">
        <f>IF('Data Validation'!C1239=Filtering!B1239,Filtering!C1239,"N/A")</f>
        <v>N/A</v>
      </c>
      <c r="J1239" t="str">
        <f>IF(_xlfn.CONCAT(Filtering!A1239,Filtering!B1239,Filtering!C1239)=$M$2,Filtering!D1239,"N/A")</f>
        <v>N/A</v>
      </c>
    </row>
    <row r="1240" spans="3:10" x14ac:dyDescent="0.25">
      <c r="C1240" t="str">
        <f>IF(Filtering!F1240&gt;0,Filtering!B1240,"N/A")</f>
        <v>N/A</v>
      </c>
      <c r="D1240" t="str">
        <f>IF('Data Validation'!C1240=Filtering!B1240,Filtering!C1240,"N/A")</f>
        <v>N/A</v>
      </c>
      <c r="J1240" t="str">
        <f>IF(_xlfn.CONCAT(Filtering!A1240,Filtering!B1240,Filtering!C1240)=$M$2,Filtering!D1240,"N/A")</f>
        <v>N/A</v>
      </c>
    </row>
    <row r="1241" spans="3:10" x14ac:dyDescent="0.25">
      <c r="C1241" t="str">
        <f>IF(Filtering!F1241&gt;0,Filtering!B1241,"N/A")</f>
        <v>N/A</v>
      </c>
      <c r="D1241" t="str">
        <f>IF('Data Validation'!C1241=Filtering!B1241,Filtering!C1241,"N/A")</f>
        <v>N/A</v>
      </c>
      <c r="J1241" t="str">
        <f>IF(_xlfn.CONCAT(Filtering!A1241,Filtering!B1241,Filtering!C1241)=$M$2,Filtering!D1241,"N/A")</f>
        <v>N/A</v>
      </c>
    </row>
    <row r="1242" spans="3:10" x14ac:dyDescent="0.25">
      <c r="C1242" t="str">
        <f>IF(Filtering!F1242&gt;0,Filtering!B1242,"N/A")</f>
        <v>N/A</v>
      </c>
      <c r="D1242" t="str">
        <f>IF('Data Validation'!C1242=Filtering!B1242,Filtering!C1242,"N/A")</f>
        <v>N/A</v>
      </c>
      <c r="J1242" t="str">
        <f>IF(_xlfn.CONCAT(Filtering!A1242,Filtering!B1242,Filtering!C1242)=$M$2,Filtering!D1242,"N/A")</f>
        <v>N/A</v>
      </c>
    </row>
    <row r="1243" spans="3:10" x14ac:dyDescent="0.25">
      <c r="C1243" t="str">
        <f>IF(Filtering!F1243&gt;0,Filtering!B1243,"N/A")</f>
        <v>N/A</v>
      </c>
      <c r="D1243" t="str">
        <f>IF('Data Validation'!C1243=Filtering!B1243,Filtering!C1243,"N/A")</f>
        <v>N/A</v>
      </c>
      <c r="J1243" t="str">
        <f>IF(_xlfn.CONCAT(Filtering!A1243,Filtering!B1243,Filtering!C1243)=$M$2,Filtering!D1243,"N/A")</f>
        <v>N/A</v>
      </c>
    </row>
    <row r="1244" spans="3:10" x14ac:dyDescent="0.25">
      <c r="C1244" t="str">
        <f>IF(Filtering!F1244&gt;0,Filtering!B1244,"N/A")</f>
        <v>N/A</v>
      </c>
      <c r="D1244" t="str">
        <f>IF('Data Validation'!C1244=Filtering!B1244,Filtering!C1244,"N/A")</f>
        <v>N/A</v>
      </c>
      <c r="J1244" t="str">
        <f>IF(_xlfn.CONCAT(Filtering!A1244,Filtering!B1244,Filtering!C1244)=$M$2,Filtering!D1244,"N/A")</f>
        <v>N/A</v>
      </c>
    </row>
    <row r="1245" spans="3:10" x14ac:dyDescent="0.25">
      <c r="C1245" t="str">
        <f>IF(Filtering!F1245&gt;0,Filtering!B1245,"N/A")</f>
        <v>N/A</v>
      </c>
      <c r="D1245" t="str">
        <f>IF('Data Validation'!C1245=Filtering!B1245,Filtering!C1245,"N/A")</f>
        <v>N/A</v>
      </c>
      <c r="J1245" t="str">
        <f>IF(_xlfn.CONCAT(Filtering!A1245,Filtering!B1245,Filtering!C1245)=$M$2,Filtering!D1245,"N/A")</f>
        <v>N/A</v>
      </c>
    </row>
    <row r="1246" spans="3:10" x14ac:dyDescent="0.25">
      <c r="C1246" t="str">
        <f>IF(Filtering!F1246&gt;0,Filtering!B1246,"N/A")</f>
        <v>N/A</v>
      </c>
      <c r="D1246" t="str">
        <f>IF('Data Validation'!C1246=Filtering!B1246,Filtering!C1246,"N/A")</f>
        <v>N/A</v>
      </c>
      <c r="J1246" t="str">
        <f>IF(_xlfn.CONCAT(Filtering!A1246,Filtering!B1246,Filtering!C1246)=$M$2,Filtering!D1246,"N/A")</f>
        <v>N/A</v>
      </c>
    </row>
    <row r="1247" spans="3:10" x14ac:dyDescent="0.25">
      <c r="C1247" t="str">
        <f>IF(Filtering!F1247&gt;0,Filtering!B1247,"N/A")</f>
        <v>N/A</v>
      </c>
      <c r="D1247" t="str">
        <f>IF('Data Validation'!C1247=Filtering!B1247,Filtering!C1247,"N/A")</f>
        <v>N/A</v>
      </c>
      <c r="J1247" t="str">
        <f>IF(_xlfn.CONCAT(Filtering!A1247,Filtering!B1247,Filtering!C1247)=$M$2,Filtering!D1247,"N/A")</f>
        <v>N/A</v>
      </c>
    </row>
    <row r="1248" spans="3:10" x14ac:dyDescent="0.25">
      <c r="C1248" t="str">
        <f>IF(Filtering!F1248&gt;0,Filtering!B1248,"N/A")</f>
        <v>N/A</v>
      </c>
      <c r="D1248" t="str">
        <f>IF('Data Validation'!C1248=Filtering!B1248,Filtering!C1248,"N/A")</f>
        <v>N/A</v>
      </c>
      <c r="J1248" t="str">
        <f>IF(_xlfn.CONCAT(Filtering!A1248,Filtering!B1248,Filtering!C1248)=$M$2,Filtering!D1248,"N/A")</f>
        <v>N/A</v>
      </c>
    </row>
    <row r="1249" spans="3:10" x14ac:dyDescent="0.25">
      <c r="C1249" t="str">
        <f>IF(Filtering!F1249&gt;0,Filtering!B1249,"N/A")</f>
        <v>N/A</v>
      </c>
      <c r="D1249" t="str">
        <f>IF('Data Validation'!C1249=Filtering!B1249,Filtering!C1249,"N/A")</f>
        <v>N/A</v>
      </c>
      <c r="J1249" t="str">
        <f>IF(_xlfn.CONCAT(Filtering!A1249,Filtering!B1249,Filtering!C1249)=$M$2,Filtering!D1249,"N/A")</f>
        <v>N/A</v>
      </c>
    </row>
    <row r="1250" spans="3:10" x14ac:dyDescent="0.25">
      <c r="C1250" t="str">
        <f>IF(Filtering!F1250&gt;0,Filtering!B1250,"N/A")</f>
        <v>N/A</v>
      </c>
      <c r="D1250" t="str">
        <f>IF('Data Validation'!C1250=Filtering!B1250,Filtering!C1250,"N/A")</f>
        <v>N/A</v>
      </c>
      <c r="J1250" t="str">
        <f>IF(_xlfn.CONCAT(Filtering!A1250,Filtering!B1250,Filtering!C1250)=$M$2,Filtering!D1250,"N/A")</f>
        <v>N/A</v>
      </c>
    </row>
    <row r="1251" spans="3:10" x14ac:dyDescent="0.25">
      <c r="C1251" t="str">
        <f>IF(Filtering!F1251&gt;0,Filtering!B1251,"N/A")</f>
        <v>N/A</v>
      </c>
      <c r="D1251" t="str">
        <f>IF('Data Validation'!C1251=Filtering!B1251,Filtering!C1251,"N/A")</f>
        <v>N/A</v>
      </c>
      <c r="J1251" t="str">
        <f>IF(_xlfn.CONCAT(Filtering!A1251,Filtering!B1251,Filtering!C1251)=$M$2,Filtering!D1251,"N/A")</f>
        <v>N/A</v>
      </c>
    </row>
    <row r="1252" spans="3:10" x14ac:dyDescent="0.25">
      <c r="C1252" t="str">
        <f>IF(Filtering!F1252&gt;0,Filtering!B1252,"N/A")</f>
        <v>N/A</v>
      </c>
      <c r="D1252" t="str">
        <f>IF('Data Validation'!C1252=Filtering!B1252,Filtering!C1252,"N/A")</f>
        <v>N/A</v>
      </c>
      <c r="J1252" t="str">
        <f>IF(_xlfn.CONCAT(Filtering!A1252,Filtering!B1252,Filtering!C1252)=$M$2,Filtering!D1252,"N/A")</f>
        <v>N/A</v>
      </c>
    </row>
    <row r="1253" spans="3:10" x14ac:dyDescent="0.25">
      <c r="C1253" t="str">
        <f>IF(Filtering!F1253&gt;0,Filtering!B1253,"N/A")</f>
        <v>N/A</v>
      </c>
      <c r="D1253" t="str">
        <f>IF('Data Validation'!C1253=Filtering!B1253,Filtering!C1253,"N/A")</f>
        <v>N/A</v>
      </c>
      <c r="J1253" t="str">
        <f>IF(_xlfn.CONCAT(Filtering!A1253,Filtering!B1253,Filtering!C1253)=$M$2,Filtering!D1253,"N/A")</f>
        <v>N/A</v>
      </c>
    </row>
    <row r="1254" spans="3:10" x14ac:dyDescent="0.25">
      <c r="C1254" t="str">
        <f>IF(Filtering!F1254&gt;0,Filtering!B1254,"N/A")</f>
        <v>N/A</v>
      </c>
      <c r="D1254" t="str">
        <f>IF('Data Validation'!C1254=Filtering!B1254,Filtering!C1254,"N/A")</f>
        <v>N/A</v>
      </c>
      <c r="J1254" t="str">
        <f>IF(_xlfn.CONCAT(Filtering!A1254,Filtering!B1254,Filtering!C1254)=$M$2,Filtering!D1254,"N/A")</f>
        <v>N/A</v>
      </c>
    </row>
    <row r="1255" spans="3:10" x14ac:dyDescent="0.25">
      <c r="C1255" t="str">
        <f>IF(Filtering!F1255&gt;0,Filtering!B1255,"N/A")</f>
        <v>N/A</v>
      </c>
      <c r="D1255" t="str">
        <f>IF('Data Validation'!C1255=Filtering!B1255,Filtering!C1255,"N/A")</f>
        <v>N/A</v>
      </c>
      <c r="J1255" t="str">
        <f>IF(_xlfn.CONCAT(Filtering!A1255,Filtering!B1255,Filtering!C1255)=$M$2,Filtering!D1255,"N/A")</f>
        <v>N/A</v>
      </c>
    </row>
    <row r="1256" spans="3:10" x14ac:dyDescent="0.25">
      <c r="C1256" t="str">
        <f>IF(Filtering!F1256&gt;0,Filtering!B1256,"N/A")</f>
        <v>N/A</v>
      </c>
      <c r="D1256" t="str">
        <f>IF('Data Validation'!C1256=Filtering!B1256,Filtering!C1256,"N/A")</f>
        <v>N/A</v>
      </c>
      <c r="J1256" t="str">
        <f>IF(_xlfn.CONCAT(Filtering!A1256,Filtering!B1256,Filtering!C1256)=$M$2,Filtering!D1256,"N/A")</f>
        <v>N/A</v>
      </c>
    </row>
    <row r="1257" spans="3:10" x14ac:dyDescent="0.25">
      <c r="C1257" t="str">
        <f>IF(Filtering!F1257&gt;0,Filtering!B1257,"N/A")</f>
        <v>N/A</v>
      </c>
      <c r="D1257" t="str">
        <f>IF('Data Validation'!C1257=Filtering!B1257,Filtering!C1257,"N/A")</f>
        <v>N/A</v>
      </c>
      <c r="J1257" t="str">
        <f>IF(_xlfn.CONCAT(Filtering!A1257,Filtering!B1257,Filtering!C1257)=$M$2,Filtering!D1257,"N/A")</f>
        <v>N/A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29D04-D8D2-4C28-82A7-DFB5AB423BEE}">
  <dimension ref="A1:M1258"/>
  <sheetViews>
    <sheetView workbookViewId="0">
      <selection activeCell="C55" sqref="C55"/>
    </sheetView>
  </sheetViews>
  <sheetFormatPr defaultRowHeight="15" x14ac:dyDescent="0.25"/>
  <cols>
    <col min="1" max="1" width="11.5703125" bestFit="1" customWidth="1"/>
    <col min="2" max="2" width="40.85546875" customWidth="1"/>
    <col min="3" max="3" width="29.140625" bestFit="1" customWidth="1"/>
    <col min="4" max="4" width="13.7109375" style="16" bestFit="1" customWidth="1"/>
    <col min="5" max="5" width="13.7109375" customWidth="1"/>
    <col min="6" max="6" width="13.7109375" bestFit="1" customWidth="1"/>
    <col min="11" max="12" width="19" customWidth="1"/>
    <col min="13" max="13" width="23.7109375" customWidth="1"/>
    <col min="14" max="14" width="22.140625" bestFit="1" customWidth="1"/>
    <col min="15" max="17" width="19" bestFit="1" customWidth="1"/>
    <col min="18" max="18" width="22.140625" bestFit="1" customWidth="1"/>
    <col min="19" max="21" width="17.7109375" bestFit="1" customWidth="1"/>
    <col min="22" max="22" width="18.85546875" bestFit="1" customWidth="1"/>
    <col min="23" max="24" width="20.42578125" bestFit="1" customWidth="1"/>
    <col min="25" max="25" width="21.7109375" bestFit="1" customWidth="1"/>
    <col min="26" max="27" width="13.7109375" bestFit="1" customWidth="1"/>
    <col min="28" max="29" width="15.7109375" bestFit="1" customWidth="1"/>
    <col min="30" max="32" width="18.85546875" bestFit="1" customWidth="1"/>
    <col min="33" max="33" width="16" bestFit="1" customWidth="1"/>
    <col min="34" max="38" width="28" bestFit="1" customWidth="1"/>
    <col min="39" max="41" width="28.7109375" bestFit="1" customWidth="1"/>
    <col min="42" max="45" width="17.85546875" bestFit="1" customWidth="1"/>
    <col min="46" max="46" width="11.7109375" bestFit="1" customWidth="1"/>
    <col min="47" max="48" width="17.85546875" bestFit="1" customWidth="1"/>
    <col min="49" max="49" width="19.140625" bestFit="1" customWidth="1"/>
    <col min="50" max="50" width="17.85546875" bestFit="1" customWidth="1"/>
    <col min="51" max="51" width="19.140625" bestFit="1" customWidth="1"/>
    <col min="52" max="52" width="17.85546875" bestFit="1" customWidth="1"/>
    <col min="53" max="53" width="19.140625" bestFit="1" customWidth="1"/>
    <col min="54" max="54" width="17.85546875" bestFit="1" customWidth="1"/>
    <col min="55" max="55" width="19.140625" bestFit="1" customWidth="1"/>
    <col min="56" max="56" width="17.85546875" bestFit="1" customWidth="1"/>
    <col min="57" max="58" width="16.42578125" bestFit="1" customWidth="1"/>
    <col min="59" max="59" width="17.85546875" bestFit="1" customWidth="1"/>
    <col min="60" max="60" width="11.7109375" bestFit="1" customWidth="1"/>
    <col min="61" max="63" width="17.85546875" bestFit="1" customWidth="1"/>
    <col min="64" max="64" width="19.140625" bestFit="1" customWidth="1"/>
    <col min="65" max="65" width="18.85546875" bestFit="1" customWidth="1"/>
    <col min="66" max="67" width="19.140625" bestFit="1" customWidth="1"/>
    <col min="68" max="71" width="17.85546875" bestFit="1" customWidth="1"/>
    <col min="72" max="72" width="19.140625" bestFit="1" customWidth="1"/>
    <col min="73" max="73" width="18.85546875" bestFit="1" customWidth="1"/>
    <col min="74" max="74" width="19.140625" bestFit="1" customWidth="1"/>
    <col min="75" max="75" width="16.42578125" bestFit="1" customWidth="1"/>
    <col min="76" max="77" width="17.85546875" bestFit="1" customWidth="1"/>
    <col min="78" max="78" width="12" bestFit="1" customWidth="1"/>
    <col min="79" max="82" width="16.7109375" bestFit="1" customWidth="1"/>
    <col min="83" max="83" width="15.28515625" bestFit="1" customWidth="1"/>
    <col min="84" max="84" width="20.42578125" bestFit="1" customWidth="1"/>
    <col min="85" max="86" width="20.28515625" bestFit="1" customWidth="1"/>
    <col min="87" max="87" width="28.5703125" bestFit="1" customWidth="1"/>
    <col min="88" max="88" width="28.28515625" bestFit="1" customWidth="1"/>
    <col min="89" max="89" width="28.5703125" bestFit="1" customWidth="1"/>
    <col min="90" max="92" width="29.28515625" bestFit="1" customWidth="1"/>
    <col min="93" max="93" width="22.28515625" bestFit="1" customWidth="1"/>
    <col min="94" max="95" width="22" bestFit="1" customWidth="1"/>
    <col min="96" max="96" width="24.140625" bestFit="1" customWidth="1"/>
    <col min="97" max="97" width="11.28515625" bestFit="1" customWidth="1"/>
  </cols>
  <sheetData>
    <row r="1" spans="1:13" x14ac:dyDescent="0.25">
      <c r="A1" s="1" t="s">
        <v>0</v>
      </c>
      <c r="B1" s="1" t="s">
        <v>890</v>
      </c>
      <c r="C1" s="1" t="s">
        <v>988</v>
      </c>
      <c r="D1" s="29" t="s">
        <v>7</v>
      </c>
      <c r="E1" s="1"/>
      <c r="F1" s="3" t="s">
        <v>1103</v>
      </c>
      <c r="M1" s="3"/>
    </row>
    <row r="2" spans="1:13" x14ac:dyDescent="0.25">
      <c r="A2" t="s">
        <v>46</v>
      </c>
      <c r="B2" t="s">
        <v>897</v>
      </c>
      <c r="C2" t="s">
        <v>1095</v>
      </c>
      <c r="D2" s="16">
        <v>579</v>
      </c>
      <c r="F2" cm="1">
        <f t="array" ref="F2:F1257">IF(brand=A2:A1257,1,0)</f>
        <v>0</v>
      </c>
    </row>
    <row r="3" spans="1:13" x14ac:dyDescent="0.25">
      <c r="A3" t="s">
        <v>46</v>
      </c>
      <c r="B3" t="s">
        <v>898</v>
      </c>
      <c r="C3" t="s">
        <v>1095</v>
      </c>
      <c r="D3" s="16">
        <v>659</v>
      </c>
      <c r="F3">
        <v>0</v>
      </c>
    </row>
    <row r="4" spans="1:13" x14ac:dyDescent="0.25">
      <c r="A4" t="s">
        <v>46</v>
      </c>
      <c r="B4" t="s">
        <v>899</v>
      </c>
      <c r="C4" t="s">
        <v>1075</v>
      </c>
      <c r="D4" s="16">
        <v>387</v>
      </c>
      <c r="F4">
        <v>0</v>
      </c>
    </row>
    <row r="5" spans="1:13" x14ac:dyDescent="0.25">
      <c r="A5" t="s">
        <v>46</v>
      </c>
      <c r="B5" t="s">
        <v>899</v>
      </c>
      <c r="C5" t="s">
        <v>1075</v>
      </c>
      <c r="D5" s="16">
        <v>449</v>
      </c>
      <c r="F5">
        <v>0</v>
      </c>
    </row>
    <row r="6" spans="1:13" x14ac:dyDescent="0.25">
      <c r="A6" t="s">
        <v>46</v>
      </c>
      <c r="B6" t="s">
        <v>899</v>
      </c>
      <c r="C6" t="s">
        <v>1075</v>
      </c>
      <c r="D6" s="16">
        <v>469</v>
      </c>
      <c r="F6">
        <v>0</v>
      </c>
    </row>
    <row r="7" spans="1:13" x14ac:dyDescent="0.25">
      <c r="A7" t="s">
        <v>46</v>
      </c>
      <c r="B7" t="s">
        <v>900</v>
      </c>
      <c r="C7" t="s">
        <v>1075</v>
      </c>
      <c r="D7" s="16">
        <v>395</v>
      </c>
      <c r="F7">
        <v>0</v>
      </c>
    </row>
    <row r="8" spans="1:13" x14ac:dyDescent="0.25">
      <c r="A8" t="s">
        <v>46</v>
      </c>
      <c r="B8" t="s">
        <v>900</v>
      </c>
      <c r="C8" t="s">
        <v>1075</v>
      </c>
      <c r="D8" s="16">
        <v>400</v>
      </c>
      <c r="F8">
        <v>0</v>
      </c>
    </row>
    <row r="9" spans="1:13" x14ac:dyDescent="0.25">
      <c r="A9" t="s">
        <v>46</v>
      </c>
      <c r="B9" t="s">
        <v>900</v>
      </c>
      <c r="C9" t="s">
        <v>1075</v>
      </c>
      <c r="D9" s="16">
        <v>409</v>
      </c>
      <c r="F9">
        <v>0</v>
      </c>
    </row>
    <row r="10" spans="1:13" x14ac:dyDescent="0.25">
      <c r="A10" t="s">
        <v>46</v>
      </c>
      <c r="B10" t="s">
        <v>900</v>
      </c>
      <c r="C10" t="s">
        <v>1075</v>
      </c>
      <c r="D10" s="16">
        <v>426</v>
      </c>
      <c r="F10">
        <v>0</v>
      </c>
    </row>
    <row r="11" spans="1:13" x14ac:dyDescent="0.25">
      <c r="A11" t="s">
        <v>46</v>
      </c>
      <c r="B11" t="s">
        <v>900</v>
      </c>
      <c r="C11" t="s">
        <v>1075</v>
      </c>
      <c r="D11" s="16">
        <v>451</v>
      </c>
      <c r="F11">
        <v>0</v>
      </c>
    </row>
    <row r="12" spans="1:13" x14ac:dyDescent="0.25">
      <c r="A12" t="s">
        <v>46</v>
      </c>
      <c r="B12" t="s">
        <v>901</v>
      </c>
      <c r="C12" t="s">
        <v>1028</v>
      </c>
      <c r="D12" s="16">
        <v>174</v>
      </c>
      <c r="F12">
        <v>0</v>
      </c>
    </row>
    <row r="13" spans="1:13" x14ac:dyDescent="0.25">
      <c r="A13" t="s">
        <v>46</v>
      </c>
      <c r="B13" t="s">
        <v>901</v>
      </c>
      <c r="C13" t="s">
        <v>1028</v>
      </c>
      <c r="D13" s="16">
        <v>199</v>
      </c>
      <c r="F13">
        <v>0</v>
      </c>
    </row>
    <row r="14" spans="1:13" x14ac:dyDescent="0.25">
      <c r="A14" t="s">
        <v>46</v>
      </c>
      <c r="B14" t="s">
        <v>901</v>
      </c>
      <c r="C14" t="s">
        <v>1028</v>
      </c>
      <c r="D14" s="16">
        <v>209</v>
      </c>
      <c r="F14">
        <v>0</v>
      </c>
    </row>
    <row r="15" spans="1:13" x14ac:dyDescent="0.25">
      <c r="A15" t="s">
        <v>46</v>
      </c>
      <c r="B15" t="s">
        <v>901</v>
      </c>
      <c r="C15" t="s">
        <v>1028</v>
      </c>
      <c r="D15" s="16">
        <v>359</v>
      </c>
      <c r="F15">
        <v>0</v>
      </c>
    </row>
    <row r="16" spans="1:13" x14ac:dyDescent="0.25">
      <c r="A16" t="s">
        <v>46</v>
      </c>
      <c r="B16" t="s">
        <v>902</v>
      </c>
      <c r="C16" t="s">
        <v>1033</v>
      </c>
      <c r="D16" s="16">
        <v>375</v>
      </c>
      <c r="F16">
        <v>0</v>
      </c>
    </row>
    <row r="17" spans="1:6" x14ac:dyDescent="0.25">
      <c r="A17" t="s">
        <v>46</v>
      </c>
      <c r="B17" t="s">
        <v>903</v>
      </c>
      <c r="C17" t="s">
        <v>1028</v>
      </c>
      <c r="D17" s="16">
        <v>269</v>
      </c>
      <c r="F17">
        <v>0</v>
      </c>
    </row>
    <row r="18" spans="1:6" x14ac:dyDescent="0.25">
      <c r="A18" t="s">
        <v>46</v>
      </c>
      <c r="B18" t="s">
        <v>904</v>
      </c>
      <c r="C18" t="s">
        <v>1029</v>
      </c>
      <c r="D18" s="16">
        <v>289</v>
      </c>
      <c r="F18">
        <v>0</v>
      </c>
    </row>
    <row r="19" spans="1:6" x14ac:dyDescent="0.25">
      <c r="A19" t="s">
        <v>46</v>
      </c>
      <c r="B19" t="s">
        <v>904</v>
      </c>
      <c r="C19" t="s">
        <v>1029</v>
      </c>
      <c r="D19" s="16">
        <v>297</v>
      </c>
      <c r="F19">
        <v>0</v>
      </c>
    </row>
    <row r="20" spans="1:6" x14ac:dyDescent="0.25">
      <c r="A20" t="s">
        <v>46</v>
      </c>
      <c r="B20" t="s">
        <v>904</v>
      </c>
      <c r="C20" t="s">
        <v>1029</v>
      </c>
      <c r="D20" s="16">
        <v>330</v>
      </c>
      <c r="F20">
        <v>0</v>
      </c>
    </row>
    <row r="21" spans="1:6" x14ac:dyDescent="0.25">
      <c r="A21" t="s">
        <v>46</v>
      </c>
      <c r="B21" t="s">
        <v>904</v>
      </c>
      <c r="C21" t="s">
        <v>1029</v>
      </c>
      <c r="D21" s="16">
        <v>349</v>
      </c>
      <c r="F21">
        <v>0</v>
      </c>
    </row>
    <row r="22" spans="1:6" x14ac:dyDescent="0.25">
      <c r="A22" t="s">
        <v>46</v>
      </c>
      <c r="B22" t="s">
        <v>904</v>
      </c>
      <c r="C22" t="s">
        <v>1029</v>
      </c>
      <c r="D22" s="16">
        <v>355</v>
      </c>
      <c r="F22">
        <v>0</v>
      </c>
    </row>
    <row r="23" spans="1:6" x14ac:dyDescent="0.25">
      <c r="A23" t="s">
        <v>46</v>
      </c>
      <c r="B23" t="s">
        <v>904</v>
      </c>
      <c r="C23" t="s">
        <v>1029</v>
      </c>
      <c r="D23" s="16">
        <v>389</v>
      </c>
      <c r="F23">
        <v>0</v>
      </c>
    </row>
    <row r="24" spans="1:6" x14ac:dyDescent="0.25">
      <c r="A24" t="s">
        <v>46</v>
      </c>
      <c r="B24" t="s">
        <v>904</v>
      </c>
      <c r="C24" t="s">
        <v>1029</v>
      </c>
      <c r="D24" s="16">
        <v>435</v>
      </c>
      <c r="F24">
        <v>0</v>
      </c>
    </row>
    <row r="25" spans="1:6" x14ac:dyDescent="0.25">
      <c r="A25" t="s">
        <v>46</v>
      </c>
      <c r="B25" t="s">
        <v>905</v>
      </c>
      <c r="C25" t="s">
        <v>1031</v>
      </c>
      <c r="D25" s="16">
        <v>272</v>
      </c>
      <c r="F25">
        <v>0</v>
      </c>
    </row>
    <row r="26" spans="1:6" x14ac:dyDescent="0.25">
      <c r="A26" t="s">
        <v>46</v>
      </c>
      <c r="B26" t="s">
        <v>905</v>
      </c>
      <c r="C26" t="s">
        <v>1031</v>
      </c>
      <c r="D26" s="16">
        <v>333</v>
      </c>
      <c r="F26">
        <v>0</v>
      </c>
    </row>
    <row r="27" spans="1:6" x14ac:dyDescent="0.25">
      <c r="A27" t="s">
        <v>46</v>
      </c>
      <c r="B27" t="s">
        <v>905</v>
      </c>
      <c r="C27" t="s">
        <v>1031</v>
      </c>
      <c r="D27" s="16">
        <v>348</v>
      </c>
      <c r="F27">
        <v>0</v>
      </c>
    </row>
    <row r="28" spans="1:6" x14ac:dyDescent="0.25">
      <c r="A28" t="s">
        <v>46</v>
      </c>
      <c r="B28" t="s">
        <v>905</v>
      </c>
      <c r="C28" t="s">
        <v>1031</v>
      </c>
      <c r="D28" s="16">
        <v>349</v>
      </c>
      <c r="F28">
        <v>0</v>
      </c>
    </row>
    <row r="29" spans="1:6" x14ac:dyDescent="0.25">
      <c r="A29" t="s">
        <v>46</v>
      </c>
      <c r="B29" t="s">
        <v>906</v>
      </c>
      <c r="C29" t="s">
        <v>1029</v>
      </c>
      <c r="D29" s="16">
        <v>379</v>
      </c>
      <c r="F29">
        <v>0</v>
      </c>
    </row>
    <row r="30" spans="1:6" x14ac:dyDescent="0.25">
      <c r="A30" t="s">
        <v>46</v>
      </c>
      <c r="B30" t="s">
        <v>907</v>
      </c>
      <c r="C30" t="s">
        <v>1031</v>
      </c>
      <c r="D30" s="16">
        <v>329</v>
      </c>
      <c r="F30">
        <v>0</v>
      </c>
    </row>
    <row r="31" spans="1:6" x14ac:dyDescent="0.25">
      <c r="A31" t="s">
        <v>46</v>
      </c>
      <c r="B31" t="s">
        <v>908</v>
      </c>
      <c r="C31" t="s">
        <v>999</v>
      </c>
      <c r="D31" s="16">
        <v>544</v>
      </c>
      <c r="F31">
        <v>0</v>
      </c>
    </row>
    <row r="32" spans="1:6" x14ac:dyDescent="0.25">
      <c r="A32" t="s">
        <v>46</v>
      </c>
      <c r="B32" t="s">
        <v>908</v>
      </c>
      <c r="C32" t="s">
        <v>999</v>
      </c>
      <c r="D32" s="16">
        <v>598</v>
      </c>
      <c r="F32">
        <v>0</v>
      </c>
    </row>
    <row r="33" spans="1:6" x14ac:dyDescent="0.25">
      <c r="A33" t="s">
        <v>46</v>
      </c>
      <c r="B33" t="s">
        <v>908</v>
      </c>
      <c r="C33" t="s">
        <v>999</v>
      </c>
      <c r="D33" s="16">
        <v>629</v>
      </c>
      <c r="F33">
        <v>0</v>
      </c>
    </row>
    <row r="34" spans="1:6" x14ac:dyDescent="0.25">
      <c r="A34" t="s">
        <v>46</v>
      </c>
      <c r="B34" t="s">
        <v>908</v>
      </c>
      <c r="C34" t="s">
        <v>1012</v>
      </c>
      <c r="D34" s="16">
        <v>469</v>
      </c>
      <c r="F34">
        <v>0</v>
      </c>
    </row>
    <row r="35" spans="1:6" x14ac:dyDescent="0.25">
      <c r="A35" t="s">
        <v>46</v>
      </c>
      <c r="B35" t="s">
        <v>908</v>
      </c>
      <c r="C35" t="s">
        <v>1035</v>
      </c>
      <c r="D35" s="16">
        <v>361.8</v>
      </c>
      <c r="F35">
        <v>0</v>
      </c>
    </row>
    <row r="36" spans="1:6" x14ac:dyDescent="0.25">
      <c r="A36" t="s">
        <v>46</v>
      </c>
      <c r="B36" t="s">
        <v>908</v>
      </c>
      <c r="C36" t="s">
        <v>1035</v>
      </c>
      <c r="D36" s="16">
        <v>389</v>
      </c>
      <c r="F36">
        <v>0</v>
      </c>
    </row>
    <row r="37" spans="1:6" x14ac:dyDescent="0.25">
      <c r="A37" t="s">
        <v>46</v>
      </c>
      <c r="B37" t="s">
        <v>908</v>
      </c>
      <c r="C37" t="s">
        <v>1035</v>
      </c>
      <c r="D37" s="16">
        <v>390</v>
      </c>
      <c r="F37">
        <v>0</v>
      </c>
    </row>
    <row r="38" spans="1:6" x14ac:dyDescent="0.25">
      <c r="A38" t="s">
        <v>46</v>
      </c>
      <c r="B38" t="s">
        <v>908</v>
      </c>
      <c r="C38" t="s">
        <v>1035</v>
      </c>
      <c r="D38" s="16">
        <v>410.8</v>
      </c>
      <c r="F38">
        <v>0</v>
      </c>
    </row>
    <row r="39" spans="1:6" x14ac:dyDescent="0.25">
      <c r="A39" t="s">
        <v>46</v>
      </c>
      <c r="B39" t="s">
        <v>908</v>
      </c>
      <c r="C39" t="s">
        <v>1035</v>
      </c>
      <c r="D39" s="16">
        <v>412</v>
      </c>
      <c r="F39">
        <v>0</v>
      </c>
    </row>
    <row r="40" spans="1:6" x14ac:dyDescent="0.25">
      <c r="A40" t="s">
        <v>46</v>
      </c>
      <c r="B40" t="s">
        <v>908</v>
      </c>
      <c r="C40" t="s">
        <v>1035</v>
      </c>
      <c r="D40" s="16">
        <v>447</v>
      </c>
      <c r="F40">
        <v>0</v>
      </c>
    </row>
    <row r="41" spans="1:6" x14ac:dyDescent="0.25">
      <c r="A41" t="s">
        <v>46</v>
      </c>
      <c r="B41" t="s">
        <v>908</v>
      </c>
      <c r="C41" t="s">
        <v>1035</v>
      </c>
      <c r="D41" s="16">
        <v>449</v>
      </c>
      <c r="F41">
        <v>0</v>
      </c>
    </row>
    <row r="42" spans="1:6" x14ac:dyDescent="0.25">
      <c r="A42" t="s">
        <v>46</v>
      </c>
      <c r="B42" t="s">
        <v>908</v>
      </c>
      <c r="C42" t="s">
        <v>1035</v>
      </c>
      <c r="D42" s="16">
        <v>450</v>
      </c>
      <c r="F42">
        <v>0</v>
      </c>
    </row>
    <row r="43" spans="1:6" x14ac:dyDescent="0.25">
      <c r="A43" t="s">
        <v>46</v>
      </c>
      <c r="B43" t="s">
        <v>909</v>
      </c>
      <c r="C43" t="s">
        <v>1041</v>
      </c>
      <c r="D43" s="16">
        <v>384</v>
      </c>
      <c r="F43">
        <v>0</v>
      </c>
    </row>
    <row r="44" spans="1:6" x14ac:dyDescent="0.25">
      <c r="A44" t="s">
        <v>46</v>
      </c>
      <c r="B44" t="s">
        <v>909</v>
      </c>
      <c r="C44" t="s">
        <v>1041</v>
      </c>
      <c r="D44" s="16">
        <v>479</v>
      </c>
      <c r="F44">
        <v>0</v>
      </c>
    </row>
    <row r="45" spans="1:6" x14ac:dyDescent="0.25">
      <c r="A45" t="s">
        <v>46</v>
      </c>
      <c r="B45" t="s">
        <v>909</v>
      </c>
      <c r="C45" t="s">
        <v>1041</v>
      </c>
      <c r="D45" s="16">
        <v>499</v>
      </c>
      <c r="F45">
        <v>0</v>
      </c>
    </row>
    <row r="46" spans="1:6" x14ac:dyDescent="0.25">
      <c r="A46" t="s">
        <v>46</v>
      </c>
      <c r="B46" t="s">
        <v>909</v>
      </c>
      <c r="C46" t="s">
        <v>1041</v>
      </c>
      <c r="D46" s="16">
        <v>619</v>
      </c>
      <c r="F46">
        <v>0</v>
      </c>
    </row>
    <row r="47" spans="1:6" x14ac:dyDescent="0.25">
      <c r="A47" t="s">
        <v>46</v>
      </c>
      <c r="B47" t="s">
        <v>909</v>
      </c>
      <c r="C47" t="s">
        <v>1041</v>
      </c>
      <c r="D47" s="16">
        <v>636</v>
      </c>
      <c r="F47">
        <v>0</v>
      </c>
    </row>
    <row r="48" spans="1:6" x14ac:dyDescent="0.25">
      <c r="A48" t="s">
        <v>46</v>
      </c>
      <c r="B48" t="s">
        <v>910</v>
      </c>
      <c r="C48" t="s">
        <v>1024</v>
      </c>
      <c r="D48" s="16">
        <v>530</v>
      </c>
      <c r="F48">
        <v>0</v>
      </c>
    </row>
    <row r="49" spans="1:6" x14ac:dyDescent="0.25">
      <c r="A49" t="s">
        <v>46</v>
      </c>
      <c r="B49" t="s">
        <v>910</v>
      </c>
      <c r="C49" t="s">
        <v>1024</v>
      </c>
      <c r="D49" s="16">
        <v>572</v>
      </c>
      <c r="F49">
        <v>0</v>
      </c>
    </row>
    <row r="50" spans="1:6" x14ac:dyDescent="0.25">
      <c r="A50" t="s">
        <v>46</v>
      </c>
      <c r="B50" t="s">
        <v>910</v>
      </c>
      <c r="C50" t="s">
        <v>1024</v>
      </c>
      <c r="D50" s="16">
        <v>655</v>
      </c>
      <c r="F50">
        <v>0</v>
      </c>
    </row>
    <row r="51" spans="1:6" x14ac:dyDescent="0.25">
      <c r="A51" t="s">
        <v>46</v>
      </c>
      <c r="B51" t="s">
        <v>910</v>
      </c>
      <c r="C51" t="s">
        <v>1024</v>
      </c>
      <c r="D51" s="16">
        <v>702</v>
      </c>
      <c r="F51">
        <v>0</v>
      </c>
    </row>
    <row r="52" spans="1:6" x14ac:dyDescent="0.25">
      <c r="A52" t="s">
        <v>46</v>
      </c>
      <c r="B52" t="s">
        <v>910</v>
      </c>
      <c r="C52" t="s">
        <v>1041</v>
      </c>
      <c r="D52" s="16">
        <v>367</v>
      </c>
      <c r="F52">
        <v>0</v>
      </c>
    </row>
    <row r="53" spans="1:6" x14ac:dyDescent="0.25">
      <c r="A53" t="s">
        <v>46</v>
      </c>
      <c r="B53" t="s">
        <v>911</v>
      </c>
      <c r="C53" t="s">
        <v>1035</v>
      </c>
      <c r="D53" s="16">
        <v>655</v>
      </c>
      <c r="F53">
        <v>0</v>
      </c>
    </row>
    <row r="54" spans="1:6" x14ac:dyDescent="0.25">
      <c r="A54" t="s">
        <v>46</v>
      </c>
      <c r="B54" t="s">
        <v>911</v>
      </c>
      <c r="C54" t="s">
        <v>1035</v>
      </c>
      <c r="D54" s="16">
        <v>689</v>
      </c>
      <c r="F54">
        <v>0</v>
      </c>
    </row>
    <row r="55" spans="1:6" x14ac:dyDescent="0.25">
      <c r="A55" t="s">
        <v>46</v>
      </c>
      <c r="B55" t="s">
        <v>912</v>
      </c>
      <c r="C55" t="s">
        <v>999</v>
      </c>
      <c r="D55" s="16">
        <v>616</v>
      </c>
      <c r="F55">
        <v>0</v>
      </c>
    </row>
    <row r="56" spans="1:6" x14ac:dyDescent="0.25">
      <c r="A56" t="s">
        <v>46</v>
      </c>
      <c r="B56" t="s">
        <v>912</v>
      </c>
      <c r="C56" t="s">
        <v>999</v>
      </c>
      <c r="D56" s="16">
        <v>691</v>
      </c>
      <c r="F56">
        <v>0</v>
      </c>
    </row>
    <row r="57" spans="1:6" x14ac:dyDescent="0.25">
      <c r="A57" t="s">
        <v>46</v>
      </c>
      <c r="B57" t="s">
        <v>912</v>
      </c>
      <c r="C57" t="s">
        <v>1013</v>
      </c>
      <c r="D57" s="16">
        <v>799</v>
      </c>
      <c r="F57">
        <v>0</v>
      </c>
    </row>
    <row r="58" spans="1:6" x14ac:dyDescent="0.25">
      <c r="A58" t="s">
        <v>46</v>
      </c>
      <c r="B58" t="s">
        <v>912</v>
      </c>
      <c r="C58" t="s">
        <v>1013</v>
      </c>
      <c r="D58" s="16">
        <v>1009</v>
      </c>
      <c r="F58">
        <v>0</v>
      </c>
    </row>
    <row r="59" spans="1:6" x14ac:dyDescent="0.25">
      <c r="A59" t="s">
        <v>46</v>
      </c>
      <c r="B59" t="s">
        <v>912</v>
      </c>
      <c r="C59" t="s">
        <v>1026</v>
      </c>
      <c r="D59" s="16">
        <v>919</v>
      </c>
      <c r="F59">
        <v>0</v>
      </c>
    </row>
    <row r="60" spans="1:6" x14ac:dyDescent="0.25">
      <c r="A60" t="s">
        <v>46</v>
      </c>
      <c r="B60" t="s">
        <v>912</v>
      </c>
      <c r="C60" t="s">
        <v>1041</v>
      </c>
      <c r="D60" s="16">
        <v>441.8</v>
      </c>
      <c r="F60">
        <v>0</v>
      </c>
    </row>
    <row r="61" spans="1:6" x14ac:dyDescent="0.25">
      <c r="A61" t="s">
        <v>46</v>
      </c>
      <c r="B61" t="s">
        <v>912</v>
      </c>
      <c r="C61" t="s">
        <v>1041</v>
      </c>
      <c r="D61" s="16">
        <v>549</v>
      </c>
      <c r="F61">
        <v>0</v>
      </c>
    </row>
    <row r="62" spans="1:6" x14ac:dyDescent="0.25">
      <c r="A62" t="s">
        <v>46</v>
      </c>
      <c r="B62" t="s">
        <v>912</v>
      </c>
      <c r="C62" t="s">
        <v>1041</v>
      </c>
      <c r="D62" s="16">
        <v>559</v>
      </c>
      <c r="F62">
        <v>0</v>
      </c>
    </row>
    <row r="63" spans="1:6" x14ac:dyDescent="0.25">
      <c r="A63" t="s">
        <v>46</v>
      </c>
      <c r="B63" t="s">
        <v>912</v>
      </c>
      <c r="C63" t="s">
        <v>1041</v>
      </c>
      <c r="D63" s="16">
        <v>599</v>
      </c>
      <c r="F63">
        <v>0</v>
      </c>
    </row>
    <row r="64" spans="1:6" x14ac:dyDescent="0.25">
      <c r="A64" t="s">
        <v>46</v>
      </c>
      <c r="B64" t="s">
        <v>912</v>
      </c>
      <c r="C64" t="s">
        <v>1041</v>
      </c>
      <c r="D64" s="16">
        <v>619</v>
      </c>
      <c r="F64">
        <v>0</v>
      </c>
    </row>
    <row r="65" spans="1:6" x14ac:dyDescent="0.25">
      <c r="A65" t="s">
        <v>46</v>
      </c>
      <c r="B65" t="s">
        <v>912</v>
      </c>
      <c r="C65" t="s">
        <v>1041</v>
      </c>
      <c r="D65" s="16">
        <v>902</v>
      </c>
      <c r="F65">
        <v>0</v>
      </c>
    </row>
    <row r="66" spans="1:6" x14ac:dyDescent="0.25">
      <c r="A66" t="s">
        <v>46</v>
      </c>
      <c r="B66" t="s">
        <v>913</v>
      </c>
      <c r="C66" t="s">
        <v>1002</v>
      </c>
      <c r="D66" s="16">
        <v>709</v>
      </c>
      <c r="F66">
        <v>0</v>
      </c>
    </row>
    <row r="67" spans="1:6" x14ac:dyDescent="0.25">
      <c r="A67" t="s">
        <v>46</v>
      </c>
      <c r="B67" t="s">
        <v>913</v>
      </c>
      <c r="C67" t="s">
        <v>1002</v>
      </c>
      <c r="D67" s="16">
        <v>798</v>
      </c>
      <c r="F67">
        <v>0</v>
      </c>
    </row>
    <row r="68" spans="1:6" x14ac:dyDescent="0.25">
      <c r="A68" t="s">
        <v>46</v>
      </c>
      <c r="B68" t="s">
        <v>913</v>
      </c>
      <c r="C68" t="s">
        <v>1002</v>
      </c>
      <c r="D68" s="16">
        <v>846</v>
      </c>
      <c r="F68">
        <v>0</v>
      </c>
    </row>
    <row r="69" spans="1:6" x14ac:dyDescent="0.25">
      <c r="A69" t="s">
        <v>46</v>
      </c>
      <c r="B69" t="s">
        <v>913</v>
      </c>
      <c r="C69" t="s">
        <v>1003</v>
      </c>
      <c r="D69" s="16">
        <v>1299</v>
      </c>
      <c r="F69">
        <v>0</v>
      </c>
    </row>
    <row r="70" spans="1:6" x14ac:dyDescent="0.25">
      <c r="A70" t="s">
        <v>46</v>
      </c>
      <c r="B70" t="s">
        <v>914</v>
      </c>
      <c r="C70" t="s">
        <v>1040</v>
      </c>
      <c r="D70" s="16">
        <v>989</v>
      </c>
      <c r="F70">
        <v>0</v>
      </c>
    </row>
    <row r="71" spans="1:6" x14ac:dyDescent="0.25">
      <c r="A71" t="s">
        <v>46</v>
      </c>
      <c r="B71" t="s">
        <v>915</v>
      </c>
      <c r="C71" t="s">
        <v>1024</v>
      </c>
      <c r="D71" s="16">
        <v>693.99</v>
      </c>
      <c r="F71">
        <v>0</v>
      </c>
    </row>
    <row r="72" spans="1:6" x14ac:dyDescent="0.25">
      <c r="A72" t="s">
        <v>46</v>
      </c>
      <c r="B72" t="s">
        <v>915</v>
      </c>
      <c r="C72" t="s">
        <v>1025</v>
      </c>
      <c r="D72" s="16">
        <v>613</v>
      </c>
      <c r="F72">
        <v>0</v>
      </c>
    </row>
    <row r="73" spans="1:6" x14ac:dyDescent="0.25">
      <c r="A73" t="s">
        <v>46</v>
      </c>
      <c r="B73" t="s">
        <v>915</v>
      </c>
      <c r="C73" t="s">
        <v>1025</v>
      </c>
      <c r="D73" s="16">
        <v>805</v>
      </c>
      <c r="F73">
        <v>0</v>
      </c>
    </row>
    <row r="74" spans="1:6" x14ac:dyDescent="0.25">
      <c r="A74" t="s">
        <v>46</v>
      </c>
      <c r="B74" t="s">
        <v>915</v>
      </c>
      <c r="C74" t="s">
        <v>1025</v>
      </c>
      <c r="D74" s="16">
        <v>854</v>
      </c>
      <c r="F74">
        <v>0</v>
      </c>
    </row>
    <row r="75" spans="1:6" x14ac:dyDescent="0.25">
      <c r="A75" t="s">
        <v>46</v>
      </c>
      <c r="B75" t="s">
        <v>915</v>
      </c>
      <c r="C75" t="s">
        <v>1100</v>
      </c>
      <c r="D75" s="16">
        <v>682</v>
      </c>
      <c r="F75">
        <v>0</v>
      </c>
    </row>
    <row r="76" spans="1:6" x14ac:dyDescent="0.25">
      <c r="A76" t="s">
        <v>46</v>
      </c>
      <c r="B76" t="s">
        <v>915</v>
      </c>
      <c r="C76" t="s">
        <v>1100</v>
      </c>
      <c r="D76" s="16">
        <v>770</v>
      </c>
      <c r="F76">
        <v>0</v>
      </c>
    </row>
    <row r="77" spans="1:6" x14ac:dyDescent="0.25">
      <c r="A77" t="s">
        <v>46</v>
      </c>
      <c r="B77" t="s">
        <v>915</v>
      </c>
      <c r="C77" t="s">
        <v>1100</v>
      </c>
      <c r="D77" s="16">
        <v>847</v>
      </c>
      <c r="F77">
        <v>0</v>
      </c>
    </row>
    <row r="78" spans="1:6" x14ac:dyDescent="0.25">
      <c r="A78" t="s">
        <v>46</v>
      </c>
      <c r="B78" t="s">
        <v>915</v>
      </c>
      <c r="C78" t="s">
        <v>1100</v>
      </c>
      <c r="D78" s="16">
        <v>999</v>
      </c>
      <c r="F78">
        <v>0</v>
      </c>
    </row>
    <row r="79" spans="1:6" x14ac:dyDescent="0.25">
      <c r="A79" t="s">
        <v>46</v>
      </c>
      <c r="B79" t="s">
        <v>916</v>
      </c>
      <c r="C79" t="s">
        <v>1035</v>
      </c>
      <c r="D79" s="16">
        <v>789.01</v>
      </c>
      <c r="F79">
        <v>0</v>
      </c>
    </row>
    <row r="80" spans="1:6" x14ac:dyDescent="0.25">
      <c r="A80" t="s">
        <v>46</v>
      </c>
      <c r="B80" t="s">
        <v>917</v>
      </c>
      <c r="C80" t="s">
        <v>1006</v>
      </c>
      <c r="D80" s="16">
        <v>1935</v>
      </c>
      <c r="F80">
        <v>0</v>
      </c>
    </row>
    <row r="81" spans="1:6" x14ac:dyDescent="0.25">
      <c r="A81" t="s">
        <v>46</v>
      </c>
      <c r="B81" t="s">
        <v>918</v>
      </c>
      <c r="C81" t="s">
        <v>999</v>
      </c>
      <c r="D81" s="16">
        <v>639</v>
      </c>
      <c r="F81">
        <v>0</v>
      </c>
    </row>
    <row r="82" spans="1:6" x14ac:dyDescent="0.25">
      <c r="A82" t="s">
        <v>46</v>
      </c>
      <c r="B82" t="s">
        <v>918</v>
      </c>
      <c r="C82" t="s">
        <v>999</v>
      </c>
      <c r="D82" s="16">
        <v>742</v>
      </c>
      <c r="F82">
        <v>0</v>
      </c>
    </row>
    <row r="83" spans="1:6" x14ac:dyDescent="0.25">
      <c r="A83" t="s">
        <v>46</v>
      </c>
      <c r="B83" t="s">
        <v>918</v>
      </c>
      <c r="C83" t="s">
        <v>999</v>
      </c>
      <c r="D83" s="16">
        <v>832</v>
      </c>
      <c r="F83">
        <v>0</v>
      </c>
    </row>
    <row r="84" spans="1:6" x14ac:dyDescent="0.25">
      <c r="A84" t="s">
        <v>46</v>
      </c>
      <c r="B84" t="s">
        <v>918</v>
      </c>
      <c r="C84" t="s">
        <v>1041</v>
      </c>
      <c r="D84" s="16">
        <v>659</v>
      </c>
      <c r="F84">
        <v>0</v>
      </c>
    </row>
    <row r="85" spans="1:6" x14ac:dyDescent="0.25">
      <c r="A85" t="s">
        <v>46</v>
      </c>
      <c r="B85" t="s">
        <v>919</v>
      </c>
      <c r="C85" t="s">
        <v>1002</v>
      </c>
      <c r="D85" s="16">
        <v>779</v>
      </c>
      <c r="F85">
        <v>0</v>
      </c>
    </row>
    <row r="86" spans="1:6" x14ac:dyDescent="0.25">
      <c r="A86" t="s">
        <v>46</v>
      </c>
      <c r="B86" t="s">
        <v>919</v>
      </c>
      <c r="C86" t="s">
        <v>1002</v>
      </c>
      <c r="D86" s="16">
        <v>846</v>
      </c>
      <c r="F86">
        <v>0</v>
      </c>
    </row>
    <row r="87" spans="1:6" x14ac:dyDescent="0.25">
      <c r="A87" t="s">
        <v>46</v>
      </c>
      <c r="B87" t="s">
        <v>919</v>
      </c>
      <c r="C87" t="s">
        <v>1002</v>
      </c>
      <c r="D87" s="16">
        <v>879</v>
      </c>
      <c r="F87">
        <v>0</v>
      </c>
    </row>
    <row r="88" spans="1:6" x14ac:dyDescent="0.25">
      <c r="A88" t="s">
        <v>46</v>
      </c>
      <c r="B88" t="s">
        <v>919</v>
      </c>
      <c r="C88" t="s">
        <v>1002</v>
      </c>
      <c r="D88" s="16">
        <v>1260</v>
      </c>
      <c r="F88">
        <v>0</v>
      </c>
    </row>
    <row r="89" spans="1:6" x14ac:dyDescent="0.25">
      <c r="A89" t="s">
        <v>46</v>
      </c>
      <c r="B89" t="s">
        <v>919</v>
      </c>
      <c r="C89" t="s">
        <v>1003</v>
      </c>
      <c r="D89" s="16">
        <v>979</v>
      </c>
      <c r="F89">
        <v>0</v>
      </c>
    </row>
    <row r="90" spans="1:6" x14ac:dyDescent="0.25">
      <c r="A90" t="s">
        <v>46</v>
      </c>
      <c r="B90" t="s">
        <v>919</v>
      </c>
      <c r="C90" t="s">
        <v>1006</v>
      </c>
      <c r="D90" s="16">
        <v>2299</v>
      </c>
      <c r="F90">
        <v>0</v>
      </c>
    </row>
    <row r="91" spans="1:6" x14ac:dyDescent="0.25">
      <c r="A91" t="s">
        <v>46</v>
      </c>
      <c r="B91" t="s">
        <v>919</v>
      </c>
      <c r="C91" t="s">
        <v>1007</v>
      </c>
      <c r="D91" s="16">
        <v>2599</v>
      </c>
      <c r="F91">
        <v>0</v>
      </c>
    </row>
    <row r="92" spans="1:6" x14ac:dyDescent="0.25">
      <c r="A92" t="s">
        <v>46</v>
      </c>
      <c r="B92" t="s">
        <v>920</v>
      </c>
      <c r="C92" t="s">
        <v>1040</v>
      </c>
      <c r="D92" s="16">
        <v>1149</v>
      </c>
      <c r="F92">
        <v>0</v>
      </c>
    </row>
    <row r="93" spans="1:6" x14ac:dyDescent="0.25">
      <c r="A93" t="s">
        <v>46</v>
      </c>
      <c r="B93" t="s">
        <v>921</v>
      </c>
      <c r="C93" t="s">
        <v>1024</v>
      </c>
      <c r="D93" s="16">
        <v>745</v>
      </c>
      <c r="F93">
        <v>0</v>
      </c>
    </row>
    <row r="94" spans="1:6" x14ac:dyDescent="0.25">
      <c r="A94" t="s">
        <v>46</v>
      </c>
      <c r="B94" t="s">
        <v>921</v>
      </c>
      <c r="C94" t="s">
        <v>1025</v>
      </c>
      <c r="D94" s="16">
        <v>689</v>
      </c>
      <c r="F94">
        <v>0</v>
      </c>
    </row>
    <row r="95" spans="1:6" x14ac:dyDescent="0.25">
      <c r="A95" t="s">
        <v>46</v>
      </c>
      <c r="B95" t="s">
        <v>921</v>
      </c>
      <c r="C95" t="s">
        <v>1025</v>
      </c>
      <c r="D95" s="16">
        <v>841</v>
      </c>
      <c r="F95">
        <v>0</v>
      </c>
    </row>
    <row r="96" spans="1:6" x14ac:dyDescent="0.25">
      <c r="A96" t="s">
        <v>46</v>
      </c>
      <c r="B96" t="s">
        <v>921</v>
      </c>
      <c r="C96" t="s">
        <v>1025</v>
      </c>
      <c r="D96" s="16">
        <v>951</v>
      </c>
      <c r="F96">
        <v>0</v>
      </c>
    </row>
    <row r="97" spans="1:6" x14ac:dyDescent="0.25">
      <c r="A97" t="s">
        <v>46</v>
      </c>
      <c r="B97" t="s">
        <v>921</v>
      </c>
      <c r="C97" t="s">
        <v>1100</v>
      </c>
      <c r="D97" s="16">
        <v>884</v>
      </c>
      <c r="F97">
        <v>0</v>
      </c>
    </row>
    <row r="98" spans="1:6" x14ac:dyDescent="0.25">
      <c r="A98" t="s">
        <v>46</v>
      </c>
      <c r="B98" t="s">
        <v>922</v>
      </c>
      <c r="C98" t="s">
        <v>1030</v>
      </c>
      <c r="D98" s="16">
        <v>349</v>
      </c>
      <c r="F98">
        <v>0</v>
      </c>
    </row>
    <row r="99" spans="1:6" x14ac:dyDescent="0.25">
      <c r="A99" t="s">
        <v>46</v>
      </c>
      <c r="B99" t="s">
        <v>922</v>
      </c>
      <c r="C99" t="s">
        <v>1030</v>
      </c>
      <c r="D99" s="16">
        <v>485</v>
      </c>
      <c r="F99">
        <v>0</v>
      </c>
    </row>
    <row r="100" spans="1:6" x14ac:dyDescent="0.25">
      <c r="A100" t="s">
        <v>46</v>
      </c>
      <c r="B100" t="s">
        <v>923</v>
      </c>
      <c r="C100" t="s">
        <v>1032</v>
      </c>
      <c r="D100" s="16">
        <v>298</v>
      </c>
      <c r="F100">
        <v>0</v>
      </c>
    </row>
    <row r="101" spans="1:6" x14ac:dyDescent="0.25">
      <c r="A101" t="s">
        <v>46</v>
      </c>
      <c r="B101" t="s">
        <v>923</v>
      </c>
      <c r="C101" t="s">
        <v>1032</v>
      </c>
      <c r="D101" s="16">
        <v>363.51</v>
      </c>
      <c r="F101">
        <v>0</v>
      </c>
    </row>
    <row r="102" spans="1:6" x14ac:dyDescent="0.25">
      <c r="A102" t="s">
        <v>46</v>
      </c>
      <c r="B102" t="s">
        <v>923</v>
      </c>
      <c r="C102" t="s">
        <v>1032</v>
      </c>
      <c r="D102" s="16">
        <v>380</v>
      </c>
      <c r="F102">
        <v>0</v>
      </c>
    </row>
    <row r="103" spans="1:6" x14ac:dyDescent="0.25">
      <c r="A103" t="s">
        <v>22</v>
      </c>
      <c r="B103" t="s">
        <v>924</v>
      </c>
      <c r="C103" t="s">
        <v>1039</v>
      </c>
      <c r="D103" s="16">
        <v>898.94</v>
      </c>
      <c r="F103">
        <v>0</v>
      </c>
    </row>
    <row r="104" spans="1:6" x14ac:dyDescent="0.25">
      <c r="A104" t="s">
        <v>22</v>
      </c>
      <c r="B104" t="s">
        <v>924</v>
      </c>
      <c r="C104" t="s">
        <v>1039</v>
      </c>
      <c r="D104" s="16">
        <v>959</v>
      </c>
      <c r="F104">
        <v>0</v>
      </c>
    </row>
    <row r="105" spans="1:6" x14ac:dyDescent="0.25">
      <c r="A105" t="s">
        <v>22</v>
      </c>
      <c r="B105" t="s">
        <v>924</v>
      </c>
      <c r="C105" t="s">
        <v>1039</v>
      </c>
      <c r="D105" s="16">
        <v>998</v>
      </c>
      <c r="F105">
        <v>0</v>
      </c>
    </row>
    <row r="106" spans="1:6" x14ac:dyDescent="0.25">
      <c r="A106" t="s">
        <v>22</v>
      </c>
      <c r="B106" t="s">
        <v>924</v>
      </c>
      <c r="C106" t="s">
        <v>1039</v>
      </c>
      <c r="D106" s="16">
        <v>1099</v>
      </c>
      <c r="F106">
        <v>0</v>
      </c>
    </row>
    <row r="107" spans="1:6" x14ac:dyDescent="0.25">
      <c r="A107" t="s">
        <v>22</v>
      </c>
      <c r="B107" t="s">
        <v>924</v>
      </c>
      <c r="C107" t="s">
        <v>1039</v>
      </c>
      <c r="D107" s="16">
        <v>1158.7</v>
      </c>
      <c r="F107">
        <v>0</v>
      </c>
    </row>
    <row r="108" spans="1:6" x14ac:dyDescent="0.25">
      <c r="A108" t="s">
        <v>22</v>
      </c>
      <c r="B108" t="s">
        <v>924</v>
      </c>
      <c r="C108" t="s">
        <v>1040</v>
      </c>
      <c r="D108" s="16">
        <v>1510</v>
      </c>
      <c r="F108">
        <v>0</v>
      </c>
    </row>
    <row r="109" spans="1:6" x14ac:dyDescent="0.25">
      <c r="A109" t="s">
        <v>22</v>
      </c>
      <c r="B109" t="s">
        <v>924</v>
      </c>
      <c r="C109" t="s">
        <v>1043</v>
      </c>
      <c r="D109" s="16">
        <v>1419</v>
      </c>
      <c r="F109">
        <v>0</v>
      </c>
    </row>
    <row r="110" spans="1:6" x14ac:dyDescent="0.25">
      <c r="A110" t="s">
        <v>22</v>
      </c>
      <c r="B110" t="s">
        <v>924</v>
      </c>
      <c r="C110" t="s">
        <v>1044</v>
      </c>
      <c r="D110" s="16">
        <v>1958.9</v>
      </c>
      <c r="F110">
        <v>0</v>
      </c>
    </row>
    <row r="111" spans="1:6" x14ac:dyDescent="0.25">
      <c r="A111" t="s">
        <v>22</v>
      </c>
      <c r="B111" t="s">
        <v>924</v>
      </c>
      <c r="C111" t="s">
        <v>1045</v>
      </c>
      <c r="D111" s="16">
        <v>1339.69</v>
      </c>
      <c r="F111">
        <v>0</v>
      </c>
    </row>
    <row r="112" spans="1:6" x14ac:dyDescent="0.25">
      <c r="A112" t="s">
        <v>22</v>
      </c>
      <c r="B112" t="s">
        <v>924</v>
      </c>
      <c r="C112" t="s">
        <v>1045</v>
      </c>
      <c r="D112" s="16">
        <v>1518.55</v>
      </c>
      <c r="F112">
        <v>0</v>
      </c>
    </row>
    <row r="113" spans="1:6" x14ac:dyDescent="0.25">
      <c r="A113" t="s">
        <v>22</v>
      </c>
      <c r="B113" t="s">
        <v>924</v>
      </c>
      <c r="C113" t="s">
        <v>1046</v>
      </c>
      <c r="D113" s="16">
        <v>1803.6</v>
      </c>
      <c r="F113">
        <v>0</v>
      </c>
    </row>
    <row r="114" spans="1:6" x14ac:dyDescent="0.25">
      <c r="A114" t="s">
        <v>22</v>
      </c>
      <c r="B114" t="s">
        <v>924</v>
      </c>
      <c r="C114" t="s">
        <v>1046</v>
      </c>
      <c r="D114" s="16">
        <v>2040</v>
      </c>
      <c r="F114">
        <v>0</v>
      </c>
    </row>
    <row r="115" spans="1:6" x14ac:dyDescent="0.25">
      <c r="A115" t="s">
        <v>22</v>
      </c>
      <c r="B115" t="s">
        <v>925</v>
      </c>
      <c r="C115" t="s">
        <v>1047</v>
      </c>
      <c r="D115" s="16">
        <v>2139.9699999999998</v>
      </c>
      <c r="F115">
        <v>0</v>
      </c>
    </row>
    <row r="116" spans="1:6" x14ac:dyDescent="0.25">
      <c r="A116" t="s">
        <v>22</v>
      </c>
      <c r="B116" t="s">
        <v>925</v>
      </c>
      <c r="C116" t="s">
        <v>1067</v>
      </c>
      <c r="D116" s="16">
        <v>2537.4499999999998</v>
      </c>
      <c r="F116">
        <v>0</v>
      </c>
    </row>
    <row r="117" spans="1:6" x14ac:dyDescent="0.25">
      <c r="A117" t="s">
        <v>22</v>
      </c>
      <c r="B117" t="s">
        <v>925</v>
      </c>
      <c r="C117" t="s">
        <v>1068</v>
      </c>
      <c r="D117" s="16">
        <v>2439.9699999999998</v>
      </c>
      <c r="F117">
        <v>0</v>
      </c>
    </row>
    <row r="118" spans="1:6" x14ac:dyDescent="0.25">
      <c r="A118" t="s">
        <v>22</v>
      </c>
      <c r="B118" t="s">
        <v>925</v>
      </c>
      <c r="C118" t="s">
        <v>1069</v>
      </c>
      <c r="D118" s="16">
        <v>2858</v>
      </c>
      <c r="F118">
        <v>0</v>
      </c>
    </row>
    <row r="119" spans="1:6" x14ac:dyDescent="0.25">
      <c r="A119" t="s">
        <v>22</v>
      </c>
      <c r="B119" t="s">
        <v>926</v>
      </c>
      <c r="C119" t="s">
        <v>1034</v>
      </c>
      <c r="D119" s="16">
        <v>1279</v>
      </c>
      <c r="F119">
        <v>0</v>
      </c>
    </row>
    <row r="120" spans="1:6" x14ac:dyDescent="0.25">
      <c r="A120" t="s">
        <v>22</v>
      </c>
      <c r="B120" t="s">
        <v>926</v>
      </c>
      <c r="C120" t="s">
        <v>1034</v>
      </c>
      <c r="D120" s="16">
        <v>1300</v>
      </c>
      <c r="F120">
        <v>0</v>
      </c>
    </row>
    <row r="121" spans="1:6" x14ac:dyDescent="0.25">
      <c r="A121" t="s">
        <v>22</v>
      </c>
      <c r="B121" t="s">
        <v>926</v>
      </c>
      <c r="C121" t="s">
        <v>1037</v>
      </c>
      <c r="D121" s="16">
        <v>1163</v>
      </c>
      <c r="F121">
        <v>0</v>
      </c>
    </row>
    <row r="122" spans="1:6" x14ac:dyDescent="0.25">
      <c r="A122" t="s">
        <v>22</v>
      </c>
      <c r="B122" t="s">
        <v>926</v>
      </c>
      <c r="C122" t="s">
        <v>1037</v>
      </c>
      <c r="D122" s="16">
        <v>1165</v>
      </c>
      <c r="F122">
        <v>0</v>
      </c>
    </row>
    <row r="123" spans="1:6" x14ac:dyDescent="0.25">
      <c r="A123" t="s">
        <v>22</v>
      </c>
      <c r="B123" t="s">
        <v>927</v>
      </c>
      <c r="C123" t="s">
        <v>1040</v>
      </c>
      <c r="D123" s="16">
        <v>1262.4000000000001</v>
      </c>
      <c r="F123">
        <v>0</v>
      </c>
    </row>
    <row r="124" spans="1:6" x14ac:dyDescent="0.25">
      <c r="A124" t="s">
        <v>55</v>
      </c>
      <c r="B124" t="s">
        <v>928</v>
      </c>
      <c r="C124" t="s">
        <v>1083</v>
      </c>
      <c r="D124" s="16">
        <v>575</v>
      </c>
      <c r="F124">
        <v>0</v>
      </c>
    </row>
    <row r="125" spans="1:6" x14ac:dyDescent="0.25">
      <c r="A125" t="s">
        <v>55</v>
      </c>
      <c r="B125" t="s">
        <v>900</v>
      </c>
      <c r="C125" t="s">
        <v>1080</v>
      </c>
      <c r="D125" s="16">
        <v>403</v>
      </c>
      <c r="F125">
        <v>0</v>
      </c>
    </row>
    <row r="126" spans="1:6" x14ac:dyDescent="0.25">
      <c r="A126" t="s">
        <v>55</v>
      </c>
      <c r="B126" t="s">
        <v>900</v>
      </c>
      <c r="C126" t="s">
        <v>1080</v>
      </c>
      <c r="D126" s="16">
        <v>469</v>
      </c>
      <c r="F126">
        <v>0</v>
      </c>
    </row>
    <row r="127" spans="1:6" x14ac:dyDescent="0.25">
      <c r="A127" t="s">
        <v>55</v>
      </c>
      <c r="B127" t="s">
        <v>936</v>
      </c>
      <c r="C127" t="s">
        <v>1070</v>
      </c>
      <c r="D127" s="16">
        <v>277.99</v>
      </c>
      <c r="F127">
        <v>0</v>
      </c>
    </row>
    <row r="128" spans="1:6" x14ac:dyDescent="0.25">
      <c r="A128" t="s">
        <v>55</v>
      </c>
      <c r="B128" t="s">
        <v>937</v>
      </c>
      <c r="C128" t="s">
        <v>1071</v>
      </c>
      <c r="D128" s="16">
        <v>349</v>
      </c>
      <c r="F128">
        <v>0</v>
      </c>
    </row>
    <row r="129" spans="1:6" x14ac:dyDescent="0.25">
      <c r="A129" t="s">
        <v>55</v>
      </c>
      <c r="B129" t="s">
        <v>938</v>
      </c>
      <c r="C129" t="s">
        <v>1070</v>
      </c>
      <c r="D129" s="16">
        <v>199</v>
      </c>
      <c r="F129">
        <v>0</v>
      </c>
    </row>
    <row r="130" spans="1:6" x14ac:dyDescent="0.25">
      <c r="A130" t="s">
        <v>55</v>
      </c>
      <c r="B130" t="s">
        <v>939</v>
      </c>
      <c r="C130" t="s">
        <v>1097</v>
      </c>
      <c r="D130" s="16">
        <v>699</v>
      </c>
      <c r="F130">
        <v>0</v>
      </c>
    </row>
    <row r="131" spans="1:6" x14ac:dyDescent="0.25">
      <c r="A131" t="s">
        <v>55</v>
      </c>
      <c r="B131" t="s">
        <v>941</v>
      </c>
      <c r="C131" t="s">
        <v>1098</v>
      </c>
      <c r="D131" s="16">
        <v>1695</v>
      </c>
      <c r="F131">
        <v>0</v>
      </c>
    </row>
    <row r="132" spans="1:6" x14ac:dyDescent="0.25">
      <c r="A132" t="s">
        <v>55</v>
      </c>
      <c r="B132" t="s">
        <v>942</v>
      </c>
      <c r="C132" t="s">
        <v>1098</v>
      </c>
      <c r="D132" s="16">
        <v>1299</v>
      </c>
      <c r="F132">
        <v>0</v>
      </c>
    </row>
    <row r="133" spans="1:6" x14ac:dyDescent="0.25">
      <c r="A133" t="s">
        <v>55</v>
      </c>
      <c r="B133" t="s">
        <v>942</v>
      </c>
      <c r="C133" t="s">
        <v>1098</v>
      </c>
      <c r="D133" s="16">
        <v>1549</v>
      </c>
      <c r="F133">
        <v>0</v>
      </c>
    </row>
    <row r="134" spans="1:6" x14ac:dyDescent="0.25">
      <c r="A134" t="s">
        <v>55</v>
      </c>
      <c r="B134" t="s">
        <v>942</v>
      </c>
      <c r="C134" t="s">
        <v>1098</v>
      </c>
      <c r="D134" s="16">
        <v>2199</v>
      </c>
      <c r="F134">
        <v>0</v>
      </c>
    </row>
    <row r="135" spans="1:6" x14ac:dyDescent="0.25">
      <c r="A135" t="s">
        <v>55</v>
      </c>
      <c r="B135" t="s">
        <v>929</v>
      </c>
      <c r="C135" t="s">
        <v>1029</v>
      </c>
      <c r="D135" s="16">
        <v>191.9</v>
      </c>
      <c r="F135">
        <v>0</v>
      </c>
    </row>
    <row r="136" spans="1:6" x14ac:dyDescent="0.25">
      <c r="A136" t="s">
        <v>55</v>
      </c>
      <c r="B136" t="s">
        <v>903</v>
      </c>
      <c r="C136" t="s">
        <v>1028</v>
      </c>
      <c r="D136" s="16">
        <v>369</v>
      </c>
      <c r="F136">
        <v>0</v>
      </c>
    </row>
    <row r="137" spans="1:6" x14ac:dyDescent="0.25">
      <c r="A137" t="s">
        <v>55</v>
      </c>
      <c r="B137" t="s">
        <v>904</v>
      </c>
      <c r="C137" t="s">
        <v>1029</v>
      </c>
      <c r="D137" s="16">
        <v>287.89999999999998</v>
      </c>
      <c r="F137">
        <v>0</v>
      </c>
    </row>
    <row r="138" spans="1:6" x14ac:dyDescent="0.25">
      <c r="A138" t="s">
        <v>55</v>
      </c>
      <c r="B138" t="s">
        <v>905</v>
      </c>
      <c r="C138" t="s">
        <v>1031</v>
      </c>
      <c r="D138" s="16">
        <v>224</v>
      </c>
      <c r="F138">
        <v>0</v>
      </c>
    </row>
    <row r="139" spans="1:6" x14ac:dyDescent="0.25">
      <c r="A139" t="s">
        <v>55</v>
      </c>
      <c r="B139" t="s">
        <v>905</v>
      </c>
      <c r="C139" t="s">
        <v>1031</v>
      </c>
      <c r="D139" s="16">
        <v>245</v>
      </c>
      <c r="F139">
        <v>0</v>
      </c>
    </row>
    <row r="140" spans="1:6" x14ac:dyDescent="0.25">
      <c r="A140" t="s">
        <v>55</v>
      </c>
      <c r="B140" t="s">
        <v>905</v>
      </c>
      <c r="C140" t="s">
        <v>1031</v>
      </c>
      <c r="D140" s="16">
        <v>274.99</v>
      </c>
      <c r="F140">
        <v>0</v>
      </c>
    </row>
    <row r="141" spans="1:6" x14ac:dyDescent="0.25">
      <c r="A141" t="s">
        <v>55</v>
      </c>
      <c r="B141" t="s">
        <v>905</v>
      </c>
      <c r="C141" t="s">
        <v>1031</v>
      </c>
      <c r="D141" s="16">
        <v>275</v>
      </c>
      <c r="F141">
        <v>0</v>
      </c>
    </row>
    <row r="142" spans="1:6" x14ac:dyDescent="0.25">
      <c r="A142" t="s">
        <v>55</v>
      </c>
      <c r="B142" t="s">
        <v>905</v>
      </c>
      <c r="C142" t="s">
        <v>1031</v>
      </c>
      <c r="D142" s="16">
        <v>278</v>
      </c>
      <c r="F142">
        <v>0</v>
      </c>
    </row>
    <row r="143" spans="1:6" x14ac:dyDescent="0.25">
      <c r="A143" t="s">
        <v>55</v>
      </c>
      <c r="B143" t="s">
        <v>905</v>
      </c>
      <c r="C143" t="s">
        <v>1031</v>
      </c>
      <c r="D143" s="16">
        <v>286</v>
      </c>
      <c r="F143">
        <v>0</v>
      </c>
    </row>
    <row r="144" spans="1:6" x14ac:dyDescent="0.25">
      <c r="A144" t="s">
        <v>55</v>
      </c>
      <c r="B144" t="s">
        <v>905</v>
      </c>
      <c r="C144" t="s">
        <v>1031</v>
      </c>
      <c r="D144" s="16">
        <v>298</v>
      </c>
      <c r="F144">
        <v>0</v>
      </c>
    </row>
    <row r="145" spans="1:6" x14ac:dyDescent="0.25">
      <c r="A145" t="s">
        <v>55</v>
      </c>
      <c r="B145" t="s">
        <v>905</v>
      </c>
      <c r="C145" t="s">
        <v>1031</v>
      </c>
      <c r="D145" s="16">
        <v>299</v>
      </c>
      <c r="F145">
        <v>0</v>
      </c>
    </row>
    <row r="146" spans="1:6" x14ac:dyDescent="0.25">
      <c r="A146" t="s">
        <v>55</v>
      </c>
      <c r="B146" t="s">
        <v>905</v>
      </c>
      <c r="C146" t="s">
        <v>1031</v>
      </c>
      <c r="D146" s="16">
        <v>339</v>
      </c>
      <c r="F146">
        <v>0</v>
      </c>
    </row>
    <row r="147" spans="1:6" x14ac:dyDescent="0.25">
      <c r="A147" t="s">
        <v>55</v>
      </c>
      <c r="B147" t="s">
        <v>905</v>
      </c>
      <c r="C147" t="s">
        <v>1031</v>
      </c>
      <c r="D147" s="16">
        <v>340</v>
      </c>
      <c r="F147">
        <v>0</v>
      </c>
    </row>
    <row r="148" spans="1:6" x14ac:dyDescent="0.25">
      <c r="A148" t="s">
        <v>55</v>
      </c>
      <c r="B148" t="s">
        <v>905</v>
      </c>
      <c r="C148" t="s">
        <v>1031</v>
      </c>
      <c r="D148" s="16">
        <v>344</v>
      </c>
      <c r="F148">
        <v>0</v>
      </c>
    </row>
    <row r="149" spans="1:6" x14ac:dyDescent="0.25">
      <c r="A149" t="s">
        <v>55</v>
      </c>
      <c r="B149" t="s">
        <v>905</v>
      </c>
      <c r="C149" t="s">
        <v>1031</v>
      </c>
      <c r="D149" s="16">
        <v>348</v>
      </c>
      <c r="F149">
        <v>0</v>
      </c>
    </row>
    <row r="150" spans="1:6" x14ac:dyDescent="0.25">
      <c r="A150" t="s">
        <v>55</v>
      </c>
      <c r="B150" t="s">
        <v>905</v>
      </c>
      <c r="C150" t="s">
        <v>1031</v>
      </c>
      <c r="D150" s="16">
        <v>375</v>
      </c>
      <c r="F150">
        <v>0</v>
      </c>
    </row>
    <row r="151" spans="1:6" x14ac:dyDescent="0.25">
      <c r="A151" t="s">
        <v>55</v>
      </c>
      <c r="B151" t="s">
        <v>905</v>
      </c>
      <c r="C151" t="s">
        <v>1031</v>
      </c>
      <c r="D151" s="16">
        <v>399</v>
      </c>
      <c r="F151">
        <v>0</v>
      </c>
    </row>
    <row r="152" spans="1:6" x14ac:dyDescent="0.25">
      <c r="A152" t="s">
        <v>55</v>
      </c>
      <c r="B152" t="s">
        <v>905</v>
      </c>
      <c r="C152" t="s">
        <v>1031</v>
      </c>
      <c r="D152" s="16">
        <v>419</v>
      </c>
      <c r="F152">
        <v>0</v>
      </c>
    </row>
    <row r="153" spans="1:6" x14ac:dyDescent="0.25">
      <c r="A153" t="s">
        <v>55</v>
      </c>
      <c r="B153" t="s">
        <v>908</v>
      </c>
      <c r="C153" t="s">
        <v>995</v>
      </c>
      <c r="D153" s="16">
        <v>564</v>
      </c>
      <c r="F153">
        <v>0</v>
      </c>
    </row>
    <row r="154" spans="1:6" x14ac:dyDescent="0.25">
      <c r="A154" t="s">
        <v>55</v>
      </c>
      <c r="B154" t="s">
        <v>908</v>
      </c>
      <c r="C154" t="s">
        <v>1035</v>
      </c>
      <c r="D154" s="16">
        <v>415</v>
      </c>
      <c r="F154">
        <v>0</v>
      </c>
    </row>
    <row r="155" spans="1:6" x14ac:dyDescent="0.25">
      <c r="A155" t="s">
        <v>55</v>
      </c>
      <c r="B155" t="s">
        <v>908</v>
      </c>
      <c r="C155" t="s">
        <v>1041</v>
      </c>
      <c r="D155" s="16">
        <v>389</v>
      </c>
      <c r="F155">
        <v>0</v>
      </c>
    </row>
    <row r="156" spans="1:6" x14ac:dyDescent="0.25">
      <c r="A156" t="s">
        <v>55</v>
      </c>
      <c r="B156" t="s">
        <v>909</v>
      </c>
      <c r="C156" t="s">
        <v>994</v>
      </c>
      <c r="D156" s="16">
        <v>577</v>
      </c>
      <c r="F156">
        <v>0</v>
      </c>
    </row>
    <row r="157" spans="1:6" x14ac:dyDescent="0.25">
      <c r="A157" t="s">
        <v>55</v>
      </c>
      <c r="B157" t="s">
        <v>909</v>
      </c>
      <c r="C157" t="s">
        <v>999</v>
      </c>
      <c r="D157" s="16">
        <v>597</v>
      </c>
      <c r="F157">
        <v>0</v>
      </c>
    </row>
    <row r="158" spans="1:6" x14ac:dyDescent="0.25">
      <c r="A158" t="s">
        <v>55</v>
      </c>
      <c r="B158" t="s">
        <v>909</v>
      </c>
      <c r="C158" t="s">
        <v>1041</v>
      </c>
      <c r="D158" s="16">
        <v>398.99</v>
      </c>
      <c r="F158">
        <v>0</v>
      </c>
    </row>
    <row r="159" spans="1:6" x14ac:dyDescent="0.25">
      <c r="A159" t="s">
        <v>55</v>
      </c>
      <c r="B159" t="s">
        <v>909</v>
      </c>
      <c r="C159" t="s">
        <v>1041</v>
      </c>
      <c r="D159" s="16">
        <v>435</v>
      </c>
      <c r="F159">
        <v>0</v>
      </c>
    </row>
    <row r="160" spans="1:6" x14ac:dyDescent="0.25">
      <c r="A160" t="s">
        <v>55</v>
      </c>
      <c r="B160" t="s">
        <v>909</v>
      </c>
      <c r="C160" t="s">
        <v>1041</v>
      </c>
      <c r="D160" s="16">
        <v>509</v>
      </c>
      <c r="F160">
        <v>0</v>
      </c>
    </row>
    <row r="161" spans="1:6" x14ac:dyDescent="0.25">
      <c r="A161" t="s">
        <v>55</v>
      </c>
      <c r="B161" t="s">
        <v>909</v>
      </c>
      <c r="C161" t="s">
        <v>1041</v>
      </c>
      <c r="D161" s="16">
        <v>769</v>
      </c>
      <c r="F161">
        <v>0</v>
      </c>
    </row>
    <row r="162" spans="1:6" x14ac:dyDescent="0.25">
      <c r="A162" t="s">
        <v>55</v>
      </c>
      <c r="B162" t="s">
        <v>911</v>
      </c>
      <c r="C162" t="s">
        <v>998</v>
      </c>
      <c r="D162" s="16">
        <v>1026</v>
      </c>
      <c r="F162">
        <v>0</v>
      </c>
    </row>
    <row r="163" spans="1:6" x14ac:dyDescent="0.25">
      <c r="A163" t="s">
        <v>55</v>
      </c>
      <c r="B163" t="s">
        <v>930</v>
      </c>
      <c r="C163" t="s">
        <v>1013</v>
      </c>
      <c r="D163" s="16">
        <v>579</v>
      </c>
      <c r="F163">
        <v>0</v>
      </c>
    </row>
    <row r="164" spans="1:6" x14ac:dyDescent="0.25">
      <c r="A164" t="s">
        <v>55</v>
      </c>
      <c r="B164" t="s">
        <v>912</v>
      </c>
      <c r="C164" t="s">
        <v>993</v>
      </c>
      <c r="D164" s="16">
        <v>519</v>
      </c>
      <c r="F164">
        <v>0</v>
      </c>
    </row>
    <row r="165" spans="1:6" x14ac:dyDescent="0.25">
      <c r="A165" t="s">
        <v>55</v>
      </c>
      <c r="B165" t="s">
        <v>912</v>
      </c>
      <c r="C165" t="s">
        <v>995</v>
      </c>
      <c r="D165" s="16">
        <v>769</v>
      </c>
      <c r="F165">
        <v>0</v>
      </c>
    </row>
    <row r="166" spans="1:6" x14ac:dyDescent="0.25">
      <c r="A166" t="s">
        <v>55</v>
      </c>
      <c r="B166" t="s">
        <v>912</v>
      </c>
      <c r="C166" t="s">
        <v>999</v>
      </c>
      <c r="D166" s="16">
        <v>522.99</v>
      </c>
      <c r="F166">
        <v>0</v>
      </c>
    </row>
    <row r="167" spans="1:6" x14ac:dyDescent="0.25">
      <c r="A167" t="s">
        <v>55</v>
      </c>
      <c r="B167" t="s">
        <v>912</v>
      </c>
      <c r="C167" t="s">
        <v>999</v>
      </c>
      <c r="D167" s="16">
        <v>977</v>
      </c>
      <c r="F167">
        <v>0</v>
      </c>
    </row>
    <row r="168" spans="1:6" x14ac:dyDescent="0.25">
      <c r="A168" t="s">
        <v>55</v>
      </c>
      <c r="B168" t="s">
        <v>912</v>
      </c>
      <c r="C168" t="s">
        <v>1013</v>
      </c>
      <c r="D168" s="16">
        <v>891</v>
      </c>
      <c r="F168">
        <v>0</v>
      </c>
    </row>
    <row r="169" spans="1:6" x14ac:dyDescent="0.25">
      <c r="A169" t="s">
        <v>55</v>
      </c>
      <c r="B169" t="s">
        <v>912</v>
      </c>
      <c r="C169" t="s">
        <v>1035</v>
      </c>
      <c r="D169" s="16">
        <v>739</v>
      </c>
      <c r="F169">
        <v>0</v>
      </c>
    </row>
    <row r="170" spans="1:6" x14ac:dyDescent="0.25">
      <c r="A170" t="s">
        <v>55</v>
      </c>
      <c r="B170" t="s">
        <v>912</v>
      </c>
      <c r="C170" t="s">
        <v>1041</v>
      </c>
      <c r="D170" s="16">
        <v>559</v>
      </c>
      <c r="F170">
        <v>0</v>
      </c>
    </row>
    <row r="171" spans="1:6" x14ac:dyDescent="0.25">
      <c r="A171" t="s">
        <v>55</v>
      </c>
      <c r="B171" t="s">
        <v>912</v>
      </c>
      <c r="C171" t="s">
        <v>1041</v>
      </c>
      <c r="D171" s="16">
        <v>586.19000000000005</v>
      </c>
      <c r="F171">
        <v>0</v>
      </c>
    </row>
    <row r="172" spans="1:6" x14ac:dyDescent="0.25">
      <c r="A172" t="s">
        <v>55</v>
      </c>
      <c r="B172" t="s">
        <v>912</v>
      </c>
      <c r="C172" t="s">
        <v>1041</v>
      </c>
      <c r="D172" s="16">
        <v>590</v>
      </c>
      <c r="F172">
        <v>0</v>
      </c>
    </row>
    <row r="173" spans="1:6" x14ac:dyDescent="0.25">
      <c r="A173" t="s">
        <v>55</v>
      </c>
      <c r="B173" t="s">
        <v>912</v>
      </c>
      <c r="C173" t="s">
        <v>1041</v>
      </c>
      <c r="D173" s="16">
        <v>639.01</v>
      </c>
      <c r="F173">
        <v>0</v>
      </c>
    </row>
    <row r="174" spans="1:6" x14ac:dyDescent="0.25">
      <c r="A174" t="s">
        <v>55</v>
      </c>
      <c r="B174" t="s">
        <v>912</v>
      </c>
      <c r="C174" t="s">
        <v>1041</v>
      </c>
      <c r="D174" s="16">
        <v>749</v>
      </c>
      <c r="F174">
        <v>0</v>
      </c>
    </row>
    <row r="175" spans="1:6" x14ac:dyDescent="0.25">
      <c r="A175" t="s">
        <v>55</v>
      </c>
      <c r="B175" t="s">
        <v>912</v>
      </c>
      <c r="C175" t="s">
        <v>1041</v>
      </c>
      <c r="D175" s="16">
        <v>928</v>
      </c>
      <c r="F175">
        <v>0</v>
      </c>
    </row>
    <row r="176" spans="1:6" x14ac:dyDescent="0.25">
      <c r="A176" t="s">
        <v>55</v>
      </c>
      <c r="B176" t="s">
        <v>912</v>
      </c>
      <c r="C176" t="s">
        <v>1041</v>
      </c>
      <c r="D176" s="16">
        <v>945</v>
      </c>
      <c r="F176">
        <v>0</v>
      </c>
    </row>
    <row r="177" spans="1:6" x14ac:dyDescent="0.25">
      <c r="A177" t="s">
        <v>55</v>
      </c>
      <c r="B177" t="s">
        <v>912</v>
      </c>
      <c r="C177" t="s">
        <v>1041</v>
      </c>
      <c r="D177" s="16">
        <v>1099</v>
      </c>
      <c r="F177">
        <v>0</v>
      </c>
    </row>
    <row r="178" spans="1:6" x14ac:dyDescent="0.25">
      <c r="A178" t="s">
        <v>55</v>
      </c>
      <c r="B178" t="s">
        <v>912</v>
      </c>
      <c r="C178" t="s">
        <v>1041</v>
      </c>
      <c r="D178" s="16">
        <v>1129</v>
      </c>
      <c r="F178">
        <v>0</v>
      </c>
    </row>
    <row r="179" spans="1:6" x14ac:dyDescent="0.25">
      <c r="A179" t="s">
        <v>55</v>
      </c>
      <c r="B179" t="s">
        <v>912</v>
      </c>
      <c r="C179" t="s">
        <v>1041</v>
      </c>
      <c r="D179" s="16">
        <v>1135</v>
      </c>
      <c r="F179">
        <v>0</v>
      </c>
    </row>
    <row r="180" spans="1:6" x14ac:dyDescent="0.25">
      <c r="A180" t="s">
        <v>55</v>
      </c>
      <c r="B180" t="s">
        <v>912</v>
      </c>
      <c r="C180" t="s">
        <v>1041</v>
      </c>
      <c r="D180" s="16">
        <v>1150</v>
      </c>
      <c r="F180">
        <v>0</v>
      </c>
    </row>
    <row r="181" spans="1:6" x14ac:dyDescent="0.25">
      <c r="A181" t="s">
        <v>55</v>
      </c>
      <c r="B181" t="s">
        <v>912</v>
      </c>
      <c r="C181" t="s">
        <v>1041</v>
      </c>
      <c r="D181" s="16">
        <v>1358</v>
      </c>
      <c r="F181">
        <v>0</v>
      </c>
    </row>
    <row r="182" spans="1:6" x14ac:dyDescent="0.25">
      <c r="A182" t="s">
        <v>55</v>
      </c>
      <c r="B182" t="s">
        <v>913</v>
      </c>
      <c r="C182" t="s">
        <v>1002</v>
      </c>
      <c r="D182" s="16">
        <v>839</v>
      </c>
      <c r="F182">
        <v>0</v>
      </c>
    </row>
    <row r="183" spans="1:6" x14ac:dyDescent="0.25">
      <c r="A183" t="s">
        <v>55</v>
      </c>
      <c r="B183" t="s">
        <v>913</v>
      </c>
      <c r="C183" t="s">
        <v>1002</v>
      </c>
      <c r="D183" s="16">
        <v>906.62</v>
      </c>
      <c r="F183">
        <v>0</v>
      </c>
    </row>
    <row r="184" spans="1:6" x14ac:dyDescent="0.25">
      <c r="A184" t="s">
        <v>55</v>
      </c>
      <c r="B184" t="s">
        <v>913</v>
      </c>
      <c r="C184" t="s">
        <v>1002</v>
      </c>
      <c r="D184" s="16">
        <v>938</v>
      </c>
      <c r="F184">
        <v>0</v>
      </c>
    </row>
    <row r="185" spans="1:6" x14ac:dyDescent="0.25">
      <c r="A185" t="s">
        <v>55</v>
      </c>
      <c r="B185" t="s">
        <v>913</v>
      </c>
      <c r="C185" t="s">
        <v>1002</v>
      </c>
      <c r="D185" s="16">
        <v>1369.9</v>
      </c>
      <c r="F185">
        <v>0</v>
      </c>
    </row>
    <row r="186" spans="1:6" x14ac:dyDescent="0.25">
      <c r="A186" t="s">
        <v>55</v>
      </c>
      <c r="B186" t="s">
        <v>913</v>
      </c>
      <c r="C186" t="s">
        <v>1006</v>
      </c>
      <c r="D186" s="16">
        <v>1649</v>
      </c>
      <c r="F186">
        <v>0</v>
      </c>
    </row>
    <row r="187" spans="1:6" x14ac:dyDescent="0.25">
      <c r="A187" t="s">
        <v>55</v>
      </c>
      <c r="B187" t="s">
        <v>913</v>
      </c>
      <c r="C187" t="s">
        <v>1006</v>
      </c>
      <c r="D187" s="16">
        <v>1770</v>
      </c>
      <c r="F187">
        <v>0</v>
      </c>
    </row>
    <row r="188" spans="1:6" x14ac:dyDescent="0.25">
      <c r="A188" t="s">
        <v>55</v>
      </c>
      <c r="B188" t="s">
        <v>915</v>
      </c>
      <c r="C188" t="s">
        <v>1041</v>
      </c>
      <c r="D188" s="16">
        <v>1315</v>
      </c>
      <c r="F188">
        <v>0</v>
      </c>
    </row>
    <row r="189" spans="1:6" x14ac:dyDescent="0.25">
      <c r="A189" t="s">
        <v>55</v>
      </c>
      <c r="B189" t="s">
        <v>915</v>
      </c>
      <c r="C189" t="s">
        <v>1100</v>
      </c>
      <c r="D189" s="16">
        <v>941</v>
      </c>
      <c r="F189">
        <v>0</v>
      </c>
    </row>
    <row r="190" spans="1:6" x14ac:dyDescent="0.25">
      <c r="A190" t="s">
        <v>55</v>
      </c>
      <c r="B190" t="s">
        <v>916</v>
      </c>
      <c r="C190" t="s">
        <v>994</v>
      </c>
      <c r="D190" s="16">
        <v>720.32</v>
      </c>
      <c r="F190">
        <v>0</v>
      </c>
    </row>
    <row r="191" spans="1:6" x14ac:dyDescent="0.25">
      <c r="A191" t="s">
        <v>55</v>
      </c>
      <c r="B191" t="s">
        <v>916</v>
      </c>
      <c r="C191" t="s">
        <v>1035</v>
      </c>
      <c r="D191" s="16">
        <v>1280</v>
      </c>
      <c r="F191">
        <v>0</v>
      </c>
    </row>
    <row r="192" spans="1:6" x14ac:dyDescent="0.25">
      <c r="A192" t="s">
        <v>55</v>
      </c>
      <c r="B192" t="s">
        <v>917</v>
      </c>
      <c r="C192" t="s">
        <v>1006</v>
      </c>
      <c r="D192" s="16">
        <v>1169</v>
      </c>
      <c r="F192">
        <v>0</v>
      </c>
    </row>
    <row r="193" spans="1:6" x14ac:dyDescent="0.25">
      <c r="A193" t="s">
        <v>55</v>
      </c>
      <c r="B193" t="s">
        <v>917</v>
      </c>
      <c r="C193" t="s">
        <v>1006</v>
      </c>
      <c r="D193" s="16">
        <v>1799</v>
      </c>
      <c r="F193">
        <v>0</v>
      </c>
    </row>
    <row r="194" spans="1:6" x14ac:dyDescent="0.25">
      <c r="A194" t="s">
        <v>55</v>
      </c>
      <c r="B194" t="s">
        <v>917</v>
      </c>
      <c r="C194" t="s">
        <v>1007</v>
      </c>
      <c r="D194" s="16">
        <v>2325</v>
      </c>
      <c r="F194">
        <v>0</v>
      </c>
    </row>
    <row r="195" spans="1:6" x14ac:dyDescent="0.25">
      <c r="A195" t="s">
        <v>55</v>
      </c>
      <c r="B195" t="s">
        <v>917</v>
      </c>
      <c r="C195" t="s">
        <v>1007</v>
      </c>
      <c r="D195" s="16">
        <v>2350</v>
      </c>
      <c r="F195">
        <v>0</v>
      </c>
    </row>
    <row r="196" spans="1:6" x14ac:dyDescent="0.25">
      <c r="A196" t="s">
        <v>55</v>
      </c>
      <c r="B196" t="s">
        <v>917</v>
      </c>
      <c r="C196" t="s">
        <v>1016</v>
      </c>
      <c r="D196" s="16">
        <v>909</v>
      </c>
      <c r="F196">
        <v>0</v>
      </c>
    </row>
    <row r="197" spans="1:6" x14ac:dyDescent="0.25">
      <c r="A197" t="s">
        <v>55</v>
      </c>
      <c r="B197" t="s">
        <v>917</v>
      </c>
      <c r="C197" t="s">
        <v>1016</v>
      </c>
      <c r="D197" s="16">
        <v>1312.49</v>
      </c>
      <c r="F197">
        <v>0</v>
      </c>
    </row>
    <row r="198" spans="1:6" x14ac:dyDescent="0.25">
      <c r="A198" t="s">
        <v>55</v>
      </c>
      <c r="B198" t="s">
        <v>917</v>
      </c>
      <c r="C198" t="s">
        <v>1016</v>
      </c>
      <c r="D198" s="16">
        <v>1339</v>
      </c>
      <c r="F198">
        <v>0</v>
      </c>
    </row>
    <row r="199" spans="1:6" x14ac:dyDescent="0.25">
      <c r="A199" t="s">
        <v>55</v>
      </c>
      <c r="B199" t="s">
        <v>917</v>
      </c>
      <c r="C199" t="s">
        <v>1017</v>
      </c>
      <c r="D199" s="16">
        <v>998</v>
      </c>
      <c r="F199">
        <v>0</v>
      </c>
    </row>
    <row r="200" spans="1:6" x14ac:dyDescent="0.25">
      <c r="A200" t="s">
        <v>55</v>
      </c>
      <c r="B200" t="s">
        <v>917</v>
      </c>
      <c r="C200" t="s">
        <v>1017</v>
      </c>
      <c r="D200" s="16">
        <v>1269</v>
      </c>
      <c r="F200">
        <v>0</v>
      </c>
    </row>
    <row r="201" spans="1:6" x14ac:dyDescent="0.25">
      <c r="A201" t="s">
        <v>55</v>
      </c>
      <c r="B201" t="s">
        <v>917</v>
      </c>
      <c r="C201" t="s">
        <v>1018</v>
      </c>
      <c r="D201" s="16">
        <v>1900</v>
      </c>
      <c r="F201">
        <v>0</v>
      </c>
    </row>
    <row r="202" spans="1:6" x14ac:dyDescent="0.25">
      <c r="A202" t="s">
        <v>55</v>
      </c>
      <c r="B202" t="s">
        <v>917</v>
      </c>
      <c r="C202" t="s">
        <v>1020</v>
      </c>
      <c r="D202" s="16">
        <v>2150</v>
      </c>
      <c r="F202">
        <v>0</v>
      </c>
    </row>
    <row r="203" spans="1:6" x14ac:dyDescent="0.25">
      <c r="A203" t="s">
        <v>55</v>
      </c>
      <c r="B203" t="s">
        <v>917</v>
      </c>
      <c r="C203" t="s">
        <v>1020</v>
      </c>
      <c r="D203" s="16">
        <v>2299</v>
      </c>
      <c r="F203">
        <v>0</v>
      </c>
    </row>
    <row r="204" spans="1:6" x14ac:dyDescent="0.25">
      <c r="A204" t="s">
        <v>55</v>
      </c>
      <c r="B204" t="s">
        <v>917</v>
      </c>
      <c r="C204" t="s">
        <v>1036</v>
      </c>
      <c r="D204" s="16">
        <v>1299</v>
      </c>
      <c r="F204">
        <v>0</v>
      </c>
    </row>
    <row r="205" spans="1:6" x14ac:dyDescent="0.25">
      <c r="A205" t="s">
        <v>55</v>
      </c>
      <c r="B205" t="s">
        <v>931</v>
      </c>
      <c r="C205" t="s">
        <v>1009</v>
      </c>
      <c r="D205" s="16">
        <v>2799</v>
      </c>
      <c r="F205">
        <v>0</v>
      </c>
    </row>
    <row r="206" spans="1:6" x14ac:dyDescent="0.25">
      <c r="A206" t="s">
        <v>55</v>
      </c>
      <c r="B206" t="s">
        <v>931</v>
      </c>
      <c r="C206" t="s">
        <v>1019</v>
      </c>
      <c r="D206" s="16">
        <v>3975</v>
      </c>
      <c r="F206">
        <v>0</v>
      </c>
    </row>
    <row r="207" spans="1:6" x14ac:dyDescent="0.25">
      <c r="A207" t="s">
        <v>55</v>
      </c>
      <c r="B207" t="s">
        <v>931</v>
      </c>
      <c r="C207" t="s">
        <v>1020</v>
      </c>
      <c r="D207" s="16">
        <v>1279</v>
      </c>
      <c r="F207">
        <v>0</v>
      </c>
    </row>
    <row r="208" spans="1:6" x14ac:dyDescent="0.25">
      <c r="A208" t="s">
        <v>55</v>
      </c>
      <c r="B208" t="s">
        <v>918</v>
      </c>
      <c r="C208" t="s">
        <v>999</v>
      </c>
      <c r="D208" s="16">
        <v>839</v>
      </c>
      <c r="F208">
        <v>0</v>
      </c>
    </row>
    <row r="209" spans="1:6" x14ac:dyDescent="0.25">
      <c r="A209" t="s">
        <v>55</v>
      </c>
      <c r="B209" t="s">
        <v>918</v>
      </c>
      <c r="C209" t="s">
        <v>999</v>
      </c>
      <c r="D209" s="16">
        <v>1049.9000000000001</v>
      </c>
      <c r="F209">
        <v>0</v>
      </c>
    </row>
    <row r="210" spans="1:6" x14ac:dyDescent="0.25">
      <c r="A210" t="s">
        <v>55</v>
      </c>
      <c r="B210" t="s">
        <v>918</v>
      </c>
      <c r="C210" t="s">
        <v>999</v>
      </c>
      <c r="D210" s="16">
        <v>1193</v>
      </c>
      <c r="F210">
        <v>0</v>
      </c>
    </row>
    <row r="211" spans="1:6" x14ac:dyDescent="0.25">
      <c r="A211" t="s">
        <v>55</v>
      </c>
      <c r="B211" t="s">
        <v>918</v>
      </c>
      <c r="C211" t="s">
        <v>999</v>
      </c>
      <c r="D211" s="16">
        <v>1468</v>
      </c>
      <c r="F211">
        <v>0</v>
      </c>
    </row>
    <row r="212" spans="1:6" x14ac:dyDescent="0.25">
      <c r="A212" t="s">
        <v>55</v>
      </c>
      <c r="B212" t="s">
        <v>918</v>
      </c>
      <c r="C212" t="s">
        <v>1001</v>
      </c>
      <c r="D212" s="16">
        <v>1099</v>
      </c>
      <c r="F212">
        <v>0</v>
      </c>
    </row>
    <row r="213" spans="1:6" x14ac:dyDescent="0.25">
      <c r="A213" t="s">
        <v>55</v>
      </c>
      <c r="B213" t="s">
        <v>918</v>
      </c>
      <c r="C213" t="s">
        <v>1010</v>
      </c>
      <c r="D213" s="16">
        <v>787</v>
      </c>
      <c r="F213">
        <v>0</v>
      </c>
    </row>
    <row r="214" spans="1:6" x14ac:dyDescent="0.25">
      <c r="A214" t="s">
        <v>55</v>
      </c>
      <c r="B214" t="s">
        <v>918</v>
      </c>
      <c r="C214" t="s">
        <v>1013</v>
      </c>
      <c r="D214" s="16">
        <v>889</v>
      </c>
      <c r="F214">
        <v>0</v>
      </c>
    </row>
    <row r="215" spans="1:6" x14ac:dyDescent="0.25">
      <c r="A215" t="s">
        <v>55</v>
      </c>
      <c r="B215" t="s">
        <v>918</v>
      </c>
      <c r="C215" t="s">
        <v>1013</v>
      </c>
      <c r="D215" s="16">
        <v>1799</v>
      </c>
      <c r="F215">
        <v>0</v>
      </c>
    </row>
    <row r="216" spans="1:6" x14ac:dyDescent="0.25">
      <c r="A216" t="s">
        <v>55</v>
      </c>
      <c r="B216" t="s">
        <v>918</v>
      </c>
      <c r="C216" t="s">
        <v>1016</v>
      </c>
      <c r="D216" s="16">
        <v>1299</v>
      </c>
      <c r="F216">
        <v>0</v>
      </c>
    </row>
    <row r="217" spans="1:6" x14ac:dyDescent="0.25">
      <c r="A217" t="s">
        <v>55</v>
      </c>
      <c r="B217" t="s">
        <v>918</v>
      </c>
      <c r="C217" t="s">
        <v>1041</v>
      </c>
      <c r="D217" s="16">
        <v>849.9</v>
      </c>
      <c r="F217">
        <v>0</v>
      </c>
    </row>
    <row r="218" spans="1:6" x14ac:dyDescent="0.25">
      <c r="A218" t="s">
        <v>55</v>
      </c>
      <c r="B218" t="s">
        <v>918</v>
      </c>
      <c r="C218" t="s">
        <v>1041</v>
      </c>
      <c r="D218" s="16">
        <v>1049</v>
      </c>
      <c r="F218">
        <v>0</v>
      </c>
    </row>
    <row r="219" spans="1:6" x14ac:dyDescent="0.25">
      <c r="A219" t="s">
        <v>55</v>
      </c>
      <c r="B219" t="s">
        <v>918</v>
      </c>
      <c r="C219" t="s">
        <v>1041</v>
      </c>
      <c r="D219" s="16">
        <v>1094</v>
      </c>
      <c r="F219">
        <v>0</v>
      </c>
    </row>
    <row r="220" spans="1:6" x14ac:dyDescent="0.25">
      <c r="A220" t="s">
        <v>55</v>
      </c>
      <c r="B220" t="s">
        <v>918</v>
      </c>
      <c r="C220" t="s">
        <v>1041</v>
      </c>
      <c r="D220" s="16">
        <v>1224</v>
      </c>
      <c r="F220">
        <v>0</v>
      </c>
    </row>
    <row r="221" spans="1:6" x14ac:dyDescent="0.25">
      <c r="A221" t="s">
        <v>55</v>
      </c>
      <c r="B221" t="s">
        <v>918</v>
      </c>
      <c r="C221" t="s">
        <v>1041</v>
      </c>
      <c r="D221" s="16">
        <v>1334</v>
      </c>
      <c r="F221">
        <v>0</v>
      </c>
    </row>
    <row r="222" spans="1:6" x14ac:dyDescent="0.25">
      <c r="A222" t="s">
        <v>55</v>
      </c>
      <c r="B222" t="s">
        <v>918</v>
      </c>
      <c r="C222" t="s">
        <v>1041</v>
      </c>
      <c r="D222" s="16">
        <v>1748.9</v>
      </c>
      <c r="F222">
        <v>0</v>
      </c>
    </row>
    <row r="223" spans="1:6" x14ac:dyDescent="0.25">
      <c r="A223" t="s">
        <v>55</v>
      </c>
      <c r="B223" t="s">
        <v>918</v>
      </c>
      <c r="C223" t="s">
        <v>1041</v>
      </c>
      <c r="D223" s="16">
        <v>1873</v>
      </c>
      <c r="F223">
        <v>0</v>
      </c>
    </row>
    <row r="224" spans="1:6" x14ac:dyDescent="0.25">
      <c r="A224" t="s">
        <v>55</v>
      </c>
      <c r="B224" t="s">
        <v>918</v>
      </c>
      <c r="C224" t="s">
        <v>1041</v>
      </c>
      <c r="D224" s="16">
        <v>1900</v>
      </c>
      <c r="F224">
        <v>0</v>
      </c>
    </row>
    <row r="225" spans="1:6" x14ac:dyDescent="0.25">
      <c r="A225" t="s">
        <v>55</v>
      </c>
      <c r="B225" t="s">
        <v>918</v>
      </c>
      <c r="C225" t="s">
        <v>1041</v>
      </c>
      <c r="D225" s="16">
        <v>1950</v>
      </c>
      <c r="F225">
        <v>0</v>
      </c>
    </row>
    <row r="226" spans="1:6" x14ac:dyDescent="0.25">
      <c r="A226" t="s">
        <v>55</v>
      </c>
      <c r="B226" t="s">
        <v>919</v>
      </c>
      <c r="C226" t="s">
        <v>1002</v>
      </c>
      <c r="D226" s="16">
        <v>949</v>
      </c>
      <c r="F226">
        <v>0</v>
      </c>
    </row>
    <row r="227" spans="1:6" x14ac:dyDescent="0.25">
      <c r="A227" t="s">
        <v>55</v>
      </c>
      <c r="B227" t="s">
        <v>919</v>
      </c>
      <c r="C227" t="s">
        <v>1002</v>
      </c>
      <c r="D227" s="16">
        <v>999</v>
      </c>
      <c r="F227">
        <v>0</v>
      </c>
    </row>
    <row r="228" spans="1:6" x14ac:dyDescent="0.25">
      <c r="A228" t="s">
        <v>55</v>
      </c>
      <c r="B228" t="s">
        <v>919</v>
      </c>
      <c r="C228" t="s">
        <v>1002</v>
      </c>
      <c r="D228" s="16">
        <v>1039</v>
      </c>
      <c r="F228">
        <v>0</v>
      </c>
    </row>
    <row r="229" spans="1:6" x14ac:dyDescent="0.25">
      <c r="A229" t="s">
        <v>55</v>
      </c>
      <c r="B229" t="s">
        <v>919</v>
      </c>
      <c r="C229" t="s">
        <v>1002</v>
      </c>
      <c r="D229" s="16">
        <v>1168</v>
      </c>
      <c r="F229">
        <v>0</v>
      </c>
    </row>
    <row r="230" spans="1:6" x14ac:dyDescent="0.25">
      <c r="A230" t="s">
        <v>55</v>
      </c>
      <c r="B230" t="s">
        <v>919</v>
      </c>
      <c r="C230" t="s">
        <v>1002</v>
      </c>
      <c r="D230" s="16">
        <v>1187</v>
      </c>
      <c r="F230">
        <v>0</v>
      </c>
    </row>
    <row r="231" spans="1:6" x14ac:dyDescent="0.25">
      <c r="A231" t="s">
        <v>55</v>
      </c>
      <c r="B231" t="s">
        <v>919</v>
      </c>
      <c r="C231" t="s">
        <v>1002</v>
      </c>
      <c r="D231" s="16">
        <v>1350</v>
      </c>
      <c r="F231">
        <v>0</v>
      </c>
    </row>
    <row r="232" spans="1:6" x14ac:dyDescent="0.25">
      <c r="A232" t="s">
        <v>55</v>
      </c>
      <c r="B232" t="s">
        <v>919</v>
      </c>
      <c r="C232" t="s">
        <v>1002</v>
      </c>
      <c r="D232" s="16">
        <v>1407</v>
      </c>
      <c r="F232">
        <v>0</v>
      </c>
    </row>
    <row r="233" spans="1:6" x14ac:dyDescent="0.25">
      <c r="A233" t="s">
        <v>55</v>
      </c>
      <c r="B233" t="s">
        <v>919</v>
      </c>
      <c r="C233" t="s">
        <v>1002</v>
      </c>
      <c r="D233" s="16">
        <v>1529</v>
      </c>
      <c r="F233">
        <v>0</v>
      </c>
    </row>
    <row r="234" spans="1:6" x14ac:dyDescent="0.25">
      <c r="A234" t="s">
        <v>55</v>
      </c>
      <c r="B234" t="s">
        <v>919</v>
      </c>
      <c r="C234" t="s">
        <v>1003</v>
      </c>
      <c r="D234" s="16">
        <v>949</v>
      </c>
      <c r="F234">
        <v>0</v>
      </c>
    </row>
    <row r="235" spans="1:6" x14ac:dyDescent="0.25">
      <c r="A235" t="s">
        <v>55</v>
      </c>
      <c r="B235" t="s">
        <v>919</v>
      </c>
      <c r="C235" t="s">
        <v>1003</v>
      </c>
      <c r="D235" s="16">
        <v>1169</v>
      </c>
      <c r="F235">
        <v>0</v>
      </c>
    </row>
    <row r="236" spans="1:6" x14ac:dyDescent="0.25">
      <c r="A236" t="s">
        <v>55</v>
      </c>
      <c r="B236" t="s">
        <v>919</v>
      </c>
      <c r="C236" t="s">
        <v>1003</v>
      </c>
      <c r="D236" s="16">
        <v>1265</v>
      </c>
      <c r="F236">
        <v>0</v>
      </c>
    </row>
    <row r="237" spans="1:6" x14ac:dyDescent="0.25">
      <c r="A237" t="s">
        <v>55</v>
      </c>
      <c r="B237" t="s">
        <v>919</v>
      </c>
      <c r="C237" t="s">
        <v>1003</v>
      </c>
      <c r="D237" s="16">
        <v>1591</v>
      </c>
      <c r="F237">
        <v>0</v>
      </c>
    </row>
    <row r="238" spans="1:6" x14ac:dyDescent="0.25">
      <c r="A238" t="s">
        <v>55</v>
      </c>
      <c r="B238" t="s">
        <v>919</v>
      </c>
      <c r="C238" t="s">
        <v>1003</v>
      </c>
      <c r="D238" s="16">
        <v>1600</v>
      </c>
      <c r="F238">
        <v>0</v>
      </c>
    </row>
    <row r="239" spans="1:6" x14ac:dyDescent="0.25">
      <c r="A239" t="s">
        <v>55</v>
      </c>
      <c r="B239" t="s">
        <v>919</v>
      </c>
      <c r="C239" t="s">
        <v>1003</v>
      </c>
      <c r="D239" s="16">
        <v>1749</v>
      </c>
      <c r="F239">
        <v>0</v>
      </c>
    </row>
    <row r="240" spans="1:6" x14ac:dyDescent="0.25">
      <c r="A240" t="s">
        <v>55</v>
      </c>
      <c r="B240" t="s">
        <v>919</v>
      </c>
      <c r="C240" t="s">
        <v>1003</v>
      </c>
      <c r="D240" s="16">
        <v>1799</v>
      </c>
      <c r="F240">
        <v>0</v>
      </c>
    </row>
    <row r="241" spans="1:6" x14ac:dyDescent="0.25">
      <c r="A241" t="s">
        <v>55</v>
      </c>
      <c r="B241" t="s">
        <v>919</v>
      </c>
      <c r="C241" t="s">
        <v>1003</v>
      </c>
      <c r="D241" s="16">
        <v>1983</v>
      </c>
      <c r="F241">
        <v>0</v>
      </c>
    </row>
    <row r="242" spans="1:6" x14ac:dyDescent="0.25">
      <c r="A242" t="s">
        <v>55</v>
      </c>
      <c r="B242" t="s">
        <v>919</v>
      </c>
      <c r="C242" t="s">
        <v>1006</v>
      </c>
      <c r="D242" s="16">
        <v>1449</v>
      </c>
      <c r="F242">
        <v>0</v>
      </c>
    </row>
    <row r="243" spans="1:6" x14ac:dyDescent="0.25">
      <c r="A243" t="s">
        <v>55</v>
      </c>
      <c r="B243" t="s">
        <v>919</v>
      </c>
      <c r="C243" t="s">
        <v>1006</v>
      </c>
      <c r="D243" s="16">
        <v>1599</v>
      </c>
      <c r="F243">
        <v>0</v>
      </c>
    </row>
    <row r="244" spans="1:6" x14ac:dyDescent="0.25">
      <c r="A244" t="s">
        <v>55</v>
      </c>
      <c r="B244" t="s">
        <v>919</v>
      </c>
      <c r="C244" t="s">
        <v>1006</v>
      </c>
      <c r="D244" s="16">
        <v>1655</v>
      </c>
      <c r="F244">
        <v>0</v>
      </c>
    </row>
    <row r="245" spans="1:6" x14ac:dyDescent="0.25">
      <c r="A245" t="s">
        <v>55</v>
      </c>
      <c r="B245" t="s">
        <v>919</v>
      </c>
      <c r="C245" t="s">
        <v>1006</v>
      </c>
      <c r="D245" s="16">
        <v>1749</v>
      </c>
      <c r="F245">
        <v>0</v>
      </c>
    </row>
    <row r="246" spans="1:6" x14ac:dyDescent="0.25">
      <c r="A246" t="s">
        <v>55</v>
      </c>
      <c r="B246" t="s">
        <v>919</v>
      </c>
      <c r="C246" t="s">
        <v>1006</v>
      </c>
      <c r="D246" s="16">
        <v>1899</v>
      </c>
      <c r="F246">
        <v>0</v>
      </c>
    </row>
    <row r="247" spans="1:6" x14ac:dyDescent="0.25">
      <c r="A247" t="s">
        <v>55</v>
      </c>
      <c r="B247" t="s">
        <v>919</v>
      </c>
      <c r="C247" t="s">
        <v>1006</v>
      </c>
      <c r="D247" s="16">
        <v>1949</v>
      </c>
      <c r="F247">
        <v>0</v>
      </c>
    </row>
    <row r="248" spans="1:6" x14ac:dyDescent="0.25">
      <c r="A248" t="s">
        <v>55</v>
      </c>
      <c r="B248" t="s">
        <v>919</v>
      </c>
      <c r="C248" t="s">
        <v>1006</v>
      </c>
      <c r="D248" s="16">
        <v>2049.9</v>
      </c>
      <c r="F248">
        <v>0</v>
      </c>
    </row>
    <row r="249" spans="1:6" x14ac:dyDescent="0.25">
      <c r="A249" t="s">
        <v>55</v>
      </c>
      <c r="B249" t="s">
        <v>919</v>
      </c>
      <c r="C249" t="s">
        <v>1007</v>
      </c>
      <c r="D249" s="16">
        <v>2122</v>
      </c>
      <c r="F249">
        <v>0</v>
      </c>
    </row>
    <row r="250" spans="1:6" x14ac:dyDescent="0.25">
      <c r="A250" t="s">
        <v>55</v>
      </c>
      <c r="B250" t="s">
        <v>919</v>
      </c>
      <c r="C250" t="s">
        <v>1007</v>
      </c>
      <c r="D250" s="16">
        <v>2419</v>
      </c>
      <c r="F250">
        <v>0</v>
      </c>
    </row>
    <row r="251" spans="1:6" x14ac:dyDescent="0.25">
      <c r="A251" t="s">
        <v>55</v>
      </c>
      <c r="B251" t="s">
        <v>919</v>
      </c>
      <c r="C251" t="s">
        <v>1007</v>
      </c>
      <c r="D251" s="16">
        <v>2449</v>
      </c>
      <c r="F251">
        <v>0</v>
      </c>
    </row>
    <row r="252" spans="1:6" x14ac:dyDescent="0.25">
      <c r="A252" t="s">
        <v>55</v>
      </c>
      <c r="B252" t="s">
        <v>919</v>
      </c>
      <c r="C252" t="s">
        <v>1020</v>
      </c>
      <c r="D252" s="16">
        <v>1799</v>
      </c>
      <c r="F252">
        <v>0</v>
      </c>
    </row>
    <row r="253" spans="1:6" x14ac:dyDescent="0.25">
      <c r="A253" t="s">
        <v>55</v>
      </c>
      <c r="B253" t="s">
        <v>919</v>
      </c>
      <c r="C253" t="s">
        <v>1021</v>
      </c>
      <c r="D253" s="16">
        <v>1504</v>
      </c>
      <c r="F253">
        <v>0</v>
      </c>
    </row>
    <row r="254" spans="1:6" x14ac:dyDescent="0.25">
      <c r="A254" t="s">
        <v>55</v>
      </c>
      <c r="B254" t="s">
        <v>919</v>
      </c>
      <c r="C254" t="s">
        <v>1022</v>
      </c>
      <c r="D254" s="16">
        <v>1339</v>
      </c>
      <c r="F254">
        <v>0</v>
      </c>
    </row>
    <row r="255" spans="1:6" x14ac:dyDescent="0.25">
      <c r="A255" t="s">
        <v>55</v>
      </c>
      <c r="B255" t="s">
        <v>919</v>
      </c>
      <c r="C255" t="s">
        <v>1023</v>
      </c>
      <c r="D255" s="16">
        <v>2968</v>
      </c>
      <c r="F255">
        <v>0</v>
      </c>
    </row>
    <row r="256" spans="1:6" x14ac:dyDescent="0.25">
      <c r="A256" t="s">
        <v>55</v>
      </c>
      <c r="B256" t="s">
        <v>932</v>
      </c>
      <c r="C256" t="s">
        <v>1009</v>
      </c>
      <c r="D256" s="16">
        <v>2999</v>
      </c>
      <c r="F256">
        <v>0</v>
      </c>
    </row>
    <row r="257" spans="1:6" x14ac:dyDescent="0.25">
      <c r="A257" t="s">
        <v>55</v>
      </c>
      <c r="B257" t="s">
        <v>932</v>
      </c>
      <c r="C257" t="s">
        <v>1009</v>
      </c>
      <c r="D257" s="16">
        <v>3890</v>
      </c>
      <c r="F257">
        <v>0</v>
      </c>
    </row>
    <row r="258" spans="1:6" x14ac:dyDescent="0.25">
      <c r="A258" t="s">
        <v>55</v>
      </c>
      <c r="B258" t="s">
        <v>921</v>
      </c>
      <c r="C258" t="s">
        <v>992</v>
      </c>
      <c r="D258" s="16">
        <v>1145</v>
      </c>
      <c r="F258">
        <v>0</v>
      </c>
    </row>
    <row r="259" spans="1:6" x14ac:dyDescent="0.25">
      <c r="A259" t="s">
        <v>55</v>
      </c>
      <c r="B259" t="s">
        <v>921</v>
      </c>
      <c r="C259" t="s">
        <v>999</v>
      </c>
      <c r="D259" s="16">
        <v>1118</v>
      </c>
      <c r="F259">
        <v>0</v>
      </c>
    </row>
    <row r="260" spans="1:6" x14ac:dyDescent="0.25">
      <c r="A260" t="s">
        <v>55</v>
      </c>
      <c r="B260" t="s">
        <v>921</v>
      </c>
      <c r="C260" t="s">
        <v>1025</v>
      </c>
      <c r="D260" s="16">
        <v>1262</v>
      </c>
      <c r="F260">
        <v>0</v>
      </c>
    </row>
    <row r="261" spans="1:6" x14ac:dyDescent="0.25">
      <c r="A261" t="s">
        <v>55</v>
      </c>
      <c r="B261" t="s">
        <v>921</v>
      </c>
      <c r="C261" t="s">
        <v>1025</v>
      </c>
      <c r="D261" s="16">
        <v>1495</v>
      </c>
      <c r="F261">
        <v>0</v>
      </c>
    </row>
    <row r="262" spans="1:6" x14ac:dyDescent="0.25">
      <c r="A262" t="s">
        <v>55</v>
      </c>
      <c r="B262" t="s">
        <v>921</v>
      </c>
      <c r="C262" t="s">
        <v>1100</v>
      </c>
      <c r="D262" s="16">
        <v>1099</v>
      </c>
      <c r="F262">
        <v>0</v>
      </c>
    </row>
    <row r="263" spans="1:6" x14ac:dyDescent="0.25">
      <c r="A263" t="s">
        <v>55</v>
      </c>
      <c r="B263" t="s">
        <v>921</v>
      </c>
      <c r="C263" t="s">
        <v>1100</v>
      </c>
      <c r="D263" s="16">
        <v>1499</v>
      </c>
      <c r="F263">
        <v>0</v>
      </c>
    </row>
    <row r="264" spans="1:6" x14ac:dyDescent="0.25">
      <c r="A264" t="s">
        <v>55</v>
      </c>
      <c r="B264" t="s">
        <v>933</v>
      </c>
      <c r="C264" t="s">
        <v>1034</v>
      </c>
      <c r="D264" s="16">
        <v>729</v>
      </c>
      <c r="F264">
        <v>0</v>
      </c>
    </row>
    <row r="265" spans="1:6" x14ac:dyDescent="0.25">
      <c r="A265" t="s">
        <v>55</v>
      </c>
      <c r="B265" t="s">
        <v>934</v>
      </c>
      <c r="C265" t="s">
        <v>1034</v>
      </c>
      <c r="D265" s="16">
        <v>669</v>
      </c>
      <c r="F265">
        <v>0</v>
      </c>
    </row>
    <row r="266" spans="1:6" x14ac:dyDescent="0.25">
      <c r="A266" t="s">
        <v>55</v>
      </c>
      <c r="B266" t="s">
        <v>935</v>
      </c>
      <c r="C266" t="s">
        <v>1034</v>
      </c>
      <c r="D266" s="16">
        <v>1159</v>
      </c>
      <c r="F266">
        <v>0</v>
      </c>
    </row>
    <row r="267" spans="1:6" x14ac:dyDescent="0.25">
      <c r="A267" t="s">
        <v>55</v>
      </c>
      <c r="B267" t="s">
        <v>940</v>
      </c>
      <c r="C267" t="s">
        <v>1032</v>
      </c>
      <c r="D267" s="16">
        <v>581.9</v>
      </c>
      <c r="F267">
        <v>0</v>
      </c>
    </row>
    <row r="268" spans="1:6" x14ac:dyDescent="0.25">
      <c r="A268" t="s">
        <v>55</v>
      </c>
      <c r="B268" t="s">
        <v>922</v>
      </c>
      <c r="C268" t="s">
        <v>995</v>
      </c>
      <c r="D268" s="16">
        <v>530</v>
      </c>
      <c r="F268">
        <v>0</v>
      </c>
    </row>
    <row r="269" spans="1:6" x14ac:dyDescent="0.25">
      <c r="A269" t="s">
        <v>55</v>
      </c>
      <c r="B269" t="s">
        <v>922</v>
      </c>
      <c r="C269" t="s">
        <v>1030</v>
      </c>
      <c r="D269" s="16">
        <v>309</v>
      </c>
      <c r="F269">
        <v>0</v>
      </c>
    </row>
    <row r="270" spans="1:6" x14ac:dyDescent="0.25">
      <c r="A270" t="s">
        <v>55</v>
      </c>
      <c r="B270" t="s">
        <v>923</v>
      </c>
      <c r="C270" t="s">
        <v>995</v>
      </c>
      <c r="D270" s="16">
        <v>466</v>
      </c>
      <c r="F270">
        <v>0</v>
      </c>
    </row>
    <row r="271" spans="1:6" x14ac:dyDescent="0.25">
      <c r="A271" t="s">
        <v>55</v>
      </c>
      <c r="B271" t="s">
        <v>923</v>
      </c>
      <c r="C271" t="s">
        <v>995</v>
      </c>
      <c r="D271" s="16">
        <v>470.34</v>
      </c>
      <c r="F271">
        <v>0</v>
      </c>
    </row>
    <row r="272" spans="1:6" x14ac:dyDescent="0.25">
      <c r="A272" t="s">
        <v>55</v>
      </c>
      <c r="B272" t="s">
        <v>923</v>
      </c>
      <c r="C272" t="s">
        <v>1031</v>
      </c>
      <c r="D272" s="16">
        <v>304</v>
      </c>
      <c r="F272">
        <v>0</v>
      </c>
    </row>
    <row r="273" spans="1:6" x14ac:dyDescent="0.25">
      <c r="A273" t="s">
        <v>55</v>
      </c>
      <c r="B273" t="s">
        <v>923</v>
      </c>
      <c r="C273" t="s">
        <v>1032</v>
      </c>
      <c r="D273" s="16">
        <v>398.99</v>
      </c>
      <c r="F273">
        <v>0</v>
      </c>
    </row>
    <row r="274" spans="1:6" x14ac:dyDescent="0.25">
      <c r="A274" t="s">
        <v>55</v>
      </c>
      <c r="B274" t="s">
        <v>923</v>
      </c>
      <c r="C274" t="s">
        <v>1032</v>
      </c>
      <c r="D274" s="16">
        <v>449</v>
      </c>
      <c r="F274">
        <v>0</v>
      </c>
    </row>
    <row r="275" spans="1:6" x14ac:dyDescent="0.25">
      <c r="A275" t="s">
        <v>99</v>
      </c>
      <c r="B275" t="s">
        <v>943</v>
      </c>
      <c r="C275" t="s">
        <v>1028</v>
      </c>
      <c r="D275" s="16">
        <v>244.99</v>
      </c>
      <c r="F275">
        <v>0</v>
      </c>
    </row>
    <row r="276" spans="1:6" x14ac:dyDescent="0.25">
      <c r="A276" t="s">
        <v>99</v>
      </c>
      <c r="B276" t="s">
        <v>929</v>
      </c>
      <c r="C276" t="s">
        <v>1028</v>
      </c>
      <c r="D276" s="16">
        <v>248.9</v>
      </c>
      <c r="F276">
        <v>0</v>
      </c>
    </row>
    <row r="277" spans="1:6" x14ac:dyDescent="0.25">
      <c r="A277" t="s">
        <v>99</v>
      </c>
      <c r="B277" t="s">
        <v>907</v>
      </c>
      <c r="C277" t="s">
        <v>1031</v>
      </c>
      <c r="D277" s="16">
        <v>449</v>
      </c>
      <c r="F277">
        <v>0</v>
      </c>
    </row>
    <row r="278" spans="1:6" x14ac:dyDescent="0.25">
      <c r="A278" t="s">
        <v>65</v>
      </c>
      <c r="B278" t="s">
        <v>903</v>
      </c>
      <c r="C278" t="s">
        <v>1028</v>
      </c>
      <c r="D278" s="16">
        <v>379</v>
      </c>
      <c r="F278">
        <v>0</v>
      </c>
    </row>
    <row r="279" spans="1:6" x14ac:dyDescent="0.25">
      <c r="A279" t="s">
        <v>65</v>
      </c>
      <c r="B279" t="s">
        <v>904</v>
      </c>
      <c r="C279" t="s">
        <v>1028</v>
      </c>
      <c r="D279" s="16">
        <v>274.89999999999998</v>
      </c>
      <c r="F279">
        <v>0</v>
      </c>
    </row>
    <row r="280" spans="1:6" x14ac:dyDescent="0.25">
      <c r="A280" t="s">
        <v>65</v>
      </c>
      <c r="B280" t="s">
        <v>904</v>
      </c>
      <c r="C280" t="s">
        <v>1029</v>
      </c>
      <c r="D280" s="16">
        <v>295</v>
      </c>
      <c r="F280">
        <v>0</v>
      </c>
    </row>
    <row r="281" spans="1:6" x14ac:dyDescent="0.25">
      <c r="A281" t="s">
        <v>65</v>
      </c>
      <c r="B281" t="s">
        <v>904</v>
      </c>
      <c r="C281" t="s">
        <v>1029</v>
      </c>
      <c r="D281" s="16">
        <v>309</v>
      </c>
      <c r="F281">
        <v>0</v>
      </c>
    </row>
    <row r="282" spans="1:6" x14ac:dyDescent="0.25">
      <c r="A282" t="s">
        <v>65</v>
      </c>
      <c r="B282" t="s">
        <v>908</v>
      </c>
      <c r="C282" t="s">
        <v>1035</v>
      </c>
      <c r="D282" s="16">
        <v>359</v>
      </c>
      <c r="F282">
        <v>0</v>
      </c>
    </row>
    <row r="283" spans="1:6" x14ac:dyDescent="0.25">
      <c r="A283" t="s">
        <v>65</v>
      </c>
      <c r="B283" t="s">
        <v>908</v>
      </c>
      <c r="C283" t="s">
        <v>1035</v>
      </c>
      <c r="D283" s="16">
        <v>418.64</v>
      </c>
      <c r="F283">
        <v>0</v>
      </c>
    </row>
    <row r="284" spans="1:6" x14ac:dyDescent="0.25">
      <c r="A284" t="s">
        <v>65</v>
      </c>
      <c r="B284" t="s">
        <v>908</v>
      </c>
      <c r="C284" t="s">
        <v>1035</v>
      </c>
      <c r="D284" s="16">
        <v>443.9</v>
      </c>
      <c r="F284">
        <v>0</v>
      </c>
    </row>
    <row r="285" spans="1:6" x14ac:dyDescent="0.25">
      <c r="A285" t="s">
        <v>65</v>
      </c>
      <c r="B285" t="s">
        <v>908</v>
      </c>
      <c r="C285" t="s">
        <v>1035</v>
      </c>
      <c r="D285" s="16">
        <v>490</v>
      </c>
      <c r="F285">
        <v>0</v>
      </c>
    </row>
    <row r="286" spans="1:6" x14ac:dyDescent="0.25">
      <c r="A286" t="s">
        <v>65</v>
      </c>
      <c r="B286" t="s">
        <v>908</v>
      </c>
      <c r="C286" t="s">
        <v>1035</v>
      </c>
      <c r="D286" s="16">
        <v>558.6</v>
      </c>
      <c r="F286">
        <v>0</v>
      </c>
    </row>
    <row r="287" spans="1:6" x14ac:dyDescent="0.25">
      <c r="A287" t="s">
        <v>65</v>
      </c>
      <c r="B287" t="s">
        <v>908</v>
      </c>
      <c r="C287" t="s">
        <v>1035</v>
      </c>
      <c r="D287" s="16">
        <v>585</v>
      </c>
      <c r="F287">
        <v>0</v>
      </c>
    </row>
    <row r="288" spans="1:6" x14ac:dyDescent="0.25">
      <c r="A288" t="s">
        <v>65</v>
      </c>
      <c r="B288" t="s">
        <v>908</v>
      </c>
      <c r="C288" t="s">
        <v>1035</v>
      </c>
      <c r="D288" s="16">
        <v>665</v>
      </c>
      <c r="F288">
        <v>0</v>
      </c>
    </row>
    <row r="289" spans="1:6" x14ac:dyDescent="0.25">
      <c r="A289" t="s">
        <v>65</v>
      </c>
      <c r="B289" t="s">
        <v>908</v>
      </c>
      <c r="C289" t="s">
        <v>1035</v>
      </c>
      <c r="D289" s="16">
        <v>689</v>
      </c>
      <c r="F289">
        <v>0</v>
      </c>
    </row>
    <row r="290" spans="1:6" x14ac:dyDescent="0.25">
      <c r="A290" t="s">
        <v>65</v>
      </c>
      <c r="B290" t="s">
        <v>908</v>
      </c>
      <c r="C290" t="s">
        <v>1035</v>
      </c>
      <c r="D290" s="16">
        <v>735.87</v>
      </c>
      <c r="F290">
        <v>0</v>
      </c>
    </row>
    <row r="291" spans="1:6" x14ac:dyDescent="0.25">
      <c r="A291" t="s">
        <v>65</v>
      </c>
      <c r="B291" t="s">
        <v>908</v>
      </c>
      <c r="C291" t="s">
        <v>1035</v>
      </c>
      <c r="D291" s="16">
        <v>849</v>
      </c>
      <c r="F291">
        <v>0</v>
      </c>
    </row>
    <row r="292" spans="1:6" x14ac:dyDescent="0.25">
      <c r="A292" t="s">
        <v>65</v>
      </c>
      <c r="B292" t="s">
        <v>908</v>
      </c>
      <c r="C292" t="s">
        <v>1081</v>
      </c>
      <c r="D292" s="16">
        <v>465</v>
      </c>
      <c r="F292">
        <v>0</v>
      </c>
    </row>
    <row r="293" spans="1:6" x14ac:dyDescent="0.25">
      <c r="A293" t="s">
        <v>65</v>
      </c>
      <c r="B293" t="s">
        <v>908</v>
      </c>
      <c r="C293" t="s">
        <v>1081</v>
      </c>
      <c r="D293" s="16">
        <v>617.9</v>
      </c>
      <c r="F293">
        <v>0</v>
      </c>
    </row>
    <row r="294" spans="1:6" x14ac:dyDescent="0.25">
      <c r="A294" t="s">
        <v>65</v>
      </c>
      <c r="B294" t="s">
        <v>908</v>
      </c>
      <c r="C294" t="s">
        <v>1082</v>
      </c>
      <c r="D294" s="16">
        <v>455.7</v>
      </c>
      <c r="F294">
        <v>0</v>
      </c>
    </row>
    <row r="295" spans="1:6" x14ac:dyDescent="0.25">
      <c r="A295" t="s">
        <v>65</v>
      </c>
      <c r="B295" t="s">
        <v>908</v>
      </c>
      <c r="C295" t="s">
        <v>1082</v>
      </c>
      <c r="D295" s="16">
        <v>614</v>
      </c>
      <c r="F295">
        <v>0</v>
      </c>
    </row>
    <row r="296" spans="1:6" x14ac:dyDescent="0.25">
      <c r="A296" t="s">
        <v>65</v>
      </c>
      <c r="B296" t="s">
        <v>908</v>
      </c>
      <c r="C296" t="s">
        <v>1082</v>
      </c>
      <c r="D296" s="16">
        <v>739</v>
      </c>
      <c r="F296">
        <v>0</v>
      </c>
    </row>
    <row r="297" spans="1:6" x14ac:dyDescent="0.25">
      <c r="A297" t="s">
        <v>65</v>
      </c>
      <c r="B297" t="s">
        <v>908</v>
      </c>
      <c r="C297" t="s">
        <v>1084</v>
      </c>
      <c r="D297" s="16">
        <v>428</v>
      </c>
      <c r="F297">
        <v>0</v>
      </c>
    </row>
    <row r="298" spans="1:6" x14ac:dyDescent="0.25">
      <c r="A298" t="s">
        <v>65</v>
      </c>
      <c r="B298" t="s">
        <v>908</v>
      </c>
      <c r="C298" t="s">
        <v>1084</v>
      </c>
      <c r="D298" s="16">
        <v>449</v>
      </c>
      <c r="F298">
        <v>0</v>
      </c>
    </row>
    <row r="299" spans="1:6" x14ac:dyDescent="0.25">
      <c r="A299" t="s">
        <v>65</v>
      </c>
      <c r="B299" t="s">
        <v>908</v>
      </c>
      <c r="C299" t="s">
        <v>1084</v>
      </c>
      <c r="D299" s="16">
        <v>465.62</v>
      </c>
      <c r="F299">
        <v>0</v>
      </c>
    </row>
    <row r="300" spans="1:6" x14ac:dyDescent="0.25">
      <c r="A300" t="s">
        <v>65</v>
      </c>
      <c r="B300" t="s">
        <v>908</v>
      </c>
      <c r="C300" t="s">
        <v>1084</v>
      </c>
      <c r="D300" s="16">
        <v>485</v>
      </c>
      <c r="F300">
        <v>0</v>
      </c>
    </row>
    <row r="301" spans="1:6" x14ac:dyDescent="0.25">
      <c r="A301" t="s">
        <v>65</v>
      </c>
      <c r="B301" t="s">
        <v>908</v>
      </c>
      <c r="C301" t="s">
        <v>1084</v>
      </c>
      <c r="D301" s="16">
        <v>498.9</v>
      </c>
      <c r="F301">
        <v>0</v>
      </c>
    </row>
    <row r="302" spans="1:6" x14ac:dyDescent="0.25">
      <c r="A302" t="s">
        <v>65</v>
      </c>
      <c r="B302" t="s">
        <v>908</v>
      </c>
      <c r="C302" t="s">
        <v>1084</v>
      </c>
      <c r="D302" s="16">
        <v>545.66999999999996</v>
      </c>
      <c r="F302">
        <v>0</v>
      </c>
    </row>
    <row r="303" spans="1:6" x14ac:dyDescent="0.25">
      <c r="A303" t="s">
        <v>65</v>
      </c>
      <c r="B303" t="s">
        <v>908</v>
      </c>
      <c r="C303" t="s">
        <v>1090</v>
      </c>
      <c r="D303" s="16">
        <v>499</v>
      </c>
      <c r="F303">
        <v>0</v>
      </c>
    </row>
    <row r="304" spans="1:6" x14ac:dyDescent="0.25">
      <c r="A304" t="s">
        <v>65</v>
      </c>
      <c r="B304" t="s">
        <v>908</v>
      </c>
      <c r="C304" t="s">
        <v>1091</v>
      </c>
      <c r="D304" s="16">
        <v>659</v>
      </c>
      <c r="F304">
        <v>0</v>
      </c>
    </row>
    <row r="305" spans="1:6" x14ac:dyDescent="0.25">
      <c r="A305" t="s">
        <v>65</v>
      </c>
      <c r="B305" t="s">
        <v>944</v>
      </c>
      <c r="C305" t="s">
        <v>1035</v>
      </c>
      <c r="D305" s="16">
        <v>481.98</v>
      </c>
      <c r="F305">
        <v>0</v>
      </c>
    </row>
    <row r="306" spans="1:6" x14ac:dyDescent="0.25">
      <c r="A306" t="s">
        <v>65</v>
      </c>
      <c r="B306" t="s">
        <v>944</v>
      </c>
      <c r="C306" t="s">
        <v>1035</v>
      </c>
      <c r="D306" s="16">
        <v>740</v>
      </c>
      <c r="F306">
        <v>0</v>
      </c>
    </row>
    <row r="307" spans="1:6" x14ac:dyDescent="0.25">
      <c r="A307" t="s">
        <v>65</v>
      </c>
      <c r="B307" t="s">
        <v>944</v>
      </c>
      <c r="C307" t="s">
        <v>1035</v>
      </c>
      <c r="D307" s="16">
        <v>795.99</v>
      </c>
      <c r="F307">
        <v>0</v>
      </c>
    </row>
    <row r="308" spans="1:6" x14ac:dyDescent="0.25">
      <c r="A308" t="s">
        <v>65</v>
      </c>
      <c r="B308" t="s">
        <v>944</v>
      </c>
      <c r="C308" t="s">
        <v>1035</v>
      </c>
      <c r="D308" s="16">
        <v>1135.1500000000001</v>
      </c>
      <c r="F308">
        <v>0</v>
      </c>
    </row>
    <row r="309" spans="1:6" x14ac:dyDescent="0.25">
      <c r="A309" t="s">
        <v>65</v>
      </c>
      <c r="B309" t="s">
        <v>944</v>
      </c>
      <c r="C309" t="s">
        <v>1035</v>
      </c>
      <c r="D309" s="16">
        <v>1166.97</v>
      </c>
      <c r="F309">
        <v>0</v>
      </c>
    </row>
    <row r="310" spans="1:6" x14ac:dyDescent="0.25">
      <c r="A310" t="s">
        <v>65</v>
      </c>
      <c r="B310" t="s">
        <v>909</v>
      </c>
      <c r="C310" t="s">
        <v>1041</v>
      </c>
      <c r="D310" s="16">
        <v>439</v>
      </c>
      <c r="F310">
        <v>0</v>
      </c>
    </row>
    <row r="311" spans="1:6" x14ac:dyDescent="0.25">
      <c r="A311" t="s">
        <v>65</v>
      </c>
      <c r="B311" t="s">
        <v>909</v>
      </c>
      <c r="C311" t="s">
        <v>1041</v>
      </c>
      <c r="D311" s="16">
        <v>459</v>
      </c>
      <c r="F311">
        <v>0</v>
      </c>
    </row>
    <row r="312" spans="1:6" x14ac:dyDescent="0.25">
      <c r="A312" t="s">
        <v>65</v>
      </c>
      <c r="B312" t="s">
        <v>909</v>
      </c>
      <c r="C312" t="s">
        <v>1041</v>
      </c>
      <c r="D312" s="16">
        <v>469.01</v>
      </c>
      <c r="F312">
        <v>0</v>
      </c>
    </row>
    <row r="313" spans="1:6" x14ac:dyDescent="0.25">
      <c r="A313" t="s">
        <v>65</v>
      </c>
      <c r="B313" t="s">
        <v>909</v>
      </c>
      <c r="C313" t="s">
        <v>1041</v>
      </c>
      <c r="D313" s="16">
        <v>509</v>
      </c>
      <c r="F313">
        <v>0</v>
      </c>
    </row>
    <row r="314" spans="1:6" x14ac:dyDescent="0.25">
      <c r="A314" t="s">
        <v>65</v>
      </c>
      <c r="B314" t="s">
        <v>909</v>
      </c>
      <c r="C314" t="s">
        <v>1041</v>
      </c>
      <c r="D314" s="16">
        <v>547</v>
      </c>
      <c r="F314">
        <v>0</v>
      </c>
    </row>
    <row r="315" spans="1:6" x14ac:dyDescent="0.25">
      <c r="A315" t="s">
        <v>65</v>
      </c>
      <c r="B315" t="s">
        <v>909</v>
      </c>
      <c r="C315" t="s">
        <v>1041</v>
      </c>
      <c r="D315" s="16">
        <v>586.6</v>
      </c>
      <c r="F315">
        <v>0</v>
      </c>
    </row>
    <row r="316" spans="1:6" x14ac:dyDescent="0.25">
      <c r="A316" t="s">
        <v>65</v>
      </c>
      <c r="B316" t="s">
        <v>909</v>
      </c>
      <c r="C316" t="s">
        <v>1041</v>
      </c>
      <c r="D316" s="16">
        <v>649</v>
      </c>
      <c r="F316">
        <v>0</v>
      </c>
    </row>
    <row r="317" spans="1:6" x14ac:dyDescent="0.25">
      <c r="A317" t="s">
        <v>65</v>
      </c>
      <c r="B317" t="s">
        <v>911</v>
      </c>
      <c r="C317" t="s">
        <v>1035</v>
      </c>
      <c r="D317" s="16">
        <v>523.63</v>
      </c>
      <c r="F317">
        <v>0</v>
      </c>
    </row>
    <row r="318" spans="1:6" x14ac:dyDescent="0.25">
      <c r="A318" t="s">
        <v>65</v>
      </c>
      <c r="B318" t="s">
        <v>911</v>
      </c>
      <c r="C318" t="s">
        <v>1035</v>
      </c>
      <c r="D318" s="16">
        <v>649</v>
      </c>
      <c r="F318">
        <v>0</v>
      </c>
    </row>
    <row r="319" spans="1:6" x14ac:dyDescent="0.25">
      <c r="A319" t="s">
        <v>65</v>
      </c>
      <c r="B319" t="s">
        <v>911</v>
      </c>
      <c r="C319" t="s">
        <v>1035</v>
      </c>
      <c r="D319" s="16">
        <v>729.9</v>
      </c>
      <c r="F319">
        <v>0</v>
      </c>
    </row>
    <row r="320" spans="1:6" x14ac:dyDescent="0.25">
      <c r="A320" t="s">
        <v>65</v>
      </c>
      <c r="B320" t="s">
        <v>911</v>
      </c>
      <c r="C320" t="s">
        <v>1035</v>
      </c>
      <c r="D320" s="16">
        <v>737</v>
      </c>
      <c r="F320">
        <v>0</v>
      </c>
    </row>
    <row r="321" spans="1:6" x14ac:dyDescent="0.25">
      <c r="A321" t="s">
        <v>65</v>
      </c>
      <c r="B321" t="s">
        <v>911</v>
      </c>
      <c r="C321" t="s">
        <v>1035</v>
      </c>
      <c r="D321" s="16">
        <v>755</v>
      </c>
      <c r="F321">
        <v>0</v>
      </c>
    </row>
    <row r="322" spans="1:6" x14ac:dyDescent="0.25">
      <c r="A322" t="s">
        <v>65</v>
      </c>
      <c r="B322" t="s">
        <v>911</v>
      </c>
      <c r="C322" t="s">
        <v>1035</v>
      </c>
      <c r="D322" s="16">
        <v>1413.1</v>
      </c>
      <c r="F322">
        <v>0</v>
      </c>
    </row>
    <row r="323" spans="1:6" x14ac:dyDescent="0.25">
      <c r="A323" t="s">
        <v>65</v>
      </c>
      <c r="B323" t="s">
        <v>911</v>
      </c>
      <c r="C323" t="s">
        <v>1078</v>
      </c>
      <c r="D323" s="16">
        <v>769.15</v>
      </c>
      <c r="F323">
        <v>0</v>
      </c>
    </row>
    <row r="324" spans="1:6" x14ac:dyDescent="0.25">
      <c r="A324" t="s">
        <v>65</v>
      </c>
      <c r="B324" t="s">
        <v>930</v>
      </c>
      <c r="C324" t="s">
        <v>1000</v>
      </c>
      <c r="D324" s="16">
        <v>2250.6799999999998</v>
      </c>
      <c r="F324">
        <v>0</v>
      </c>
    </row>
    <row r="325" spans="1:6" x14ac:dyDescent="0.25">
      <c r="A325" t="s">
        <v>65</v>
      </c>
      <c r="B325" t="s">
        <v>945</v>
      </c>
      <c r="C325" t="s">
        <v>1035</v>
      </c>
      <c r="D325" s="16">
        <v>1046.44</v>
      </c>
      <c r="F325">
        <v>0</v>
      </c>
    </row>
    <row r="326" spans="1:6" x14ac:dyDescent="0.25">
      <c r="A326" t="s">
        <v>65</v>
      </c>
      <c r="B326" t="s">
        <v>945</v>
      </c>
      <c r="C326" t="s">
        <v>1035</v>
      </c>
      <c r="D326" s="16">
        <v>1062.95</v>
      </c>
      <c r="F326">
        <v>0</v>
      </c>
    </row>
    <row r="327" spans="1:6" x14ac:dyDescent="0.25">
      <c r="A327" t="s">
        <v>65</v>
      </c>
      <c r="B327" t="s">
        <v>945</v>
      </c>
      <c r="C327" t="s">
        <v>1035</v>
      </c>
      <c r="D327" s="16">
        <v>1099</v>
      </c>
      <c r="F327">
        <v>0</v>
      </c>
    </row>
    <row r="328" spans="1:6" x14ac:dyDescent="0.25">
      <c r="A328" t="s">
        <v>65</v>
      </c>
      <c r="B328" t="s">
        <v>945</v>
      </c>
      <c r="C328" t="s">
        <v>1035</v>
      </c>
      <c r="D328" s="16">
        <v>1229</v>
      </c>
      <c r="F328">
        <v>0</v>
      </c>
    </row>
    <row r="329" spans="1:6" x14ac:dyDescent="0.25">
      <c r="A329" t="s">
        <v>65</v>
      </c>
      <c r="B329" t="s">
        <v>945</v>
      </c>
      <c r="C329" t="s">
        <v>1035</v>
      </c>
      <c r="D329" s="16">
        <v>1713.37</v>
      </c>
      <c r="F329">
        <v>0</v>
      </c>
    </row>
    <row r="330" spans="1:6" x14ac:dyDescent="0.25">
      <c r="A330" t="s">
        <v>65</v>
      </c>
      <c r="B330" t="s">
        <v>946</v>
      </c>
      <c r="C330" t="s">
        <v>990</v>
      </c>
      <c r="D330" s="16">
        <v>1369</v>
      </c>
      <c r="F330">
        <v>0</v>
      </c>
    </row>
    <row r="331" spans="1:6" x14ac:dyDescent="0.25">
      <c r="A331" t="s">
        <v>65</v>
      </c>
      <c r="B331" t="s">
        <v>912</v>
      </c>
      <c r="C331" t="s">
        <v>999</v>
      </c>
      <c r="D331" s="16">
        <v>912.5</v>
      </c>
      <c r="F331">
        <v>0</v>
      </c>
    </row>
    <row r="332" spans="1:6" x14ac:dyDescent="0.25">
      <c r="A332" t="s">
        <v>65</v>
      </c>
      <c r="B332" t="s">
        <v>912</v>
      </c>
      <c r="C332" t="s">
        <v>1028</v>
      </c>
      <c r="D332" s="16">
        <v>559</v>
      </c>
      <c r="F332">
        <v>0</v>
      </c>
    </row>
    <row r="333" spans="1:6" x14ac:dyDescent="0.25">
      <c r="A333" t="s">
        <v>65</v>
      </c>
      <c r="B333" t="s">
        <v>912</v>
      </c>
      <c r="C333" t="s">
        <v>1028</v>
      </c>
      <c r="D333" s="16">
        <v>1472.2</v>
      </c>
      <c r="F333">
        <v>0</v>
      </c>
    </row>
    <row r="334" spans="1:6" x14ac:dyDescent="0.25">
      <c r="A334" t="s">
        <v>65</v>
      </c>
      <c r="B334" t="s">
        <v>912</v>
      </c>
      <c r="C334" t="s">
        <v>1035</v>
      </c>
      <c r="D334" s="16">
        <v>521.86</v>
      </c>
      <c r="F334">
        <v>0</v>
      </c>
    </row>
    <row r="335" spans="1:6" x14ac:dyDescent="0.25">
      <c r="A335" t="s">
        <v>65</v>
      </c>
      <c r="B335" t="s">
        <v>912</v>
      </c>
      <c r="C335" t="s">
        <v>1041</v>
      </c>
      <c r="D335" s="16">
        <v>539.95000000000005</v>
      </c>
      <c r="F335">
        <v>0</v>
      </c>
    </row>
    <row r="336" spans="1:6" x14ac:dyDescent="0.25">
      <c r="A336" t="s">
        <v>65</v>
      </c>
      <c r="B336" t="s">
        <v>912</v>
      </c>
      <c r="C336" t="s">
        <v>1041</v>
      </c>
      <c r="D336" s="16">
        <v>557.37</v>
      </c>
      <c r="F336">
        <v>0</v>
      </c>
    </row>
    <row r="337" spans="1:6" x14ac:dyDescent="0.25">
      <c r="A337" t="s">
        <v>65</v>
      </c>
      <c r="B337" t="s">
        <v>912</v>
      </c>
      <c r="C337" t="s">
        <v>1041</v>
      </c>
      <c r="D337" s="16">
        <v>649</v>
      </c>
      <c r="F337">
        <v>0</v>
      </c>
    </row>
    <row r="338" spans="1:6" x14ac:dyDescent="0.25">
      <c r="A338" t="s">
        <v>65</v>
      </c>
      <c r="B338" t="s">
        <v>912</v>
      </c>
      <c r="C338" t="s">
        <v>1041</v>
      </c>
      <c r="D338" s="16">
        <v>657</v>
      </c>
      <c r="F338">
        <v>0</v>
      </c>
    </row>
    <row r="339" spans="1:6" x14ac:dyDescent="0.25">
      <c r="A339" t="s">
        <v>65</v>
      </c>
      <c r="B339" t="s">
        <v>912</v>
      </c>
      <c r="C339" t="s">
        <v>1041</v>
      </c>
      <c r="D339" s="16">
        <v>708.06</v>
      </c>
      <c r="F339">
        <v>0</v>
      </c>
    </row>
    <row r="340" spans="1:6" x14ac:dyDescent="0.25">
      <c r="A340" t="s">
        <v>65</v>
      </c>
      <c r="B340" t="s">
        <v>912</v>
      </c>
      <c r="C340" t="s">
        <v>1041</v>
      </c>
      <c r="D340" s="16">
        <v>713.99</v>
      </c>
      <c r="F340">
        <v>0</v>
      </c>
    </row>
    <row r="341" spans="1:6" x14ac:dyDescent="0.25">
      <c r="A341" t="s">
        <v>65</v>
      </c>
      <c r="B341" t="s">
        <v>912</v>
      </c>
      <c r="C341" t="s">
        <v>1041</v>
      </c>
      <c r="D341" s="16">
        <v>726</v>
      </c>
      <c r="F341">
        <v>0</v>
      </c>
    </row>
    <row r="342" spans="1:6" x14ac:dyDescent="0.25">
      <c r="A342" t="s">
        <v>65</v>
      </c>
      <c r="B342" t="s">
        <v>912</v>
      </c>
      <c r="C342" t="s">
        <v>1041</v>
      </c>
      <c r="D342" s="16">
        <v>750</v>
      </c>
      <c r="F342">
        <v>0</v>
      </c>
    </row>
    <row r="343" spans="1:6" x14ac:dyDescent="0.25">
      <c r="A343" t="s">
        <v>65</v>
      </c>
      <c r="B343" t="s">
        <v>912</v>
      </c>
      <c r="C343" t="s">
        <v>1041</v>
      </c>
      <c r="D343" s="16">
        <v>795</v>
      </c>
      <c r="F343">
        <v>0</v>
      </c>
    </row>
    <row r="344" spans="1:6" x14ac:dyDescent="0.25">
      <c r="A344" t="s">
        <v>65</v>
      </c>
      <c r="B344" t="s">
        <v>912</v>
      </c>
      <c r="C344" t="s">
        <v>1041</v>
      </c>
      <c r="D344" s="16">
        <v>810</v>
      </c>
      <c r="F344">
        <v>0</v>
      </c>
    </row>
    <row r="345" spans="1:6" x14ac:dyDescent="0.25">
      <c r="A345" t="s">
        <v>65</v>
      </c>
      <c r="B345" t="s">
        <v>912</v>
      </c>
      <c r="C345" t="s">
        <v>1041</v>
      </c>
      <c r="D345" s="16">
        <v>825</v>
      </c>
      <c r="F345">
        <v>0</v>
      </c>
    </row>
    <row r="346" spans="1:6" x14ac:dyDescent="0.25">
      <c r="A346" t="s">
        <v>65</v>
      </c>
      <c r="B346" t="s">
        <v>912</v>
      </c>
      <c r="C346" t="s">
        <v>1041</v>
      </c>
      <c r="D346" s="16">
        <v>836</v>
      </c>
      <c r="F346">
        <v>0</v>
      </c>
    </row>
    <row r="347" spans="1:6" x14ac:dyDescent="0.25">
      <c r="A347" t="s">
        <v>65</v>
      </c>
      <c r="B347" t="s">
        <v>912</v>
      </c>
      <c r="C347" t="s">
        <v>1041</v>
      </c>
      <c r="D347" s="16">
        <v>859</v>
      </c>
      <c r="F347">
        <v>0</v>
      </c>
    </row>
    <row r="348" spans="1:6" x14ac:dyDescent="0.25">
      <c r="A348" t="s">
        <v>65</v>
      </c>
      <c r="B348" t="s">
        <v>912</v>
      </c>
      <c r="C348" t="s">
        <v>1041</v>
      </c>
      <c r="D348" s="16">
        <v>875</v>
      </c>
      <c r="F348">
        <v>0</v>
      </c>
    </row>
    <row r="349" spans="1:6" x14ac:dyDescent="0.25">
      <c r="A349" t="s">
        <v>65</v>
      </c>
      <c r="B349" t="s">
        <v>912</v>
      </c>
      <c r="C349" t="s">
        <v>1041</v>
      </c>
      <c r="D349" s="16">
        <v>889</v>
      </c>
      <c r="F349">
        <v>0</v>
      </c>
    </row>
    <row r="350" spans="1:6" x14ac:dyDescent="0.25">
      <c r="A350" t="s">
        <v>65</v>
      </c>
      <c r="B350" t="s">
        <v>912</v>
      </c>
      <c r="C350" t="s">
        <v>1041</v>
      </c>
      <c r="D350" s="16">
        <v>899</v>
      </c>
      <c r="F350">
        <v>0</v>
      </c>
    </row>
    <row r="351" spans="1:6" x14ac:dyDescent="0.25">
      <c r="A351" t="s">
        <v>65</v>
      </c>
      <c r="B351" t="s">
        <v>912</v>
      </c>
      <c r="C351" t="s">
        <v>1041</v>
      </c>
      <c r="D351" s="16">
        <v>945</v>
      </c>
      <c r="F351">
        <v>0</v>
      </c>
    </row>
    <row r="352" spans="1:6" x14ac:dyDescent="0.25">
      <c r="A352" t="s">
        <v>65</v>
      </c>
      <c r="B352" t="s">
        <v>912</v>
      </c>
      <c r="C352" t="s">
        <v>1041</v>
      </c>
      <c r="D352" s="16">
        <v>955</v>
      </c>
      <c r="F352">
        <v>0</v>
      </c>
    </row>
    <row r="353" spans="1:6" x14ac:dyDescent="0.25">
      <c r="A353" t="s">
        <v>65</v>
      </c>
      <c r="B353" t="s">
        <v>912</v>
      </c>
      <c r="C353" t="s">
        <v>1041</v>
      </c>
      <c r="D353" s="16">
        <v>999</v>
      </c>
      <c r="F353">
        <v>0</v>
      </c>
    </row>
    <row r="354" spans="1:6" x14ac:dyDescent="0.25">
      <c r="A354" t="s">
        <v>65</v>
      </c>
      <c r="B354" t="s">
        <v>912</v>
      </c>
      <c r="C354" t="s">
        <v>1041</v>
      </c>
      <c r="D354" s="16">
        <v>1094</v>
      </c>
      <c r="F354">
        <v>0</v>
      </c>
    </row>
    <row r="355" spans="1:6" x14ac:dyDescent="0.25">
      <c r="A355" t="s">
        <v>65</v>
      </c>
      <c r="B355" t="s">
        <v>912</v>
      </c>
      <c r="C355" t="s">
        <v>1041</v>
      </c>
      <c r="D355" s="16">
        <v>1116.99</v>
      </c>
      <c r="F355">
        <v>0</v>
      </c>
    </row>
    <row r="356" spans="1:6" x14ac:dyDescent="0.25">
      <c r="A356" t="s">
        <v>65</v>
      </c>
      <c r="B356" t="s">
        <v>912</v>
      </c>
      <c r="C356" t="s">
        <v>1041</v>
      </c>
      <c r="D356" s="16">
        <v>1119</v>
      </c>
      <c r="F356">
        <v>0</v>
      </c>
    </row>
    <row r="357" spans="1:6" x14ac:dyDescent="0.25">
      <c r="A357" t="s">
        <v>65</v>
      </c>
      <c r="B357" t="s">
        <v>912</v>
      </c>
      <c r="C357" t="s">
        <v>1041</v>
      </c>
      <c r="D357" s="16">
        <v>1126.71</v>
      </c>
      <c r="F357">
        <v>0</v>
      </c>
    </row>
    <row r="358" spans="1:6" x14ac:dyDescent="0.25">
      <c r="A358" t="s">
        <v>65</v>
      </c>
      <c r="B358" t="s">
        <v>912</v>
      </c>
      <c r="C358" t="s">
        <v>1041</v>
      </c>
      <c r="D358" s="16">
        <v>1199</v>
      </c>
      <c r="F358">
        <v>0</v>
      </c>
    </row>
    <row r="359" spans="1:6" x14ac:dyDescent="0.25">
      <c r="A359" t="s">
        <v>65</v>
      </c>
      <c r="B359" t="s">
        <v>912</v>
      </c>
      <c r="C359" t="s">
        <v>1041</v>
      </c>
      <c r="D359" s="16">
        <v>1499</v>
      </c>
      <c r="F359">
        <v>0</v>
      </c>
    </row>
    <row r="360" spans="1:6" x14ac:dyDescent="0.25">
      <c r="A360" t="s">
        <v>65</v>
      </c>
      <c r="B360" t="s">
        <v>912</v>
      </c>
      <c r="C360" t="s">
        <v>1041</v>
      </c>
      <c r="D360" s="16">
        <v>1624</v>
      </c>
      <c r="F360">
        <v>0</v>
      </c>
    </row>
    <row r="361" spans="1:6" x14ac:dyDescent="0.25">
      <c r="A361" t="s">
        <v>65</v>
      </c>
      <c r="B361" t="s">
        <v>912</v>
      </c>
      <c r="C361" t="s">
        <v>1041</v>
      </c>
      <c r="D361" s="16">
        <v>1639</v>
      </c>
      <c r="F361">
        <v>0</v>
      </c>
    </row>
    <row r="362" spans="1:6" x14ac:dyDescent="0.25">
      <c r="A362" t="s">
        <v>65</v>
      </c>
      <c r="B362" t="s">
        <v>912</v>
      </c>
      <c r="C362" t="s">
        <v>1041</v>
      </c>
      <c r="D362" s="16">
        <v>1670</v>
      </c>
      <c r="F362">
        <v>0</v>
      </c>
    </row>
    <row r="363" spans="1:6" x14ac:dyDescent="0.25">
      <c r="A363" t="s">
        <v>65</v>
      </c>
      <c r="B363" t="s">
        <v>912</v>
      </c>
      <c r="C363" t="s">
        <v>1081</v>
      </c>
      <c r="D363" s="16">
        <v>569</v>
      </c>
      <c r="F363">
        <v>0</v>
      </c>
    </row>
    <row r="364" spans="1:6" x14ac:dyDescent="0.25">
      <c r="A364" t="s">
        <v>65</v>
      </c>
      <c r="B364" t="s">
        <v>912</v>
      </c>
      <c r="C364" t="s">
        <v>1081</v>
      </c>
      <c r="D364" s="16">
        <v>684.99</v>
      </c>
      <c r="F364">
        <v>0</v>
      </c>
    </row>
    <row r="365" spans="1:6" x14ac:dyDescent="0.25">
      <c r="A365" t="s">
        <v>65</v>
      </c>
      <c r="B365" t="s">
        <v>912</v>
      </c>
      <c r="C365" t="s">
        <v>1081</v>
      </c>
      <c r="D365" s="16">
        <v>789.81</v>
      </c>
      <c r="F365">
        <v>0</v>
      </c>
    </row>
    <row r="366" spans="1:6" x14ac:dyDescent="0.25">
      <c r="A366" t="s">
        <v>65</v>
      </c>
      <c r="B366" t="s">
        <v>912</v>
      </c>
      <c r="C366" t="s">
        <v>1084</v>
      </c>
      <c r="D366" s="16">
        <v>565</v>
      </c>
      <c r="F366">
        <v>0</v>
      </c>
    </row>
    <row r="367" spans="1:6" x14ac:dyDescent="0.25">
      <c r="A367" t="s">
        <v>65</v>
      </c>
      <c r="B367" t="s">
        <v>912</v>
      </c>
      <c r="C367" t="s">
        <v>1084</v>
      </c>
      <c r="D367" s="16">
        <v>585</v>
      </c>
      <c r="F367">
        <v>0</v>
      </c>
    </row>
    <row r="368" spans="1:6" x14ac:dyDescent="0.25">
      <c r="A368" t="s">
        <v>65</v>
      </c>
      <c r="B368" t="s">
        <v>912</v>
      </c>
      <c r="C368" t="s">
        <v>1084</v>
      </c>
      <c r="D368" s="16">
        <v>598.9</v>
      </c>
      <c r="F368">
        <v>0</v>
      </c>
    </row>
    <row r="369" spans="1:6" x14ac:dyDescent="0.25">
      <c r="A369" t="s">
        <v>65</v>
      </c>
      <c r="B369" t="s">
        <v>912</v>
      </c>
      <c r="C369" t="s">
        <v>1084</v>
      </c>
      <c r="D369" s="16">
        <v>599</v>
      </c>
      <c r="F369">
        <v>0</v>
      </c>
    </row>
    <row r="370" spans="1:6" x14ac:dyDescent="0.25">
      <c r="A370" t="s">
        <v>65</v>
      </c>
      <c r="B370" t="s">
        <v>912</v>
      </c>
      <c r="C370" t="s">
        <v>1084</v>
      </c>
      <c r="D370" s="16">
        <v>639</v>
      </c>
      <c r="F370">
        <v>0</v>
      </c>
    </row>
    <row r="371" spans="1:6" x14ac:dyDescent="0.25">
      <c r="A371" t="s">
        <v>65</v>
      </c>
      <c r="B371" t="s">
        <v>912</v>
      </c>
      <c r="C371" t="s">
        <v>1091</v>
      </c>
      <c r="D371" s="16">
        <v>589.52</v>
      </c>
      <c r="F371">
        <v>0</v>
      </c>
    </row>
    <row r="372" spans="1:6" x14ac:dyDescent="0.25">
      <c r="A372" t="s">
        <v>65</v>
      </c>
      <c r="B372" t="s">
        <v>912</v>
      </c>
      <c r="C372" t="s">
        <v>1091</v>
      </c>
      <c r="D372" s="16">
        <v>638.79999999999995</v>
      </c>
      <c r="F372">
        <v>0</v>
      </c>
    </row>
    <row r="373" spans="1:6" x14ac:dyDescent="0.25">
      <c r="A373" t="s">
        <v>65</v>
      </c>
      <c r="B373" t="s">
        <v>912</v>
      </c>
      <c r="C373" t="s">
        <v>1091</v>
      </c>
      <c r="D373" s="16">
        <v>638.99</v>
      </c>
      <c r="F373">
        <v>0</v>
      </c>
    </row>
    <row r="374" spans="1:6" x14ac:dyDescent="0.25">
      <c r="A374" t="s">
        <v>65</v>
      </c>
      <c r="B374" t="s">
        <v>912</v>
      </c>
      <c r="C374" t="s">
        <v>1091</v>
      </c>
      <c r="D374" s="16">
        <v>784</v>
      </c>
      <c r="F374">
        <v>0</v>
      </c>
    </row>
    <row r="375" spans="1:6" x14ac:dyDescent="0.25">
      <c r="A375" t="s">
        <v>65</v>
      </c>
      <c r="B375" t="s">
        <v>912</v>
      </c>
      <c r="C375" t="s">
        <v>1091</v>
      </c>
      <c r="D375" s="16">
        <v>889</v>
      </c>
      <c r="F375">
        <v>0</v>
      </c>
    </row>
    <row r="376" spans="1:6" x14ac:dyDescent="0.25">
      <c r="A376" t="s">
        <v>65</v>
      </c>
      <c r="B376" t="s">
        <v>913</v>
      </c>
      <c r="C376" t="s">
        <v>1002</v>
      </c>
      <c r="D376" s="16">
        <v>819</v>
      </c>
      <c r="F376">
        <v>0</v>
      </c>
    </row>
    <row r="377" spans="1:6" x14ac:dyDescent="0.25">
      <c r="A377" t="s">
        <v>65</v>
      </c>
      <c r="B377" t="s">
        <v>913</v>
      </c>
      <c r="C377" t="s">
        <v>1002</v>
      </c>
      <c r="D377" s="16">
        <v>879</v>
      </c>
      <c r="F377">
        <v>0</v>
      </c>
    </row>
    <row r="378" spans="1:6" x14ac:dyDescent="0.25">
      <c r="A378" t="s">
        <v>65</v>
      </c>
      <c r="B378" t="s">
        <v>913</v>
      </c>
      <c r="C378" t="s">
        <v>1002</v>
      </c>
      <c r="D378" s="16">
        <v>949</v>
      </c>
      <c r="F378">
        <v>0</v>
      </c>
    </row>
    <row r="379" spans="1:6" x14ac:dyDescent="0.25">
      <c r="A379" t="s">
        <v>65</v>
      </c>
      <c r="B379" t="s">
        <v>913</v>
      </c>
      <c r="C379" t="s">
        <v>1002</v>
      </c>
      <c r="D379" s="16">
        <v>985</v>
      </c>
      <c r="F379">
        <v>0</v>
      </c>
    </row>
    <row r="380" spans="1:6" x14ac:dyDescent="0.25">
      <c r="A380" t="s">
        <v>65</v>
      </c>
      <c r="B380" t="s">
        <v>913</v>
      </c>
      <c r="C380" t="s">
        <v>1002</v>
      </c>
      <c r="D380" s="16">
        <v>999</v>
      </c>
      <c r="F380">
        <v>0</v>
      </c>
    </row>
    <row r="381" spans="1:6" x14ac:dyDescent="0.25">
      <c r="A381" t="s">
        <v>65</v>
      </c>
      <c r="B381" t="s">
        <v>913</v>
      </c>
      <c r="C381" t="s">
        <v>1002</v>
      </c>
      <c r="D381" s="16">
        <v>1749</v>
      </c>
      <c r="F381">
        <v>0</v>
      </c>
    </row>
    <row r="382" spans="1:6" x14ac:dyDescent="0.25">
      <c r="A382" t="s">
        <v>65</v>
      </c>
      <c r="B382" t="s">
        <v>913</v>
      </c>
      <c r="C382" t="s">
        <v>1006</v>
      </c>
      <c r="D382" s="16">
        <v>1195</v>
      </c>
      <c r="F382">
        <v>0</v>
      </c>
    </row>
    <row r="383" spans="1:6" x14ac:dyDescent="0.25">
      <c r="A383" t="s">
        <v>65</v>
      </c>
      <c r="B383" t="s">
        <v>913</v>
      </c>
      <c r="C383" t="s">
        <v>1006</v>
      </c>
      <c r="D383" s="16">
        <v>2051</v>
      </c>
      <c r="F383">
        <v>0</v>
      </c>
    </row>
    <row r="384" spans="1:6" x14ac:dyDescent="0.25">
      <c r="A384" t="s">
        <v>65</v>
      </c>
      <c r="B384" t="s">
        <v>947</v>
      </c>
      <c r="C384" t="s">
        <v>1041</v>
      </c>
      <c r="D384" s="16">
        <v>869</v>
      </c>
      <c r="F384">
        <v>0</v>
      </c>
    </row>
    <row r="385" spans="1:6" x14ac:dyDescent="0.25">
      <c r="A385" t="s">
        <v>65</v>
      </c>
      <c r="B385" t="s">
        <v>947</v>
      </c>
      <c r="C385" t="s">
        <v>1041</v>
      </c>
      <c r="D385" s="16">
        <v>935</v>
      </c>
      <c r="F385">
        <v>0</v>
      </c>
    </row>
    <row r="386" spans="1:6" x14ac:dyDescent="0.25">
      <c r="A386" t="s">
        <v>65</v>
      </c>
      <c r="B386" t="s">
        <v>947</v>
      </c>
      <c r="C386" t="s">
        <v>1041</v>
      </c>
      <c r="D386" s="16">
        <v>959</v>
      </c>
      <c r="F386">
        <v>0</v>
      </c>
    </row>
    <row r="387" spans="1:6" x14ac:dyDescent="0.25">
      <c r="A387" t="s">
        <v>65</v>
      </c>
      <c r="B387" t="s">
        <v>947</v>
      </c>
      <c r="C387" t="s">
        <v>1041</v>
      </c>
      <c r="D387" s="16">
        <v>1008.52</v>
      </c>
      <c r="F387">
        <v>0</v>
      </c>
    </row>
    <row r="388" spans="1:6" x14ac:dyDescent="0.25">
      <c r="A388" t="s">
        <v>65</v>
      </c>
      <c r="B388" t="s">
        <v>947</v>
      </c>
      <c r="C388" t="s">
        <v>1041</v>
      </c>
      <c r="D388" s="16">
        <v>1179</v>
      </c>
      <c r="F388">
        <v>0</v>
      </c>
    </row>
    <row r="389" spans="1:6" x14ac:dyDescent="0.25">
      <c r="A389" t="s">
        <v>65</v>
      </c>
      <c r="B389" t="s">
        <v>947</v>
      </c>
      <c r="C389" t="s">
        <v>1041</v>
      </c>
      <c r="D389" s="16">
        <v>1279.73</v>
      </c>
      <c r="F389">
        <v>0</v>
      </c>
    </row>
    <row r="390" spans="1:6" x14ac:dyDescent="0.25">
      <c r="A390" t="s">
        <v>65</v>
      </c>
      <c r="B390" t="s">
        <v>947</v>
      </c>
      <c r="C390" t="s">
        <v>1041</v>
      </c>
      <c r="D390" s="16">
        <v>1426.66</v>
      </c>
      <c r="F390">
        <v>0</v>
      </c>
    </row>
    <row r="391" spans="1:6" x14ac:dyDescent="0.25">
      <c r="A391" t="s">
        <v>65</v>
      </c>
      <c r="B391" t="s">
        <v>947</v>
      </c>
      <c r="C391" t="s">
        <v>1041</v>
      </c>
      <c r="D391" s="16">
        <v>1427</v>
      </c>
      <c r="F391">
        <v>0</v>
      </c>
    </row>
    <row r="392" spans="1:6" x14ac:dyDescent="0.25">
      <c r="A392" t="s">
        <v>65</v>
      </c>
      <c r="B392" t="s">
        <v>948</v>
      </c>
      <c r="C392" t="s">
        <v>997</v>
      </c>
      <c r="D392" s="16">
        <v>1089</v>
      </c>
      <c r="F392">
        <v>0</v>
      </c>
    </row>
    <row r="393" spans="1:6" x14ac:dyDescent="0.25">
      <c r="A393" t="s">
        <v>65</v>
      </c>
      <c r="B393" t="s">
        <v>948</v>
      </c>
      <c r="C393" t="s">
        <v>997</v>
      </c>
      <c r="D393" s="16">
        <v>1179</v>
      </c>
      <c r="F393">
        <v>0</v>
      </c>
    </row>
    <row r="394" spans="1:6" x14ac:dyDescent="0.25">
      <c r="A394" t="s">
        <v>65</v>
      </c>
      <c r="B394" t="s">
        <v>948</v>
      </c>
      <c r="C394" t="s">
        <v>1041</v>
      </c>
      <c r="D394" s="16">
        <v>1205</v>
      </c>
      <c r="F394">
        <v>0</v>
      </c>
    </row>
    <row r="395" spans="1:6" x14ac:dyDescent="0.25">
      <c r="A395" t="s">
        <v>65</v>
      </c>
      <c r="B395" t="s">
        <v>948</v>
      </c>
      <c r="C395" t="s">
        <v>1041</v>
      </c>
      <c r="D395" s="16">
        <v>1377</v>
      </c>
      <c r="F395">
        <v>0</v>
      </c>
    </row>
    <row r="396" spans="1:6" x14ac:dyDescent="0.25">
      <c r="A396" t="s">
        <v>65</v>
      </c>
      <c r="B396" t="s">
        <v>914</v>
      </c>
      <c r="C396" t="s">
        <v>1040</v>
      </c>
      <c r="D396" s="16">
        <v>1813</v>
      </c>
      <c r="F396">
        <v>0</v>
      </c>
    </row>
    <row r="397" spans="1:6" x14ac:dyDescent="0.25">
      <c r="A397" t="s">
        <v>65</v>
      </c>
      <c r="B397" t="s">
        <v>914</v>
      </c>
      <c r="C397" t="s">
        <v>1040</v>
      </c>
      <c r="D397" s="16">
        <v>1899</v>
      </c>
      <c r="F397">
        <v>0</v>
      </c>
    </row>
    <row r="398" spans="1:6" x14ac:dyDescent="0.25">
      <c r="A398" t="s">
        <v>65</v>
      </c>
      <c r="B398" t="s">
        <v>915</v>
      </c>
      <c r="C398" t="s">
        <v>992</v>
      </c>
      <c r="D398" s="16">
        <v>999</v>
      </c>
      <c r="F398">
        <v>0</v>
      </c>
    </row>
    <row r="399" spans="1:6" x14ac:dyDescent="0.25">
      <c r="A399" t="s">
        <v>65</v>
      </c>
      <c r="B399" t="s">
        <v>915</v>
      </c>
      <c r="C399" t="s">
        <v>999</v>
      </c>
      <c r="D399" s="16">
        <v>1049</v>
      </c>
      <c r="F399">
        <v>0</v>
      </c>
    </row>
    <row r="400" spans="1:6" x14ac:dyDescent="0.25">
      <c r="A400" t="s">
        <v>65</v>
      </c>
      <c r="B400" t="s">
        <v>915</v>
      </c>
      <c r="C400" t="s">
        <v>999</v>
      </c>
      <c r="D400" s="16">
        <v>1142.75</v>
      </c>
      <c r="F400">
        <v>0</v>
      </c>
    </row>
    <row r="401" spans="1:6" x14ac:dyDescent="0.25">
      <c r="A401" t="s">
        <v>65</v>
      </c>
      <c r="B401" t="s">
        <v>915</v>
      </c>
      <c r="C401" t="s">
        <v>1063</v>
      </c>
      <c r="D401" s="16">
        <v>647</v>
      </c>
      <c r="F401">
        <v>0</v>
      </c>
    </row>
    <row r="402" spans="1:6" x14ac:dyDescent="0.25">
      <c r="A402" t="s">
        <v>65</v>
      </c>
      <c r="B402" t="s">
        <v>915</v>
      </c>
      <c r="C402" t="s">
        <v>1063</v>
      </c>
      <c r="D402" s="16">
        <v>675</v>
      </c>
      <c r="F402">
        <v>0</v>
      </c>
    </row>
    <row r="403" spans="1:6" x14ac:dyDescent="0.25">
      <c r="A403" t="s">
        <v>65</v>
      </c>
      <c r="B403" t="s">
        <v>915</v>
      </c>
      <c r="C403" t="s">
        <v>1063</v>
      </c>
      <c r="D403" s="16">
        <v>677.35</v>
      </c>
      <c r="F403">
        <v>0</v>
      </c>
    </row>
    <row r="404" spans="1:6" x14ac:dyDescent="0.25">
      <c r="A404" t="s">
        <v>65</v>
      </c>
      <c r="B404" t="s">
        <v>915</v>
      </c>
      <c r="C404" t="s">
        <v>1063</v>
      </c>
      <c r="D404" s="16">
        <v>728</v>
      </c>
      <c r="F404">
        <v>0</v>
      </c>
    </row>
    <row r="405" spans="1:6" x14ac:dyDescent="0.25">
      <c r="A405" t="s">
        <v>65</v>
      </c>
      <c r="B405" t="s">
        <v>915</v>
      </c>
      <c r="C405" t="s">
        <v>1065</v>
      </c>
      <c r="D405" s="16">
        <v>663</v>
      </c>
      <c r="F405">
        <v>0</v>
      </c>
    </row>
    <row r="406" spans="1:6" x14ac:dyDescent="0.25">
      <c r="A406" t="s">
        <v>65</v>
      </c>
      <c r="B406" t="s">
        <v>915</v>
      </c>
      <c r="C406" t="s">
        <v>1065</v>
      </c>
      <c r="D406" s="16">
        <v>719</v>
      </c>
      <c r="F406">
        <v>0</v>
      </c>
    </row>
    <row r="407" spans="1:6" x14ac:dyDescent="0.25">
      <c r="A407" t="s">
        <v>65</v>
      </c>
      <c r="B407" t="s">
        <v>915</v>
      </c>
      <c r="C407" t="s">
        <v>1065</v>
      </c>
      <c r="D407" s="16">
        <v>749</v>
      </c>
      <c r="F407">
        <v>0</v>
      </c>
    </row>
    <row r="408" spans="1:6" x14ac:dyDescent="0.25">
      <c r="A408" t="s">
        <v>65</v>
      </c>
      <c r="B408" t="s">
        <v>915</v>
      </c>
      <c r="C408" t="s">
        <v>1065</v>
      </c>
      <c r="D408" s="16">
        <v>759</v>
      </c>
      <c r="F408">
        <v>0</v>
      </c>
    </row>
    <row r="409" spans="1:6" x14ac:dyDescent="0.25">
      <c r="A409" t="s">
        <v>65</v>
      </c>
      <c r="B409" t="s">
        <v>915</v>
      </c>
      <c r="C409" t="s">
        <v>1065</v>
      </c>
      <c r="D409" s="16">
        <v>776</v>
      </c>
      <c r="F409">
        <v>0</v>
      </c>
    </row>
    <row r="410" spans="1:6" x14ac:dyDescent="0.25">
      <c r="A410" t="s">
        <v>65</v>
      </c>
      <c r="B410" t="s">
        <v>915</v>
      </c>
      <c r="C410" t="s">
        <v>1065</v>
      </c>
      <c r="D410" s="16">
        <v>797.41</v>
      </c>
      <c r="F410">
        <v>0</v>
      </c>
    </row>
    <row r="411" spans="1:6" x14ac:dyDescent="0.25">
      <c r="A411" t="s">
        <v>65</v>
      </c>
      <c r="B411" t="s">
        <v>915</v>
      </c>
      <c r="C411" t="s">
        <v>1065</v>
      </c>
      <c r="D411" s="16">
        <v>800</v>
      </c>
      <c r="F411">
        <v>0</v>
      </c>
    </row>
    <row r="412" spans="1:6" x14ac:dyDescent="0.25">
      <c r="A412" t="s">
        <v>65</v>
      </c>
      <c r="B412" t="s">
        <v>915</v>
      </c>
      <c r="C412" t="s">
        <v>1065</v>
      </c>
      <c r="D412" s="16">
        <v>818.35</v>
      </c>
      <c r="F412">
        <v>0</v>
      </c>
    </row>
    <row r="413" spans="1:6" x14ac:dyDescent="0.25">
      <c r="A413" t="s">
        <v>65</v>
      </c>
      <c r="B413" t="s">
        <v>915</v>
      </c>
      <c r="C413" t="s">
        <v>1065</v>
      </c>
      <c r="D413" s="16">
        <v>844</v>
      </c>
      <c r="F413">
        <v>0</v>
      </c>
    </row>
    <row r="414" spans="1:6" x14ac:dyDescent="0.25">
      <c r="A414" t="s">
        <v>65</v>
      </c>
      <c r="B414" t="s">
        <v>915</v>
      </c>
      <c r="C414" t="s">
        <v>1065</v>
      </c>
      <c r="D414" s="16">
        <v>889</v>
      </c>
      <c r="F414">
        <v>0</v>
      </c>
    </row>
    <row r="415" spans="1:6" x14ac:dyDescent="0.25">
      <c r="A415" t="s">
        <v>65</v>
      </c>
      <c r="B415" t="s">
        <v>915</v>
      </c>
      <c r="C415" t="s">
        <v>1065</v>
      </c>
      <c r="D415" s="16">
        <v>979</v>
      </c>
      <c r="F415">
        <v>0</v>
      </c>
    </row>
    <row r="416" spans="1:6" x14ac:dyDescent="0.25">
      <c r="A416" t="s">
        <v>65</v>
      </c>
      <c r="B416" t="s">
        <v>915</v>
      </c>
      <c r="C416" t="s">
        <v>1065</v>
      </c>
      <c r="D416" s="16">
        <v>1085</v>
      </c>
      <c r="F416">
        <v>0</v>
      </c>
    </row>
    <row r="417" spans="1:6" x14ac:dyDescent="0.25">
      <c r="A417" t="s">
        <v>65</v>
      </c>
      <c r="B417" t="s">
        <v>915</v>
      </c>
      <c r="C417" t="s">
        <v>1100</v>
      </c>
      <c r="D417" s="16">
        <v>659</v>
      </c>
      <c r="F417">
        <v>0</v>
      </c>
    </row>
    <row r="418" spans="1:6" x14ac:dyDescent="0.25">
      <c r="A418" t="s">
        <v>65</v>
      </c>
      <c r="B418" t="s">
        <v>915</v>
      </c>
      <c r="C418" t="s">
        <v>1100</v>
      </c>
      <c r="D418" s="16">
        <v>799</v>
      </c>
      <c r="F418">
        <v>0</v>
      </c>
    </row>
    <row r="419" spans="1:6" x14ac:dyDescent="0.25">
      <c r="A419" t="s">
        <v>65</v>
      </c>
      <c r="B419" t="s">
        <v>915</v>
      </c>
      <c r="C419" t="s">
        <v>1100</v>
      </c>
      <c r="D419" s="16">
        <v>819</v>
      </c>
      <c r="F419">
        <v>0</v>
      </c>
    </row>
    <row r="420" spans="1:6" x14ac:dyDescent="0.25">
      <c r="A420" t="s">
        <v>65</v>
      </c>
      <c r="B420" t="s">
        <v>915</v>
      </c>
      <c r="C420" t="s">
        <v>1100</v>
      </c>
      <c r="D420" s="16">
        <v>879</v>
      </c>
      <c r="F420">
        <v>0</v>
      </c>
    </row>
    <row r="421" spans="1:6" x14ac:dyDescent="0.25">
      <c r="A421" t="s">
        <v>65</v>
      </c>
      <c r="B421" t="s">
        <v>915</v>
      </c>
      <c r="C421" t="s">
        <v>1100</v>
      </c>
      <c r="D421" s="16">
        <v>949</v>
      </c>
      <c r="F421">
        <v>0</v>
      </c>
    </row>
    <row r="422" spans="1:6" x14ac:dyDescent="0.25">
      <c r="A422" t="s">
        <v>65</v>
      </c>
      <c r="B422" t="s">
        <v>915</v>
      </c>
      <c r="C422" t="s">
        <v>1100</v>
      </c>
      <c r="D422" s="16">
        <v>979</v>
      </c>
      <c r="F422">
        <v>0</v>
      </c>
    </row>
    <row r="423" spans="1:6" x14ac:dyDescent="0.25">
      <c r="A423" t="s">
        <v>65</v>
      </c>
      <c r="B423" t="s">
        <v>915</v>
      </c>
      <c r="C423" t="s">
        <v>1100</v>
      </c>
      <c r="D423" s="16">
        <v>1096.1600000000001</v>
      </c>
      <c r="F423">
        <v>0</v>
      </c>
    </row>
    <row r="424" spans="1:6" x14ac:dyDescent="0.25">
      <c r="A424" t="s">
        <v>65</v>
      </c>
      <c r="B424" t="s">
        <v>915</v>
      </c>
      <c r="C424" t="s">
        <v>1100</v>
      </c>
      <c r="D424" s="16">
        <v>1149</v>
      </c>
      <c r="F424">
        <v>0</v>
      </c>
    </row>
    <row r="425" spans="1:6" x14ac:dyDescent="0.25">
      <c r="A425" t="s">
        <v>65</v>
      </c>
      <c r="B425" t="s">
        <v>915</v>
      </c>
      <c r="C425" t="s">
        <v>1100</v>
      </c>
      <c r="D425" s="16">
        <v>1399</v>
      </c>
      <c r="F425">
        <v>0</v>
      </c>
    </row>
    <row r="426" spans="1:6" x14ac:dyDescent="0.25">
      <c r="A426" t="s">
        <v>65</v>
      </c>
      <c r="B426" t="s">
        <v>915</v>
      </c>
      <c r="C426" t="s">
        <v>1100</v>
      </c>
      <c r="D426" s="16">
        <v>1449.9</v>
      </c>
      <c r="F426">
        <v>0</v>
      </c>
    </row>
    <row r="427" spans="1:6" x14ac:dyDescent="0.25">
      <c r="A427" t="s">
        <v>65</v>
      </c>
      <c r="B427" t="s">
        <v>915</v>
      </c>
      <c r="C427" t="s">
        <v>1100</v>
      </c>
      <c r="D427" s="16">
        <v>1599</v>
      </c>
      <c r="F427">
        <v>0</v>
      </c>
    </row>
    <row r="428" spans="1:6" x14ac:dyDescent="0.25">
      <c r="A428" t="s">
        <v>65</v>
      </c>
      <c r="B428" t="s">
        <v>915</v>
      </c>
      <c r="C428" t="s">
        <v>1100</v>
      </c>
      <c r="D428" s="16">
        <v>1629</v>
      </c>
      <c r="F428">
        <v>0</v>
      </c>
    </row>
    <row r="429" spans="1:6" x14ac:dyDescent="0.25">
      <c r="A429" t="s">
        <v>65</v>
      </c>
      <c r="B429" t="s">
        <v>915</v>
      </c>
      <c r="C429" t="s">
        <v>1100</v>
      </c>
      <c r="D429" s="16">
        <v>1841.85</v>
      </c>
      <c r="F429">
        <v>0</v>
      </c>
    </row>
    <row r="430" spans="1:6" x14ac:dyDescent="0.25">
      <c r="A430" t="s">
        <v>65</v>
      </c>
      <c r="B430" t="s">
        <v>915</v>
      </c>
      <c r="C430" t="s">
        <v>1100</v>
      </c>
      <c r="D430" s="16">
        <v>1869</v>
      </c>
      <c r="F430">
        <v>0</v>
      </c>
    </row>
    <row r="431" spans="1:6" x14ac:dyDescent="0.25">
      <c r="A431" t="s">
        <v>65</v>
      </c>
      <c r="B431" t="s">
        <v>916</v>
      </c>
      <c r="C431" t="s">
        <v>1035</v>
      </c>
      <c r="D431" s="16">
        <v>798.01</v>
      </c>
      <c r="F431">
        <v>0</v>
      </c>
    </row>
    <row r="432" spans="1:6" x14ac:dyDescent="0.25">
      <c r="A432" t="s">
        <v>65</v>
      </c>
      <c r="B432" t="s">
        <v>916</v>
      </c>
      <c r="C432" t="s">
        <v>1035</v>
      </c>
      <c r="D432" s="16">
        <v>1268</v>
      </c>
      <c r="F432">
        <v>0</v>
      </c>
    </row>
    <row r="433" spans="1:6" x14ac:dyDescent="0.25">
      <c r="A433" t="s">
        <v>65</v>
      </c>
      <c r="B433" t="s">
        <v>949</v>
      </c>
      <c r="C433" t="s">
        <v>1035</v>
      </c>
      <c r="D433" s="16">
        <v>1962.98</v>
      </c>
      <c r="F433">
        <v>0</v>
      </c>
    </row>
    <row r="434" spans="1:6" x14ac:dyDescent="0.25">
      <c r="A434" t="s">
        <v>65</v>
      </c>
      <c r="B434" t="s">
        <v>917</v>
      </c>
      <c r="C434" t="s">
        <v>1007</v>
      </c>
      <c r="D434" s="16">
        <v>2800</v>
      </c>
      <c r="F434">
        <v>0</v>
      </c>
    </row>
    <row r="435" spans="1:6" x14ac:dyDescent="0.25">
      <c r="A435" t="s">
        <v>65</v>
      </c>
      <c r="B435" t="s">
        <v>917</v>
      </c>
      <c r="C435" t="s">
        <v>1015</v>
      </c>
      <c r="D435" s="16">
        <v>879.01</v>
      </c>
      <c r="F435">
        <v>0</v>
      </c>
    </row>
    <row r="436" spans="1:6" x14ac:dyDescent="0.25">
      <c r="A436" t="s">
        <v>65</v>
      </c>
      <c r="B436" t="s">
        <v>917</v>
      </c>
      <c r="C436" t="s">
        <v>1016</v>
      </c>
      <c r="D436" s="16">
        <v>1099</v>
      </c>
      <c r="F436">
        <v>0</v>
      </c>
    </row>
    <row r="437" spans="1:6" x14ac:dyDescent="0.25">
      <c r="A437" t="s">
        <v>65</v>
      </c>
      <c r="B437" t="s">
        <v>917</v>
      </c>
      <c r="C437" t="s">
        <v>1018</v>
      </c>
      <c r="D437" s="16">
        <v>1329</v>
      </c>
      <c r="F437">
        <v>0</v>
      </c>
    </row>
    <row r="438" spans="1:6" x14ac:dyDescent="0.25">
      <c r="A438" t="s">
        <v>65</v>
      </c>
      <c r="B438" t="s">
        <v>931</v>
      </c>
      <c r="C438" t="s">
        <v>1009</v>
      </c>
      <c r="D438" s="16">
        <v>2758</v>
      </c>
      <c r="F438">
        <v>0</v>
      </c>
    </row>
    <row r="439" spans="1:6" x14ac:dyDescent="0.25">
      <c r="A439" t="s">
        <v>65</v>
      </c>
      <c r="B439" t="s">
        <v>950</v>
      </c>
      <c r="C439" t="s">
        <v>1051</v>
      </c>
      <c r="D439" s="16">
        <v>2135</v>
      </c>
      <c r="F439">
        <v>0</v>
      </c>
    </row>
    <row r="440" spans="1:6" x14ac:dyDescent="0.25">
      <c r="A440" t="s">
        <v>65</v>
      </c>
      <c r="B440" t="s">
        <v>950</v>
      </c>
      <c r="C440" t="s">
        <v>1058</v>
      </c>
      <c r="D440" s="16">
        <v>1975</v>
      </c>
      <c r="F440">
        <v>0</v>
      </c>
    </row>
    <row r="441" spans="1:6" x14ac:dyDescent="0.25">
      <c r="A441" t="s">
        <v>65</v>
      </c>
      <c r="B441" t="s">
        <v>950</v>
      </c>
      <c r="C441" t="s">
        <v>1058</v>
      </c>
      <c r="D441" s="16">
        <v>2338</v>
      </c>
      <c r="F441">
        <v>0</v>
      </c>
    </row>
    <row r="442" spans="1:6" x14ac:dyDescent="0.25">
      <c r="A442" t="s">
        <v>65</v>
      </c>
      <c r="B442" t="s">
        <v>918</v>
      </c>
      <c r="C442" t="s">
        <v>999</v>
      </c>
      <c r="D442" s="16">
        <v>1009.9</v>
      </c>
      <c r="F442">
        <v>0</v>
      </c>
    </row>
    <row r="443" spans="1:6" x14ac:dyDescent="0.25">
      <c r="A443" t="s">
        <v>65</v>
      </c>
      <c r="B443" t="s">
        <v>918</v>
      </c>
      <c r="C443" t="s">
        <v>999</v>
      </c>
      <c r="D443" s="16">
        <v>1207</v>
      </c>
      <c r="F443">
        <v>0</v>
      </c>
    </row>
    <row r="444" spans="1:6" x14ac:dyDescent="0.25">
      <c r="A444" t="s">
        <v>65</v>
      </c>
      <c r="B444" t="s">
        <v>918</v>
      </c>
      <c r="C444" t="s">
        <v>999</v>
      </c>
      <c r="D444" s="16">
        <v>1799</v>
      </c>
      <c r="F444">
        <v>0</v>
      </c>
    </row>
    <row r="445" spans="1:6" x14ac:dyDescent="0.25">
      <c r="A445" t="s">
        <v>65</v>
      </c>
      <c r="B445" t="s">
        <v>918</v>
      </c>
      <c r="C445" t="s">
        <v>1001</v>
      </c>
      <c r="D445" s="16">
        <v>895.01</v>
      </c>
      <c r="F445">
        <v>0</v>
      </c>
    </row>
    <row r="446" spans="1:6" x14ac:dyDescent="0.25">
      <c r="A446" t="s">
        <v>65</v>
      </c>
      <c r="B446" t="s">
        <v>918</v>
      </c>
      <c r="C446" t="s">
        <v>1001</v>
      </c>
      <c r="D446" s="16">
        <v>961</v>
      </c>
      <c r="F446">
        <v>0</v>
      </c>
    </row>
    <row r="447" spans="1:6" x14ac:dyDescent="0.25">
      <c r="A447" t="s">
        <v>65</v>
      </c>
      <c r="B447" t="s">
        <v>918</v>
      </c>
      <c r="C447" t="s">
        <v>1041</v>
      </c>
      <c r="D447" s="16">
        <v>713.07</v>
      </c>
      <c r="F447">
        <v>0</v>
      </c>
    </row>
    <row r="448" spans="1:6" x14ac:dyDescent="0.25">
      <c r="A448" t="s">
        <v>65</v>
      </c>
      <c r="B448" t="s">
        <v>918</v>
      </c>
      <c r="C448" t="s">
        <v>1041</v>
      </c>
      <c r="D448" s="16">
        <v>1179</v>
      </c>
      <c r="F448">
        <v>0</v>
      </c>
    </row>
    <row r="449" spans="1:6" x14ac:dyDescent="0.25">
      <c r="A449" t="s">
        <v>65</v>
      </c>
      <c r="B449" t="s">
        <v>918</v>
      </c>
      <c r="C449" t="s">
        <v>1041</v>
      </c>
      <c r="D449" s="16">
        <v>1299</v>
      </c>
      <c r="F449">
        <v>0</v>
      </c>
    </row>
    <row r="450" spans="1:6" x14ac:dyDescent="0.25">
      <c r="A450" t="s">
        <v>65</v>
      </c>
      <c r="B450" t="s">
        <v>918</v>
      </c>
      <c r="C450" t="s">
        <v>1041</v>
      </c>
      <c r="D450" s="16">
        <v>1458</v>
      </c>
      <c r="F450">
        <v>0</v>
      </c>
    </row>
    <row r="451" spans="1:6" x14ac:dyDescent="0.25">
      <c r="A451" t="s">
        <v>65</v>
      </c>
      <c r="B451" t="s">
        <v>918</v>
      </c>
      <c r="C451" t="s">
        <v>1041</v>
      </c>
      <c r="D451" s="16">
        <v>1477</v>
      </c>
      <c r="F451">
        <v>0</v>
      </c>
    </row>
    <row r="452" spans="1:6" x14ac:dyDescent="0.25">
      <c r="A452" t="s">
        <v>65</v>
      </c>
      <c r="B452" t="s">
        <v>918</v>
      </c>
      <c r="C452" t="s">
        <v>1041</v>
      </c>
      <c r="D452" s="16">
        <v>2254</v>
      </c>
      <c r="F452">
        <v>0</v>
      </c>
    </row>
    <row r="453" spans="1:6" x14ac:dyDescent="0.25">
      <c r="A453" t="s">
        <v>65</v>
      </c>
      <c r="B453" t="s">
        <v>918</v>
      </c>
      <c r="C453" t="s">
        <v>1041</v>
      </c>
      <c r="D453" s="16">
        <v>2680</v>
      </c>
      <c r="F453">
        <v>0</v>
      </c>
    </row>
    <row r="454" spans="1:6" x14ac:dyDescent="0.25">
      <c r="A454" t="s">
        <v>65</v>
      </c>
      <c r="B454" t="s">
        <v>918</v>
      </c>
      <c r="C454" t="s">
        <v>1081</v>
      </c>
      <c r="D454" s="16">
        <v>739</v>
      </c>
      <c r="F454">
        <v>0</v>
      </c>
    </row>
    <row r="455" spans="1:6" x14ac:dyDescent="0.25">
      <c r="A455" t="s">
        <v>65</v>
      </c>
      <c r="B455" t="s">
        <v>918</v>
      </c>
      <c r="C455" t="s">
        <v>1084</v>
      </c>
      <c r="D455" s="16">
        <v>599.9</v>
      </c>
      <c r="F455">
        <v>0</v>
      </c>
    </row>
    <row r="456" spans="1:6" x14ac:dyDescent="0.25">
      <c r="A456" t="s">
        <v>65</v>
      </c>
      <c r="B456" t="s">
        <v>918</v>
      </c>
      <c r="C456" t="s">
        <v>1084</v>
      </c>
      <c r="D456" s="16">
        <v>745</v>
      </c>
      <c r="F456">
        <v>0</v>
      </c>
    </row>
    <row r="457" spans="1:6" x14ac:dyDescent="0.25">
      <c r="A457" t="s">
        <v>65</v>
      </c>
      <c r="B457" t="s">
        <v>918</v>
      </c>
      <c r="C457" t="s">
        <v>1084</v>
      </c>
      <c r="D457" s="16">
        <v>749.01</v>
      </c>
      <c r="F457">
        <v>0</v>
      </c>
    </row>
    <row r="458" spans="1:6" x14ac:dyDescent="0.25">
      <c r="A458" t="s">
        <v>65</v>
      </c>
      <c r="B458" t="s">
        <v>918</v>
      </c>
      <c r="C458" t="s">
        <v>1084</v>
      </c>
      <c r="D458" s="16">
        <v>805.99</v>
      </c>
      <c r="F458">
        <v>0</v>
      </c>
    </row>
    <row r="459" spans="1:6" x14ac:dyDescent="0.25">
      <c r="A459" t="s">
        <v>65</v>
      </c>
      <c r="B459" t="s">
        <v>918</v>
      </c>
      <c r="C459" t="s">
        <v>1091</v>
      </c>
      <c r="D459" s="16">
        <v>749</v>
      </c>
      <c r="F459">
        <v>0</v>
      </c>
    </row>
    <row r="460" spans="1:6" x14ac:dyDescent="0.25">
      <c r="A460" t="s">
        <v>65</v>
      </c>
      <c r="B460" t="s">
        <v>918</v>
      </c>
      <c r="C460" t="s">
        <v>1091</v>
      </c>
      <c r="D460" s="16">
        <v>778.87</v>
      </c>
      <c r="F460">
        <v>0</v>
      </c>
    </row>
    <row r="461" spans="1:6" x14ac:dyDescent="0.25">
      <c r="A461" t="s">
        <v>65</v>
      </c>
      <c r="B461" t="s">
        <v>918</v>
      </c>
      <c r="C461" t="s">
        <v>1091</v>
      </c>
      <c r="D461" s="16">
        <v>859.01</v>
      </c>
      <c r="F461">
        <v>0</v>
      </c>
    </row>
    <row r="462" spans="1:6" x14ac:dyDescent="0.25">
      <c r="A462" t="s">
        <v>65</v>
      </c>
      <c r="B462" t="s">
        <v>918</v>
      </c>
      <c r="C462" t="s">
        <v>1091</v>
      </c>
      <c r="D462" s="16">
        <v>865</v>
      </c>
      <c r="F462">
        <v>0</v>
      </c>
    </row>
    <row r="463" spans="1:6" x14ac:dyDescent="0.25">
      <c r="A463" t="s">
        <v>65</v>
      </c>
      <c r="B463" t="s">
        <v>918</v>
      </c>
      <c r="C463" t="s">
        <v>1091</v>
      </c>
      <c r="D463" s="16">
        <v>899</v>
      </c>
      <c r="F463">
        <v>0</v>
      </c>
    </row>
    <row r="464" spans="1:6" x14ac:dyDescent="0.25">
      <c r="A464" t="s">
        <v>65</v>
      </c>
      <c r="B464" t="s">
        <v>918</v>
      </c>
      <c r="C464" t="s">
        <v>1091</v>
      </c>
      <c r="D464" s="16">
        <v>989.99</v>
      </c>
      <c r="F464">
        <v>0</v>
      </c>
    </row>
    <row r="465" spans="1:6" x14ac:dyDescent="0.25">
      <c r="A465" t="s">
        <v>65</v>
      </c>
      <c r="B465" t="s">
        <v>918</v>
      </c>
      <c r="C465" t="s">
        <v>1091</v>
      </c>
      <c r="D465" s="16">
        <v>1181.27</v>
      </c>
      <c r="F465">
        <v>0</v>
      </c>
    </row>
    <row r="466" spans="1:6" x14ac:dyDescent="0.25">
      <c r="A466" t="s">
        <v>65</v>
      </c>
      <c r="B466" t="s">
        <v>951</v>
      </c>
      <c r="C466" t="s">
        <v>1045</v>
      </c>
      <c r="D466" s="16">
        <v>1379</v>
      </c>
      <c r="F466">
        <v>0</v>
      </c>
    </row>
    <row r="467" spans="1:6" x14ac:dyDescent="0.25">
      <c r="A467" t="s">
        <v>65</v>
      </c>
      <c r="B467" t="s">
        <v>952</v>
      </c>
      <c r="C467" t="s">
        <v>997</v>
      </c>
      <c r="D467" s="16">
        <v>1369</v>
      </c>
      <c r="F467">
        <v>0</v>
      </c>
    </row>
    <row r="468" spans="1:6" x14ac:dyDescent="0.25">
      <c r="A468" t="s">
        <v>65</v>
      </c>
      <c r="B468" t="s">
        <v>952</v>
      </c>
      <c r="C468" t="s">
        <v>997</v>
      </c>
      <c r="D468" s="16">
        <v>1537.39</v>
      </c>
      <c r="F468">
        <v>0</v>
      </c>
    </row>
    <row r="469" spans="1:6" x14ac:dyDescent="0.25">
      <c r="A469" t="s">
        <v>65</v>
      </c>
      <c r="B469" t="s">
        <v>952</v>
      </c>
      <c r="C469" t="s">
        <v>1028</v>
      </c>
      <c r="D469" s="16">
        <v>1680</v>
      </c>
      <c r="F469">
        <v>0</v>
      </c>
    </row>
    <row r="470" spans="1:6" x14ac:dyDescent="0.25">
      <c r="A470" t="s">
        <v>65</v>
      </c>
      <c r="B470" t="s">
        <v>952</v>
      </c>
      <c r="C470" t="s">
        <v>1041</v>
      </c>
      <c r="D470" s="16">
        <v>1099</v>
      </c>
      <c r="F470">
        <v>0</v>
      </c>
    </row>
    <row r="471" spans="1:6" x14ac:dyDescent="0.25">
      <c r="A471" t="s">
        <v>65</v>
      </c>
      <c r="B471" t="s">
        <v>952</v>
      </c>
      <c r="C471" t="s">
        <v>1041</v>
      </c>
      <c r="D471" s="16">
        <v>1690</v>
      </c>
      <c r="F471">
        <v>0</v>
      </c>
    </row>
    <row r="472" spans="1:6" x14ac:dyDescent="0.25">
      <c r="A472" t="s">
        <v>65</v>
      </c>
      <c r="B472" t="s">
        <v>952</v>
      </c>
      <c r="C472" t="s">
        <v>1041</v>
      </c>
      <c r="D472" s="16">
        <v>1775</v>
      </c>
      <c r="F472">
        <v>0</v>
      </c>
    </row>
    <row r="473" spans="1:6" x14ac:dyDescent="0.25">
      <c r="A473" t="s">
        <v>65</v>
      </c>
      <c r="B473" t="s">
        <v>952</v>
      </c>
      <c r="C473" t="s">
        <v>1041</v>
      </c>
      <c r="D473" s="16">
        <v>1859</v>
      </c>
      <c r="F473">
        <v>0</v>
      </c>
    </row>
    <row r="474" spans="1:6" x14ac:dyDescent="0.25">
      <c r="A474" t="s">
        <v>65</v>
      </c>
      <c r="B474" t="s">
        <v>953</v>
      </c>
      <c r="C474" t="s">
        <v>1045</v>
      </c>
      <c r="D474" s="16">
        <v>2240</v>
      </c>
      <c r="F474">
        <v>0</v>
      </c>
    </row>
    <row r="475" spans="1:6" x14ac:dyDescent="0.25">
      <c r="A475" t="s">
        <v>65</v>
      </c>
      <c r="B475" t="s">
        <v>919</v>
      </c>
      <c r="C475" t="s">
        <v>1002</v>
      </c>
      <c r="D475" s="16">
        <v>899</v>
      </c>
      <c r="F475">
        <v>0</v>
      </c>
    </row>
    <row r="476" spans="1:6" x14ac:dyDescent="0.25">
      <c r="A476" t="s">
        <v>65</v>
      </c>
      <c r="B476" t="s">
        <v>919</v>
      </c>
      <c r="C476" t="s">
        <v>1002</v>
      </c>
      <c r="D476" s="16">
        <v>1060.49</v>
      </c>
      <c r="F476">
        <v>0</v>
      </c>
    </row>
    <row r="477" spans="1:6" x14ac:dyDescent="0.25">
      <c r="A477" t="s">
        <v>65</v>
      </c>
      <c r="B477" t="s">
        <v>919</v>
      </c>
      <c r="C477" t="s">
        <v>1002</v>
      </c>
      <c r="D477" s="16">
        <v>1099</v>
      </c>
      <c r="F477">
        <v>0</v>
      </c>
    </row>
    <row r="478" spans="1:6" x14ac:dyDescent="0.25">
      <c r="A478" t="s">
        <v>65</v>
      </c>
      <c r="B478" t="s">
        <v>919</v>
      </c>
      <c r="C478" t="s">
        <v>1002</v>
      </c>
      <c r="D478" s="16">
        <v>1249.26</v>
      </c>
      <c r="F478">
        <v>0</v>
      </c>
    </row>
    <row r="479" spans="1:6" x14ac:dyDescent="0.25">
      <c r="A479" t="s">
        <v>65</v>
      </c>
      <c r="B479" t="s">
        <v>919</v>
      </c>
      <c r="C479" t="s">
        <v>1002</v>
      </c>
      <c r="D479" s="16">
        <v>1820</v>
      </c>
      <c r="F479">
        <v>0</v>
      </c>
    </row>
    <row r="480" spans="1:6" x14ac:dyDescent="0.25">
      <c r="A480" t="s">
        <v>65</v>
      </c>
      <c r="B480" t="s">
        <v>919</v>
      </c>
      <c r="C480" t="s">
        <v>1002</v>
      </c>
      <c r="D480" s="16">
        <v>1829</v>
      </c>
      <c r="F480">
        <v>0</v>
      </c>
    </row>
    <row r="481" spans="1:6" x14ac:dyDescent="0.25">
      <c r="A481" t="s">
        <v>65</v>
      </c>
      <c r="B481" t="s">
        <v>919</v>
      </c>
      <c r="C481" t="s">
        <v>1002</v>
      </c>
      <c r="D481" s="16">
        <v>1899</v>
      </c>
      <c r="F481">
        <v>0</v>
      </c>
    </row>
    <row r="482" spans="1:6" x14ac:dyDescent="0.25">
      <c r="A482" t="s">
        <v>65</v>
      </c>
      <c r="B482" t="s">
        <v>919</v>
      </c>
      <c r="C482" t="s">
        <v>1002</v>
      </c>
      <c r="D482" s="16">
        <v>2027.42</v>
      </c>
      <c r="F482">
        <v>0</v>
      </c>
    </row>
    <row r="483" spans="1:6" x14ac:dyDescent="0.25">
      <c r="A483" t="s">
        <v>65</v>
      </c>
      <c r="B483" t="s">
        <v>919</v>
      </c>
      <c r="C483" t="s">
        <v>1002</v>
      </c>
      <c r="D483" s="16">
        <v>2397</v>
      </c>
      <c r="F483">
        <v>0</v>
      </c>
    </row>
    <row r="484" spans="1:6" x14ac:dyDescent="0.25">
      <c r="A484" t="s">
        <v>65</v>
      </c>
      <c r="B484" t="s">
        <v>919</v>
      </c>
      <c r="C484" t="s">
        <v>1002</v>
      </c>
      <c r="D484" s="16">
        <v>2399</v>
      </c>
      <c r="F484">
        <v>0</v>
      </c>
    </row>
    <row r="485" spans="1:6" x14ac:dyDescent="0.25">
      <c r="A485" t="s">
        <v>65</v>
      </c>
      <c r="B485" t="s">
        <v>919</v>
      </c>
      <c r="C485" t="s">
        <v>1002</v>
      </c>
      <c r="D485" s="16">
        <v>2639</v>
      </c>
      <c r="F485">
        <v>0</v>
      </c>
    </row>
    <row r="486" spans="1:6" x14ac:dyDescent="0.25">
      <c r="A486" t="s">
        <v>65</v>
      </c>
      <c r="B486" t="s">
        <v>919</v>
      </c>
      <c r="C486" t="s">
        <v>1003</v>
      </c>
      <c r="D486" s="16">
        <v>1159</v>
      </c>
      <c r="F486">
        <v>0</v>
      </c>
    </row>
    <row r="487" spans="1:6" x14ac:dyDescent="0.25">
      <c r="A487" t="s">
        <v>65</v>
      </c>
      <c r="B487" t="s">
        <v>919</v>
      </c>
      <c r="C487" t="s">
        <v>1003</v>
      </c>
      <c r="D487" s="16">
        <v>1349</v>
      </c>
      <c r="F487">
        <v>0</v>
      </c>
    </row>
    <row r="488" spans="1:6" x14ac:dyDescent="0.25">
      <c r="A488" t="s">
        <v>65</v>
      </c>
      <c r="B488" t="s">
        <v>919</v>
      </c>
      <c r="C488" t="s">
        <v>1003</v>
      </c>
      <c r="D488" s="16">
        <v>1479</v>
      </c>
      <c r="F488">
        <v>0</v>
      </c>
    </row>
    <row r="489" spans="1:6" x14ac:dyDescent="0.25">
      <c r="A489" t="s">
        <v>65</v>
      </c>
      <c r="B489" t="s">
        <v>919</v>
      </c>
      <c r="C489" t="s">
        <v>1003</v>
      </c>
      <c r="D489" s="16">
        <v>1498</v>
      </c>
      <c r="F489">
        <v>0</v>
      </c>
    </row>
    <row r="490" spans="1:6" x14ac:dyDescent="0.25">
      <c r="A490" t="s">
        <v>65</v>
      </c>
      <c r="B490" t="s">
        <v>919</v>
      </c>
      <c r="C490" t="s">
        <v>1003</v>
      </c>
      <c r="D490" s="16">
        <v>1679</v>
      </c>
      <c r="F490">
        <v>0</v>
      </c>
    </row>
    <row r="491" spans="1:6" x14ac:dyDescent="0.25">
      <c r="A491" t="s">
        <v>65</v>
      </c>
      <c r="B491" t="s">
        <v>919</v>
      </c>
      <c r="C491" t="s">
        <v>1005</v>
      </c>
      <c r="D491" s="16">
        <v>929</v>
      </c>
      <c r="F491">
        <v>0</v>
      </c>
    </row>
    <row r="492" spans="1:6" x14ac:dyDescent="0.25">
      <c r="A492" t="s">
        <v>65</v>
      </c>
      <c r="B492" t="s">
        <v>919</v>
      </c>
      <c r="C492" t="s">
        <v>1005</v>
      </c>
      <c r="D492" s="16">
        <v>1199</v>
      </c>
      <c r="F492">
        <v>0</v>
      </c>
    </row>
    <row r="493" spans="1:6" x14ac:dyDescent="0.25">
      <c r="A493" t="s">
        <v>65</v>
      </c>
      <c r="B493" t="s">
        <v>919</v>
      </c>
      <c r="C493" t="s">
        <v>1006</v>
      </c>
      <c r="D493" s="16">
        <v>1499</v>
      </c>
      <c r="F493">
        <v>0</v>
      </c>
    </row>
    <row r="494" spans="1:6" x14ac:dyDescent="0.25">
      <c r="A494" t="s">
        <v>65</v>
      </c>
      <c r="B494" t="s">
        <v>919</v>
      </c>
      <c r="C494" t="s">
        <v>1006</v>
      </c>
      <c r="D494" s="16">
        <v>1845</v>
      </c>
      <c r="F494">
        <v>0</v>
      </c>
    </row>
    <row r="495" spans="1:6" x14ac:dyDescent="0.25">
      <c r="A495" t="s">
        <v>65</v>
      </c>
      <c r="B495" t="s">
        <v>919</v>
      </c>
      <c r="C495" t="s">
        <v>1006</v>
      </c>
      <c r="D495" s="16">
        <v>2046</v>
      </c>
      <c r="F495">
        <v>0</v>
      </c>
    </row>
    <row r="496" spans="1:6" x14ac:dyDescent="0.25">
      <c r="A496" t="s">
        <v>65</v>
      </c>
      <c r="B496" t="s">
        <v>919</v>
      </c>
      <c r="C496" t="s">
        <v>1006</v>
      </c>
      <c r="D496" s="16">
        <v>2456.34</v>
      </c>
      <c r="F496">
        <v>0</v>
      </c>
    </row>
    <row r="497" spans="1:6" x14ac:dyDescent="0.25">
      <c r="A497" t="s">
        <v>65</v>
      </c>
      <c r="B497" t="s">
        <v>919</v>
      </c>
      <c r="C497" t="s">
        <v>1006</v>
      </c>
      <c r="D497" s="16">
        <v>2505.02</v>
      </c>
      <c r="F497">
        <v>0</v>
      </c>
    </row>
    <row r="498" spans="1:6" x14ac:dyDescent="0.25">
      <c r="A498" t="s">
        <v>65</v>
      </c>
      <c r="B498" t="s">
        <v>919</v>
      </c>
      <c r="C498" t="s">
        <v>1007</v>
      </c>
      <c r="D498" s="16">
        <v>2699</v>
      </c>
      <c r="F498">
        <v>0</v>
      </c>
    </row>
    <row r="499" spans="1:6" x14ac:dyDescent="0.25">
      <c r="A499" t="s">
        <v>65</v>
      </c>
      <c r="B499" t="s">
        <v>919</v>
      </c>
      <c r="C499" t="s">
        <v>1007</v>
      </c>
      <c r="D499" s="16">
        <v>2774.63</v>
      </c>
      <c r="F499">
        <v>0</v>
      </c>
    </row>
    <row r="500" spans="1:6" x14ac:dyDescent="0.25">
      <c r="A500" t="s">
        <v>65</v>
      </c>
      <c r="B500" t="s">
        <v>919</v>
      </c>
      <c r="C500" t="s">
        <v>1007</v>
      </c>
      <c r="D500" s="16">
        <v>2868.99</v>
      </c>
      <c r="F500">
        <v>0</v>
      </c>
    </row>
    <row r="501" spans="1:6" x14ac:dyDescent="0.25">
      <c r="A501" t="s">
        <v>65</v>
      </c>
      <c r="B501" t="s">
        <v>919</v>
      </c>
      <c r="C501" t="s">
        <v>1007</v>
      </c>
      <c r="D501" s="16">
        <v>3012.77</v>
      </c>
      <c r="F501">
        <v>0</v>
      </c>
    </row>
    <row r="502" spans="1:6" x14ac:dyDescent="0.25">
      <c r="A502" t="s">
        <v>65</v>
      </c>
      <c r="B502" t="s">
        <v>919</v>
      </c>
      <c r="C502" t="s">
        <v>1007</v>
      </c>
      <c r="D502" s="16">
        <v>3072.89</v>
      </c>
      <c r="F502">
        <v>0</v>
      </c>
    </row>
    <row r="503" spans="1:6" x14ac:dyDescent="0.25">
      <c r="A503" t="s">
        <v>65</v>
      </c>
      <c r="B503" t="s">
        <v>919</v>
      </c>
      <c r="C503" t="s">
        <v>1007</v>
      </c>
      <c r="D503" s="16">
        <v>3147.37</v>
      </c>
      <c r="F503">
        <v>0</v>
      </c>
    </row>
    <row r="504" spans="1:6" x14ac:dyDescent="0.25">
      <c r="A504" t="s">
        <v>65</v>
      </c>
      <c r="B504" t="s">
        <v>919</v>
      </c>
      <c r="C504" t="s">
        <v>1007</v>
      </c>
      <c r="D504" s="16">
        <v>3149</v>
      </c>
      <c r="F504">
        <v>0</v>
      </c>
    </row>
    <row r="505" spans="1:6" x14ac:dyDescent="0.25">
      <c r="A505" t="s">
        <v>65</v>
      </c>
      <c r="B505" t="s">
        <v>919</v>
      </c>
      <c r="C505" t="s">
        <v>1007</v>
      </c>
      <c r="D505" s="16">
        <v>3154</v>
      </c>
      <c r="F505">
        <v>0</v>
      </c>
    </row>
    <row r="506" spans="1:6" x14ac:dyDescent="0.25">
      <c r="A506" t="s">
        <v>65</v>
      </c>
      <c r="B506" t="s">
        <v>919</v>
      </c>
      <c r="C506" t="s">
        <v>1007</v>
      </c>
      <c r="D506" s="16">
        <v>3659.4</v>
      </c>
      <c r="F506">
        <v>0</v>
      </c>
    </row>
    <row r="507" spans="1:6" x14ac:dyDescent="0.25">
      <c r="A507" t="s">
        <v>65</v>
      </c>
      <c r="B507" t="s">
        <v>919</v>
      </c>
      <c r="C507" t="s">
        <v>1008</v>
      </c>
      <c r="D507" s="16">
        <v>3588.8</v>
      </c>
      <c r="F507">
        <v>0</v>
      </c>
    </row>
    <row r="508" spans="1:6" x14ac:dyDescent="0.25">
      <c r="A508" t="s">
        <v>65</v>
      </c>
      <c r="B508" t="s">
        <v>919</v>
      </c>
      <c r="C508" t="s">
        <v>1051</v>
      </c>
      <c r="D508" s="16">
        <v>2408</v>
      </c>
      <c r="F508">
        <v>0</v>
      </c>
    </row>
    <row r="509" spans="1:6" x14ac:dyDescent="0.25">
      <c r="A509" t="s">
        <v>65</v>
      </c>
      <c r="B509" t="s">
        <v>919</v>
      </c>
      <c r="C509" t="s">
        <v>1051</v>
      </c>
      <c r="D509" s="16">
        <v>2712</v>
      </c>
      <c r="F509">
        <v>0</v>
      </c>
    </row>
    <row r="510" spans="1:6" x14ac:dyDescent="0.25">
      <c r="A510" t="s">
        <v>65</v>
      </c>
      <c r="B510" t="s">
        <v>919</v>
      </c>
      <c r="C510" t="s">
        <v>1058</v>
      </c>
      <c r="D510" s="16">
        <v>1763</v>
      </c>
      <c r="F510">
        <v>0</v>
      </c>
    </row>
    <row r="511" spans="1:6" x14ac:dyDescent="0.25">
      <c r="A511" t="s">
        <v>65</v>
      </c>
      <c r="B511" t="s">
        <v>919</v>
      </c>
      <c r="C511" t="s">
        <v>1058</v>
      </c>
      <c r="D511" s="16">
        <v>1778</v>
      </c>
      <c r="F511">
        <v>0</v>
      </c>
    </row>
    <row r="512" spans="1:6" x14ac:dyDescent="0.25">
      <c r="A512" t="s">
        <v>65</v>
      </c>
      <c r="B512" t="s">
        <v>932</v>
      </c>
      <c r="C512" t="s">
        <v>1007</v>
      </c>
      <c r="D512" s="16">
        <v>2799</v>
      </c>
      <c r="F512">
        <v>0</v>
      </c>
    </row>
    <row r="513" spans="1:6" x14ac:dyDescent="0.25">
      <c r="A513" t="s">
        <v>65</v>
      </c>
      <c r="B513" t="s">
        <v>932</v>
      </c>
      <c r="C513" t="s">
        <v>1007</v>
      </c>
      <c r="D513" s="16">
        <v>2813.75</v>
      </c>
      <c r="F513">
        <v>0</v>
      </c>
    </row>
    <row r="514" spans="1:6" x14ac:dyDescent="0.25">
      <c r="A514" t="s">
        <v>65</v>
      </c>
      <c r="B514" t="s">
        <v>954</v>
      </c>
      <c r="C514" t="s">
        <v>1051</v>
      </c>
      <c r="D514" s="16">
        <v>2884.86</v>
      </c>
      <c r="F514">
        <v>0</v>
      </c>
    </row>
    <row r="515" spans="1:6" x14ac:dyDescent="0.25">
      <c r="A515" t="s">
        <v>65</v>
      </c>
      <c r="B515" t="s">
        <v>920</v>
      </c>
      <c r="C515" t="s">
        <v>1040</v>
      </c>
      <c r="D515" s="16">
        <v>1649</v>
      </c>
      <c r="F515">
        <v>0</v>
      </c>
    </row>
    <row r="516" spans="1:6" x14ac:dyDescent="0.25">
      <c r="A516" t="s">
        <v>65</v>
      </c>
      <c r="B516" t="s">
        <v>920</v>
      </c>
      <c r="C516" t="s">
        <v>1040</v>
      </c>
      <c r="D516" s="16">
        <v>1899</v>
      </c>
      <c r="F516">
        <v>0</v>
      </c>
    </row>
    <row r="517" spans="1:6" x14ac:dyDescent="0.25">
      <c r="A517" t="s">
        <v>65</v>
      </c>
      <c r="B517" t="s">
        <v>920</v>
      </c>
      <c r="C517" t="s">
        <v>1040</v>
      </c>
      <c r="D517" s="16">
        <v>2013.1</v>
      </c>
      <c r="F517">
        <v>0</v>
      </c>
    </row>
    <row r="518" spans="1:6" x14ac:dyDescent="0.25">
      <c r="A518" t="s">
        <v>65</v>
      </c>
      <c r="B518" t="s">
        <v>921</v>
      </c>
      <c r="C518" t="s">
        <v>992</v>
      </c>
      <c r="D518" s="16">
        <v>1549</v>
      </c>
      <c r="F518">
        <v>0</v>
      </c>
    </row>
    <row r="519" spans="1:6" x14ac:dyDescent="0.25">
      <c r="A519" t="s">
        <v>65</v>
      </c>
      <c r="B519" t="s">
        <v>921</v>
      </c>
      <c r="C519" t="s">
        <v>999</v>
      </c>
      <c r="D519" s="16">
        <v>1130.33</v>
      </c>
      <c r="F519">
        <v>0</v>
      </c>
    </row>
    <row r="520" spans="1:6" x14ac:dyDescent="0.25">
      <c r="A520" t="s">
        <v>65</v>
      </c>
      <c r="B520" t="s">
        <v>921</v>
      </c>
      <c r="C520" t="s">
        <v>999</v>
      </c>
      <c r="D520" s="16">
        <v>1262</v>
      </c>
      <c r="F520">
        <v>0</v>
      </c>
    </row>
    <row r="521" spans="1:6" x14ac:dyDescent="0.25">
      <c r="A521" t="s">
        <v>65</v>
      </c>
      <c r="B521" t="s">
        <v>921</v>
      </c>
      <c r="C521" t="s">
        <v>1063</v>
      </c>
      <c r="D521" s="16">
        <v>735.07</v>
      </c>
      <c r="F521">
        <v>0</v>
      </c>
    </row>
    <row r="522" spans="1:6" x14ac:dyDescent="0.25">
      <c r="A522" t="s">
        <v>65</v>
      </c>
      <c r="B522" t="s">
        <v>921</v>
      </c>
      <c r="C522" t="s">
        <v>1063</v>
      </c>
      <c r="D522" s="16">
        <v>767.8</v>
      </c>
      <c r="F522">
        <v>0</v>
      </c>
    </row>
    <row r="523" spans="1:6" x14ac:dyDescent="0.25">
      <c r="A523" t="s">
        <v>65</v>
      </c>
      <c r="B523" t="s">
        <v>921</v>
      </c>
      <c r="C523" t="s">
        <v>1065</v>
      </c>
      <c r="D523" s="16">
        <v>870</v>
      </c>
      <c r="F523">
        <v>0</v>
      </c>
    </row>
    <row r="524" spans="1:6" x14ac:dyDescent="0.25">
      <c r="A524" t="s">
        <v>65</v>
      </c>
      <c r="B524" t="s">
        <v>921</v>
      </c>
      <c r="C524" t="s">
        <v>1065</v>
      </c>
      <c r="D524" s="16">
        <v>919</v>
      </c>
      <c r="F524">
        <v>0</v>
      </c>
    </row>
    <row r="525" spans="1:6" x14ac:dyDescent="0.25">
      <c r="A525" t="s">
        <v>65</v>
      </c>
      <c r="B525" t="s">
        <v>921</v>
      </c>
      <c r="C525" t="s">
        <v>1065</v>
      </c>
      <c r="D525" s="16">
        <v>931.88</v>
      </c>
      <c r="F525">
        <v>0</v>
      </c>
    </row>
    <row r="526" spans="1:6" x14ac:dyDescent="0.25">
      <c r="A526" t="s">
        <v>65</v>
      </c>
      <c r="B526" t="s">
        <v>921</v>
      </c>
      <c r="C526" t="s">
        <v>1065</v>
      </c>
      <c r="D526" s="16">
        <v>955</v>
      </c>
      <c r="F526">
        <v>0</v>
      </c>
    </row>
    <row r="527" spans="1:6" x14ac:dyDescent="0.25">
      <c r="A527" t="s">
        <v>65</v>
      </c>
      <c r="B527" t="s">
        <v>921</v>
      </c>
      <c r="C527" t="s">
        <v>1065</v>
      </c>
      <c r="D527" s="16">
        <v>970.9</v>
      </c>
      <c r="F527">
        <v>0</v>
      </c>
    </row>
    <row r="528" spans="1:6" x14ac:dyDescent="0.25">
      <c r="A528" t="s">
        <v>65</v>
      </c>
      <c r="B528" t="s">
        <v>921</v>
      </c>
      <c r="C528" t="s">
        <v>1065</v>
      </c>
      <c r="D528" s="16">
        <v>979</v>
      </c>
      <c r="F528">
        <v>0</v>
      </c>
    </row>
    <row r="529" spans="1:6" x14ac:dyDescent="0.25">
      <c r="A529" t="s">
        <v>65</v>
      </c>
      <c r="B529" t="s">
        <v>921</v>
      </c>
      <c r="C529" t="s">
        <v>1065</v>
      </c>
      <c r="D529" s="16">
        <v>985</v>
      </c>
      <c r="F529">
        <v>0</v>
      </c>
    </row>
    <row r="530" spans="1:6" x14ac:dyDescent="0.25">
      <c r="A530" t="s">
        <v>65</v>
      </c>
      <c r="B530" t="s">
        <v>921</v>
      </c>
      <c r="C530" t="s">
        <v>1065</v>
      </c>
      <c r="D530" s="16">
        <v>1049</v>
      </c>
      <c r="F530">
        <v>0</v>
      </c>
    </row>
    <row r="531" spans="1:6" x14ac:dyDescent="0.25">
      <c r="A531" t="s">
        <v>65</v>
      </c>
      <c r="B531" t="s">
        <v>921</v>
      </c>
      <c r="C531" t="s">
        <v>1065</v>
      </c>
      <c r="D531" s="16">
        <v>1085</v>
      </c>
      <c r="F531">
        <v>0</v>
      </c>
    </row>
    <row r="532" spans="1:6" x14ac:dyDescent="0.25">
      <c r="A532" t="s">
        <v>65</v>
      </c>
      <c r="B532" t="s">
        <v>921</v>
      </c>
      <c r="C532" t="s">
        <v>1065</v>
      </c>
      <c r="D532" s="16">
        <v>1099</v>
      </c>
      <c r="F532">
        <v>0</v>
      </c>
    </row>
    <row r="533" spans="1:6" x14ac:dyDescent="0.25">
      <c r="A533" t="s">
        <v>65</v>
      </c>
      <c r="B533" t="s">
        <v>921</v>
      </c>
      <c r="C533" t="s">
        <v>1065</v>
      </c>
      <c r="D533" s="16">
        <v>1135</v>
      </c>
      <c r="F533">
        <v>0</v>
      </c>
    </row>
    <row r="534" spans="1:6" x14ac:dyDescent="0.25">
      <c r="A534" t="s">
        <v>65</v>
      </c>
      <c r="B534" t="s">
        <v>921</v>
      </c>
      <c r="C534" t="s">
        <v>1065</v>
      </c>
      <c r="D534" s="16">
        <v>1142</v>
      </c>
      <c r="F534">
        <v>0</v>
      </c>
    </row>
    <row r="535" spans="1:6" x14ac:dyDescent="0.25">
      <c r="A535" t="s">
        <v>65</v>
      </c>
      <c r="B535" t="s">
        <v>921</v>
      </c>
      <c r="C535" t="s">
        <v>1065</v>
      </c>
      <c r="D535" s="16">
        <v>1142.4000000000001</v>
      </c>
      <c r="F535">
        <v>0</v>
      </c>
    </row>
    <row r="536" spans="1:6" x14ac:dyDescent="0.25">
      <c r="A536" t="s">
        <v>65</v>
      </c>
      <c r="B536" t="s">
        <v>921</v>
      </c>
      <c r="C536" t="s">
        <v>1065</v>
      </c>
      <c r="D536" s="16">
        <v>1219.24</v>
      </c>
      <c r="F536">
        <v>0</v>
      </c>
    </row>
    <row r="537" spans="1:6" x14ac:dyDescent="0.25">
      <c r="A537" t="s">
        <v>65</v>
      </c>
      <c r="B537" t="s">
        <v>921</v>
      </c>
      <c r="C537" t="s">
        <v>1065</v>
      </c>
      <c r="D537" s="16">
        <v>1299</v>
      </c>
      <c r="F537">
        <v>0</v>
      </c>
    </row>
    <row r="538" spans="1:6" x14ac:dyDescent="0.25">
      <c r="A538" t="s">
        <v>65</v>
      </c>
      <c r="B538" t="s">
        <v>921</v>
      </c>
      <c r="C538" t="s">
        <v>1065</v>
      </c>
      <c r="D538" s="16">
        <v>1396</v>
      </c>
      <c r="F538">
        <v>0</v>
      </c>
    </row>
    <row r="539" spans="1:6" x14ac:dyDescent="0.25">
      <c r="A539" t="s">
        <v>65</v>
      </c>
      <c r="B539" t="s">
        <v>921</v>
      </c>
      <c r="C539" t="s">
        <v>1100</v>
      </c>
      <c r="D539" s="16">
        <v>819</v>
      </c>
      <c r="F539">
        <v>0</v>
      </c>
    </row>
    <row r="540" spans="1:6" x14ac:dyDescent="0.25">
      <c r="A540" t="s">
        <v>65</v>
      </c>
      <c r="B540" t="s">
        <v>921</v>
      </c>
      <c r="C540" t="s">
        <v>1100</v>
      </c>
      <c r="D540" s="16">
        <v>839</v>
      </c>
      <c r="F540">
        <v>0</v>
      </c>
    </row>
    <row r="541" spans="1:6" x14ac:dyDescent="0.25">
      <c r="A541" t="s">
        <v>65</v>
      </c>
      <c r="B541" t="s">
        <v>921</v>
      </c>
      <c r="C541" t="s">
        <v>1100</v>
      </c>
      <c r="D541" s="16">
        <v>855</v>
      </c>
      <c r="F541">
        <v>0</v>
      </c>
    </row>
    <row r="542" spans="1:6" x14ac:dyDescent="0.25">
      <c r="A542" t="s">
        <v>65</v>
      </c>
      <c r="B542" t="s">
        <v>921</v>
      </c>
      <c r="C542" t="s">
        <v>1100</v>
      </c>
      <c r="D542" s="16">
        <v>869.01</v>
      </c>
      <c r="F542">
        <v>0</v>
      </c>
    </row>
    <row r="543" spans="1:6" x14ac:dyDescent="0.25">
      <c r="A543" t="s">
        <v>65</v>
      </c>
      <c r="B543" t="s">
        <v>921</v>
      </c>
      <c r="C543" t="s">
        <v>1100</v>
      </c>
      <c r="D543" s="16">
        <v>1049</v>
      </c>
      <c r="F543">
        <v>0</v>
      </c>
    </row>
    <row r="544" spans="1:6" x14ac:dyDescent="0.25">
      <c r="A544" t="s">
        <v>65</v>
      </c>
      <c r="B544" t="s">
        <v>921</v>
      </c>
      <c r="C544" t="s">
        <v>1100</v>
      </c>
      <c r="D544" s="16">
        <v>1279</v>
      </c>
      <c r="F544">
        <v>0</v>
      </c>
    </row>
    <row r="545" spans="1:6" x14ac:dyDescent="0.25">
      <c r="A545" t="s">
        <v>65</v>
      </c>
      <c r="B545" t="s">
        <v>921</v>
      </c>
      <c r="C545" t="s">
        <v>1100</v>
      </c>
      <c r="D545" s="16">
        <v>1285</v>
      </c>
      <c r="F545">
        <v>0</v>
      </c>
    </row>
    <row r="546" spans="1:6" x14ac:dyDescent="0.25">
      <c r="A546" t="s">
        <v>65</v>
      </c>
      <c r="B546" t="s">
        <v>921</v>
      </c>
      <c r="C546" t="s">
        <v>1100</v>
      </c>
      <c r="D546" s="16">
        <v>1399</v>
      </c>
      <c r="F546">
        <v>0</v>
      </c>
    </row>
    <row r="547" spans="1:6" x14ac:dyDescent="0.25">
      <c r="A547" t="s">
        <v>65</v>
      </c>
      <c r="B547" t="s">
        <v>921</v>
      </c>
      <c r="C547" t="s">
        <v>1100</v>
      </c>
      <c r="D547" s="16">
        <v>1449</v>
      </c>
      <c r="F547">
        <v>0</v>
      </c>
    </row>
    <row r="548" spans="1:6" x14ac:dyDescent="0.25">
      <c r="A548" t="s">
        <v>65</v>
      </c>
      <c r="B548" t="s">
        <v>921</v>
      </c>
      <c r="C548" t="s">
        <v>1100</v>
      </c>
      <c r="D548" s="16">
        <v>1579</v>
      </c>
      <c r="F548">
        <v>0</v>
      </c>
    </row>
    <row r="549" spans="1:6" x14ac:dyDescent="0.25">
      <c r="A549" t="s">
        <v>65</v>
      </c>
      <c r="B549" t="s">
        <v>921</v>
      </c>
      <c r="C549" t="s">
        <v>1100</v>
      </c>
      <c r="D549" s="16">
        <v>1649</v>
      </c>
      <c r="F549">
        <v>0</v>
      </c>
    </row>
    <row r="550" spans="1:6" x14ac:dyDescent="0.25">
      <c r="A550" t="s">
        <v>65</v>
      </c>
      <c r="B550" t="s">
        <v>921</v>
      </c>
      <c r="C550" t="s">
        <v>1100</v>
      </c>
      <c r="D550" s="16">
        <v>1869</v>
      </c>
      <c r="F550">
        <v>0</v>
      </c>
    </row>
    <row r="551" spans="1:6" x14ac:dyDescent="0.25">
      <c r="A551" t="s">
        <v>65</v>
      </c>
      <c r="B551" t="s">
        <v>921</v>
      </c>
      <c r="C551" t="s">
        <v>1100</v>
      </c>
      <c r="D551" s="16">
        <v>1949</v>
      </c>
      <c r="F551">
        <v>0</v>
      </c>
    </row>
    <row r="552" spans="1:6" x14ac:dyDescent="0.25">
      <c r="A552" t="s">
        <v>65</v>
      </c>
      <c r="B552" t="s">
        <v>921</v>
      </c>
      <c r="C552" t="s">
        <v>1100</v>
      </c>
      <c r="D552" s="16">
        <v>2499</v>
      </c>
      <c r="F552">
        <v>0</v>
      </c>
    </row>
    <row r="553" spans="1:6" x14ac:dyDescent="0.25">
      <c r="A553" t="s">
        <v>65</v>
      </c>
      <c r="B553" t="s">
        <v>955</v>
      </c>
      <c r="C553" t="s">
        <v>1100</v>
      </c>
      <c r="D553" s="16">
        <v>1298</v>
      </c>
      <c r="F553">
        <v>0</v>
      </c>
    </row>
    <row r="554" spans="1:6" x14ac:dyDescent="0.25">
      <c r="A554" t="s">
        <v>65</v>
      </c>
      <c r="B554" t="s">
        <v>955</v>
      </c>
      <c r="C554" t="s">
        <v>1100</v>
      </c>
      <c r="D554" s="16">
        <v>1607.96</v>
      </c>
      <c r="F554">
        <v>0</v>
      </c>
    </row>
    <row r="555" spans="1:6" x14ac:dyDescent="0.25">
      <c r="A555" t="s">
        <v>65</v>
      </c>
      <c r="B555" t="s">
        <v>956</v>
      </c>
      <c r="C555" t="s">
        <v>1040</v>
      </c>
      <c r="D555" s="16">
        <v>603</v>
      </c>
      <c r="F555">
        <v>0</v>
      </c>
    </row>
    <row r="556" spans="1:6" x14ac:dyDescent="0.25">
      <c r="A556" t="s">
        <v>65</v>
      </c>
      <c r="B556" t="s">
        <v>957</v>
      </c>
      <c r="C556" t="s">
        <v>1028</v>
      </c>
      <c r="D556" s="16">
        <v>393.49</v>
      </c>
      <c r="F556">
        <v>0</v>
      </c>
    </row>
    <row r="557" spans="1:6" x14ac:dyDescent="0.25">
      <c r="A557" t="s">
        <v>65</v>
      </c>
      <c r="B557" t="s">
        <v>957</v>
      </c>
      <c r="C557" t="s">
        <v>1028</v>
      </c>
      <c r="D557" s="16">
        <v>443.99</v>
      </c>
      <c r="F557">
        <v>0</v>
      </c>
    </row>
    <row r="558" spans="1:6" x14ac:dyDescent="0.25">
      <c r="A558" t="s">
        <v>65</v>
      </c>
      <c r="B558" t="s">
        <v>922</v>
      </c>
      <c r="C558" t="s">
        <v>1028</v>
      </c>
      <c r="D558" s="16">
        <v>324</v>
      </c>
      <c r="F558">
        <v>0</v>
      </c>
    </row>
    <row r="559" spans="1:6" x14ac:dyDescent="0.25">
      <c r="A559" t="s">
        <v>65</v>
      </c>
      <c r="B559" t="s">
        <v>922</v>
      </c>
      <c r="C559" t="s">
        <v>1028</v>
      </c>
      <c r="D559" s="16">
        <v>369</v>
      </c>
      <c r="F559">
        <v>0</v>
      </c>
    </row>
    <row r="560" spans="1:6" x14ac:dyDescent="0.25">
      <c r="A560" t="s">
        <v>65</v>
      </c>
      <c r="B560" t="s">
        <v>922</v>
      </c>
      <c r="C560" t="s">
        <v>1030</v>
      </c>
      <c r="D560" s="16">
        <v>479</v>
      </c>
      <c r="F560">
        <v>0</v>
      </c>
    </row>
    <row r="561" spans="1:6" x14ac:dyDescent="0.25">
      <c r="A561" t="s">
        <v>65</v>
      </c>
      <c r="B561" t="s">
        <v>923</v>
      </c>
      <c r="C561" t="s">
        <v>1032</v>
      </c>
      <c r="D561" s="16">
        <v>744</v>
      </c>
      <c r="F561">
        <v>0</v>
      </c>
    </row>
    <row r="562" spans="1:6" x14ac:dyDescent="0.25">
      <c r="A562" t="s">
        <v>65</v>
      </c>
      <c r="B562" t="s">
        <v>958</v>
      </c>
      <c r="C562" t="s">
        <v>1051</v>
      </c>
      <c r="D562" s="16">
        <v>3055</v>
      </c>
      <c r="F562">
        <v>0</v>
      </c>
    </row>
    <row r="563" spans="1:6" x14ac:dyDescent="0.25">
      <c r="A563" t="s">
        <v>65</v>
      </c>
      <c r="B563" t="s">
        <v>958</v>
      </c>
      <c r="C563" t="s">
        <v>1058</v>
      </c>
      <c r="D563" s="16">
        <v>1993</v>
      </c>
      <c r="F563">
        <v>0</v>
      </c>
    </row>
    <row r="564" spans="1:6" x14ac:dyDescent="0.25">
      <c r="A564" t="s">
        <v>504</v>
      </c>
      <c r="B564" t="s">
        <v>911</v>
      </c>
      <c r="C564" t="s">
        <v>1035</v>
      </c>
      <c r="D564" s="16">
        <v>649</v>
      </c>
      <c r="F564">
        <v>0</v>
      </c>
    </row>
    <row r="565" spans="1:6" x14ac:dyDescent="0.25">
      <c r="A565" t="s">
        <v>504</v>
      </c>
      <c r="B565" t="s">
        <v>912</v>
      </c>
      <c r="C565" t="s">
        <v>1041</v>
      </c>
      <c r="D565" s="16">
        <v>739</v>
      </c>
      <c r="F565">
        <v>0</v>
      </c>
    </row>
    <row r="566" spans="1:6" x14ac:dyDescent="0.25">
      <c r="A566" t="s">
        <v>504</v>
      </c>
      <c r="B566" t="s">
        <v>912</v>
      </c>
      <c r="C566" t="s">
        <v>1041</v>
      </c>
      <c r="D566" s="16">
        <v>799</v>
      </c>
      <c r="F566">
        <v>0</v>
      </c>
    </row>
    <row r="567" spans="1:6" x14ac:dyDescent="0.25">
      <c r="A567" t="s">
        <v>421</v>
      </c>
      <c r="B567" t="s">
        <v>959</v>
      </c>
      <c r="C567" t="s">
        <v>1040</v>
      </c>
      <c r="D567" s="16">
        <v>1275</v>
      </c>
      <c r="F567">
        <v>0</v>
      </c>
    </row>
    <row r="568" spans="1:6" x14ac:dyDescent="0.25">
      <c r="A568" t="s">
        <v>421</v>
      </c>
      <c r="B568" t="s">
        <v>959</v>
      </c>
      <c r="C568" t="s">
        <v>1040</v>
      </c>
      <c r="D568" s="16">
        <v>1559</v>
      </c>
      <c r="F568">
        <v>0</v>
      </c>
    </row>
    <row r="569" spans="1:6" x14ac:dyDescent="0.25">
      <c r="A569" t="s">
        <v>421</v>
      </c>
      <c r="B569" t="s">
        <v>920</v>
      </c>
      <c r="C569" t="s">
        <v>1040</v>
      </c>
      <c r="D569" s="16">
        <v>2199</v>
      </c>
      <c r="F569">
        <v>0</v>
      </c>
    </row>
    <row r="570" spans="1:6" x14ac:dyDescent="0.25">
      <c r="A570" t="s">
        <v>36</v>
      </c>
      <c r="B570" t="s">
        <v>960</v>
      </c>
      <c r="C570" t="s">
        <v>1089</v>
      </c>
      <c r="D570" s="16">
        <v>569</v>
      </c>
      <c r="F570">
        <v>0</v>
      </c>
    </row>
    <row r="571" spans="1:6" x14ac:dyDescent="0.25">
      <c r="A571" t="s">
        <v>36</v>
      </c>
      <c r="B571" t="s">
        <v>897</v>
      </c>
      <c r="C571" t="s">
        <v>1064</v>
      </c>
      <c r="D571" s="16">
        <v>655.01</v>
      </c>
      <c r="F571">
        <v>0</v>
      </c>
    </row>
    <row r="572" spans="1:6" x14ac:dyDescent="0.25">
      <c r="A572" t="s">
        <v>36</v>
      </c>
      <c r="B572" t="s">
        <v>928</v>
      </c>
      <c r="C572" t="s">
        <v>1064</v>
      </c>
      <c r="D572" s="16">
        <v>568.9</v>
      </c>
      <c r="F572">
        <v>0</v>
      </c>
    </row>
    <row r="573" spans="1:6" x14ac:dyDescent="0.25">
      <c r="A573" t="s">
        <v>36</v>
      </c>
      <c r="B573" t="s">
        <v>961</v>
      </c>
      <c r="C573" t="s">
        <v>1086</v>
      </c>
      <c r="D573" s="16">
        <v>629</v>
      </c>
      <c r="F573">
        <v>0</v>
      </c>
    </row>
    <row r="574" spans="1:6" x14ac:dyDescent="0.25">
      <c r="A574" t="s">
        <v>36</v>
      </c>
      <c r="B574" t="s">
        <v>898</v>
      </c>
      <c r="C574" t="s">
        <v>1064</v>
      </c>
      <c r="D574" s="16">
        <v>529</v>
      </c>
      <c r="F574">
        <v>0</v>
      </c>
    </row>
    <row r="575" spans="1:6" x14ac:dyDescent="0.25">
      <c r="A575" t="s">
        <v>36</v>
      </c>
      <c r="B575" t="s">
        <v>962</v>
      </c>
      <c r="C575" t="s">
        <v>1064</v>
      </c>
      <c r="D575" s="16">
        <v>439</v>
      </c>
      <c r="F575">
        <v>0</v>
      </c>
    </row>
    <row r="576" spans="1:6" x14ac:dyDescent="0.25">
      <c r="A576" t="s">
        <v>36</v>
      </c>
      <c r="B576" t="s">
        <v>962</v>
      </c>
      <c r="C576" t="s">
        <v>1073</v>
      </c>
      <c r="D576" s="16">
        <v>398</v>
      </c>
      <c r="F576">
        <v>0</v>
      </c>
    </row>
    <row r="577" spans="1:6" x14ac:dyDescent="0.25">
      <c r="A577" t="s">
        <v>36</v>
      </c>
      <c r="B577" t="s">
        <v>962</v>
      </c>
      <c r="C577" t="s">
        <v>1074</v>
      </c>
      <c r="D577" s="16">
        <v>369</v>
      </c>
      <c r="F577">
        <v>0</v>
      </c>
    </row>
    <row r="578" spans="1:6" x14ac:dyDescent="0.25">
      <c r="A578" t="s">
        <v>36</v>
      </c>
      <c r="B578" t="s">
        <v>962</v>
      </c>
      <c r="C578" t="s">
        <v>1074</v>
      </c>
      <c r="D578" s="16">
        <v>398.49</v>
      </c>
      <c r="F578">
        <v>0</v>
      </c>
    </row>
    <row r="579" spans="1:6" x14ac:dyDescent="0.25">
      <c r="A579" t="s">
        <v>36</v>
      </c>
      <c r="B579" t="s">
        <v>962</v>
      </c>
      <c r="C579" t="s">
        <v>1074</v>
      </c>
      <c r="D579" s="16">
        <v>399</v>
      </c>
      <c r="F579">
        <v>0</v>
      </c>
    </row>
    <row r="580" spans="1:6" x14ac:dyDescent="0.25">
      <c r="A580" t="s">
        <v>36</v>
      </c>
      <c r="B580" t="s">
        <v>963</v>
      </c>
      <c r="C580" t="s">
        <v>1062</v>
      </c>
      <c r="D580" s="16">
        <v>478.89</v>
      </c>
      <c r="F580">
        <v>0</v>
      </c>
    </row>
    <row r="581" spans="1:6" x14ac:dyDescent="0.25">
      <c r="A581" t="s">
        <v>36</v>
      </c>
      <c r="B581" t="s">
        <v>963</v>
      </c>
      <c r="C581" t="s">
        <v>1074</v>
      </c>
      <c r="D581" s="16">
        <v>445.9</v>
      </c>
      <c r="F581">
        <v>0</v>
      </c>
    </row>
    <row r="582" spans="1:6" x14ac:dyDescent="0.25">
      <c r="A582" t="s">
        <v>36</v>
      </c>
      <c r="B582" t="s">
        <v>964</v>
      </c>
      <c r="C582" t="s">
        <v>1089</v>
      </c>
      <c r="D582" s="16">
        <v>549.99</v>
      </c>
      <c r="F582">
        <v>0</v>
      </c>
    </row>
    <row r="583" spans="1:6" x14ac:dyDescent="0.25">
      <c r="A583" t="s">
        <v>36</v>
      </c>
      <c r="B583" t="s">
        <v>900</v>
      </c>
      <c r="C583" t="s">
        <v>1062</v>
      </c>
      <c r="D583" s="16">
        <v>489</v>
      </c>
      <c r="F583">
        <v>0</v>
      </c>
    </row>
    <row r="584" spans="1:6" x14ac:dyDescent="0.25">
      <c r="A584" t="s">
        <v>36</v>
      </c>
      <c r="B584" t="s">
        <v>900</v>
      </c>
      <c r="C584" t="s">
        <v>1062</v>
      </c>
      <c r="D584" s="16">
        <v>499</v>
      </c>
      <c r="F584">
        <v>0</v>
      </c>
    </row>
    <row r="585" spans="1:6" x14ac:dyDescent="0.25">
      <c r="A585" t="s">
        <v>36</v>
      </c>
      <c r="B585" t="s">
        <v>900</v>
      </c>
      <c r="C585" t="s">
        <v>1075</v>
      </c>
      <c r="D585" s="16">
        <v>488.99</v>
      </c>
      <c r="F585">
        <v>0</v>
      </c>
    </row>
    <row r="586" spans="1:6" x14ac:dyDescent="0.25">
      <c r="A586" t="s">
        <v>36</v>
      </c>
      <c r="B586" t="s">
        <v>900</v>
      </c>
      <c r="C586" t="s">
        <v>1075</v>
      </c>
      <c r="D586" s="16">
        <v>520.9</v>
      </c>
      <c r="F586">
        <v>0</v>
      </c>
    </row>
    <row r="587" spans="1:6" x14ac:dyDescent="0.25">
      <c r="A587" t="s">
        <v>36</v>
      </c>
      <c r="B587" t="s">
        <v>965</v>
      </c>
      <c r="C587" t="s">
        <v>1062</v>
      </c>
      <c r="D587" s="16">
        <v>650</v>
      </c>
      <c r="F587">
        <v>0</v>
      </c>
    </row>
    <row r="588" spans="1:6" x14ac:dyDescent="0.25">
      <c r="A588" t="s">
        <v>36</v>
      </c>
      <c r="B588" t="s">
        <v>965</v>
      </c>
      <c r="C588" t="s">
        <v>1064</v>
      </c>
      <c r="D588" s="16">
        <v>649</v>
      </c>
      <c r="F588">
        <v>0</v>
      </c>
    </row>
    <row r="589" spans="1:6" x14ac:dyDescent="0.25">
      <c r="A589" t="s">
        <v>36</v>
      </c>
      <c r="B589" t="s">
        <v>937</v>
      </c>
      <c r="C589" t="s">
        <v>1071</v>
      </c>
      <c r="D589" s="16">
        <v>297</v>
      </c>
      <c r="F589">
        <v>0</v>
      </c>
    </row>
    <row r="590" spans="1:6" x14ac:dyDescent="0.25">
      <c r="A590" t="s">
        <v>36</v>
      </c>
      <c r="B590" t="s">
        <v>969</v>
      </c>
      <c r="C590" t="s">
        <v>1070</v>
      </c>
      <c r="D590" s="16">
        <v>330</v>
      </c>
      <c r="F590">
        <v>0</v>
      </c>
    </row>
    <row r="591" spans="1:6" x14ac:dyDescent="0.25">
      <c r="A591" t="s">
        <v>36</v>
      </c>
      <c r="B591" t="s">
        <v>970</v>
      </c>
      <c r="C591" t="s">
        <v>1070</v>
      </c>
      <c r="D591" s="16">
        <v>258</v>
      </c>
      <c r="F591">
        <v>0</v>
      </c>
    </row>
    <row r="592" spans="1:6" x14ac:dyDescent="0.25">
      <c r="A592" t="s">
        <v>36</v>
      </c>
      <c r="B592" t="s">
        <v>970</v>
      </c>
      <c r="C592" t="s">
        <v>1070</v>
      </c>
      <c r="D592" s="16">
        <v>349</v>
      </c>
      <c r="F592">
        <v>0</v>
      </c>
    </row>
    <row r="593" spans="1:6" x14ac:dyDescent="0.25">
      <c r="A593" t="s">
        <v>36</v>
      </c>
      <c r="B593" t="s">
        <v>904</v>
      </c>
      <c r="C593" t="s">
        <v>1029</v>
      </c>
      <c r="D593" s="16">
        <v>209</v>
      </c>
      <c r="F593">
        <v>0</v>
      </c>
    </row>
    <row r="594" spans="1:6" x14ac:dyDescent="0.25">
      <c r="A594" t="s">
        <v>36</v>
      </c>
      <c r="B594" t="s">
        <v>904</v>
      </c>
      <c r="C594" t="s">
        <v>1029</v>
      </c>
      <c r="D594" s="16">
        <v>229</v>
      </c>
      <c r="F594">
        <v>0</v>
      </c>
    </row>
    <row r="595" spans="1:6" x14ac:dyDescent="0.25">
      <c r="A595" t="s">
        <v>36</v>
      </c>
      <c r="B595" t="s">
        <v>904</v>
      </c>
      <c r="C595" t="s">
        <v>1029</v>
      </c>
      <c r="D595" s="16">
        <v>249</v>
      </c>
      <c r="F595">
        <v>0</v>
      </c>
    </row>
    <row r="596" spans="1:6" x14ac:dyDescent="0.25">
      <c r="A596" t="s">
        <v>36</v>
      </c>
      <c r="B596" t="s">
        <v>904</v>
      </c>
      <c r="C596" t="s">
        <v>1029</v>
      </c>
      <c r="D596" s="16">
        <v>259</v>
      </c>
      <c r="F596">
        <v>0</v>
      </c>
    </row>
    <row r="597" spans="1:6" x14ac:dyDescent="0.25">
      <c r="A597" t="s">
        <v>36</v>
      </c>
      <c r="B597" t="s">
        <v>904</v>
      </c>
      <c r="C597" t="s">
        <v>1029</v>
      </c>
      <c r="D597" s="16">
        <v>279</v>
      </c>
      <c r="F597">
        <v>0</v>
      </c>
    </row>
    <row r="598" spans="1:6" x14ac:dyDescent="0.25">
      <c r="A598" t="s">
        <v>36</v>
      </c>
      <c r="B598" t="s">
        <v>904</v>
      </c>
      <c r="C598" t="s">
        <v>1029</v>
      </c>
      <c r="D598" s="16">
        <v>288.89999999999998</v>
      </c>
      <c r="F598">
        <v>0</v>
      </c>
    </row>
    <row r="599" spans="1:6" x14ac:dyDescent="0.25">
      <c r="A599" t="s">
        <v>36</v>
      </c>
      <c r="B599" t="s">
        <v>904</v>
      </c>
      <c r="C599" t="s">
        <v>1029</v>
      </c>
      <c r="D599" s="16">
        <v>299</v>
      </c>
      <c r="F599">
        <v>0</v>
      </c>
    </row>
    <row r="600" spans="1:6" x14ac:dyDescent="0.25">
      <c r="A600" t="s">
        <v>36</v>
      </c>
      <c r="B600" t="s">
        <v>904</v>
      </c>
      <c r="C600" t="s">
        <v>1029</v>
      </c>
      <c r="D600" s="16">
        <v>347</v>
      </c>
      <c r="F600">
        <v>0</v>
      </c>
    </row>
    <row r="601" spans="1:6" x14ac:dyDescent="0.25">
      <c r="A601" t="s">
        <v>36</v>
      </c>
      <c r="B601" t="s">
        <v>904</v>
      </c>
      <c r="C601" t="s">
        <v>1029</v>
      </c>
      <c r="D601" s="16">
        <v>385</v>
      </c>
      <c r="F601">
        <v>0</v>
      </c>
    </row>
    <row r="602" spans="1:6" x14ac:dyDescent="0.25">
      <c r="A602" t="s">
        <v>36</v>
      </c>
      <c r="B602" t="s">
        <v>905</v>
      </c>
      <c r="C602" t="s">
        <v>1031</v>
      </c>
      <c r="D602" s="16">
        <v>495</v>
      </c>
      <c r="F602">
        <v>0</v>
      </c>
    </row>
    <row r="603" spans="1:6" x14ac:dyDescent="0.25">
      <c r="A603" t="s">
        <v>36</v>
      </c>
      <c r="B603" t="s">
        <v>905</v>
      </c>
      <c r="C603" t="s">
        <v>1031</v>
      </c>
      <c r="D603" s="16">
        <v>615</v>
      </c>
      <c r="F603">
        <v>0</v>
      </c>
    </row>
    <row r="604" spans="1:6" x14ac:dyDescent="0.25">
      <c r="A604" t="s">
        <v>36</v>
      </c>
      <c r="B604" t="s">
        <v>908</v>
      </c>
      <c r="C604" t="s">
        <v>1035</v>
      </c>
      <c r="D604" s="16">
        <v>344.99</v>
      </c>
      <c r="F604">
        <v>0</v>
      </c>
    </row>
    <row r="605" spans="1:6" x14ac:dyDescent="0.25">
      <c r="A605" t="s">
        <v>36</v>
      </c>
      <c r="B605" t="s">
        <v>908</v>
      </c>
      <c r="C605" t="s">
        <v>1035</v>
      </c>
      <c r="D605" s="16">
        <v>345.99</v>
      </c>
      <c r="F605">
        <v>0</v>
      </c>
    </row>
    <row r="606" spans="1:6" x14ac:dyDescent="0.25">
      <c r="A606" t="s">
        <v>36</v>
      </c>
      <c r="B606" t="s">
        <v>908</v>
      </c>
      <c r="C606" t="s">
        <v>1035</v>
      </c>
      <c r="D606" s="16">
        <v>349</v>
      </c>
      <c r="F606">
        <v>0</v>
      </c>
    </row>
    <row r="607" spans="1:6" x14ac:dyDescent="0.25">
      <c r="A607" t="s">
        <v>36</v>
      </c>
      <c r="B607" t="s">
        <v>908</v>
      </c>
      <c r="C607" t="s">
        <v>1035</v>
      </c>
      <c r="D607" s="16">
        <v>364.9</v>
      </c>
      <c r="F607">
        <v>0</v>
      </c>
    </row>
    <row r="608" spans="1:6" x14ac:dyDescent="0.25">
      <c r="A608" t="s">
        <v>36</v>
      </c>
      <c r="B608" t="s">
        <v>908</v>
      </c>
      <c r="C608" t="s">
        <v>1035</v>
      </c>
      <c r="D608" s="16">
        <v>397</v>
      </c>
      <c r="F608">
        <v>0</v>
      </c>
    </row>
    <row r="609" spans="1:6" x14ac:dyDescent="0.25">
      <c r="A609" t="s">
        <v>36</v>
      </c>
      <c r="B609" t="s">
        <v>908</v>
      </c>
      <c r="C609" t="s">
        <v>1035</v>
      </c>
      <c r="D609" s="16">
        <v>439</v>
      </c>
      <c r="F609">
        <v>0</v>
      </c>
    </row>
    <row r="610" spans="1:6" x14ac:dyDescent="0.25">
      <c r="A610" t="s">
        <v>36</v>
      </c>
      <c r="B610" t="s">
        <v>908</v>
      </c>
      <c r="C610" t="s">
        <v>1035</v>
      </c>
      <c r="D610" s="16">
        <v>469</v>
      </c>
      <c r="F610">
        <v>0</v>
      </c>
    </row>
    <row r="611" spans="1:6" x14ac:dyDescent="0.25">
      <c r="A611" t="s">
        <v>36</v>
      </c>
      <c r="B611" t="s">
        <v>908</v>
      </c>
      <c r="C611" t="s">
        <v>1035</v>
      </c>
      <c r="D611" s="16">
        <v>478</v>
      </c>
      <c r="F611">
        <v>0</v>
      </c>
    </row>
    <row r="612" spans="1:6" x14ac:dyDescent="0.25">
      <c r="A612" t="s">
        <v>36</v>
      </c>
      <c r="B612" t="s">
        <v>908</v>
      </c>
      <c r="C612" t="s">
        <v>1035</v>
      </c>
      <c r="D612" s="16">
        <v>489</v>
      </c>
      <c r="F612">
        <v>0</v>
      </c>
    </row>
    <row r="613" spans="1:6" x14ac:dyDescent="0.25">
      <c r="A613" t="s">
        <v>36</v>
      </c>
      <c r="B613" t="s">
        <v>908</v>
      </c>
      <c r="C613" t="s">
        <v>1035</v>
      </c>
      <c r="D613" s="16">
        <v>539</v>
      </c>
      <c r="F613">
        <v>0</v>
      </c>
    </row>
    <row r="614" spans="1:6" x14ac:dyDescent="0.25">
      <c r="A614" t="s">
        <v>36</v>
      </c>
      <c r="B614" t="s">
        <v>908</v>
      </c>
      <c r="C614" t="s">
        <v>1035</v>
      </c>
      <c r="D614" s="16">
        <v>544.15</v>
      </c>
      <c r="F614">
        <v>0</v>
      </c>
    </row>
    <row r="615" spans="1:6" x14ac:dyDescent="0.25">
      <c r="A615" t="s">
        <v>36</v>
      </c>
      <c r="B615" t="s">
        <v>908</v>
      </c>
      <c r="C615" t="s">
        <v>1035</v>
      </c>
      <c r="D615" s="16">
        <v>639.9</v>
      </c>
      <c r="F615">
        <v>0</v>
      </c>
    </row>
    <row r="616" spans="1:6" x14ac:dyDescent="0.25">
      <c r="A616" t="s">
        <v>36</v>
      </c>
      <c r="B616" t="s">
        <v>908</v>
      </c>
      <c r="C616" t="s">
        <v>1035</v>
      </c>
      <c r="D616" s="16">
        <v>689</v>
      </c>
      <c r="F616">
        <v>0</v>
      </c>
    </row>
    <row r="617" spans="1:6" x14ac:dyDescent="0.25">
      <c r="A617" t="s">
        <v>36</v>
      </c>
      <c r="B617" t="s">
        <v>908</v>
      </c>
      <c r="C617" t="s">
        <v>1063</v>
      </c>
      <c r="D617" s="16">
        <v>438.69</v>
      </c>
      <c r="F617">
        <v>0</v>
      </c>
    </row>
    <row r="618" spans="1:6" x14ac:dyDescent="0.25">
      <c r="A618" t="s">
        <v>36</v>
      </c>
      <c r="B618" t="s">
        <v>908</v>
      </c>
      <c r="C618" t="s">
        <v>1063</v>
      </c>
      <c r="D618" s="16">
        <v>469</v>
      </c>
      <c r="F618">
        <v>0</v>
      </c>
    </row>
    <row r="619" spans="1:6" x14ac:dyDescent="0.25">
      <c r="A619" t="s">
        <v>36</v>
      </c>
      <c r="B619" t="s">
        <v>908</v>
      </c>
      <c r="C619" t="s">
        <v>1063</v>
      </c>
      <c r="D619" s="16">
        <v>499</v>
      </c>
      <c r="F619">
        <v>0</v>
      </c>
    </row>
    <row r="620" spans="1:6" x14ac:dyDescent="0.25">
      <c r="A620" t="s">
        <v>36</v>
      </c>
      <c r="B620" t="s">
        <v>908</v>
      </c>
      <c r="C620" t="s">
        <v>1077</v>
      </c>
      <c r="D620" s="16">
        <v>699</v>
      </c>
      <c r="F620">
        <v>0</v>
      </c>
    </row>
    <row r="621" spans="1:6" x14ac:dyDescent="0.25">
      <c r="A621" t="s">
        <v>36</v>
      </c>
      <c r="B621" t="s">
        <v>908</v>
      </c>
      <c r="C621" t="s">
        <v>1084</v>
      </c>
      <c r="D621" s="16">
        <v>539</v>
      </c>
      <c r="F621">
        <v>0</v>
      </c>
    </row>
    <row r="622" spans="1:6" x14ac:dyDescent="0.25">
      <c r="A622" t="s">
        <v>36</v>
      </c>
      <c r="B622" t="s">
        <v>944</v>
      </c>
      <c r="C622" t="s">
        <v>1035</v>
      </c>
      <c r="D622" s="16">
        <v>650</v>
      </c>
      <c r="F622">
        <v>0</v>
      </c>
    </row>
    <row r="623" spans="1:6" x14ac:dyDescent="0.25">
      <c r="A623" t="s">
        <v>36</v>
      </c>
      <c r="B623" t="s">
        <v>944</v>
      </c>
      <c r="C623" t="s">
        <v>1035</v>
      </c>
      <c r="D623" s="16">
        <v>705.15</v>
      </c>
      <c r="F623">
        <v>0</v>
      </c>
    </row>
    <row r="624" spans="1:6" x14ac:dyDescent="0.25">
      <c r="A624" t="s">
        <v>36</v>
      </c>
      <c r="B624" t="s">
        <v>909</v>
      </c>
      <c r="C624" t="s">
        <v>997</v>
      </c>
      <c r="D624" s="16">
        <v>716</v>
      </c>
      <c r="F624">
        <v>0</v>
      </c>
    </row>
    <row r="625" spans="1:6" x14ac:dyDescent="0.25">
      <c r="A625" t="s">
        <v>36</v>
      </c>
      <c r="B625" t="s">
        <v>909</v>
      </c>
      <c r="C625" t="s">
        <v>999</v>
      </c>
      <c r="D625" s="16">
        <v>699</v>
      </c>
      <c r="F625">
        <v>0</v>
      </c>
    </row>
    <row r="626" spans="1:6" x14ac:dyDescent="0.25">
      <c r="A626" t="s">
        <v>36</v>
      </c>
      <c r="B626" t="s">
        <v>909</v>
      </c>
      <c r="C626" t="s">
        <v>1041</v>
      </c>
      <c r="D626" s="16">
        <v>668.48</v>
      </c>
      <c r="F626">
        <v>0</v>
      </c>
    </row>
    <row r="627" spans="1:6" x14ac:dyDescent="0.25">
      <c r="A627" t="s">
        <v>36</v>
      </c>
      <c r="B627" t="s">
        <v>909</v>
      </c>
      <c r="C627" t="s">
        <v>1041</v>
      </c>
      <c r="D627" s="16">
        <v>684</v>
      </c>
      <c r="F627">
        <v>0</v>
      </c>
    </row>
    <row r="628" spans="1:6" x14ac:dyDescent="0.25">
      <c r="A628" t="s">
        <v>36</v>
      </c>
      <c r="B628" t="s">
        <v>909</v>
      </c>
      <c r="C628" t="s">
        <v>1041</v>
      </c>
      <c r="D628" s="16">
        <v>685</v>
      </c>
      <c r="F628">
        <v>0</v>
      </c>
    </row>
    <row r="629" spans="1:6" x14ac:dyDescent="0.25">
      <c r="A629" t="s">
        <v>36</v>
      </c>
      <c r="B629" t="s">
        <v>909</v>
      </c>
      <c r="C629" t="s">
        <v>1041</v>
      </c>
      <c r="D629" s="16">
        <v>705.5</v>
      </c>
      <c r="F629">
        <v>0</v>
      </c>
    </row>
    <row r="630" spans="1:6" x14ac:dyDescent="0.25">
      <c r="A630" t="s">
        <v>36</v>
      </c>
      <c r="B630" t="s">
        <v>909</v>
      </c>
      <c r="C630" t="s">
        <v>1041</v>
      </c>
      <c r="D630" s="16">
        <v>719</v>
      </c>
      <c r="F630">
        <v>0</v>
      </c>
    </row>
    <row r="631" spans="1:6" x14ac:dyDescent="0.25">
      <c r="A631" t="s">
        <v>36</v>
      </c>
      <c r="B631" t="s">
        <v>909</v>
      </c>
      <c r="C631" t="s">
        <v>1041</v>
      </c>
      <c r="D631" s="16">
        <v>769.99</v>
      </c>
      <c r="F631">
        <v>0</v>
      </c>
    </row>
    <row r="632" spans="1:6" x14ac:dyDescent="0.25">
      <c r="A632" t="s">
        <v>36</v>
      </c>
      <c r="B632" t="s">
        <v>909</v>
      </c>
      <c r="C632" t="s">
        <v>1041</v>
      </c>
      <c r="D632" s="16">
        <v>800</v>
      </c>
      <c r="F632">
        <v>0</v>
      </c>
    </row>
    <row r="633" spans="1:6" x14ac:dyDescent="0.25">
      <c r="A633" t="s">
        <v>36</v>
      </c>
      <c r="B633" t="s">
        <v>911</v>
      </c>
      <c r="C633" t="s">
        <v>1035</v>
      </c>
      <c r="D633" s="16">
        <v>476.99</v>
      </c>
      <c r="F633">
        <v>0</v>
      </c>
    </row>
    <row r="634" spans="1:6" x14ac:dyDescent="0.25">
      <c r="A634" t="s">
        <v>36</v>
      </c>
      <c r="B634" t="s">
        <v>911</v>
      </c>
      <c r="C634" t="s">
        <v>1035</v>
      </c>
      <c r="D634" s="16">
        <v>910</v>
      </c>
      <c r="F634">
        <v>0</v>
      </c>
    </row>
    <row r="635" spans="1:6" x14ac:dyDescent="0.25">
      <c r="A635" t="s">
        <v>36</v>
      </c>
      <c r="B635" t="s">
        <v>911</v>
      </c>
      <c r="C635" t="s">
        <v>1035</v>
      </c>
      <c r="D635" s="16">
        <v>932</v>
      </c>
      <c r="F635">
        <v>0</v>
      </c>
    </row>
    <row r="636" spans="1:6" x14ac:dyDescent="0.25">
      <c r="A636" t="s">
        <v>36</v>
      </c>
      <c r="B636" t="s">
        <v>911</v>
      </c>
      <c r="C636" t="s">
        <v>1035</v>
      </c>
      <c r="D636" s="16">
        <v>940</v>
      </c>
      <c r="F636">
        <v>0</v>
      </c>
    </row>
    <row r="637" spans="1:6" x14ac:dyDescent="0.25">
      <c r="A637" t="s">
        <v>36</v>
      </c>
      <c r="B637" t="s">
        <v>911</v>
      </c>
      <c r="C637" t="s">
        <v>1035</v>
      </c>
      <c r="D637" s="16">
        <v>1000</v>
      </c>
      <c r="F637">
        <v>0</v>
      </c>
    </row>
    <row r="638" spans="1:6" x14ac:dyDescent="0.25">
      <c r="A638" t="s">
        <v>36</v>
      </c>
      <c r="B638" t="s">
        <v>911</v>
      </c>
      <c r="C638" t="s">
        <v>1035</v>
      </c>
      <c r="D638" s="16">
        <v>1030.99</v>
      </c>
      <c r="F638">
        <v>0</v>
      </c>
    </row>
    <row r="639" spans="1:6" x14ac:dyDescent="0.25">
      <c r="A639" t="s">
        <v>36</v>
      </c>
      <c r="B639" t="s">
        <v>911</v>
      </c>
      <c r="C639" t="s">
        <v>1035</v>
      </c>
      <c r="D639" s="16">
        <v>1099.99</v>
      </c>
      <c r="F639">
        <v>0</v>
      </c>
    </row>
    <row r="640" spans="1:6" x14ac:dyDescent="0.25">
      <c r="A640" t="s">
        <v>36</v>
      </c>
      <c r="B640" t="s">
        <v>911</v>
      </c>
      <c r="C640" t="s">
        <v>1035</v>
      </c>
      <c r="D640" s="16">
        <v>1149</v>
      </c>
      <c r="F640">
        <v>0</v>
      </c>
    </row>
    <row r="641" spans="1:6" x14ac:dyDescent="0.25">
      <c r="A641" t="s">
        <v>36</v>
      </c>
      <c r="B641" t="s">
        <v>911</v>
      </c>
      <c r="C641" t="s">
        <v>1035</v>
      </c>
      <c r="D641" s="16">
        <v>1165</v>
      </c>
      <c r="F641">
        <v>0</v>
      </c>
    </row>
    <row r="642" spans="1:6" x14ac:dyDescent="0.25">
      <c r="A642" t="s">
        <v>36</v>
      </c>
      <c r="B642" t="s">
        <v>911</v>
      </c>
      <c r="C642" t="s">
        <v>1035</v>
      </c>
      <c r="D642" s="16">
        <v>1195</v>
      </c>
      <c r="F642">
        <v>0</v>
      </c>
    </row>
    <row r="643" spans="1:6" x14ac:dyDescent="0.25">
      <c r="A643" t="s">
        <v>36</v>
      </c>
      <c r="B643" t="s">
        <v>911</v>
      </c>
      <c r="C643" t="s">
        <v>1035</v>
      </c>
      <c r="D643" s="16">
        <v>1199</v>
      </c>
      <c r="F643">
        <v>0</v>
      </c>
    </row>
    <row r="644" spans="1:6" x14ac:dyDescent="0.25">
      <c r="A644" t="s">
        <v>36</v>
      </c>
      <c r="B644" t="s">
        <v>911</v>
      </c>
      <c r="C644" t="s">
        <v>1035</v>
      </c>
      <c r="D644" s="16">
        <v>1244</v>
      </c>
      <c r="F644">
        <v>0</v>
      </c>
    </row>
    <row r="645" spans="1:6" x14ac:dyDescent="0.25">
      <c r="A645" t="s">
        <v>36</v>
      </c>
      <c r="B645" t="s">
        <v>911</v>
      </c>
      <c r="C645" t="s">
        <v>1035</v>
      </c>
      <c r="D645" s="16">
        <v>1469</v>
      </c>
      <c r="F645">
        <v>0</v>
      </c>
    </row>
    <row r="646" spans="1:6" x14ac:dyDescent="0.25">
      <c r="A646" t="s">
        <v>36</v>
      </c>
      <c r="B646" t="s">
        <v>911</v>
      </c>
      <c r="C646" t="s">
        <v>1035</v>
      </c>
      <c r="D646" s="16">
        <v>1513</v>
      </c>
      <c r="F646">
        <v>0</v>
      </c>
    </row>
    <row r="647" spans="1:6" x14ac:dyDescent="0.25">
      <c r="A647" t="s">
        <v>36</v>
      </c>
      <c r="B647" t="s">
        <v>911</v>
      </c>
      <c r="C647" t="s">
        <v>1035</v>
      </c>
      <c r="D647" s="16">
        <v>1579</v>
      </c>
      <c r="F647">
        <v>0</v>
      </c>
    </row>
    <row r="648" spans="1:6" x14ac:dyDescent="0.25">
      <c r="A648" t="s">
        <v>36</v>
      </c>
      <c r="B648" t="s">
        <v>911</v>
      </c>
      <c r="C648" t="s">
        <v>1035</v>
      </c>
      <c r="D648" s="16">
        <v>1599</v>
      </c>
      <c r="F648">
        <v>0</v>
      </c>
    </row>
    <row r="649" spans="1:6" x14ac:dyDescent="0.25">
      <c r="A649" t="s">
        <v>36</v>
      </c>
      <c r="B649" t="s">
        <v>911</v>
      </c>
      <c r="C649" t="s">
        <v>1035</v>
      </c>
      <c r="D649" s="16">
        <v>1669</v>
      </c>
      <c r="F649">
        <v>0</v>
      </c>
    </row>
    <row r="650" spans="1:6" x14ac:dyDescent="0.25">
      <c r="A650" t="s">
        <v>36</v>
      </c>
      <c r="B650" t="s">
        <v>911</v>
      </c>
      <c r="C650" t="s">
        <v>1035</v>
      </c>
      <c r="D650" s="16">
        <v>1690</v>
      </c>
      <c r="F650">
        <v>0</v>
      </c>
    </row>
    <row r="651" spans="1:6" x14ac:dyDescent="0.25">
      <c r="A651" t="s">
        <v>36</v>
      </c>
      <c r="B651" t="s">
        <v>930</v>
      </c>
      <c r="C651" t="s">
        <v>1006</v>
      </c>
      <c r="D651" s="16">
        <v>1129</v>
      </c>
      <c r="F651">
        <v>0</v>
      </c>
    </row>
    <row r="652" spans="1:6" x14ac:dyDescent="0.25">
      <c r="A652" t="s">
        <v>36</v>
      </c>
      <c r="B652" t="s">
        <v>930</v>
      </c>
      <c r="C652" t="s">
        <v>1017</v>
      </c>
      <c r="D652" s="16">
        <v>1399</v>
      </c>
      <c r="F652">
        <v>0</v>
      </c>
    </row>
    <row r="653" spans="1:6" x14ac:dyDescent="0.25">
      <c r="A653" t="s">
        <v>36</v>
      </c>
      <c r="B653" t="s">
        <v>945</v>
      </c>
      <c r="C653" t="s">
        <v>1035</v>
      </c>
      <c r="D653" s="16">
        <v>1099.99</v>
      </c>
      <c r="F653">
        <v>0</v>
      </c>
    </row>
    <row r="654" spans="1:6" x14ac:dyDescent="0.25">
      <c r="A654" t="s">
        <v>36</v>
      </c>
      <c r="B654" t="s">
        <v>945</v>
      </c>
      <c r="C654" t="s">
        <v>1035</v>
      </c>
      <c r="D654" s="16">
        <v>1629</v>
      </c>
      <c r="F654">
        <v>0</v>
      </c>
    </row>
    <row r="655" spans="1:6" x14ac:dyDescent="0.25">
      <c r="A655" t="s">
        <v>36</v>
      </c>
      <c r="B655" t="s">
        <v>945</v>
      </c>
      <c r="C655" t="s">
        <v>1035</v>
      </c>
      <c r="D655" s="16">
        <v>1895</v>
      </c>
      <c r="F655">
        <v>0</v>
      </c>
    </row>
    <row r="656" spans="1:6" x14ac:dyDescent="0.25">
      <c r="A656" t="s">
        <v>36</v>
      </c>
      <c r="B656" t="s">
        <v>945</v>
      </c>
      <c r="C656" t="s">
        <v>1035</v>
      </c>
      <c r="D656" s="16">
        <v>1900</v>
      </c>
      <c r="F656">
        <v>0</v>
      </c>
    </row>
    <row r="657" spans="1:6" x14ac:dyDescent="0.25">
      <c r="A657" t="s">
        <v>36</v>
      </c>
      <c r="B657" t="s">
        <v>945</v>
      </c>
      <c r="C657" t="s">
        <v>1035</v>
      </c>
      <c r="D657" s="16">
        <v>2103.34</v>
      </c>
      <c r="F657">
        <v>0</v>
      </c>
    </row>
    <row r="658" spans="1:6" x14ac:dyDescent="0.25">
      <c r="A658" t="s">
        <v>36</v>
      </c>
      <c r="B658" t="s">
        <v>912</v>
      </c>
      <c r="C658" t="s">
        <v>989</v>
      </c>
      <c r="D658" s="16">
        <v>1154</v>
      </c>
      <c r="F658">
        <v>0</v>
      </c>
    </row>
    <row r="659" spans="1:6" x14ac:dyDescent="0.25">
      <c r="A659" t="s">
        <v>36</v>
      </c>
      <c r="B659" t="s">
        <v>912</v>
      </c>
      <c r="C659" t="s">
        <v>997</v>
      </c>
      <c r="D659" s="16">
        <v>846.5</v>
      </c>
      <c r="F659">
        <v>0</v>
      </c>
    </row>
    <row r="660" spans="1:6" x14ac:dyDescent="0.25">
      <c r="A660" t="s">
        <v>36</v>
      </c>
      <c r="B660" t="s">
        <v>912</v>
      </c>
      <c r="C660" t="s">
        <v>997</v>
      </c>
      <c r="D660" s="16">
        <v>889</v>
      </c>
      <c r="F660">
        <v>0</v>
      </c>
    </row>
    <row r="661" spans="1:6" x14ac:dyDescent="0.25">
      <c r="A661" t="s">
        <v>36</v>
      </c>
      <c r="B661" t="s">
        <v>912</v>
      </c>
      <c r="C661" t="s">
        <v>997</v>
      </c>
      <c r="D661" s="16">
        <v>910</v>
      </c>
      <c r="F661">
        <v>0</v>
      </c>
    </row>
    <row r="662" spans="1:6" x14ac:dyDescent="0.25">
      <c r="A662" t="s">
        <v>36</v>
      </c>
      <c r="B662" t="s">
        <v>912</v>
      </c>
      <c r="C662" t="s">
        <v>997</v>
      </c>
      <c r="D662" s="16">
        <v>979</v>
      </c>
      <c r="F662">
        <v>0</v>
      </c>
    </row>
    <row r="663" spans="1:6" x14ac:dyDescent="0.25">
      <c r="A663" t="s">
        <v>36</v>
      </c>
      <c r="B663" t="s">
        <v>912</v>
      </c>
      <c r="C663" t="s">
        <v>997</v>
      </c>
      <c r="D663" s="16">
        <v>1049.26</v>
      </c>
      <c r="F663">
        <v>0</v>
      </c>
    </row>
    <row r="664" spans="1:6" x14ac:dyDescent="0.25">
      <c r="A664" t="s">
        <v>36</v>
      </c>
      <c r="B664" t="s">
        <v>912</v>
      </c>
      <c r="C664" t="s">
        <v>997</v>
      </c>
      <c r="D664" s="16">
        <v>1080</v>
      </c>
      <c r="F664">
        <v>0</v>
      </c>
    </row>
    <row r="665" spans="1:6" x14ac:dyDescent="0.25">
      <c r="A665" t="s">
        <v>36</v>
      </c>
      <c r="B665" t="s">
        <v>912</v>
      </c>
      <c r="C665" t="s">
        <v>999</v>
      </c>
      <c r="D665" s="16">
        <v>659</v>
      </c>
      <c r="F665">
        <v>0</v>
      </c>
    </row>
    <row r="666" spans="1:6" x14ac:dyDescent="0.25">
      <c r="A666" t="s">
        <v>36</v>
      </c>
      <c r="B666" t="s">
        <v>912</v>
      </c>
      <c r="C666" t="s">
        <v>1041</v>
      </c>
      <c r="D666" s="16">
        <v>393.9</v>
      </c>
      <c r="F666">
        <v>0</v>
      </c>
    </row>
    <row r="667" spans="1:6" x14ac:dyDescent="0.25">
      <c r="A667" t="s">
        <v>36</v>
      </c>
      <c r="B667" t="s">
        <v>912</v>
      </c>
      <c r="C667" t="s">
        <v>1041</v>
      </c>
      <c r="D667" s="16">
        <v>485</v>
      </c>
      <c r="F667">
        <v>0</v>
      </c>
    </row>
    <row r="668" spans="1:6" x14ac:dyDescent="0.25">
      <c r="A668" t="s">
        <v>36</v>
      </c>
      <c r="B668" t="s">
        <v>912</v>
      </c>
      <c r="C668" t="s">
        <v>1041</v>
      </c>
      <c r="D668" s="16">
        <v>488.69</v>
      </c>
      <c r="F668">
        <v>0</v>
      </c>
    </row>
    <row r="669" spans="1:6" x14ac:dyDescent="0.25">
      <c r="A669" t="s">
        <v>36</v>
      </c>
      <c r="B669" t="s">
        <v>912</v>
      </c>
      <c r="C669" t="s">
        <v>1041</v>
      </c>
      <c r="D669" s="16">
        <v>499</v>
      </c>
      <c r="F669">
        <v>0</v>
      </c>
    </row>
    <row r="670" spans="1:6" x14ac:dyDescent="0.25">
      <c r="A670" t="s">
        <v>36</v>
      </c>
      <c r="B670" t="s">
        <v>912</v>
      </c>
      <c r="C670" t="s">
        <v>1041</v>
      </c>
      <c r="D670" s="16">
        <v>559</v>
      </c>
      <c r="F670">
        <v>0</v>
      </c>
    </row>
    <row r="671" spans="1:6" x14ac:dyDescent="0.25">
      <c r="A671" t="s">
        <v>36</v>
      </c>
      <c r="B671" t="s">
        <v>912</v>
      </c>
      <c r="C671" t="s">
        <v>1041</v>
      </c>
      <c r="D671" s="16">
        <v>575</v>
      </c>
      <c r="F671">
        <v>0</v>
      </c>
    </row>
    <row r="672" spans="1:6" x14ac:dyDescent="0.25">
      <c r="A672" t="s">
        <v>36</v>
      </c>
      <c r="B672" t="s">
        <v>912</v>
      </c>
      <c r="C672" t="s">
        <v>1041</v>
      </c>
      <c r="D672" s="16">
        <v>579</v>
      </c>
      <c r="F672">
        <v>0</v>
      </c>
    </row>
    <row r="673" spans="1:6" x14ac:dyDescent="0.25">
      <c r="A673" t="s">
        <v>36</v>
      </c>
      <c r="B673" t="s">
        <v>912</v>
      </c>
      <c r="C673" t="s">
        <v>1041</v>
      </c>
      <c r="D673" s="16">
        <v>589</v>
      </c>
      <c r="F673">
        <v>0</v>
      </c>
    </row>
    <row r="674" spans="1:6" x14ac:dyDescent="0.25">
      <c r="A674" t="s">
        <v>36</v>
      </c>
      <c r="B674" t="s">
        <v>912</v>
      </c>
      <c r="C674" t="s">
        <v>1041</v>
      </c>
      <c r="D674" s="16">
        <v>598.99</v>
      </c>
      <c r="F674">
        <v>0</v>
      </c>
    </row>
    <row r="675" spans="1:6" x14ac:dyDescent="0.25">
      <c r="A675" t="s">
        <v>36</v>
      </c>
      <c r="B675" t="s">
        <v>912</v>
      </c>
      <c r="C675" t="s">
        <v>1041</v>
      </c>
      <c r="D675" s="16">
        <v>639</v>
      </c>
      <c r="F675">
        <v>0</v>
      </c>
    </row>
    <row r="676" spans="1:6" x14ac:dyDescent="0.25">
      <c r="A676" t="s">
        <v>36</v>
      </c>
      <c r="B676" t="s">
        <v>912</v>
      </c>
      <c r="C676" t="s">
        <v>1041</v>
      </c>
      <c r="D676" s="16">
        <v>684.8</v>
      </c>
      <c r="F676">
        <v>0</v>
      </c>
    </row>
    <row r="677" spans="1:6" x14ac:dyDescent="0.25">
      <c r="A677" t="s">
        <v>36</v>
      </c>
      <c r="B677" t="s">
        <v>912</v>
      </c>
      <c r="C677" t="s">
        <v>1041</v>
      </c>
      <c r="D677" s="16">
        <v>690</v>
      </c>
      <c r="F677">
        <v>0</v>
      </c>
    </row>
    <row r="678" spans="1:6" x14ac:dyDescent="0.25">
      <c r="A678" t="s">
        <v>36</v>
      </c>
      <c r="B678" t="s">
        <v>912</v>
      </c>
      <c r="C678" t="s">
        <v>1041</v>
      </c>
      <c r="D678" s="16">
        <v>699</v>
      </c>
      <c r="F678">
        <v>0</v>
      </c>
    </row>
    <row r="679" spans="1:6" x14ac:dyDescent="0.25">
      <c r="A679" t="s">
        <v>36</v>
      </c>
      <c r="B679" t="s">
        <v>912</v>
      </c>
      <c r="C679" t="s">
        <v>1041</v>
      </c>
      <c r="D679" s="16">
        <v>742</v>
      </c>
      <c r="F679">
        <v>0</v>
      </c>
    </row>
    <row r="680" spans="1:6" x14ac:dyDescent="0.25">
      <c r="A680" t="s">
        <v>36</v>
      </c>
      <c r="B680" t="s">
        <v>912</v>
      </c>
      <c r="C680" t="s">
        <v>1041</v>
      </c>
      <c r="D680" s="16">
        <v>779</v>
      </c>
      <c r="F680">
        <v>0</v>
      </c>
    </row>
    <row r="681" spans="1:6" x14ac:dyDescent="0.25">
      <c r="A681" t="s">
        <v>36</v>
      </c>
      <c r="B681" t="s">
        <v>912</v>
      </c>
      <c r="C681" t="s">
        <v>1041</v>
      </c>
      <c r="D681" s="16">
        <v>806</v>
      </c>
      <c r="F681">
        <v>0</v>
      </c>
    </row>
    <row r="682" spans="1:6" x14ac:dyDescent="0.25">
      <c r="A682" t="s">
        <v>36</v>
      </c>
      <c r="B682" t="s">
        <v>912</v>
      </c>
      <c r="C682" t="s">
        <v>1041</v>
      </c>
      <c r="D682" s="16">
        <v>836.6</v>
      </c>
      <c r="F682">
        <v>0</v>
      </c>
    </row>
    <row r="683" spans="1:6" x14ac:dyDescent="0.25">
      <c r="A683" t="s">
        <v>36</v>
      </c>
      <c r="B683" t="s">
        <v>912</v>
      </c>
      <c r="C683" t="s">
        <v>1041</v>
      </c>
      <c r="D683" s="16">
        <v>839</v>
      </c>
      <c r="F683">
        <v>0</v>
      </c>
    </row>
    <row r="684" spans="1:6" x14ac:dyDescent="0.25">
      <c r="A684" t="s">
        <v>36</v>
      </c>
      <c r="B684" t="s">
        <v>912</v>
      </c>
      <c r="C684" t="s">
        <v>1041</v>
      </c>
      <c r="D684" s="16">
        <v>960</v>
      </c>
      <c r="F684">
        <v>0</v>
      </c>
    </row>
    <row r="685" spans="1:6" x14ac:dyDescent="0.25">
      <c r="A685" t="s">
        <v>36</v>
      </c>
      <c r="B685" t="s">
        <v>912</v>
      </c>
      <c r="C685" t="s">
        <v>1041</v>
      </c>
      <c r="D685" s="16">
        <v>973</v>
      </c>
      <c r="F685">
        <v>0</v>
      </c>
    </row>
    <row r="686" spans="1:6" x14ac:dyDescent="0.25">
      <c r="A686" t="s">
        <v>36</v>
      </c>
      <c r="B686" t="s">
        <v>912</v>
      </c>
      <c r="C686" t="s">
        <v>1041</v>
      </c>
      <c r="D686" s="16">
        <v>979</v>
      </c>
      <c r="F686">
        <v>0</v>
      </c>
    </row>
    <row r="687" spans="1:6" x14ac:dyDescent="0.25">
      <c r="A687" t="s">
        <v>36</v>
      </c>
      <c r="B687" t="s">
        <v>912</v>
      </c>
      <c r="C687" t="s">
        <v>1041</v>
      </c>
      <c r="D687" s="16">
        <v>980</v>
      </c>
      <c r="F687">
        <v>0</v>
      </c>
    </row>
    <row r="688" spans="1:6" x14ac:dyDescent="0.25">
      <c r="A688" t="s">
        <v>36</v>
      </c>
      <c r="B688" t="s">
        <v>912</v>
      </c>
      <c r="C688" t="s">
        <v>1041</v>
      </c>
      <c r="D688" s="16">
        <v>1010.51</v>
      </c>
      <c r="F688">
        <v>0</v>
      </c>
    </row>
    <row r="689" spans="1:6" x14ac:dyDescent="0.25">
      <c r="A689" t="s">
        <v>36</v>
      </c>
      <c r="B689" t="s">
        <v>912</v>
      </c>
      <c r="C689" t="s">
        <v>1041</v>
      </c>
      <c r="D689" s="16">
        <v>1060</v>
      </c>
      <c r="F689">
        <v>0</v>
      </c>
    </row>
    <row r="690" spans="1:6" x14ac:dyDescent="0.25">
      <c r="A690" t="s">
        <v>36</v>
      </c>
      <c r="B690" t="s">
        <v>912</v>
      </c>
      <c r="C690" t="s">
        <v>1041</v>
      </c>
      <c r="D690" s="16">
        <v>1144</v>
      </c>
      <c r="F690">
        <v>0</v>
      </c>
    </row>
    <row r="691" spans="1:6" x14ac:dyDescent="0.25">
      <c r="A691" t="s">
        <v>36</v>
      </c>
      <c r="B691" t="s">
        <v>912</v>
      </c>
      <c r="C691" t="s">
        <v>1041</v>
      </c>
      <c r="D691" s="16">
        <v>1149</v>
      </c>
      <c r="F691">
        <v>0</v>
      </c>
    </row>
    <row r="692" spans="1:6" x14ac:dyDescent="0.25">
      <c r="A692" t="s">
        <v>36</v>
      </c>
      <c r="B692" t="s">
        <v>912</v>
      </c>
      <c r="C692" t="s">
        <v>1041</v>
      </c>
      <c r="D692" s="16">
        <v>1189</v>
      </c>
      <c r="F692">
        <v>0</v>
      </c>
    </row>
    <row r="693" spans="1:6" x14ac:dyDescent="0.25">
      <c r="A693" t="s">
        <v>36</v>
      </c>
      <c r="B693" t="s">
        <v>912</v>
      </c>
      <c r="C693" t="s">
        <v>1041</v>
      </c>
      <c r="D693" s="16">
        <v>1205</v>
      </c>
      <c r="F693">
        <v>0</v>
      </c>
    </row>
    <row r="694" spans="1:6" x14ac:dyDescent="0.25">
      <c r="A694" t="s">
        <v>36</v>
      </c>
      <c r="B694" t="s">
        <v>912</v>
      </c>
      <c r="C694" t="s">
        <v>1041</v>
      </c>
      <c r="D694" s="16">
        <v>1265</v>
      </c>
      <c r="F694">
        <v>0</v>
      </c>
    </row>
    <row r="695" spans="1:6" x14ac:dyDescent="0.25">
      <c r="A695" t="s">
        <v>36</v>
      </c>
      <c r="B695" t="s">
        <v>912</v>
      </c>
      <c r="C695" t="s">
        <v>1041</v>
      </c>
      <c r="D695" s="16">
        <v>1539</v>
      </c>
      <c r="F695">
        <v>0</v>
      </c>
    </row>
    <row r="696" spans="1:6" x14ac:dyDescent="0.25">
      <c r="A696" t="s">
        <v>36</v>
      </c>
      <c r="B696" t="s">
        <v>912</v>
      </c>
      <c r="C696" t="s">
        <v>1041</v>
      </c>
      <c r="D696" s="16">
        <v>1559</v>
      </c>
      <c r="F696">
        <v>0</v>
      </c>
    </row>
    <row r="697" spans="1:6" x14ac:dyDescent="0.25">
      <c r="A697" t="s">
        <v>36</v>
      </c>
      <c r="B697" t="s">
        <v>912</v>
      </c>
      <c r="C697" t="s">
        <v>1041</v>
      </c>
      <c r="D697" s="16">
        <v>1590</v>
      </c>
      <c r="F697">
        <v>0</v>
      </c>
    </row>
    <row r="698" spans="1:6" x14ac:dyDescent="0.25">
      <c r="A698" t="s">
        <v>36</v>
      </c>
      <c r="B698" t="s">
        <v>912</v>
      </c>
      <c r="C698" t="s">
        <v>1041</v>
      </c>
      <c r="D698" s="16">
        <v>1700</v>
      </c>
      <c r="F698">
        <v>0</v>
      </c>
    </row>
    <row r="699" spans="1:6" x14ac:dyDescent="0.25">
      <c r="A699" t="s">
        <v>36</v>
      </c>
      <c r="B699" t="s">
        <v>912</v>
      </c>
      <c r="C699" t="s">
        <v>1041</v>
      </c>
      <c r="D699" s="16">
        <v>1799</v>
      </c>
      <c r="F699">
        <v>0</v>
      </c>
    </row>
    <row r="700" spans="1:6" x14ac:dyDescent="0.25">
      <c r="A700" t="s">
        <v>36</v>
      </c>
      <c r="B700" t="s">
        <v>912</v>
      </c>
      <c r="C700" t="s">
        <v>1041</v>
      </c>
      <c r="D700" s="16">
        <v>2277</v>
      </c>
      <c r="F700">
        <v>0</v>
      </c>
    </row>
    <row r="701" spans="1:6" x14ac:dyDescent="0.25">
      <c r="A701" t="s">
        <v>36</v>
      </c>
      <c r="B701" t="s">
        <v>912</v>
      </c>
      <c r="C701" t="s">
        <v>1063</v>
      </c>
      <c r="D701" s="16">
        <v>612.61</v>
      </c>
      <c r="F701">
        <v>0</v>
      </c>
    </row>
    <row r="702" spans="1:6" x14ac:dyDescent="0.25">
      <c r="A702" t="s">
        <v>36</v>
      </c>
      <c r="B702" t="s">
        <v>912</v>
      </c>
      <c r="C702" t="s">
        <v>1063</v>
      </c>
      <c r="D702" s="16">
        <v>618.99</v>
      </c>
      <c r="F702">
        <v>0</v>
      </c>
    </row>
    <row r="703" spans="1:6" x14ac:dyDescent="0.25">
      <c r="A703" t="s">
        <v>36</v>
      </c>
      <c r="B703" t="s">
        <v>912</v>
      </c>
      <c r="C703" t="s">
        <v>1063</v>
      </c>
      <c r="D703" s="16">
        <v>699</v>
      </c>
      <c r="F703">
        <v>0</v>
      </c>
    </row>
    <row r="704" spans="1:6" x14ac:dyDescent="0.25">
      <c r="A704" t="s">
        <v>36</v>
      </c>
      <c r="B704" t="s">
        <v>913</v>
      </c>
      <c r="C704" t="s">
        <v>1002</v>
      </c>
      <c r="D704" s="16">
        <v>1099</v>
      </c>
      <c r="F704">
        <v>0</v>
      </c>
    </row>
    <row r="705" spans="1:6" x14ac:dyDescent="0.25">
      <c r="A705" t="s">
        <v>36</v>
      </c>
      <c r="B705" t="s">
        <v>947</v>
      </c>
      <c r="C705" t="s">
        <v>1041</v>
      </c>
      <c r="D705" s="16">
        <v>1124</v>
      </c>
      <c r="F705">
        <v>0</v>
      </c>
    </row>
    <row r="706" spans="1:6" x14ac:dyDescent="0.25">
      <c r="A706" t="s">
        <v>36</v>
      </c>
      <c r="B706" t="s">
        <v>947</v>
      </c>
      <c r="C706" t="s">
        <v>1041</v>
      </c>
      <c r="D706" s="16">
        <v>1268</v>
      </c>
      <c r="F706">
        <v>0</v>
      </c>
    </row>
    <row r="707" spans="1:6" x14ac:dyDescent="0.25">
      <c r="A707" t="s">
        <v>36</v>
      </c>
      <c r="B707" t="s">
        <v>947</v>
      </c>
      <c r="C707" t="s">
        <v>1041</v>
      </c>
      <c r="D707" s="16">
        <v>1389</v>
      </c>
      <c r="F707">
        <v>0</v>
      </c>
    </row>
    <row r="708" spans="1:6" x14ac:dyDescent="0.25">
      <c r="A708" t="s">
        <v>36</v>
      </c>
      <c r="B708" t="s">
        <v>947</v>
      </c>
      <c r="C708" t="s">
        <v>1093</v>
      </c>
      <c r="D708" s="16">
        <v>1349</v>
      </c>
      <c r="F708">
        <v>0</v>
      </c>
    </row>
    <row r="709" spans="1:6" x14ac:dyDescent="0.25">
      <c r="A709" t="s">
        <v>36</v>
      </c>
      <c r="B709" t="s">
        <v>948</v>
      </c>
      <c r="C709" t="s">
        <v>1051</v>
      </c>
      <c r="D709" s="16">
        <v>1860.99</v>
      </c>
      <c r="F709">
        <v>0</v>
      </c>
    </row>
    <row r="710" spans="1:6" x14ac:dyDescent="0.25">
      <c r="A710" t="s">
        <v>36</v>
      </c>
      <c r="B710" t="s">
        <v>966</v>
      </c>
      <c r="C710" t="s">
        <v>1041</v>
      </c>
      <c r="D710" s="16">
        <v>1082</v>
      </c>
      <c r="F710">
        <v>0</v>
      </c>
    </row>
    <row r="711" spans="1:6" x14ac:dyDescent="0.25">
      <c r="A711" t="s">
        <v>36</v>
      </c>
      <c r="B711" t="s">
        <v>915</v>
      </c>
      <c r="C711" t="s">
        <v>997</v>
      </c>
      <c r="D711" s="16">
        <v>879</v>
      </c>
      <c r="F711">
        <v>0</v>
      </c>
    </row>
    <row r="712" spans="1:6" x14ac:dyDescent="0.25">
      <c r="A712" t="s">
        <v>36</v>
      </c>
      <c r="B712" t="s">
        <v>915</v>
      </c>
      <c r="C712" t="s">
        <v>997</v>
      </c>
      <c r="D712" s="16">
        <v>896</v>
      </c>
      <c r="F712">
        <v>0</v>
      </c>
    </row>
    <row r="713" spans="1:6" x14ac:dyDescent="0.25">
      <c r="A713" t="s">
        <v>36</v>
      </c>
      <c r="B713" t="s">
        <v>915</v>
      </c>
      <c r="C713" t="s">
        <v>997</v>
      </c>
      <c r="D713" s="16">
        <v>914</v>
      </c>
      <c r="F713">
        <v>0</v>
      </c>
    </row>
    <row r="714" spans="1:6" x14ac:dyDescent="0.25">
      <c r="A714" t="s">
        <v>36</v>
      </c>
      <c r="B714" t="s">
        <v>915</v>
      </c>
      <c r="C714" t="s">
        <v>997</v>
      </c>
      <c r="D714" s="16">
        <v>923</v>
      </c>
      <c r="F714">
        <v>0</v>
      </c>
    </row>
    <row r="715" spans="1:6" x14ac:dyDescent="0.25">
      <c r="A715" t="s">
        <v>36</v>
      </c>
      <c r="B715" t="s">
        <v>915</v>
      </c>
      <c r="C715" t="s">
        <v>997</v>
      </c>
      <c r="D715" s="16">
        <v>977</v>
      </c>
      <c r="F715">
        <v>0</v>
      </c>
    </row>
    <row r="716" spans="1:6" x14ac:dyDescent="0.25">
      <c r="A716" t="s">
        <v>36</v>
      </c>
      <c r="B716" t="s">
        <v>915</v>
      </c>
      <c r="C716" t="s">
        <v>1041</v>
      </c>
      <c r="D716" s="16">
        <v>722</v>
      </c>
      <c r="F716">
        <v>0</v>
      </c>
    </row>
    <row r="717" spans="1:6" x14ac:dyDescent="0.25">
      <c r="A717" t="s">
        <v>36</v>
      </c>
      <c r="B717" t="s">
        <v>915</v>
      </c>
      <c r="C717" t="s">
        <v>1041</v>
      </c>
      <c r="D717" s="16">
        <v>860</v>
      </c>
      <c r="F717">
        <v>0</v>
      </c>
    </row>
    <row r="718" spans="1:6" x14ac:dyDescent="0.25">
      <c r="A718" t="s">
        <v>36</v>
      </c>
      <c r="B718" t="s">
        <v>915</v>
      </c>
      <c r="C718" t="s">
        <v>1063</v>
      </c>
      <c r="D718" s="16">
        <v>619</v>
      </c>
      <c r="F718">
        <v>0</v>
      </c>
    </row>
    <row r="719" spans="1:6" x14ac:dyDescent="0.25">
      <c r="A719" t="s">
        <v>36</v>
      </c>
      <c r="B719" t="s">
        <v>915</v>
      </c>
      <c r="C719" t="s">
        <v>1100</v>
      </c>
      <c r="D719" s="16">
        <v>521.47</v>
      </c>
      <c r="F719">
        <v>0</v>
      </c>
    </row>
    <row r="720" spans="1:6" x14ac:dyDescent="0.25">
      <c r="A720" t="s">
        <v>36</v>
      </c>
      <c r="B720" t="s">
        <v>915</v>
      </c>
      <c r="C720" t="s">
        <v>1100</v>
      </c>
      <c r="D720" s="16">
        <v>675</v>
      </c>
      <c r="F720">
        <v>0</v>
      </c>
    </row>
    <row r="721" spans="1:6" x14ac:dyDescent="0.25">
      <c r="A721" t="s">
        <v>36</v>
      </c>
      <c r="B721" t="s">
        <v>915</v>
      </c>
      <c r="C721" t="s">
        <v>1100</v>
      </c>
      <c r="D721" s="16">
        <v>722</v>
      </c>
      <c r="F721">
        <v>0</v>
      </c>
    </row>
    <row r="722" spans="1:6" x14ac:dyDescent="0.25">
      <c r="A722" t="s">
        <v>36</v>
      </c>
      <c r="B722" t="s">
        <v>915</v>
      </c>
      <c r="C722" t="s">
        <v>1100</v>
      </c>
      <c r="D722" s="16">
        <v>726</v>
      </c>
      <c r="F722">
        <v>0</v>
      </c>
    </row>
    <row r="723" spans="1:6" x14ac:dyDescent="0.25">
      <c r="A723" t="s">
        <v>36</v>
      </c>
      <c r="B723" t="s">
        <v>915</v>
      </c>
      <c r="C723" t="s">
        <v>1100</v>
      </c>
      <c r="D723" s="16">
        <v>754</v>
      </c>
      <c r="F723">
        <v>0</v>
      </c>
    </row>
    <row r="724" spans="1:6" x14ac:dyDescent="0.25">
      <c r="A724" t="s">
        <v>36</v>
      </c>
      <c r="B724" t="s">
        <v>915</v>
      </c>
      <c r="C724" t="s">
        <v>1100</v>
      </c>
      <c r="D724" s="16">
        <v>794</v>
      </c>
      <c r="F724">
        <v>0</v>
      </c>
    </row>
    <row r="725" spans="1:6" x14ac:dyDescent="0.25">
      <c r="A725" t="s">
        <v>36</v>
      </c>
      <c r="B725" t="s">
        <v>915</v>
      </c>
      <c r="C725" t="s">
        <v>1100</v>
      </c>
      <c r="D725" s="16">
        <v>812</v>
      </c>
      <c r="F725">
        <v>0</v>
      </c>
    </row>
    <row r="726" spans="1:6" x14ac:dyDescent="0.25">
      <c r="A726" t="s">
        <v>36</v>
      </c>
      <c r="B726" t="s">
        <v>915</v>
      </c>
      <c r="C726" t="s">
        <v>1100</v>
      </c>
      <c r="D726" s="16">
        <v>928</v>
      </c>
      <c r="F726">
        <v>0</v>
      </c>
    </row>
    <row r="727" spans="1:6" x14ac:dyDescent="0.25">
      <c r="A727" t="s">
        <v>36</v>
      </c>
      <c r="B727" t="s">
        <v>915</v>
      </c>
      <c r="C727" t="s">
        <v>1100</v>
      </c>
      <c r="D727" s="16">
        <v>959</v>
      </c>
      <c r="F727">
        <v>0</v>
      </c>
    </row>
    <row r="728" spans="1:6" x14ac:dyDescent="0.25">
      <c r="A728" t="s">
        <v>36</v>
      </c>
      <c r="B728" t="s">
        <v>915</v>
      </c>
      <c r="C728" t="s">
        <v>1100</v>
      </c>
      <c r="D728" s="16">
        <v>1398.99</v>
      </c>
      <c r="F728">
        <v>0</v>
      </c>
    </row>
    <row r="729" spans="1:6" x14ac:dyDescent="0.25">
      <c r="A729" t="s">
        <v>36</v>
      </c>
      <c r="B729" t="s">
        <v>915</v>
      </c>
      <c r="C729" t="s">
        <v>1100</v>
      </c>
      <c r="D729" s="16">
        <v>1499</v>
      </c>
      <c r="F729">
        <v>0</v>
      </c>
    </row>
    <row r="730" spans="1:6" x14ac:dyDescent="0.25">
      <c r="A730" t="s">
        <v>36</v>
      </c>
      <c r="B730" t="s">
        <v>916</v>
      </c>
      <c r="C730" t="s">
        <v>989</v>
      </c>
      <c r="D730" s="16">
        <v>1495</v>
      </c>
      <c r="F730">
        <v>0</v>
      </c>
    </row>
    <row r="731" spans="1:6" x14ac:dyDescent="0.25">
      <c r="A731" t="s">
        <v>36</v>
      </c>
      <c r="B731" t="s">
        <v>916</v>
      </c>
      <c r="C731" t="s">
        <v>1035</v>
      </c>
      <c r="D731" s="16">
        <v>679</v>
      </c>
      <c r="F731">
        <v>0</v>
      </c>
    </row>
    <row r="732" spans="1:6" x14ac:dyDescent="0.25">
      <c r="A732" t="s">
        <v>36</v>
      </c>
      <c r="B732" t="s">
        <v>916</v>
      </c>
      <c r="C732" t="s">
        <v>1035</v>
      </c>
      <c r="D732" s="16">
        <v>1228.99</v>
      </c>
      <c r="F732">
        <v>0</v>
      </c>
    </row>
    <row r="733" spans="1:6" x14ac:dyDescent="0.25">
      <c r="A733" t="s">
        <v>36</v>
      </c>
      <c r="B733" t="s">
        <v>916</v>
      </c>
      <c r="C733" t="s">
        <v>1035</v>
      </c>
      <c r="D733" s="16">
        <v>1349</v>
      </c>
      <c r="F733">
        <v>0</v>
      </c>
    </row>
    <row r="734" spans="1:6" x14ac:dyDescent="0.25">
      <c r="A734" t="s">
        <v>36</v>
      </c>
      <c r="B734" t="s">
        <v>916</v>
      </c>
      <c r="C734" t="s">
        <v>1035</v>
      </c>
      <c r="D734" s="16">
        <v>1468</v>
      </c>
      <c r="F734">
        <v>0</v>
      </c>
    </row>
    <row r="735" spans="1:6" x14ac:dyDescent="0.25">
      <c r="A735" t="s">
        <v>36</v>
      </c>
      <c r="B735" t="s">
        <v>916</v>
      </c>
      <c r="C735" t="s">
        <v>1035</v>
      </c>
      <c r="D735" s="16">
        <v>1500</v>
      </c>
      <c r="F735">
        <v>0</v>
      </c>
    </row>
    <row r="736" spans="1:6" x14ac:dyDescent="0.25">
      <c r="A736" t="s">
        <v>36</v>
      </c>
      <c r="B736" t="s">
        <v>916</v>
      </c>
      <c r="C736" t="s">
        <v>1035</v>
      </c>
      <c r="D736" s="16">
        <v>1870</v>
      </c>
      <c r="F736">
        <v>0</v>
      </c>
    </row>
    <row r="737" spans="1:6" x14ac:dyDescent="0.25">
      <c r="A737" t="s">
        <v>36</v>
      </c>
      <c r="B737" t="s">
        <v>916</v>
      </c>
      <c r="C737" t="s">
        <v>1035</v>
      </c>
      <c r="D737" s="16">
        <v>1887.21</v>
      </c>
      <c r="F737">
        <v>0</v>
      </c>
    </row>
    <row r="738" spans="1:6" x14ac:dyDescent="0.25">
      <c r="A738" t="s">
        <v>36</v>
      </c>
      <c r="B738" t="s">
        <v>916</v>
      </c>
      <c r="C738" t="s">
        <v>1035</v>
      </c>
      <c r="D738" s="16">
        <v>1969</v>
      </c>
      <c r="F738">
        <v>0</v>
      </c>
    </row>
    <row r="739" spans="1:6" x14ac:dyDescent="0.25">
      <c r="A739" t="s">
        <v>36</v>
      </c>
      <c r="B739" t="s">
        <v>916</v>
      </c>
      <c r="C739" t="s">
        <v>1035</v>
      </c>
      <c r="D739" s="16">
        <v>2171.7199999999998</v>
      </c>
      <c r="F739">
        <v>0</v>
      </c>
    </row>
    <row r="740" spans="1:6" x14ac:dyDescent="0.25">
      <c r="A740" t="s">
        <v>36</v>
      </c>
      <c r="B740" t="s">
        <v>916</v>
      </c>
      <c r="C740" t="s">
        <v>1035</v>
      </c>
      <c r="D740" s="16">
        <v>2198.19</v>
      </c>
      <c r="F740">
        <v>0</v>
      </c>
    </row>
    <row r="741" spans="1:6" x14ac:dyDescent="0.25">
      <c r="A741" t="s">
        <v>36</v>
      </c>
      <c r="B741" t="s">
        <v>916</v>
      </c>
      <c r="C741" t="s">
        <v>1035</v>
      </c>
      <c r="D741" s="16">
        <v>2229</v>
      </c>
      <c r="F741">
        <v>0</v>
      </c>
    </row>
    <row r="742" spans="1:6" x14ac:dyDescent="0.25">
      <c r="A742" t="s">
        <v>36</v>
      </c>
      <c r="B742" t="s">
        <v>916</v>
      </c>
      <c r="C742" t="s">
        <v>1035</v>
      </c>
      <c r="D742" s="16">
        <v>2296.9499999999998</v>
      </c>
      <c r="F742">
        <v>0</v>
      </c>
    </row>
    <row r="743" spans="1:6" x14ac:dyDescent="0.25">
      <c r="A743" t="s">
        <v>36</v>
      </c>
      <c r="B743" t="s">
        <v>916</v>
      </c>
      <c r="C743" t="s">
        <v>1079</v>
      </c>
      <c r="D743" s="16">
        <v>764</v>
      </c>
      <c r="F743">
        <v>0</v>
      </c>
    </row>
    <row r="744" spans="1:6" x14ac:dyDescent="0.25">
      <c r="A744" t="s">
        <v>36</v>
      </c>
      <c r="B744" t="s">
        <v>916</v>
      </c>
      <c r="C744" t="s">
        <v>1088</v>
      </c>
      <c r="D744" s="16">
        <v>1296.99</v>
      </c>
      <c r="F744">
        <v>0</v>
      </c>
    </row>
    <row r="745" spans="1:6" x14ac:dyDescent="0.25">
      <c r="A745" t="s">
        <v>36</v>
      </c>
      <c r="B745" t="s">
        <v>949</v>
      </c>
      <c r="C745" t="s">
        <v>1035</v>
      </c>
      <c r="D745" s="16">
        <v>1449</v>
      </c>
      <c r="F745">
        <v>0</v>
      </c>
    </row>
    <row r="746" spans="1:6" x14ac:dyDescent="0.25">
      <c r="A746" t="s">
        <v>36</v>
      </c>
      <c r="B746" t="s">
        <v>949</v>
      </c>
      <c r="C746" t="s">
        <v>1035</v>
      </c>
      <c r="D746" s="16">
        <v>1799</v>
      </c>
      <c r="F746">
        <v>0</v>
      </c>
    </row>
    <row r="747" spans="1:6" x14ac:dyDescent="0.25">
      <c r="A747" t="s">
        <v>36</v>
      </c>
      <c r="B747" t="s">
        <v>949</v>
      </c>
      <c r="C747" t="s">
        <v>1035</v>
      </c>
      <c r="D747" s="16">
        <v>2041</v>
      </c>
      <c r="F747">
        <v>0</v>
      </c>
    </row>
    <row r="748" spans="1:6" x14ac:dyDescent="0.25">
      <c r="A748" t="s">
        <v>36</v>
      </c>
      <c r="B748" t="s">
        <v>917</v>
      </c>
      <c r="C748" t="s">
        <v>991</v>
      </c>
      <c r="D748" s="16">
        <v>2899</v>
      </c>
      <c r="F748">
        <v>0</v>
      </c>
    </row>
    <row r="749" spans="1:6" x14ac:dyDescent="0.25">
      <c r="A749" t="s">
        <v>36</v>
      </c>
      <c r="B749" t="s">
        <v>917</v>
      </c>
      <c r="C749" t="s">
        <v>1016</v>
      </c>
      <c r="D749" s="16">
        <v>799</v>
      </c>
      <c r="F749">
        <v>0</v>
      </c>
    </row>
    <row r="750" spans="1:6" x14ac:dyDescent="0.25">
      <c r="A750" t="s">
        <v>36</v>
      </c>
      <c r="B750" t="s">
        <v>917</v>
      </c>
      <c r="C750" t="s">
        <v>1050</v>
      </c>
      <c r="D750" s="16">
        <v>1561</v>
      </c>
      <c r="F750">
        <v>0</v>
      </c>
    </row>
    <row r="751" spans="1:6" x14ac:dyDescent="0.25">
      <c r="A751" t="s">
        <v>36</v>
      </c>
      <c r="B751" t="s">
        <v>917</v>
      </c>
      <c r="C751" t="s">
        <v>1050</v>
      </c>
      <c r="D751" s="16">
        <v>1899</v>
      </c>
      <c r="F751">
        <v>0</v>
      </c>
    </row>
    <row r="752" spans="1:6" x14ac:dyDescent="0.25">
      <c r="A752" t="s">
        <v>36</v>
      </c>
      <c r="B752" t="s">
        <v>917</v>
      </c>
      <c r="C752" t="s">
        <v>1050</v>
      </c>
      <c r="D752" s="16">
        <v>2229</v>
      </c>
      <c r="F752">
        <v>0</v>
      </c>
    </row>
    <row r="753" spans="1:6" x14ac:dyDescent="0.25">
      <c r="A753" t="s">
        <v>36</v>
      </c>
      <c r="B753" t="s">
        <v>917</v>
      </c>
      <c r="C753" t="s">
        <v>1055</v>
      </c>
      <c r="D753" s="16">
        <v>3949.4</v>
      </c>
      <c r="F753">
        <v>0</v>
      </c>
    </row>
    <row r="754" spans="1:6" x14ac:dyDescent="0.25">
      <c r="A754" t="s">
        <v>36</v>
      </c>
      <c r="B754" t="s">
        <v>950</v>
      </c>
      <c r="C754" t="s">
        <v>1050</v>
      </c>
      <c r="D754" s="16">
        <v>2249</v>
      </c>
      <c r="F754">
        <v>0</v>
      </c>
    </row>
    <row r="755" spans="1:6" x14ac:dyDescent="0.25">
      <c r="A755" t="s">
        <v>36</v>
      </c>
      <c r="B755" t="s">
        <v>918</v>
      </c>
      <c r="C755" t="s">
        <v>989</v>
      </c>
      <c r="D755" s="16">
        <v>1269</v>
      </c>
      <c r="F755">
        <v>0</v>
      </c>
    </row>
    <row r="756" spans="1:6" x14ac:dyDescent="0.25">
      <c r="A756" t="s">
        <v>36</v>
      </c>
      <c r="B756" t="s">
        <v>918</v>
      </c>
      <c r="C756" t="s">
        <v>997</v>
      </c>
      <c r="D756" s="16">
        <v>900</v>
      </c>
      <c r="F756">
        <v>0</v>
      </c>
    </row>
    <row r="757" spans="1:6" x14ac:dyDescent="0.25">
      <c r="A757" t="s">
        <v>36</v>
      </c>
      <c r="B757" t="s">
        <v>918</v>
      </c>
      <c r="C757" t="s">
        <v>997</v>
      </c>
      <c r="D757" s="16">
        <v>1018.99</v>
      </c>
      <c r="F757">
        <v>0</v>
      </c>
    </row>
    <row r="758" spans="1:6" x14ac:dyDescent="0.25">
      <c r="A758" t="s">
        <v>36</v>
      </c>
      <c r="B758" t="s">
        <v>918</v>
      </c>
      <c r="C758" t="s">
        <v>997</v>
      </c>
      <c r="D758" s="16">
        <v>1185.43</v>
      </c>
      <c r="F758">
        <v>0</v>
      </c>
    </row>
    <row r="759" spans="1:6" x14ac:dyDescent="0.25">
      <c r="A759" t="s">
        <v>36</v>
      </c>
      <c r="B759" t="s">
        <v>918</v>
      </c>
      <c r="C759" t="s">
        <v>997</v>
      </c>
      <c r="D759" s="16">
        <v>1200</v>
      </c>
      <c r="F759">
        <v>0</v>
      </c>
    </row>
    <row r="760" spans="1:6" x14ac:dyDescent="0.25">
      <c r="A760" t="s">
        <v>36</v>
      </c>
      <c r="B760" t="s">
        <v>918</v>
      </c>
      <c r="C760" t="s">
        <v>997</v>
      </c>
      <c r="D760" s="16">
        <v>1280</v>
      </c>
      <c r="F760">
        <v>0</v>
      </c>
    </row>
    <row r="761" spans="1:6" x14ac:dyDescent="0.25">
      <c r="A761" t="s">
        <v>36</v>
      </c>
      <c r="B761" t="s">
        <v>918</v>
      </c>
      <c r="C761" t="s">
        <v>999</v>
      </c>
      <c r="D761" s="16">
        <v>979</v>
      </c>
      <c r="F761">
        <v>0</v>
      </c>
    </row>
    <row r="762" spans="1:6" x14ac:dyDescent="0.25">
      <c r="A762" t="s">
        <v>36</v>
      </c>
      <c r="B762" t="s">
        <v>918</v>
      </c>
      <c r="C762" t="s">
        <v>1025</v>
      </c>
      <c r="D762" s="16">
        <v>1119</v>
      </c>
      <c r="F762">
        <v>0</v>
      </c>
    </row>
    <row r="763" spans="1:6" x14ac:dyDescent="0.25">
      <c r="A763" t="s">
        <v>36</v>
      </c>
      <c r="B763" t="s">
        <v>918</v>
      </c>
      <c r="C763" t="s">
        <v>1041</v>
      </c>
      <c r="D763" s="16">
        <v>579</v>
      </c>
      <c r="F763">
        <v>0</v>
      </c>
    </row>
    <row r="764" spans="1:6" x14ac:dyDescent="0.25">
      <c r="A764" t="s">
        <v>36</v>
      </c>
      <c r="B764" t="s">
        <v>918</v>
      </c>
      <c r="C764" t="s">
        <v>1041</v>
      </c>
      <c r="D764" s="16">
        <v>598</v>
      </c>
      <c r="F764">
        <v>0</v>
      </c>
    </row>
    <row r="765" spans="1:6" x14ac:dyDescent="0.25">
      <c r="A765" t="s">
        <v>36</v>
      </c>
      <c r="B765" t="s">
        <v>918</v>
      </c>
      <c r="C765" t="s">
        <v>1041</v>
      </c>
      <c r="D765" s="16">
        <v>629</v>
      </c>
      <c r="F765">
        <v>0</v>
      </c>
    </row>
    <row r="766" spans="1:6" x14ac:dyDescent="0.25">
      <c r="A766" t="s">
        <v>36</v>
      </c>
      <c r="B766" t="s">
        <v>918</v>
      </c>
      <c r="C766" t="s">
        <v>1041</v>
      </c>
      <c r="D766" s="16">
        <v>752</v>
      </c>
      <c r="F766">
        <v>0</v>
      </c>
    </row>
    <row r="767" spans="1:6" x14ac:dyDescent="0.25">
      <c r="A767" t="s">
        <v>36</v>
      </c>
      <c r="B767" t="s">
        <v>918</v>
      </c>
      <c r="C767" t="s">
        <v>1041</v>
      </c>
      <c r="D767" s="16">
        <v>1070</v>
      </c>
      <c r="F767">
        <v>0</v>
      </c>
    </row>
    <row r="768" spans="1:6" x14ac:dyDescent="0.25">
      <c r="A768" t="s">
        <v>36</v>
      </c>
      <c r="B768" t="s">
        <v>918</v>
      </c>
      <c r="C768" t="s">
        <v>1041</v>
      </c>
      <c r="D768" s="16">
        <v>1090</v>
      </c>
      <c r="F768">
        <v>0</v>
      </c>
    </row>
    <row r="769" spans="1:6" x14ac:dyDescent="0.25">
      <c r="A769" t="s">
        <v>36</v>
      </c>
      <c r="B769" t="s">
        <v>918</v>
      </c>
      <c r="C769" t="s">
        <v>1041</v>
      </c>
      <c r="D769" s="16">
        <v>1145</v>
      </c>
      <c r="F769">
        <v>0</v>
      </c>
    </row>
    <row r="770" spans="1:6" x14ac:dyDescent="0.25">
      <c r="A770" t="s">
        <v>36</v>
      </c>
      <c r="B770" t="s">
        <v>918</v>
      </c>
      <c r="C770" t="s">
        <v>1041</v>
      </c>
      <c r="D770" s="16">
        <v>1149</v>
      </c>
      <c r="F770">
        <v>0</v>
      </c>
    </row>
    <row r="771" spans="1:6" x14ac:dyDescent="0.25">
      <c r="A771" t="s">
        <v>36</v>
      </c>
      <c r="B771" t="s">
        <v>918</v>
      </c>
      <c r="C771" t="s">
        <v>1041</v>
      </c>
      <c r="D771" s="16">
        <v>1219</v>
      </c>
      <c r="F771">
        <v>0</v>
      </c>
    </row>
    <row r="772" spans="1:6" x14ac:dyDescent="0.25">
      <c r="A772" t="s">
        <v>36</v>
      </c>
      <c r="B772" t="s">
        <v>918</v>
      </c>
      <c r="C772" t="s">
        <v>1041</v>
      </c>
      <c r="D772" s="16">
        <v>1292</v>
      </c>
      <c r="F772">
        <v>0</v>
      </c>
    </row>
    <row r="773" spans="1:6" x14ac:dyDescent="0.25">
      <c r="A773" t="s">
        <v>36</v>
      </c>
      <c r="B773" t="s">
        <v>918</v>
      </c>
      <c r="C773" t="s">
        <v>1041</v>
      </c>
      <c r="D773" s="16">
        <v>1304</v>
      </c>
      <c r="F773">
        <v>0</v>
      </c>
    </row>
    <row r="774" spans="1:6" x14ac:dyDescent="0.25">
      <c r="A774" t="s">
        <v>36</v>
      </c>
      <c r="B774" t="s">
        <v>918</v>
      </c>
      <c r="C774" t="s">
        <v>1041</v>
      </c>
      <c r="D774" s="16">
        <v>1323</v>
      </c>
      <c r="F774">
        <v>0</v>
      </c>
    </row>
    <row r="775" spans="1:6" x14ac:dyDescent="0.25">
      <c r="A775" t="s">
        <v>36</v>
      </c>
      <c r="B775" t="s">
        <v>918</v>
      </c>
      <c r="C775" t="s">
        <v>1041</v>
      </c>
      <c r="D775" s="16">
        <v>1335</v>
      </c>
      <c r="F775">
        <v>0</v>
      </c>
    </row>
    <row r="776" spans="1:6" x14ac:dyDescent="0.25">
      <c r="A776" t="s">
        <v>36</v>
      </c>
      <c r="B776" t="s">
        <v>918</v>
      </c>
      <c r="C776" t="s">
        <v>1041</v>
      </c>
      <c r="D776" s="16">
        <v>1349</v>
      </c>
      <c r="F776">
        <v>0</v>
      </c>
    </row>
    <row r="777" spans="1:6" x14ac:dyDescent="0.25">
      <c r="A777" t="s">
        <v>36</v>
      </c>
      <c r="B777" t="s">
        <v>918</v>
      </c>
      <c r="C777" t="s">
        <v>1041</v>
      </c>
      <c r="D777" s="16">
        <v>1389</v>
      </c>
      <c r="F777">
        <v>0</v>
      </c>
    </row>
    <row r="778" spans="1:6" x14ac:dyDescent="0.25">
      <c r="A778" t="s">
        <v>36</v>
      </c>
      <c r="B778" t="s">
        <v>918</v>
      </c>
      <c r="C778" t="s">
        <v>1041</v>
      </c>
      <c r="D778" s="16">
        <v>1399</v>
      </c>
      <c r="F778">
        <v>0</v>
      </c>
    </row>
    <row r="779" spans="1:6" x14ac:dyDescent="0.25">
      <c r="A779" t="s">
        <v>36</v>
      </c>
      <c r="B779" t="s">
        <v>918</v>
      </c>
      <c r="C779" t="s">
        <v>1041</v>
      </c>
      <c r="D779" s="16">
        <v>1483</v>
      </c>
      <c r="F779">
        <v>0</v>
      </c>
    </row>
    <row r="780" spans="1:6" x14ac:dyDescent="0.25">
      <c r="A780" t="s">
        <v>36</v>
      </c>
      <c r="B780" t="s">
        <v>918</v>
      </c>
      <c r="C780" t="s">
        <v>1041</v>
      </c>
      <c r="D780" s="16">
        <v>1750</v>
      </c>
      <c r="F780">
        <v>0</v>
      </c>
    </row>
    <row r="781" spans="1:6" x14ac:dyDescent="0.25">
      <c r="A781" t="s">
        <v>36</v>
      </c>
      <c r="B781" t="s">
        <v>918</v>
      </c>
      <c r="C781" t="s">
        <v>1041</v>
      </c>
      <c r="D781" s="16">
        <v>2049</v>
      </c>
      <c r="F781">
        <v>0</v>
      </c>
    </row>
    <row r="782" spans="1:6" x14ac:dyDescent="0.25">
      <c r="A782" t="s">
        <v>36</v>
      </c>
      <c r="B782" t="s">
        <v>918</v>
      </c>
      <c r="C782" t="s">
        <v>1041</v>
      </c>
      <c r="D782" s="16">
        <v>2089</v>
      </c>
      <c r="F782">
        <v>0</v>
      </c>
    </row>
    <row r="783" spans="1:6" x14ac:dyDescent="0.25">
      <c r="A783" t="s">
        <v>36</v>
      </c>
      <c r="B783" t="s">
        <v>918</v>
      </c>
      <c r="C783" t="s">
        <v>1065</v>
      </c>
      <c r="D783" s="16">
        <v>689</v>
      </c>
      <c r="F783">
        <v>0</v>
      </c>
    </row>
    <row r="784" spans="1:6" x14ac:dyDescent="0.25">
      <c r="A784" t="s">
        <v>36</v>
      </c>
      <c r="B784" t="s">
        <v>918</v>
      </c>
      <c r="C784" t="s">
        <v>1065</v>
      </c>
      <c r="D784" s="16">
        <v>719</v>
      </c>
      <c r="F784">
        <v>0</v>
      </c>
    </row>
    <row r="785" spans="1:6" x14ac:dyDescent="0.25">
      <c r="A785" t="s">
        <v>36</v>
      </c>
      <c r="B785" t="s">
        <v>918</v>
      </c>
      <c r="C785" t="s">
        <v>1065</v>
      </c>
      <c r="D785" s="16">
        <v>745</v>
      </c>
      <c r="F785">
        <v>0</v>
      </c>
    </row>
    <row r="786" spans="1:6" x14ac:dyDescent="0.25">
      <c r="A786" t="s">
        <v>36</v>
      </c>
      <c r="B786" t="s">
        <v>952</v>
      </c>
      <c r="C786" t="s">
        <v>1041</v>
      </c>
      <c r="D786" s="16">
        <v>1749</v>
      </c>
      <c r="F786">
        <v>0</v>
      </c>
    </row>
    <row r="787" spans="1:6" x14ac:dyDescent="0.25">
      <c r="A787" t="s">
        <v>36</v>
      </c>
      <c r="B787" t="s">
        <v>952</v>
      </c>
      <c r="C787" t="s">
        <v>1041</v>
      </c>
      <c r="D787" s="16">
        <v>1975</v>
      </c>
      <c r="F787">
        <v>0</v>
      </c>
    </row>
    <row r="788" spans="1:6" x14ac:dyDescent="0.25">
      <c r="A788" t="s">
        <v>36</v>
      </c>
      <c r="B788" t="s">
        <v>952</v>
      </c>
      <c r="C788" t="s">
        <v>1041</v>
      </c>
      <c r="D788" s="16">
        <v>2559</v>
      </c>
      <c r="F788">
        <v>0</v>
      </c>
    </row>
    <row r="789" spans="1:6" x14ac:dyDescent="0.25">
      <c r="A789" t="s">
        <v>36</v>
      </c>
      <c r="B789" t="s">
        <v>919</v>
      </c>
      <c r="C789" t="s">
        <v>1002</v>
      </c>
      <c r="D789" s="16">
        <v>899</v>
      </c>
      <c r="F789">
        <v>0</v>
      </c>
    </row>
    <row r="790" spans="1:6" x14ac:dyDescent="0.25">
      <c r="A790" t="s">
        <v>36</v>
      </c>
      <c r="B790" t="s">
        <v>919</v>
      </c>
      <c r="C790" t="s">
        <v>1002</v>
      </c>
      <c r="D790" s="16">
        <v>1099</v>
      </c>
      <c r="F790">
        <v>0</v>
      </c>
    </row>
    <row r="791" spans="1:6" x14ac:dyDescent="0.25">
      <c r="A791" t="s">
        <v>36</v>
      </c>
      <c r="B791" t="s">
        <v>919</v>
      </c>
      <c r="C791" t="s">
        <v>1002</v>
      </c>
      <c r="D791" s="16">
        <v>1191</v>
      </c>
      <c r="F791">
        <v>0</v>
      </c>
    </row>
    <row r="792" spans="1:6" x14ac:dyDescent="0.25">
      <c r="A792" t="s">
        <v>36</v>
      </c>
      <c r="B792" t="s">
        <v>919</v>
      </c>
      <c r="C792" t="s">
        <v>1002</v>
      </c>
      <c r="D792" s="16">
        <v>1249</v>
      </c>
      <c r="F792">
        <v>0</v>
      </c>
    </row>
    <row r="793" spans="1:6" x14ac:dyDescent="0.25">
      <c r="A793" t="s">
        <v>36</v>
      </c>
      <c r="B793" t="s">
        <v>919</v>
      </c>
      <c r="C793" t="s">
        <v>1002</v>
      </c>
      <c r="D793" s="16">
        <v>1327</v>
      </c>
      <c r="F793">
        <v>0</v>
      </c>
    </row>
    <row r="794" spans="1:6" x14ac:dyDescent="0.25">
      <c r="A794" t="s">
        <v>36</v>
      </c>
      <c r="B794" t="s">
        <v>919</v>
      </c>
      <c r="C794" t="s">
        <v>1002</v>
      </c>
      <c r="D794" s="16">
        <v>1379</v>
      </c>
      <c r="F794">
        <v>0</v>
      </c>
    </row>
    <row r="795" spans="1:6" x14ac:dyDescent="0.25">
      <c r="A795" t="s">
        <v>36</v>
      </c>
      <c r="B795" t="s">
        <v>919</v>
      </c>
      <c r="C795" t="s">
        <v>1002</v>
      </c>
      <c r="D795" s="16">
        <v>1498</v>
      </c>
      <c r="F795">
        <v>0</v>
      </c>
    </row>
    <row r="796" spans="1:6" x14ac:dyDescent="0.25">
      <c r="A796" t="s">
        <v>36</v>
      </c>
      <c r="B796" t="s">
        <v>919</v>
      </c>
      <c r="C796" t="s">
        <v>1006</v>
      </c>
      <c r="D796" s="16">
        <v>1699</v>
      </c>
      <c r="F796">
        <v>0</v>
      </c>
    </row>
    <row r="797" spans="1:6" x14ac:dyDescent="0.25">
      <c r="A797" t="s">
        <v>36</v>
      </c>
      <c r="B797" t="s">
        <v>919</v>
      </c>
      <c r="C797" t="s">
        <v>1006</v>
      </c>
      <c r="D797" s="16">
        <v>1799</v>
      </c>
      <c r="F797">
        <v>0</v>
      </c>
    </row>
    <row r="798" spans="1:6" x14ac:dyDescent="0.25">
      <c r="A798" t="s">
        <v>36</v>
      </c>
      <c r="B798" t="s">
        <v>919</v>
      </c>
      <c r="C798" t="s">
        <v>1007</v>
      </c>
      <c r="D798" s="16">
        <v>1999</v>
      </c>
      <c r="F798">
        <v>0</v>
      </c>
    </row>
    <row r="799" spans="1:6" x14ac:dyDescent="0.25">
      <c r="A799" t="s">
        <v>36</v>
      </c>
      <c r="B799" t="s">
        <v>919</v>
      </c>
      <c r="C799" t="s">
        <v>1051</v>
      </c>
      <c r="D799" s="16">
        <v>1738.27</v>
      </c>
      <c r="F799">
        <v>0</v>
      </c>
    </row>
    <row r="800" spans="1:6" x14ac:dyDescent="0.25">
      <c r="A800" t="s">
        <v>36</v>
      </c>
      <c r="B800" t="s">
        <v>919</v>
      </c>
      <c r="C800" t="s">
        <v>1051</v>
      </c>
      <c r="D800" s="16">
        <v>1907.99</v>
      </c>
      <c r="F800">
        <v>0</v>
      </c>
    </row>
    <row r="801" spans="1:6" x14ac:dyDescent="0.25">
      <c r="A801" t="s">
        <v>36</v>
      </c>
      <c r="B801" t="s">
        <v>919</v>
      </c>
      <c r="C801" t="s">
        <v>1053</v>
      </c>
      <c r="D801" s="16">
        <v>2064.9</v>
      </c>
      <c r="F801">
        <v>0</v>
      </c>
    </row>
    <row r="802" spans="1:6" x14ac:dyDescent="0.25">
      <c r="A802" t="s">
        <v>36</v>
      </c>
      <c r="B802" t="s">
        <v>919</v>
      </c>
      <c r="C802" t="s">
        <v>1053</v>
      </c>
      <c r="D802" s="16">
        <v>2419</v>
      </c>
      <c r="F802">
        <v>0</v>
      </c>
    </row>
    <row r="803" spans="1:6" x14ac:dyDescent="0.25">
      <c r="A803" t="s">
        <v>36</v>
      </c>
      <c r="B803" t="s">
        <v>919</v>
      </c>
      <c r="C803" t="s">
        <v>1099</v>
      </c>
      <c r="D803" s="16">
        <v>1749</v>
      </c>
      <c r="F803">
        <v>0</v>
      </c>
    </row>
    <row r="804" spans="1:6" x14ac:dyDescent="0.25">
      <c r="A804" t="s">
        <v>36</v>
      </c>
      <c r="B804" t="s">
        <v>954</v>
      </c>
      <c r="C804" t="s">
        <v>1041</v>
      </c>
      <c r="D804" s="16">
        <v>1534</v>
      </c>
      <c r="F804">
        <v>0</v>
      </c>
    </row>
    <row r="805" spans="1:6" x14ac:dyDescent="0.25">
      <c r="A805" t="s">
        <v>36</v>
      </c>
      <c r="B805" t="s">
        <v>954</v>
      </c>
      <c r="C805" t="s">
        <v>1042</v>
      </c>
      <c r="D805" s="16">
        <v>1427</v>
      </c>
      <c r="F805">
        <v>0</v>
      </c>
    </row>
    <row r="806" spans="1:6" x14ac:dyDescent="0.25">
      <c r="A806" t="s">
        <v>36</v>
      </c>
      <c r="B806" t="s">
        <v>921</v>
      </c>
      <c r="C806" t="s">
        <v>997</v>
      </c>
      <c r="D806" s="16">
        <v>1018</v>
      </c>
      <c r="F806">
        <v>0</v>
      </c>
    </row>
    <row r="807" spans="1:6" x14ac:dyDescent="0.25">
      <c r="A807" t="s">
        <v>36</v>
      </c>
      <c r="B807" t="s">
        <v>921</v>
      </c>
      <c r="C807" t="s">
        <v>997</v>
      </c>
      <c r="D807" s="16">
        <v>1031</v>
      </c>
      <c r="F807">
        <v>0</v>
      </c>
    </row>
    <row r="808" spans="1:6" x14ac:dyDescent="0.25">
      <c r="A808" t="s">
        <v>36</v>
      </c>
      <c r="B808" t="s">
        <v>921</v>
      </c>
      <c r="C808" t="s">
        <v>997</v>
      </c>
      <c r="D808" s="16">
        <v>1045</v>
      </c>
      <c r="F808">
        <v>0</v>
      </c>
    </row>
    <row r="809" spans="1:6" x14ac:dyDescent="0.25">
      <c r="A809" t="s">
        <v>36</v>
      </c>
      <c r="B809" t="s">
        <v>921</v>
      </c>
      <c r="C809" t="s">
        <v>997</v>
      </c>
      <c r="D809" s="16">
        <v>1271</v>
      </c>
      <c r="F809">
        <v>0</v>
      </c>
    </row>
    <row r="810" spans="1:6" x14ac:dyDescent="0.25">
      <c r="A810" t="s">
        <v>36</v>
      </c>
      <c r="B810" t="s">
        <v>921</v>
      </c>
      <c r="C810" t="s">
        <v>1012</v>
      </c>
      <c r="D810" s="16">
        <v>699</v>
      </c>
      <c r="F810">
        <v>0</v>
      </c>
    </row>
    <row r="811" spans="1:6" x14ac:dyDescent="0.25">
      <c r="A811" t="s">
        <v>36</v>
      </c>
      <c r="B811" t="s">
        <v>921</v>
      </c>
      <c r="C811" t="s">
        <v>1025</v>
      </c>
      <c r="D811" s="16">
        <v>1059</v>
      </c>
      <c r="F811">
        <v>0</v>
      </c>
    </row>
    <row r="812" spans="1:6" x14ac:dyDescent="0.25">
      <c r="A812" t="s">
        <v>36</v>
      </c>
      <c r="B812" t="s">
        <v>921</v>
      </c>
      <c r="C812" t="s">
        <v>1041</v>
      </c>
      <c r="D812" s="16">
        <v>659</v>
      </c>
      <c r="F812">
        <v>0</v>
      </c>
    </row>
    <row r="813" spans="1:6" x14ac:dyDescent="0.25">
      <c r="A813" t="s">
        <v>36</v>
      </c>
      <c r="B813" t="s">
        <v>921</v>
      </c>
      <c r="C813" t="s">
        <v>1100</v>
      </c>
      <c r="D813" s="16">
        <v>902</v>
      </c>
      <c r="F813">
        <v>0</v>
      </c>
    </row>
    <row r="814" spans="1:6" x14ac:dyDescent="0.25">
      <c r="A814" t="s">
        <v>36</v>
      </c>
      <c r="B814" t="s">
        <v>921</v>
      </c>
      <c r="C814" t="s">
        <v>1100</v>
      </c>
      <c r="D814" s="16">
        <v>988</v>
      </c>
      <c r="F814">
        <v>0</v>
      </c>
    </row>
    <row r="815" spans="1:6" x14ac:dyDescent="0.25">
      <c r="A815" t="s">
        <v>36</v>
      </c>
      <c r="B815" t="s">
        <v>921</v>
      </c>
      <c r="C815" t="s">
        <v>1100</v>
      </c>
      <c r="D815" s="16">
        <v>1084</v>
      </c>
      <c r="F815">
        <v>0</v>
      </c>
    </row>
    <row r="816" spans="1:6" x14ac:dyDescent="0.25">
      <c r="A816" t="s">
        <v>36</v>
      </c>
      <c r="B816" t="s">
        <v>921</v>
      </c>
      <c r="C816" t="s">
        <v>1100</v>
      </c>
      <c r="D816" s="16">
        <v>1103</v>
      </c>
      <c r="F816">
        <v>0</v>
      </c>
    </row>
    <row r="817" spans="1:6" x14ac:dyDescent="0.25">
      <c r="A817" t="s">
        <v>36</v>
      </c>
      <c r="B817" t="s">
        <v>921</v>
      </c>
      <c r="C817" t="s">
        <v>1100</v>
      </c>
      <c r="D817" s="16">
        <v>1159</v>
      </c>
      <c r="F817">
        <v>0</v>
      </c>
    </row>
    <row r="818" spans="1:6" x14ac:dyDescent="0.25">
      <c r="A818" t="s">
        <v>36</v>
      </c>
      <c r="B818" t="s">
        <v>921</v>
      </c>
      <c r="C818" t="s">
        <v>1100</v>
      </c>
      <c r="D818" s="16">
        <v>1197</v>
      </c>
      <c r="F818">
        <v>0</v>
      </c>
    </row>
    <row r="819" spans="1:6" x14ac:dyDescent="0.25">
      <c r="A819" t="s">
        <v>36</v>
      </c>
      <c r="B819" t="s">
        <v>921</v>
      </c>
      <c r="C819" t="s">
        <v>1100</v>
      </c>
      <c r="D819" s="16">
        <v>1999</v>
      </c>
      <c r="F819">
        <v>0</v>
      </c>
    </row>
    <row r="820" spans="1:6" x14ac:dyDescent="0.25">
      <c r="A820" t="s">
        <v>36</v>
      </c>
      <c r="B820" t="s">
        <v>921</v>
      </c>
      <c r="C820" t="s">
        <v>1100</v>
      </c>
      <c r="D820" s="16">
        <v>2449</v>
      </c>
      <c r="F820">
        <v>0</v>
      </c>
    </row>
    <row r="821" spans="1:6" x14ac:dyDescent="0.25">
      <c r="A821" t="s">
        <v>36</v>
      </c>
      <c r="B821" t="s">
        <v>967</v>
      </c>
      <c r="C821" t="s">
        <v>1034</v>
      </c>
      <c r="D821" s="16">
        <v>1699</v>
      </c>
      <c r="F821">
        <v>0</v>
      </c>
    </row>
    <row r="822" spans="1:6" x14ac:dyDescent="0.25">
      <c r="A822" t="s">
        <v>36</v>
      </c>
      <c r="B822" t="s">
        <v>968</v>
      </c>
      <c r="C822" t="s">
        <v>1034</v>
      </c>
      <c r="D822" s="16">
        <v>1908</v>
      </c>
      <c r="F822">
        <v>0</v>
      </c>
    </row>
    <row r="823" spans="1:6" x14ac:dyDescent="0.25">
      <c r="A823" t="s">
        <v>36</v>
      </c>
      <c r="B823" t="s">
        <v>968</v>
      </c>
      <c r="C823" t="s">
        <v>1034</v>
      </c>
      <c r="D823" s="16">
        <v>1965</v>
      </c>
      <c r="F823">
        <v>0</v>
      </c>
    </row>
    <row r="824" spans="1:6" x14ac:dyDescent="0.25">
      <c r="A824" t="s">
        <v>36</v>
      </c>
      <c r="B824" t="s">
        <v>968</v>
      </c>
      <c r="C824" t="s">
        <v>1034</v>
      </c>
      <c r="D824" s="16">
        <v>2014</v>
      </c>
      <c r="F824">
        <v>0</v>
      </c>
    </row>
    <row r="825" spans="1:6" x14ac:dyDescent="0.25">
      <c r="A825" t="s">
        <v>36</v>
      </c>
      <c r="B825" t="s">
        <v>968</v>
      </c>
      <c r="C825" t="s">
        <v>1034</v>
      </c>
      <c r="D825" s="16">
        <v>3100</v>
      </c>
      <c r="F825">
        <v>0</v>
      </c>
    </row>
    <row r="826" spans="1:6" x14ac:dyDescent="0.25">
      <c r="A826" t="s">
        <v>36</v>
      </c>
      <c r="B826" t="s">
        <v>971</v>
      </c>
      <c r="C826" t="s">
        <v>1034</v>
      </c>
      <c r="D826" s="16">
        <v>615</v>
      </c>
      <c r="F826">
        <v>0</v>
      </c>
    </row>
    <row r="827" spans="1:6" x14ac:dyDescent="0.25">
      <c r="A827" t="s">
        <v>36</v>
      </c>
      <c r="B827" t="s">
        <v>922</v>
      </c>
      <c r="C827" t="s">
        <v>1030</v>
      </c>
      <c r="D827" s="16">
        <v>389</v>
      </c>
      <c r="F827">
        <v>0</v>
      </c>
    </row>
    <row r="828" spans="1:6" x14ac:dyDescent="0.25">
      <c r="A828" t="s">
        <v>36</v>
      </c>
      <c r="B828" t="s">
        <v>922</v>
      </c>
      <c r="C828" t="s">
        <v>1030</v>
      </c>
      <c r="D828" s="16">
        <v>398.99</v>
      </c>
      <c r="F828">
        <v>0</v>
      </c>
    </row>
    <row r="829" spans="1:6" x14ac:dyDescent="0.25">
      <c r="A829" t="s">
        <v>36</v>
      </c>
      <c r="B829" t="s">
        <v>922</v>
      </c>
      <c r="C829" t="s">
        <v>1030</v>
      </c>
      <c r="D829" s="16">
        <v>500</v>
      </c>
      <c r="F829">
        <v>0</v>
      </c>
    </row>
    <row r="830" spans="1:6" x14ac:dyDescent="0.25">
      <c r="A830" t="s">
        <v>36</v>
      </c>
      <c r="B830" t="s">
        <v>923</v>
      </c>
      <c r="C830" t="s">
        <v>1032</v>
      </c>
      <c r="D830" s="16">
        <v>775</v>
      </c>
      <c r="F830">
        <v>0</v>
      </c>
    </row>
    <row r="831" spans="1:6" x14ac:dyDescent="0.25">
      <c r="A831" t="s">
        <v>36</v>
      </c>
      <c r="B831" t="s">
        <v>972</v>
      </c>
      <c r="C831" t="s">
        <v>1052</v>
      </c>
      <c r="D831" s="16">
        <v>4389</v>
      </c>
      <c r="F831">
        <v>0</v>
      </c>
    </row>
    <row r="832" spans="1:6" x14ac:dyDescent="0.25">
      <c r="A832" t="s">
        <v>238</v>
      </c>
      <c r="B832" t="s">
        <v>912</v>
      </c>
      <c r="C832" t="s">
        <v>1041</v>
      </c>
      <c r="D832" s="16">
        <v>1349</v>
      </c>
      <c r="F832">
        <v>0</v>
      </c>
    </row>
    <row r="833" spans="1:6" x14ac:dyDescent="0.25">
      <c r="A833" t="s">
        <v>238</v>
      </c>
      <c r="B833" t="s">
        <v>918</v>
      </c>
      <c r="C833" t="s">
        <v>1041</v>
      </c>
      <c r="D833" s="16">
        <v>1499</v>
      </c>
      <c r="F833">
        <v>0</v>
      </c>
    </row>
    <row r="834" spans="1:6" x14ac:dyDescent="0.25">
      <c r="A834" t="s">
        <v>73</v>
      </c>
      <c r="B834" t="s">
        <v>960</v>
      </c>
      <c r="C834" t="s">
        <v>1076</v>
      </c>
      <c r="D834" s="16">
        <v>499</v>
      </c>
      <c r="F834">
        <v>0</v>
      </c>
    </row>
    <row r="835" spans="1:6" x14ac:dyDescent="0.25">
      <c r="A835" t="s">
        <v>73</v>
      </c>
      <c r="B835" t="s">
        <v>898</v>
      </c>
      <c r="C835" t="s">
        <v>1064</v>
      </c>
      <c r="D835" s="16">
        <v>549</v>
      </c>
      <c r="F835">
        <v>0</v>
      </c>
    </row>
    <row r="836" spans="1:6" x14ac:dyDescent="0.25">
      <c r="A836" t="s">
        <v>73</v>
      </c>
      <c r="B836" t="s">
        <v>898</v>
      </c>
      <c r="C836" t="s">
        <v>1064</v>
      </c>
      <c r="D836" s="16">
        <v>597.57000000000005</v>
      </c>
      <c r="F836">
        <v>0</v>
      </c>
    </row>
    <row r="837" spans="1:6" x14ac:dyDescent="0.25">
      <c r="A837" t="s">
        <v>73</v>
      </c>
      <c r="B837" t="s">
        <v>898</v>
      </c>
      <c r="C837" t="s">
        <v>1064</v>
      </c>
      <c r="D837" s="16">
        <v>899</v>
      </c>
      <c r="F837">
        <v>0</v>
      </c>
    </row>
    <row r="838" spans="1:6" x14ac:dyDescent="0.25">
      <c r="A838" t="s">
        <v>73</v>
      </c>
      <c r="B838" t="s">
        <v>898</v>
      </c>
      <c r="C838" t="s">
        <v>1064</v>
      </c>
      <c r="D838" s="16">
        <v>949</v>
      </c>
      <c r="F838">
        <v>0</v>
      </c>
    </row>
    <row r="839" spans="1:6" x14ac:dyDescent="0.25">
      <c r="A839" t="s">
        <v>73</v>
      </c>
      <c r="B839" t="s">
        <v>898</v>
      </c>
      <c r="C839" t="s">
        <v>1085</v>
      </c>
      <c r="D839" s="16">
        <v>429</v>
      </c>
      <c r="F839">
        <v>0</v>
      </c>
    </row>
    <row r="840" spans="1:6" x14ac:dyDescent="0.25">
      <c r="A840" t="s">
        <v>73</v>
      </c>
      <c r="B840" t="s">
        <v>973</v>
      </c>
      <c r="C840" t="s">
        <v>1072</v>
      </c>
      <c r="D840" s="16">
        <v>379</v>
      </c>
      <c r="F840">
        <v>0</v>
      </c>
    </row>
    <row r="841" spans="1:6" x14ac:dyDescent="0.25">
      <c r="A841" t="s">
        <v>73</v>
      </c>
      <c r="B841" t="s">
        <v>974</v>
      </c>
      <c r="C841" t="s">
        <v>1073</v>
      </c>
      <c r="D841" s="16">
        <v>298</v>
      </c>
      <c r="F841">
        <v>0</v>
      </c>
    </row>
    <row r="842" spans="1:6" x14ac:dyDescent="0.25">
      <c r="A842" t="s">
        <v>73</v>
      </c>
      <c r="B842" t="s">
        <v>962</v>
      </c>
      <c r="C842" t="s">
        <v>1061</v>
      </c>
      <c r="D842" s="16">
        <v>399</v>
      </c>
      <c r="F842">
        <v>0</v>
      </c>
    </row>
    <row r="843" spans="1:6" x14ac:dyDescent="0.25">
      <c r="A843" t="s">
        <v>73</v>
      </c>
      <c r="B843" t="s">
        <v>962</v>
      </c>
      <c r="C843" t="s">
        <v>1073</v>
      </c>
      <c r="D843" s="16">
        <v>519</v>
      </c>
      <c r="F843">
        <v>0</v>
      </c>
    </row>
    <row r="844" spans="1:6" x14ac:dyDescent="0.25">
      <c r="A844" t="s">
        <v>73</v>
      </c>
      <c r="B844" t="s">
        <v>962</v>
      </c>
      <c r="C844" t="s">
        <v>1074</v>
      </c>
      <c r="D844" s="16">
        <v>309</v>
      </c>
      <c r="F844">
        <v>0</v>
      </c>
    </row>
    <row r="845" spans="1:6" x14ac:dyDescent="0.25">
      <c r="A845" t="s">
        <v>73</v>
      </c>
      <c r="B845" t="s">
        <v>899</v>
      </c>
      <c r="C845" t="s">
        <v>1075</v>
      </c>
      <c r="D845" s="16">
        <v>489</v>
      </c>
      <c r="F845">
        <v>0</v>
      </c>
    </row>
    <row r="846" spans="1:6" x14ac:dyDescent="0.25">
      <c r="A846" t="s">
        <v>73</v>
      </c>
      <c r="B846" t="s">
        <v>900</v>
      </c>
      <c r="C846" t="s">
        <v>1064</v>
      </c>
      <c r="D846" s="16">
        <v>399</v>
      </c>
      <c r="F846">
        <v>0</v>
      </c>
    </row>
    <row r="847" spans="1:6" x14ac:dyDescent="0.25">
      <c r="A847" t="s">
        <v>73</v>
      </c>
      <c r="B847" t="s">
        <v>979</v>
      </c>
      <c r="C847" t="s">
        <v>1071</v>
      </c>
      <c r="D847" s="16">
        <v>299</v>
      </c>
      <c r="F847">
        <v>0</v>
      </c>
    </row>
    <row r="848" spans="1:6" x14ac:dyDescent="0.25">
      <c r="A848" t="s">
        <v>73</v>
      </c>
      <c r="B848" t="s">
        <v>980</v>
      </c>
      <c r="C848" t="s">
        <v>1071</v>
      </c>
      <c r="D848" s="16">
        <v>349</v>
      </c>
      <c r="F848">
        <v>0</v>
      </c>
    </row>
    <row r="849" spans="1:6" x14ac:dyDescent="0.25">
      <c r="A849" t="s">
        <v>73</v>
      </c>
      <c r="B849" t="s">
        <v>981</v>
      </c>
      <c r="C849" t="s">
        <v>1094</v>
      </c>
      <c r="D849" s="16">
        <v>999</v>
      </c>
      <c r="F849">
        <v>0</v>
      </c>
    </row>
    <row r="850" spans="1:6" x14ac:dyDescent="0.25">
      <c r="A850" t="s">
        <v>73</v>
      </c>
      <c r="B850" t="s">
        <v>975</v>
      </c>
      <c r="C850" t="s">
        <v>1029</v>
      </c>
      <c r="D850" s="16">
        <v>319</v>
      </c>
      <c r="F850">
        <v>0</v>
      </c>
    </row>
    <row r="851" spans="1:6" x14ac:dyDescent="0.25">
      <c r="A851" t="s">
        <v>73</v>
      </c>
      <c r="B851" t="s">
        <v>975</v>
      </c>
      <c r="C851" t="s">
        <v>1029</v>
      </c>
      <c r="D851" s="16">
        <v>479</v>
      </c>
      <c r="F851">
        <v>0</v>
      </c>
    </row>
    <row r="852" spans="1:6" x14ac:dyDescent="0.25">
      <c r="A852" t="s">
        <v>73</v>
      </c>
      <c r="B852" t="s">
        <v>975</v>
      </c>
      <c r="C852" t="s">
        <v>1029</v>
      </c>
      <c r="D852" s="16">
        <v>549</v>
      </c>
      <c r="F852">
        <v>0</v>
      </c>
    </row>
    <row r="853" spans="1:6" x14ac:dyDescent="0.25">
      <c r="A853" t="s">
        <v>73</v>
      </c>
      <c r="B853" t="s">
        <v>975</v>
      </c>
      <c r="C853" t="s">
        <v>1029</v>
      </c>
      <c r="D853" s="16">
        <v>646.27</v>
      </c>
      <c r="F853">
        <v>0</v>
      </c>
    </row>
    <row r="854" spans="1:6" x14ac:dyDescent="0.25">
      <c r="A854" t="s">
        <v>73</v>
      </c>
      <c r="B854" t="s">
        <v>902</v>
      </c>
      <c r="C854" t="s">
        <v>1033</v>
      </c>
      <c r="D854" s="16">
        <v>318</v>
      </c>
      <c r="F854">
        <v>0</v>
      </c>
    </row>
    <row r="855" spans="1:6" x14ac:dyDescent="0.25">
      <c r="A855" t="s">
        <v>73</v>
      </c>
      <c r="B855" t="s">
        <v>902</v>
      </c>
      <c r="C855" t="s">
        <v>1033</v>
      </c>
      <c r="D855" s="16">
        <v>459.9</v>
      </c>
      <c r="F855">
        <v>0</v>
      </c>
    </row>
    <row r="856" spans="1:6" x14ac:dyDescent="0.25">
      <c r="A856" t="s">
        <v>73</v>
      </c>
      <c r="B856" t="s">
        <v>903</v>
      </c>
      <c r="C856" t="s">
        <v>1028</v>
      </c>
      <c r="D856" s="16">
        <v>229</v>
      </c>
      <c r="F856">
        <v>0</v>
      </c>
    </row>
    <row r="857" spans="1:6" x14ac:dyDescent="0.25">
      <c r="A857" t="s">
        <v>73</v>
      </c>
      <c r="B857" t="s">
        <v>904</v>
      </c>
      <c r="C857" t="s">
        <v>1028</v>
      </c>
      <c r="D857" s="16">
        <v>274</v>
      </c>
      <c r="F857">
        <v>0</v>
      </c>
    </row>
    <row r="858" spans="1:6" x14ac:dyDescent="0.25">
      <c r="A858" t="s">
        <v>73</v>
      </c>
      <c r="B858" t="s">
        <v>904</v>
      </c>
      <c r="C858" t="s">
        <v>1029</v>
      </c>
      <c r="D858" s="16">
        <v>249</v>
      </c>
      <c r="F858">
        <v>0</v>
      </c>
    </row>
    <row r="859" spans="1:6" x14ac:dyDescent="0.25">
      <c r="A859" t="s">
        <v>73</v>
      </c>
      <c r="B859" t="s">
        <v>904</v>
      </c>
      <c r="C859" t="s">
        <v>1029</v>
      </c>
      <c r="D859" s="16">
        <v>265</v>
      </c>
      <c r="F859">
        <v>0</v>
      </c>
    </row>
    <row r="860" spans="1:6" x14ac:dyDescent="0.25">
      <c r="A860" t="s">
        <v>73</v>
      </c>
      <c r="B860" t="s">
        <v>904</v>
      </c>
      <c r="C860" t="s">
        <v>1029</v>
      </c>
      <c r="D860" s="16">
        <v>475</v>
      </c>
      <c r="F860">
        <v>0</v>
      </c>
    </row>
    <row r="861" spans="1:6" x14ac:dyDescent="0.25">
      <c r="A861" t="s">
        <v>73</v>
      </c>
      <c r="B861" t="s">
        <v>905</v>
      </c>
      <c r="C861" t="s">
        <v>1031</v>
      </c>
      <c r="D861" s="16">
        <v>249</v>
      </c>
      <c r="F861">
        <v>0</v>
      </c>
    </row>
    <row r="862" spans="1:6" x14ac:dyDescent="0.25">
      <c r="A862" t="s">
        <v>73</v>
      </c>
      <c r="B862" t="s">
        <v>905</v>
      </c>
      <c r="C862" t="s">
        <v>1031</v>
      </c>
      <c r="D862" s="16">
        <v>252.36</v>
      </c>
      <c r="F862">
        <v>0</v>
      </c>
    </row>
    <row r="863" spans="1:6" x14ac:dyDescent="0.25">
      <c r="A863" t="s">
        <v>73</v>
      </c>
      <c r="B863" t="s">
        <v>905</v>
      </c>
      <c r="C863" t="s">
        <v>1031</v>
      </c>
      <c r="D863" s="16">
        <v>270.62</v>
      </c>
      <c r="F863">
        <v>0</v>
      </c>
    </row>
    <row r="864" spans="1:6" x14ac:dyDescent="0.25">
      <c r="A864" t="s">
        <v>73</v>
      </c>
      <c r="B864" t="s">
        <v>905</v>
      </c>
      <c r="C864" t="s">
        <v>1031</v>
      </c>
      <c r="D864" s="16">
        <v>292</v>
      </c>
      <c r="F864">
        <v>0</v>
      </c>
    </row>
    <row r="865" spans="1:6" x14ac:dyDescent="0.25">
      <c r="A865" t="s">
        <v>73</v>
      </c>
      <c r="B865" t="s">
        <v>905</v>
      </c>
      <c r="C865" t="s">
        <v>1031</v>
      </c>
      <c r="D865" s="16">
        <v>299</v>
      </c>
      <c r="F865">
        <v>0</v>
      </c>
    </row>
    <row r="866" spans="1:6" x14ac:dyDescent="0.25">
      <c r="A866" t="s">
        <v>73</v>
      </c>
      <c r="B866" t="s">
        <v>905</v>
      </c>
      <c r="C866" t="s">
        <v>1031</v>
      </c>
      <c r="D866" s="16">
        <v>304.45</v>
      </c>
      <c r="F866">
        <v>0</v>
      </c>
    </row>
    <row r="867" spans="1:6" x14ac:dyDescent="0.25">
      <c r="A867" t="s">
        <v>73</v>
      </c>
      <c r="B867" t="s">
        <v>905</v>
      </c>
      <c r="C867" t="s">
        <v>1031</v>
      </c>
      <c r="D867" s="16">
        <v>306</v>
      </c>
      <c r="F867">
        <v>0</v>
      </c>
    </row>
    <row r="868" spans="1:6" x14ac:dyDescent="0.25">
      <c r="A868" t="s">
        <v>73</v>
      </c>
      <c r="B868" t="s">
        <v>905</v>
      </c>
      <c r="C868" t="s">
        <v>1031</v>
      </c>
      <c r="D868" s="16">
        <v>321.99</v>
      </c>
      <c r="F868">
        <v>0</v>
      </c>
    </row>
    <row r="869" spans="1:6" x14ac:dyDescent="0.25">
      <c r="A869" t="s">
        <v>73</v>
      </c>
      <c r="B869" t="s">
        <v>905</v>
      </c>
      <c r="C869" t="s">
        <v>1031</v>
      </c>
      <c r="D869" s="16">
        <v>419</v>
      </c>
      <c r="F869">
        <v>0</v>
      </c>
    </row>
    <row r="870" spans="1:6" x14ac:dyDescent="0.25">
      <c r="A870" t="s">
        <v>73</v>
      </c>
      <c r="B870" t="s">
        <v>906</v>
      </c>
      <c r="C870" t="s">
        <v>1029</v>
      </c>
      <c r="D870" s="16">
        <v>325</v>
      </c>
      <c r="F870">
        <v>0</v>
      </c>
    </row>
    <row r="871" spans="1:6" x14ac:dyDescent="0.25">
      <c r="A871" t="s">
        <v>73</v>
      </c>
      <c r="B871" t="s">
        <v>907</v>
      </c>
      <c r="C871" t="s">
        <v>1031</v>
      </c>
      <c r="D871" s="16">
        <v>553</v>
      </c>
      <c r="F871">
        <v>0</v>
      </c>
    </row>
    <row r="872" spans="1:6" x14ac:dyDescent="0.25">
      <c r="A872" t="s">
        <v>73</v>
      </c>
      <c r="B872" t="s">
        <v>976</v>
      </c>
      <c r="C872" t="s">
        <v>1030</v>
      </c>
      <c r="D872" s="16">
        <v>329</v>
      </c>
      <c r="F872">
        <v>0</v>
      </c>
    </row>
    <row r="873" spans="1:6" x14ac:dyDescent="0.25">
      <c r="A873" t="s">
        <v>73</v>
      </c>
      <c r="B873" t="s">
        <v>908</v>
      </c>
      <c r="C873" t="s">
        <v>995</v>
      </c>
      <c r="D873" s="16">
        <v>459</v>
      </c>
      <c r="F873">
        <v>0</v>
      </c>
    </row>
    <row r="874" spans="1:6" x14ac:dyDescent="0.25">
      <c r="A874" t="s">
        <v>73</v>
      </c>
      <c r="B874" t="s">
        <v>908</v>
      </c>
      <c r="C874" t="s">
        <v>995</v>
      </c>
      <c r="D874" s="16">
        <v>468</v>
      </c>
      <c r="F874">
        <v>0</v>
      </c>
    </row>
    <row r="875" spans="1:6" x14ac:dyDescent="0.25">
      <c r="A875" t="s">
        <v>73</v>
      </c>
      <c r="B875" t="s">
        <v>908</v>
      </c>
      <c r="C875" t="s">
        <v>995</v>
      </c>
      <c r="D875" s="16">
        <v>499</v>
      </c>
      <c r="F875">
        <v>0</v>
      </c>
    </row>
    <row r="876" spans="1:6" x14ac:dyDescent="0.25">
      <c r="A876" t="s">
        <v>73</v>
      </c>
      <c r="B876" t="s">
        <v>908</v>
      </c>
      <c r="C876" t="s">
        <v>995</v>
      </c>
      <c r="D876" s="16">
        <v>579</v>
      </c>
      <c r="F876">
        <v>0</v>
      </c>
    </row>
    <row r="877" spans="1:6" x14ac:dyDescent="0.25">
      <c r="A877" t="s">
        <v>73</v>
      </c>
      <c r="B877" t="s">
        <v>908</v>
      </c>
      <c r="C877" t="s">
        <v>1035</v>
      </c>
      <c r="D877" s="16">
        <v>339</v>
      </c>
      <c r="F877">
        <v>0</v>
      </c>
    </row>
    <row r="878" spans="1:6" x14ac:dyDescent="0.25">
      <c r="A878" t="s">
        <v>73</v>
      </c>
      <c r="B878" t="s">
        <v>908</v>
      </c>
      <c r="C878" t="s">
        <v>1035</v>
      </c>
      <c r="D878" s="16">
        <v>369</v>
      </c>
      <c r="F878">
        <v>0</v>
      </c>
    </row>
    <row r="879" spans="1:6" x14ac:dyDescent="0.25">
      <c r="A879" t="s">
        <v>73</v>
      </c>
      <c r="B879" t="s">
        <v>908</v>
      </c>
      <c r="C879" t="s">
        <v>1035</v>
      </c>
      <c r="D879" s="16">
        <v>403.5</v>
      </c>
      <c r="F879">
        <v>0</v>
      </c>
    </row>
    <row r="880" spans="1:6" x14ac:dyDescent="0.25">
      <c r="A880" t="s">
        <v>73</v>
      </c>
      <c r="B880" t="s">
        <v>908</v>
      </c>
      <c r="C880" t="s">
        <v>1035</v>
      </c>
      <c r="D880" s="16">
        <v>409</v>
      </c>
      <c r="F880">
        <v>0</v>
      </c>
    </row>
    <row r="881" spans="1:6" x14ac:dyDescent="0.25">
      <c r="A881" t="s">
        <v>73</v>
      </c>
      <c r="B881" t="s">
        <v>908</v>
      </c>
      <c r="C881" t="s">
        <v>1035</v>
      </c>
      <c r="D881" s="16">
        <v>414.9</v>
      </c>
      <c r="F881">
        <v>0</v>
      </c>
    </row>
    <row r="882" spans="1:6" x14ac:dyDescent="0.25">
      <c r="A882" t="s">
        <v>73</v>
      </c>
      <c r="B882" t="s">
        <v>908</v>
      </c>
      <c r="C882" t="s">
        <v>1035</v>
      </c>
      <c r="D882" s="16">
        <v>429</v>
      </c>
      <c r="F882">
        <v>0</v>
      </c>
    </row>
    <row r="883" spans="1:6" x14ac:dyDescent="0.25">
      <c r="A883" t="s">
        <v>73</v>
      </c>
      <c r="B883" t="s">
        <v>908</v>
      </c>
      <c r="C883" t="s">
        <v>1035</v>
      </c>
      <c r="D883" s="16">
        <v>444</v>
      </c>
      <c r="F883">
        <v>0</v>
      </c>
    </row>
    <row r="884" spans="1:6" x14ac:dyDescent="0.25">
      <c r="A884" t="s">
        <v>73</v>
      </c>
      <c r="B884" t="s">
        <v>908</v>
      </c>
      <c r="C884" t="s">
        <v>1035</v>
      </c>
      <c r="D884" s="16">
        <v>449</v>
      </c>
      <c r="F884">
        <v>0</v>
      </c>
    </row>
    <row r="885" spans="1:6" x14ac:dyDescent="0.25">
      <c r="A885" t="s">
        <v>73</v>
      </c>
      <c r="B885" t="s">
        <v>908</v>
      </c>
      <c r="C885" t="s">
        <v>1035</v>
      </c>
      <c r="D885" s="16">
        <v>450</v>
      </c>
      <c r="F885">
        <v>0</v>
      </c>
    </row>
    <row r="886" spans="1:6" x14ac:dyDescent="0.25">
      <c r="A886" t="s">
        <v>73</v>
      </c>
      <c r="B886" t="s">
        <v>908</v>
      </c>
      <c r="C886" t="s">
        <v>1035</v>
      </c>
      <c r="D886" s="16">
        <v>459</v>
      </c>
      <c r="F886">
        <v>0</v>
      </c>
    </row>
    <row r="887" spans="1:6" x14ac:dyDescent="0.25">
      <c r="A887" t="s">
        <v>73</v>
      </c>
      <c r="B887" t="s">
        <v>908</v>
      </c>
      <c r="C887" t="s">
        <v>1035</v>
      </c>
      <c r="D887" s="16">
        <v>469</v>
      </c>
      <c r="F887">
        <v>0</v>
      </c>
    </row>
    <row r="888" spans="1:6" x14ac:dyDescent="0.25">
      <c r="A888" t="s">
        <v>73</v>
      </c>
      <c r="B888" t="s">
        <v>908</v>
      </c>
      <c r="C888" t="s">
        <v>1035</v>
      </c>
      <c r="D888" s="16">
        <v>489</v>
      </c>
      <c r="F888">
        <v>0</v>
      </c>
    </row>
    <row r="889" spans="1:6" x14ac:dyDescent="0.25">
      <c r="A889" t="s">
        <v>73</v>
      </c>
      <c r="B889" t="s">
        <v>908</v>
      </c>
      <c r="C889" t="s">
        <v>1035</v>
      </c>
      <c r="D889" s="16">
        <v>489.9</v>
      </c>
      <c r="F889">
        <v>0</v>
      </c>
    </row>
    <row r="890" spans="1:6" x14ac:dyDescent="0.25">
      <c r="A890" t="s">
        <v>73</v>
      </c>
      <c r="B890" t="s">
        <v>908</v>
      </c>
      <c r="C890" t="s">
        <v>1035</v>
      </c>
      <c r="D890" s="16">
        <v>499</v>
      </c>
      <c r="F890">
        <v>0</v>
      </c>
    </row>
    <row r="891" spans="1:6" x14ac:dyDescent="0.25">
      <c r="A891" t="s">
        <v>73</v>
      </c>
      <c r="B891" t="s">
        <v>908</v>
      </c>
      <c r="C891" t="s">
        <v>1035</v>
      </c>
      <c r="D891" s="16">
        <v>529</v>
      </c>
      <c r="F891">
        <v>0</v>
      </c>
    </row>
    <row r="892" spans="1:6" x14ac:dyDescent="0.25">
      <c r="A892" t="s">
        <v>73</v>
      </c>
      <c r="B892" t="s">
        <v>908</v>
      </c>
      <c r="C892" t="s">
        <v>1035</v>
      </c>
      <c r="D892" s="16">
        <v>565</v>
      </c>
      <c r="F892">
        <v>0</v>
      </c>
    </row>
    <row r="893" spans="1:6" x14ac:dyDescent="0.25">
      <c r="A893" t="s">
        <v>73</v>
      </c>
      <c r="B893" t="s">
        <v>908</v>
      </c>
      <c r="C893" t="s">
        <v>1035</v>
      </c>
      <c r="D893" s="16">
        <v>589</v>
      </c>
      <c r="F893">
        <v>0</v>
      </c>
    </row>
    <row r="894" spans="1:6" x14ac:dyDescent="0.25">
      <c r="A894" t="s">
        <v>73</v>
      </c>
      <c r="B894" t="s">
        <v>908</v>
      </c>
      <c r="C894" t="s">
        <v>1084</v>
      </c>
      <c r="D894" s="16">
        <v>368</v>
      </c>
      <c r="F894">
        <v>0</v>
      </c>
    </row>
    <row r="895" spans="1:6" x14ac:dyDescent="0.25">
      <c r="A895" t="s">
        <v>73</v>
      </c>
      <c r="B895" t="s">
        <v>908</v>
      </c>
      <c r="C895" t="s">
        <v>1084</v>
      </c>
      <c r="D895" s="16">
        <v>479</v>
      </c>
      <c r="F895">
        <v>0</v>
      </c>
    </row>
    <row r="896" spans="1:6" x14ac:dyDescent="0.25">
      <c r="A896" t="s">
        <v>73</v>
      </c>
      <c r="B896" t="s">
        <v>944</v>
      </c>
      <c r="C896" t="s">
        <v>995</v>
      </c>
      <c r="D896" s="16">
        <v>569</v>
      </c>
      <c r="F896">
        <v>0</v>
      </c>
    </row>
    <row r="897" spans="1:6" x14ac:dyDescent="0.25">
      <c r="A897" t="s">
        <v>73</v>
      </c>
      <c r="B897" t="s">
        <v>944</v>
      </c>
      <c r="C897" t="s">
        <v>1035</v>
      </c>
      <c r="D897" s="16">
        <v>459</v>
      </c>
      <c r="F897">
        <v>0</v>
      </c>
    </row>
    <row r="898" spans="1:6" x14ac:dyDescent="0.25">
      <c r="A898" t="s">
        <v>73</v>
      </c>
      <c r="B898" t="s">
        <v>909</v>
      </c>
      <c r="C898" t="s">
        <v>999</v>
      </c>
      <c r="D898" s="16">
        <v>499</v>
      </c>
      <c r="F898">
        <v>0</v>
      </c>
    </row>
    <row r="899" spans="1:6" x14ac:dyDescent="0.25">
      <c r="A899" t="s">
        <v>73</v>
      </c>
      <c r="B899" t="s">
        <v>909</v>
      </c>
      <c r="C899" t="s">
        <v>1041</v>
      </c>
      <c r="D899" s="16">
        <v>549</v>
      </c>
      <c r="F899">
        <v>0</v>
      </c>
    </row>
    <row r="900" spans="1:6" x14ac:dyDescent="0.25">
      <c r="A900" t="s">
        <v>73</v>
      </c>
      <c r="B900" t="s">
        <v>909</v>
      </c>
      <c r="C900" t="s">
        <v>1041</v>
      </c>
      <c r="D900" s="16">
        <v>629</v>
      </c>
      <c r="F900">
        <v>0</v>
      </c>
    </row>
    <row r="901" spans="1:6" x14ac:dyDescent="0.25">
      <c r="A901" t="s">
        <v>73</v>
      </c>
      <c r="B901" t="s">
        <v>909</v>
      </c>
      <c r="C901" t="s">
        <v>1041</v>
      </c>
      <c r="D901" s="16">
        <v>735</v>
      </c>
      <c r="F901">
        <v>0</v>
      </c>
    </row>
    <row r="902" spans="1:6" x14ac:dyDescent="0.25">
      <c r="A902" t="s">
        <v>73</v>
      </c>
      <c r="B902" t="s">
        <v>909</v>
      </c>
      <c r="C902" t="s">
        <v>1041</v>
      </c>
      <c r="D902" s="16">
        <v>949</v>
      </c>
      <c r="F902">
        <v>0</v>
      </c>
    </row>
    <row r="903" spans="1:6" x14ac:dyDescent="0.25">
      <c r="A903" t="s">
        <v>73</v>
      </c>
      <c r="B903" t="s">
        <v>910</v>
      </c>
      <c r="C903" t="s">
        <v>1041</v>
      </c>
      <c r="D903" s="16">
        <v>599</v>
      </c>
      <c r="F903">
        <v>0</v>
      </c>
    </row>
    <row r="904" spans="1:6" x14ac:dyDescent="0.25">
      <c r="A904" t="s">
        <v>73</v>
      </c>
      <c r="B904" t="s">
        <v>910</v>
      </c>
      <c r="C904" t="s">
        <v>1041</v>
      </c>
      <c r="D904" s="16">
        <v>630</v>
      </c>
      <c r="F904">
        <v>0</v>
      </c>
    </row>
    <row r="905" spans="1:6" x14ac:dyDescent="0.25">
      <c r="A905" t="s">
        <v>73</v>
      </c>
      <c r="B905" t="s">
        <v>911</v>
      </c>
      <c r="C905" t="s">
        <v>1035</v>
      </c>
      <c r="D905" s="16">
        <v>398</v>
      </c>
      <c r="F905">
        <v>0</v>
      </c>
    </row>
    <row r="906" spans="1:6" x14ac:dyDescent="0.25">
      <c r="A906" t="s">
        <v>73</v>
      </c>
      <c r="B906" t="s">
        <v>911</v>
      </c>
      <c r="C906" t="s">
        <v>1035</v>
      </c>
      <c r="D906" s="16">
        <v>462.35</v>
      </c>
      <c r="F906">
        <v>0</v>
      </c>
    </row>
    <row r="907" spans="1:6" x14ac:dyDescent="0.25">
      <c r="A907" t="s">
        <v>73</v>
      </c>
      <c r="B907" t="s">
        <v>911</v>
      </c>
      <c r="C907" t="s">
        <v>1035</v>
      </c>
      <c r="D907" s="16">
        <v>493</v>
      </c>
      <c r="F907">
        <v>0</v>
      </c>
    </row>
    <row r="908" spans="1:6" x14ac:dyDescent="0.25">
      <c r="A908" t="s">
        <v>73</v>
      </c>
      <c r="B908" t="s">
        <v>911</v>
      </c>
      <c r="C908" t="s">
        <v>1035</v>
      </c>
      <c r="D908" s="16">
        <v>535</v>
      </c>
      <c r="F908">
        <v>0</v>
      </c>
    </row>
    <row r="909" spans="1:6" x14ac:dyDescent="0.25">
      <c r="A909" t="s">
        <v>73</v>
      </c>
      <c r="B909" t="s">
        <v>911</v>
      </c>
      <c r="C909" t="s">
        <v>1035</v>
      </c>
      <c r="D909" s="16">
        <v>540</v>
      </c>
      <c r="F909">
        <v>0</v>
      </c>
    </row>
    <row r="910" spans="1:6" x14ac:dyDescent="0.25">
      <c r="A910" t="s">
        <v>73</v>
      </c>
      <c r="B910" t="s">
        <v>911</v>
      </c>
      <c r="C910" t="s">
        <v>1035</v>
      </c>
      <c r="D910" s="16">
        <v>833.01</v>
      </c>
      <c r="F910">
        <v>0</v>
      </c>
    </row>
    <row r="911" spans="1:6" x14ac:dyDescent="0.25">
      <c r="A911" t="s">
        <v>73</v>
      </c>
      <c r="B911" t="s">
        <v>911</v>
      </c>
      <c r="C911" t="s">
        <v>1035</v>
      </c>
      <c r="D911" s="16">
        <v>867</v>
      </c>
      <c r="F911">
        <v>0</v>
      </c>
    </row>
    <row r="912" spans="1:6" x14ac:dyDescent="0.25">
      <c r="A912" t="s">
        <v>73</v>
      </c>
      <c r="B912" t="s">
        <v>911</v>
      </c>
      <c r="C912" t="s">
        <v>1035</v>
      </c>
      <c r="D912" s="16">
        <v>1002</v>
      </c>
      <c r="F912">
        <v>0</v>
      </c>
    </row>
    <row r="913" spans="1:6" x14ac:dyDescent="0.25">
      <c r="A913" t="s">
        <v>73</v>
      </c>
      <c r="B913" t="s">
        <v>911</v>
      </c>
      <c r="C913" t="s">
        <v>1035</v>
      </c>
      <c r="D913" s="16">
        <v>1049.5999999999999</v>
      </c>
      <c r="F913">
        <v>0</v>
      </c>
    </row>
    <row r="914" spans="1:6" x14ac:dyDescent="0.25">
      <c r="A914" t="s">
        <v>73</v>
      </c>
      <c r="B914" t="s">
        <v>911</v>
      </c>
      <c r="C914" t="s">
        <v>1035</v>
      </c>
      <c r="D914" s="16">
        <v>1072</v>
      </c>
      <c r="F914">
        <v>0</v>
      </c>
    </row>
    <row r="915" spans="1:6" x14ac:dyDescent="0.25">
      <c r="A915" t="s">
        <v>73</v>
      </c>
      <c r="B915" t="s">
        <v>911</v>
      </c>
      <c r="C915" t="s">
        <v>1035</v>
      </c>
      <c r="D915" s="16">
        <v>1096</v>
      </c>
      <c r="F915">
        <v>0</v>
      </c>
    </row>
    <row r="916" spans="1:6" x14ac:dyDescent="0.25">
      <c r="A916" t="s">
        <v>73</v>
      </c>
      <c r="B916" t="s">
        <v>911</v>
      </c>
      <c r="C916" t="s">
        <v>1035</v>
      </c>
      <c r="D916" s="16">
        <v>1099</v>
      </c>
      <c r="F916">
        <v>0</v>
      </c>
    </row>
    <row r="917" spans="1:6" x14ac:dyDescent="0.25">
      <c r="A917" t="s">
        <v>73</v>
      </c>
      <c r="B917" t="s">
        <v>911</v>
      </c>
      <c r="C917" t="s">
        <v>1035</v>
      </c>
      <c r="D917" s="16">
        <v>1186</v>
      </c>
      <c r="F917">
        <v>0</v>
      </c>
    </row>
    <row r="918" spans="1:6" x14ac:dyDescent="0.25">
      <c r="A918" t="s">
        <v>73</v>
      </c>
      <c r="B918" t="s">
        <v>911</v>
      </c>
      <c r="C918" t="s">
        <v>1035</v>
      </c>
      <c r="D918" s="16">
        <v>1199</v>
      </c>
      <c r="F918">
        <v>0</v>
      </c>
    </row>
    <row r="919" spans="1:6" x14ac:dyDescent="0.25">
      <c r="A919" t="s">
        <v>73</v>
      </c>
      <c r="B919" t="s">
        <v>911</v>
      </c>
      <c r="C919" t="s">
        <v>1035</v>
      </c>
      <c r="D919" s="16">
        <v>1340</v>
      </c>
      <c r="F919">
        <v>0</v>
      </c>
    </row>
    <row r="920" spans="1:6" x14ac:dyDescent="0.25">
      <c r="A920" t="s">
        <v>73</v>
      </c>
      <c r="B920" t="s">
        <v>911</v>
      </c>
      <c r="C920" t="s">
        <v>1035</v>
      </c>
      <c r="D920" s="16">
        <v>1349</v>
      </c>
      <c r="F920">
        <v>0</v>
      </c>
    </row>
    <row r="921" spans="1:6" x14ac:dyDescent="0.25">
      <c r="A921" t="s">
        <v>73</v>
      </c>
      <c r="B921" t="s">
        <v>911</v>
      </c>
      <c r="C921" t="s">
        <v>1035</v>
      </c>
      <c r="D921" s="16">
        <v>1465</v>
      </c>
      <c r="F921">
        <v>0</v>
      </c>
    </row>
    <row r="922" spans="1:6" x14ac:dyDescent="0.25">
      <c r="A922" t="s">
        <v>73</v>
      </c>
      <c r="B922" t="s">
        <v>911</v>
      </c>
      <c r="C922" t="s">
        <v>1035</v>
      </c>
      <c r="D922" s="16">
        <v>1637</v>
      </c>
      <c r="F922">
        <v>0</v>
      </c>
    </row>
    <row r="923" spans="1:6" x14ac:dyDescent="0.25">
      <c r="A923" t="s">
        <v>73</v>
      </c>
      <c r="B923" t="s">
        <v>911</v>
      </c>
      <c r="C923" t="s">
        <v>1079</v>
      </c>
      <c r="D923" s="16">
        <v>599</v>
      </c>
      <c r="F923">
        <v>0</v>
      </c>
    </row>
    <row r="924" spans="1:6" x14ac:dyDescent="0.25">
      <c r="A924" t="s">
        <v>73</v>
      </c>
      <c r="B924" t="s">
        <v>911</v>
      </c>
      <c r="C924" t="s">
        <v>1079</v>
      </c>
      <c r="D924" s="16">
        <v>659</v>
      </c>
      <c r="F924">
        <v>0</v>
      </c>
    </row>
    <row r="925" spans="1:6" x14ac:dyDescent="0.25">
      <c r="A925" t="s">
        <v>73</v>
      </c>
      <c r="B925" t="s">
        <v>911</v>
      </c>
      <c r="C925" t="s">
        <v>1079</v>
      </c>
      <c r="D925" s="16">
        <v>788.49</v>
      </c>
      <c r="F925">
        <v>0</v>
      </c>
    </row>
    <row r="926" spans="1:6" x14ac:dyDescent="0.25">
      <c r="A926" t="s">
        <v>73</v>
      </c>
      <c r="B926" t="s">
        <v>977</v>
      </c>
      <c r="C926" t="s">
        <v>1038</v>
      </c>
      <c r="D926" s="16">
        <v>1199</v>
      </c>
      <c r="F926">
        <v>0</v>
      </c>
    </row>
    <row r="927" spans="1:6" x14ac:dyDescent="0.25">
      <c r="A927" t="s">
        <v>73</v>
      </c>
      <c r="B927" t="s">
        <v>930</v>
      </c>
      <c r="C927" t="s">
        <v>1013</v>
      </c>
      <c r="D927" s="16">
        <v>977</v>
      </c>
      <c r="F927">
        <v>0</v>
      </c>
    </row>
    <row r="928" spans="1:6" x14ac:dyDescent="0.25">
      <c r="A928" t="s">
        <v>73</v>
      </c>
      <c r="B928" t="s">
        <v>930</v>
      </c>
      <c r="C928" t="s">
        <v>1016</v>
      </c>
      <c r="D928" s="16">
        <v>789</v>
      </c>
      <c r="F928">
        <v>0</v>
      </c>
    </row>
    <row r="929" spans="1:6" x14ac:dyDescent="0.25">
      <c r="A929" t="s">
        <v>73</v>
      </c>
      <c r="B929" t="s">
        <v>930</v>
      </c>
      <c r="C929" t="s">
        <v>1035</v>
      </c>
      <c r="D929" s="16">
        <v>1191</v>
      </c>
      <c r="F929">
        <v>0</v>
      </c>
    </row>
    <row r="930" spans="1:6" x14ac:dyDescent="0.25">
      <c r="A930" t="s">
        <v>73</v>
      </c>
      <c r="B930" t="s">
        <v>912</v>
      </c>
      <c r="C930" t="s">
        <v>994</v>
      </c>
      <c r="D930" s="16">
        <v>609</v>
      </c>
      <c r="F930">
        <v>0</v>
      </c>
    </row>
    <row r="931" spans="1:6" x14ac:dyDescent="0.25">
      <c r="A931" t="s">
        <v>73</v>
      </c>
      <c r="B931" t="s">
        <v>912</v>
      </c>
      <c r="C931" t="s">
        <v>995</v>
      </c>
      <c r="D931" s="16">
        <v>499</v>
      </c>
      <c r="F931">
        <v>0</v>
      </c>
    </row>
    <row r="932" spans="1:6" x14ac:dyDescent="0.25">
      <c r="A932" t="s">
        <v>73</v>
      </c>
      <c r="B932" t="s">
        <v>912</v>
      </c>
      <c r="C932" t="s">
        <v>995</v>
      </c>
      <c r="D932" s="16">
        <v>589</v>
      </c>
      <c r="F932">
        <v>0</v>
      </c>
    </row>
    <row r="933" spans="1:6" x14ac:dyDescent="0.25">
      <c r="A933" t="s">
        <v>73</v>
      </c>
      <c r="B933" t="s">
        <v>912</v>
      </c>
      <c r="C933" t="s">
        <v>995</v>
      </c>
      <c r="D933" s="16">
        <v>695</v>
      </c>
      <c r="F933">
        <v>0</v>
      </c>
    </row>
    <row r="934" spans="1:6" x14ac:dyDescent="0.25">
      <c r="A934" t="s">
        <v>73</v>
      </c>
      <c r="B934" t="s">
        <v>912</v>
      </c>
      <c r="C934" t="s">
        <v>995</v>
      </c>
      <c r="D934" s="16">
        <v>857.07</v>
      </c>
      <c r="F934">
        <v>0</v>
      </c>
    </row>
    <row r="935" spans="1:6" x14ac:dyDescent="0.25">
      <c r="A935" t="s">
        <v>73</v>
      </c>
      <c r="B935" t="s">
        <v>912</v>
      </c>
      <c r="C935" t="s">
        <v>999</v>
      </c>
      <c r="D935" s="16">
        <v>549</v>
      </c>
      <c r="F935">
        <v>0</v>
      </c>
    </row>
    <row r="936" spans="1:6" x14ac:dyDescent="0.25">
      <c r="A936" t="s">
        <v>73</v>
      </c>
      <c r="B936" t="s">
        <v>912</v>
      </c>
      <c r="C936" t="s">
        <v>999</v>
      </c>
      <c r="D936" s="16">
        <v>629</v>
      </c>
      <c r="F936">
        <v>0</v>
      </c>
    </row>
    <row r="937" spans="1:6" x14ac:dyDescent="0.25">
      <c r="A937" t="s">
        <v>73</v>
      </c>
      <c r="B937" t="s">
        <v>912</v>
      </c>
      <c r="C937" t="s">
        <v>999</v>
      </c>
      <c r="D937" s="16">
        <v>819</v>
      </c>
      <c r="F937">
        <v>0</v>
      </c>
    </row>
    <row r="938" spans="1:6" x14ac:dyDescent="0.25">
      <c r="A938" t="s">
        <v>73</v>
      </c>
      <c r="B938" t="s">
        <v>912</v>
      </c>
      <c r="C938" t="s">
        <v>999</v>
      </c>
      <c r="D938" s="16">
        <v>1011.99</v>
      </c>
      <c r="F938">
        <v>0</v>
      </c>
    </row>
    <row r="939" spans="1:6" x14ac:dyDescent="0.25">
      <c r="A939" t="s">
        <v>73</v>
      </c>
      <c r="B939" t="s">
        <v>912</v>
      </c>
      <c r="C939" t="s">
        <v>999</v>
      </c>
      <c r="D939" s="16">
        <v>1099</v>
      </c>
      <c r="F939">
        <v>0</v>
      </c>
    </row>
    <row r="940" spans="1:6" x14ac:dyDescent="0.25">
      <c r="A940" t="s">
        <v>73</v>
      </c>
      <c r="B940" t="s">
        <v>912</v>
      </c>
      <c r="C940" t="s">
        <v>1011</v>
      </c>
      <c r="D940" s="16">
        <v>649</v>
      </c>
      <c r="F940">
        <v>0</v>
      </c>
    </row>
    <row r="941" spans="1:6" x14ac:dyDescent="0.25">
      <c r="A941" t="s">
        <v>73</v>
      </c>
      <c r="B941" t="s">
        <v>912</v>
      </c>
      <c r="C941" t="s">
        <v>1012</v>
      </c>
      <c r="D941" s="16">
        <v>589</v>
      </c>
      <c r="F941">
        <v>0</v>
      </c>
    </row>
    <row r="942" spans="1:6" x14ac:dyDescent="0.25">
      <c r="A942" t="s">
        <v>73</v>
      </c>
      <c r="B942" t="s">
        <v>912</v>
      </c>
      <c r="C942" t="s">
        <v>1012</v>
      </c>
      <c r="D942" s="16">
        <v>719</v>
      </c>
      <c r="F942">
        <v>0</v>
      </c>
    </row>
    <row r="943" spans="1:6" x14ac:dyDescent="0.25">
      <c r="A943" t="s">
        <v>73</v>
      </c>
      <c r="B943" t="s">
        <v>912</v>
      </c>
      <c r="C943" t="s">
        <v>1041</v>
      </c>
      <c r="D943" s="16">
        <v>467</v>
      </c>
      <c r="F943">
        <v>0</v>
      </c>
    </row>
    <row r="944" spans="1:6" x14ac:dyDescent="0.25">
      <c r="A944" t="s">
        <v>73</v>
      </c>
      <c r="B944" t="s">
        <v>912</v>
      </c>
      <c r="C944" t="s">
        <v>1041</v>
      </c>
      <c r="D944" s="16">
        <v>468</v>
      </c>
      <c r="F944">
        <v>0</v>
      </c>
    </row>
    <row r="945" spans="1:6" x14ac:dyDescent="0.25">
      <c r="A945" t="s">
        <v>73</v>
      </c>
      <c r="B945" t="s">
        <v>912</v>
      </c>
      <c r="C945" t="s">
        <v>1041</v>
      </c>
      <c r="D945" s="16">
        <v>489.9</v>
      </c>
      <c r="F945">
        <v>0</v>
      </c>
    </row>
    <row r="946" spans="1:6" x14ac:dyDescent="0.25">
      <c r="A946" t="s">
        <v>73</v>
      </c>
      <c r="B946" t="s">
        <v>912</v>
      </c>
      <c r="C946" t="s">
        <v>1041</v>
      </c>
      <c r="D946" s="16">
        <v>498</v>
      </c>
      <c r="F946">
        <v>0</v>
      </c>
    </row>
    <row r="947" spans="1:6" x14ac:dyDescent="0.25">
      <c r="A947" t="s">
        <v>73</v>
      </c>
      <c r="B947" t="s">
        <v>912</v>
      </c>
      <c r="C947" t="s">
        <v>1041</v>
      </c>
      <c r="D947" s="16">
        <v>519</v>
      </c>
      <c r="F947">
        <v>0</v>
      </c>
    </row>
    <row r="948" spans="1:6" x14ac:dyDescent="0.25">
      <c r="A948" t="s">
        <v>73</v>
      </c>
      <c r="B948" t="s">
        <v>912</v>
      </c>
      <c r="C948" t="s">
        <v>1041</v>
      </c>
      <c r="D948" s="16">
        <v>539</v>
      </c>
      <c r="F948">
        <v>0</v>
      </c>
    </row>
    <row r="949" spans="1:6" x14ac:dyDescent="0.25">
      <c r="A949" t="s">
        <v>73</v>
      </c>
      <c r="B949" t="s">
        <v>912</v>
      </c>
      <c r="C949" t="s">
        <v>1041</v>
      </c>
      <c r="D949" s="16">
        <v>549</v>
      </c>
      <c r="F949">
        <v>0</v>
      </c>
    </row>
    <row r="950" spans="1:6" x14ac:dyDescent="0.25">
      <c r="A950" t="s">
        <v>73</v>
      </c>
      <c r="B950" t="s">
        <v>912</v>
      </c>
      <c r="C950" t="s">
        <v>1041</v>
      </c>
      <c r="D950" s="16">
        <v>564</v>
      </c>
      <c r="F950">
        <v>0</v>
      </c>
    </row>
    <row r="951" spans="1:6" x14ac:dyDescent="0.25">
      <c r="A951" t="s">
        <v>73</v>
      </c>
      <c r="B951" t="s">
        <v>912</v>
      </c>
      <c r="C951" t="s">
        <v>1041</v>
      </c>
      <c r="D951" s="16">
        <v>573</v>
      </c>
      <c r="F951">
        <v>0</v>
      </c>
    </row>
    <row r="952" spans="1:6" x14ac:dyDescent="0.25">
      <c r="A952" t="s">
        <v>73</v>
      </c>
      <c r="B952" t="s">
        <v>912</v>
      </c>
      <c r="C952" t="s">
        <v>1041</v>
      </c>
      <c r="D952" s="16">
        <v>579</v>
      </c>
      <c r="F952">
        <v>0</v>
      </c>
    </row>
    <row r="953" spans="1:6" x14ac:dyDescent="0.25">
      <c r="A953" t="s">
        <v>73</v>
      </c>
      <c r="B953" t="s">
        <v>912</v>
      </c>
      <c r="C953" t="s">
        <v>1041</v>
      </c>
      <c r="D953" s="16">
        <v>597</v>
      </c>
      <c r="F953">
        <v>0</v>
      </c>
    </row>
    <row r="954" spans="1:6" x14ac:dyDescent="0.25">
      <c r="A954" t="s">
        <v>73</v>
      </c>
      <c r="B954" t="s">
        <v>912</v>
      </c>
      <c r="C954" t="s">
        <v>1041</v>
      </c>
      <c r="D954" s="16">
        <v>621.45000000000005</v>
      </c>
      <c r="F954">
        <v>0</v>
      </c>
    </row>
    <row r="955" spans="1:6" x14ac:dyDescent="0.25">
      <c r="A955" t="s">
        <v>73</v>
      </c>
      <c r="B955" t="s">
        <v>912</v>
      </c>
      <c r="C955" t="s">
        <v>1041</v>
      </c>
      <c r="D955" s="16">
        <v>699</v>
      </c>
      <c r="F955">
        <v>0</v>
      </c>
    </row>
    <row r="956" spans="1:6" x14ac:dyDescent="0.25">
      <c r="A956" t="s">
        <v>73</v>
      </c>
      <c r="B956" t="s">
        <v>912</v>
      </c>
      <c r="C956" t="s">
        <v>1041</v>
      </c>
      <c r="D956" s="16">
        <v>785</v>
      </c>
      <c r="F956">
        <v>0</v>
      </c>
    </row>
    <row r="957" spans="1:6" x14ac:dyDescent="0.25">
      <c r="A957" t="s">
        <v>73</v>
      </c>
      <c r="B957" t="s">
        <v>912</v>
      </c>
      <c r="C957" t="s">
        <v>1041</v>
      </c>
      <c r="D957" s="16">
        <v>830</v>
      </c>
      <c r="F957">
        <v>0</v>
      </c>
    </row>
    <row r="958" spans="1:6" x14ac:dyDescent="0.25">
      <c r="A958" t="s">
        <v>73</v>
      </c>
      <c r="B958" t="s">
        <v>912</v>
      </c>
      <c r="C958" t="s">
        <v>1041</v>
      </c>
      <c r="D958" s="16">
        <v>850.66</v>
      </c>
      <c r="F958">
        <v>0</v>
      </c>
    </row>
    <row r="959" spans="1:6" x14ac:dyDescent="0.25">
      <c r="A959" t="s">
        <v>73</v>
      </c>
      <c r="B959" t="s">
        <v>912</v>
      </c>
      <c r="C959" t="s">
        <v>1041</v>
      </c>
      <c r="D959" s="16">
        <v>881</v>
      </c>
      <c r="F959">
        <v>0</v>
      </c>
    </row>
    <row r="960" spans="1:6" x14ac:dyDescent="0.25">
      <c r="A960" t="s">
        <v>73</v>
      </c>
      <c r="B960" t="s">
        <v>912</v>
      </c>
      <c r="C960" t="s">
        <v>1041</v>
      </c>
      <c r="D960" s="16">
        <v>911</v>
      </c>
      <c r="F960">
        <v>0</v>
      </c>
    </row>
    <row r="961" spans="1:6" x14ac:dyDescent="0.25">
      <c r="A961" t="s">
        <v>73</v>
      </c>
      <c r="B961" t="s">
        <v>912</v>
      </c>
      <c r="C961" t="s">
        <v>1041</v>
      </c>
      <c r="D961" s="16">
        <v>938</v>
      </c>
      <c r="F961">
        <v>0</v>
      </c>
    </row>
    <row r="962" spans="1:6" x14ac:dyDescent="0.25">
      <c r="A962" t="s">
        <v>73</v>
      </c>
      <c r="B962" t="s">
        <v>912</v>
      </c>
      <c r="C962" t="s">
        <v>1041</v>
      </c>
      <c r="D962" s="16">
        <v>949</v>
      </c>
      <c r="F962">
        <v>0</v>
      </c>
    </row>
    <row r="963" spans="1:6" x14ac:dyDescent="0.25">
      <c r="A963" t="s">
        <v>73</v>
      </c>
      <c r="B963" t="s">
        <v>912</v>
      </c>
      <c r="C963" t="s">
        <v>1041</v>
      </c>
      <c r="D963" s="16">
        <v>960</v>
      </c>
      <c r="F963">
        <v>0</v>
      </c>
    </row>
    <row r="964" spans="1:6" x14ac:dyDescent="0.25">
      <c r="A964" t="s">
        <v>73</v>
      </c>
      <c r="B964" t="s">
        <v>912</v>
      </c>
      <c r="C964" t="s">
        <v>1041</v>
      </c>
      <c r="D964" s="16">
        <v>990</v>
      </c>
      <c r="F964">
        <v>0</v>
      </c>
    </row>
    <row r="965" spans="1:6" x14ac:dyDescent="0.25">
      <c r="A965" t="s">
        <v>73</v>
      </c>
      <c r="B965" t="s">
        <v>912</v>
      </c>
      <c r="C965" t="s">
        <v>1041</v>
      </c>
      <c r="D965" s="16">
        <v>999</v>
      </c>
      <c r="F965">
        <v>0</v>
      </c>
    </row>
    <row r="966" spans="1:6" x14ac:dyDescent="0.25">
      <c r="A966" t="s">
        <v>73</v>
      </c>
      <c r="B966" t="s">
        <v>912</v>
      </c>
      <c r="C966" t="s">
        <v>1041</v>
      </c>
      <c r="D966" s="16">
        <v>1034</v>
      </c>
      <c r="F966">
        <v>0</v>
      </c>
    </row>
    <row r="967" spans="1:6" x14ac:dyDescent="0.25">
      <c r="A967" t="s">
        <v>73</v>
      </c>
      <c r="B967" t="s">
        <v>912</v>
      </c>
      <c r="C967" t="s">
        <v>1041</v>
      </c>
      <c r="D967" s="16">
        <v>1055</v>
      </c>
      <c r="F967">
        <v>0</v>
      </c>
    </row>
    <row r="968" spans="1:6" x14ac:dyDescent="0.25">
      <c r="A968" t="s">
        <v>73</v>
      </c>
      <c r="B968" t="s">
        <v>912</v>
      </c>
      <c r="C968" t="s">
        <v>1041</v>
      </c>
      <c r="D968" s="16">
        <v>1345</v>
      </c>
      <c r="F968">
        <v>0</v>
      </c>
    </row>
    <row r="969" spans="1:6" x14ac:dyDescent="0.25">
      <c r="A969" t="s">
        <v>73</v>
      </c>
      <c r="B969" t="s">
        <v>912</v>
      </c>
      <c r="C969" t="s">
        <v>1041</v>
      </c>
      <c r="D969" s="16">
        <v>1364</v>
      </c>
      <c r="F969">
        <v>0</v>
      </c>
    </row>
    <row r="970" spans="1:6" x14ac:dyDescent="0.25">
      <c r="A970" t="s">
        <v>73</v>
      </c>
      <c r="B970" t="s">
        <v>912</v>
      </c>
      <c r="C970" t="s">
        <v>1041</v>
      </c>
      <c r="D970" s="16">
        <v>1390</v>
      </c>
      <c r="F970">
        <v>0</v>
      </c>
    </row>
    <row r="971" spans="1:6" x14ac:dyDescent="0.25">
      <c r="A971" t="s">
        <v>73</v>
      </c>
      <c r="B971" t="s">
        <v>912</v>
      </c>
      <c r="C971" t="s">
        <v>1041</v>
      </c>
      <c r="D971" s="16">
        <v>1399</v>
      </c>
      <c r="F971">
        <v>0</v>
      </c>
    </row>
    <row r="972" spans="1:6" x14ac:dyDescent="0.25">
      <c r="A972" t="s">
        <v>73</v>
      </c>
      <c r="B972" t="s">
        <v>912</v>
      </c>
      <c r="C972" t="s">
        <v>1041</v>
      </c>
      <c r="D972" s="16">
        <v>1429</v>
      </c>
      <c r="F972">
        <v>0</v>
      </c>
    </row>
    <row r="973" spans="1:6" x14ac:dyDescent="0.25">
      <c r="A973" t="s">
        <v>73</v>
      </c>
      <c r="B973" t="s">
        <v>912</v>
      </c>
      <c r="C973" t="s">
        <v>1041</v>
      </c>
      <c r="D973" s="16">
        <v>1499</v>
      </c>
      <c r="F973">
        <v>0</v>
      </c>
    </row>
    <row r="974" spans="1:6" x14ac:dyDescent="0.25">
      <c r="A974" t="s">
        <v>73</v>
      </c>
      <c r="B974" t="s">
        <v>912</v>
      </c>
      <c r="C974" t="s">
        <v>1041</v>
      </c>
      <c r="D974" s="16">
        <v>1799</v>
      </c>
      <c r="F974">
        <v>0</v>
      </c>
    </row>
    <row r="975" spans="1:6" x14ac:dyDescent="0.25">
      <c r="A975" t="s">
        <v>73</v>
      </c>
      <c r="B975" t="s">
        <v>912</v>
      </c>
      <c r="C975" t="s">
        <v>1041</v>
      </c>
      <c r="D975" s="16">
        <v>1825</v>
      </c>
      <c r="F975">
        <v>0</v>
      </c>
    </row>
    <row r="976" spans="1:6" x14ac:dyDescent="0.25">
      <c r="A976" t="s">
        <v>73</v>
      </c>
      <c r="B976" t="s">
        <v>912</v>
      </c>
      <c r="C976" t="s">
        <v>1041</v>
      </c>
      <c r="D976" s="16">
        <v>1875</v>
      </c>
      <c r="F976">
        <v>0</v>
      </c>
    </row>
    <row r="977" spans="1:6" x14ac:dyDescent="0.25">
      <c r="A977" t="s">
        <v>73</v>
      </c>
      <c r="B977" t="s">
        <v>912</v>
      </c>
      <c r="C977" t="s">
        <v>1041</v>
      </c>
      <c r="D977" s="16">
        <v>1962.99</v>
      </c>
      <c r="F977">
        <v>0</v>
      </c>
    </row>
    <row r="978" spans="1:6" x14ac:dyDescent="0.25">
      <c r="A978" t="s">
        <v>73</v>
      </c>
      <c r="B978" t="s">
        <v>912</v>
      </c>
      <c r="C978" t="s">
        <v>1041</v>
      </c>
      <c r="D978" s="16">
        <v>2330</v>
      </c>
      <c r="F978">
        <v>0</v>
      </c>
    </row>
    <row r="979" spans="1:6" x14ac:dyDescent="0.25">
      <c r="A979" t="s">
        <v>73</v>
      </c>
      <c r="B979" t="s">
        <v>912</v>
      </c>
      <c r="C979" t="s">
        <v>1060</v>
      </c>
      <c r="D979" s="16">
        <v>813</v>
      </c>
      <c r="F979">
        <v>0</v>
      </c>
    </row>
    <row r="980" spans="1:6" x14ac:dyDescent="0.25">
      <c r="A980" t="s">
        <v>73</v>
      </c>
      <c r="B980" t="s">
        <v>912</v>
      </c>
      <c r="C980" t="s">
        <v>1084</v>
      </c>
      <c r="D980" s="16">
        <v>817.95</v>
      </c>
      <c r="F980">
        <v>0</v>
      </c>
    </row>
    <row r="981" spans="1:6" x14ac:dyDescent="0.25">
      <c r="A981" t="s">
        <v>73</v>
      </c>
      <c r="B981" t="s">
        <v>912</v>
      </c>
      <c r="C981" t="s">
        <v>1092</v>
      </c>
      <c r="D981" s="16">
        <v>959</v>
      </c>
      <c r="F981">
        <v>0</v>
      </c>
    </row>
    <row r="982" spans="1:6" x14ac:dyDescent="0.25">
      <c r="A982" t="s">
        <v>73</v>
      </c>
      <c r="B982" t="s">
        <v>913</v>
      </c>
      <c r="C982" t="s">
        <v>1002</v>
      </c>
      <c r="D982" s="16">
        <v>779</v>
      </c>
      <c r="F982">
        <v>0</v>
      </c>
    </row>
    <row r="983" spans="1:6" x14ac:dyDescent="0.25">
      <c r="A983" t="s">
        <v>73</v>
      </c>
      <c r="B983" t="s">
        <v>913</v>
      </c>
      <c r="C983" t="s">
        <v>1002</v>
      </c>
      <c r="D983" s="16">
        <v>809</v>
      </c>
      <c r="F983">
        <v>0</v>
      </c>
    </row>
    <row r="984" spans="1:6" x14ac:dyDescent="0.25">
      <c r="A984" t="s">
        <v>73</v>
      </c>
      <c r="B984" t="s">
        <v>913</v>
      </c>
      <c r="C984" t="s">
        <v>1002</v>
      </c>
      <c r="D984" s="16">
        <v>819</v>
      </c>
      <c r="F984">
        <v>0</v>
      </c>
    </row>
    <row r="985" spans="1:6" x14ac:dyDescent="0.25">
      <c r="A985" t="s">
        <v>73</v>
      </c>
      <c r="B985" t="s">
        <v>913</v>
      </c>
      <c r="C985" t="s">
        <v>1002</v>
      </c>
      <c r="D985" s="16">
        <v>829</v>
      </c>
      <c r="F985">
        <v>0</v>
      </c>
    </row>
    <row r="986" spans="1:6" x14ac:dyDescent="0.25">
      <c r="A986" t="s">
        <v>73</v>
      </c>
      <c r="B986" t="s">
        <v>913</v>
      </c>
      <c r="C986" t="s">
        <v>1002</v>
      </c>
      <c r="D986" s="16">
        <v>999</v>
      </c>
      <c r="F986">
        <v>0</v>
      </c>
    </row>
    <row r="987" spans="1:6" x14ac:dyDescent="0.25">
      <c r="A987" t="s">
        <v>73</v>
      </c>
      <c r="B987" t="s">
        <v>913</v>
      </c>
      <c r="C987" t="s">
        <v>1002</v>
      </c>
      <c r="D987" s="16">
        <v>1017</v>
      </c>
      <c r="F987">
        <v>0</v>
      </c>
    </row>
    <row r="988" spans="1:6" x14ac:dyDescent="0.25">
      <c r="A988" t="s">
        <v>73</v>
      </c>
      <c r="B988" t="s">
        <v>913</v>
      </c>
      <c r="C988" t="s">
        <v>1006</v>
      </c>
      <c r="D988" s="16">
        <v>989</v>
      </c>
      <c r="F988">
        <v>0</v>
      </c>
    </row>
    <row r="989" spans="1:6" x14ac:dyDescent="0.25">
      <c r="A989" t="s">
        <v>73</v>
      </c>
      <c r="B989" t="s">
        <v>913</v>
      </c>
      <c r="C989" t="s">
        <v>1042</v>
      </c>
      <c r="D989" s="16">
        <v>1474</v>
      </c>
      <c r="F989">
        <v>0</v>
      </c>
    </row>
    <row r="990" spans="1:6" x14ac:dyDescent="0.25">
      <c r="A990" t="s">
        <v>73</v>
      </c>
      <c r="B990" t="s">
        <v>947</v>
      </c>
      <c r="C990" t="s">
        <v>1041</v>
      </c>
      <c r="D990" s="16">
        <v>1650</v>
      </c>
      <c r="F990">
        <v>0</v>
      </c>
    </row>
    <row r="991" spans="1:6" x14ac:dyDescent="0.25">
      <c r="A991" t="s">
        <v>73</v>
      </c>
      <c r="B991" t="s">
        <v>947</v>
      </c>
      <c r="C991" t="s">
        <v>1041</v>
      </c>
      <c r="D991" s="16">
        <v>1760</v>
      </c>
      <c r="F991">
        <v>0</v>
      </c>
    </row>
    <row r="992" spans="1:6" x14ac:dyDescent="0.25">
      <c r="A992" t="s">
        <v>73</v>
      </c>
      <c r="B992" t="s">
        <v>915</v>
      </c>
      <c r="C992" t="s">
        <v>1025</v>
      </c>
      <c r="D992" s="16">
        <v>698</v>
      </c>
      <c r="F992">
        <v>0</v>
      </c>
    </row>
    <row r="993" spans="1:6" x14ac:dyDescent="0.25">
      <c r="A993" t="s">
        <v>73</v>
      </c>
      <c r="B993" t="s">
        <v>915</v>
      </c>
      <c r="C993" t="s">
        <v>1041</v>
      </c>
      <c r="D993" s="16">
        <v>685</v>
      </c>
      <c r="F993">
        <v>0</v>
      </c>
    </row>
    <row r="994" spans="1:6" x14ac:dyDescent="0.25">
      <c r="A994" t="s">
        <v>73</v>
      </c>
      <c r="B994" t="s">
        <v>915</v>
      </c>
      <c r="C994" t="s">
        <v>1096</v>
      </c>
      <c r="D994" s="16">
        <v>1116.02</v>
      </c>
      <c r="F994">
        <v>0</v>
      </c>
    </row>
    <row r="995" spans="1:6" x14ac:dyDescent="0.25">
      <c r="A995" t="s">
        <v>73</v>
      </c>
      <c r="B995" t="s">
        <v>915</v>
      </c>
      <c r="C995" t="s">
        <v>1096</v>
      </c>
      <c r="D995" s="16">
        <v>1144.5</v>
      </c>
      <c r="F995">
        <v>0</v>
      </c>
    </row>
    <row r="996" spans="1:6" x14ac:dyDescent="0.25">
      <c r="A996" t="s">
        <v>73</v>
      </c>
      <c r="B996" t="s">
        <v>915</v>
      </c>
      <c r="C996" t="s">
        <v>1100</v>
      </c>
      <c r="D996" s="16">
        <v>739</v>
      </c>
      <c r="F996">
        <v>0</v>
      </c>
    </row>
    <row r="997" spans="1:6" x14ac:dyDescent="0.25">
      <c r="A997" t="s">
        <v>73</v>
      </c>
      <c r="B997" t="s">
        <v>915</v>
      </c>
      <c r="C997" t="s">
        <v>1100</v>
      </c>
      <c r="D997" s="16">
        <v>829</v>
      </c>
      <c r="F997">
        <v>0</v>
      </c>
    </row>
    <row r="998" spans="1:6" x14ac:dyDescent="0.25">
      <c r="A998" t="s">
        <v>73</v>
      </c>
      <c r="B998" t="s">
        <v>915</v>
      </c>
      <c r="C998" t="s">
        <v>1100</v>
      </c>
      <c r="D998" s="16">
        <v>899</v>
      </c>
      <c r="F998">
        <v>0</v>
      </c>
    </row>
    <row r="999" spans="1:6" x14ac:dyDescent="0.25">
      <c r="A999" t="s">
        <v>73</v>
      </c>
      <c r="B999" t="s">
        <v>915</v>
      </c>
      <c r="C999" t="s">
        <v>1100</v>
      </c>
      <c r="D999" s="16">
        <v>1049</v>
      </c>
      <c r="F999">
        <v>0</v>
      </c>
    </row>
    <row r="1000" spans="1:6" x14ac:dyDescent="0.25">
      <c r="A1000" t="s">
        <v>73</v>
      </c>
      <c r="B1000" t="s">
        <v>915</v>
      </c>
      <c r="C1000" t="s">
        <v>1100</v>
      </c>
      <c r="D1000" s="16">
        <v>1599</v>
      </c>
      <c r="F1000">
        <v>0</v>
      </c>
    </row>
    <row r="1001" spans="1:6" x14ac:dyDescent="0.25">
      <c r="A1001" t="s">
        <v>73</v>
      </c>
      <c r="B1001" t="s">
        <v>916</v>
      </c>
      <c r="C1001" t="s">
        <v>995</v>
      </c>
      <c r="D1001" s="16">
        <v>629</v>
      </c>
      <c r="F1001">
        <v>0</v>
      </c>
    </row>
    <row r="1002" spans="1:6" x14ac:dyDescent="0.25">
      <c r="A1002" t="s">
        <v>73</v>
      </c>
      <c r="B1002" t="s">
        <v>916</v>
      </c>
      <c r="C1002" t="s">
        <v>999</v>
      </c>
      <c r="D1002" s="16">
        <v>669</v>
      </c>
      <c r="F1002">
        <v>0</v>
      </c>
    </row>
    <row r="1003" spans="1:6" x14ac:dyDescent="0.25">
      <c r="A1003" t="s">
        <v>73</v>
      </c>
      <c r="B1003" t="s">
        <v>916</v>
      </c>
      <c r="C1003" t="s">
        <v>1035</v>
      </c>
      <c r="D1003" s="16">
        <v>638</v>
      </c>
      <c r="F1003">
        <v>0</v>
      </c>
    </row>
    <row r="1004" spans="1:6" x14ac:dyDescent="0.25">
      <c r="A1004" t="s">
        <v>73</v>
      </c>
      <c r="B1004" t="s">
        <v>916</v>
      </c>
      <c r="C1004" t="s">
        <v>1035</v>
      </c>
      <c r="D1004" s="16">
        <v>825</v>
      </c>
      <c r="F1004">
        <v>0</v>
      </c>
    </row>
    <row r="1005" spans="1:6" x14ac:dyDescent="0.25">
      <c r="A1005" t="s">
        <v>73</v>
      </c>
      <c r="B1005" t="s">
        <v>916</v>
      </c>
      <c r="C1005" t="s">
        <v>1035</v>
      </c>
      <c r="D1005" s="16">
        <v>847</v>
      </c>
      <c r="F1005">
        <v>0</v>
      </c>
    </row>
    <row r="1006" spans="1:6" x14ac:dyDescent="0.25">
      <c r="A1006" t="s">
        <v>73</v>
      </c>
      <c r="B1006" t="s">
        <v>916</v>
      </c>
      <c r="C1006" t="s">
        <v>1035</v>
      </c>
      <c r="D1006" s="16">
        <v>1499</v>
      </c>
      <c r="F1006">
        <v>0</v>
      </c>
    </row>
    <row r="1007" spans="1:6" x14ac:dyDescent="0.25">
      <c r="A1007" t="s">
        <v>73</v>
      </c>
      <c r="B1007" t="s">
        <v>916</v>
      </c>
      <c r="C1007" t="s">
        <v>1035</v>
      </c>
      <c r="D1007" s="16">
        <v>1650</v>
      </c>
      <c r="F1007">
        <v>0</v>
      </c>
    </row>
    <row r="1008" spans="1:6" x14ac:dyDescent="0.25">
      <c r="A1008" t="s">
        <v>73</v>
      </c>
      <c r="B1008" t="s">
        <v>916</v>
      </c>
      <c r="C1008" t="s">
        <v>1035</v>
      </c>
      <c r="D1008" s="16">
        <v>1669</v>
      </c>
      <c r="F1008">
        <v>0</v>
      </c>
    </row>
    <row r="1009" spans="1:6" x14ac:dyDescent="0.25">
      <c r="A1009" t="s">
        <v>73</v>
      </c>
      <c r="B1009" t="s">
        <v>916</v>
      </c>
      <c r="C1009" t="s">
        <v>1035</v>
      </c>
      <c r="D1009" s="16">
        <v>1686.64</v>
      </c>
      <c r="F1009">
        <v>0</v>
      </c>
    </row>
    <row r="1010" spans="1:6" x14ac:dyDescent="0.25">
      <c r="A1010" t="s">
        <v>73</v>
      </c>
      <c r="B1010" t="s">
        <v>916</v>
      </c>
      <c r="C1010" t="s">
        <v>1035</v>
      </c>
      <c r="D1010" s="16">
        <v>1713.49</v>
      </c>
      <c r="F1010">
        <v>0</v>
      </c>
    </row>
    <row r="1011" spans="1:6" x14ac:dyDescent="0.25">
      <c r="A1011" t="s">
        <v>73</v>
      </c>
      <c r="B1011" t="s">
        <v>916</v>
      </c>
      <c r="C1011" t="s">
        <v>1035</v>
      </c>
      <c r="D1011" s="16">
        <v>2339</v>
      </c>
      <c r="F1011">
        <v>0</v>
      </c>
    </row>
    <row r="1012" spans="1:6" x14ac:dyDescent="0.25">
      <c r="A1012" t="s">
        <v>73</v>
      </c>
      <c r="B1012" t="s">
        <v>916</v>
      </c>
      <c r="C1012" t="s">
        <v>1057</v>
      </c>
      <c r="D1012" s="16">
        <v>1855</v>
      </c>
      <c r="F1012">
        <v>0</v>
      </c>
    </row>
    <row r="1013" spans="1:6" x14ac:dyDescent="0.25">
      <c r="A1013" t="s">
        <v>73</v>
      </c>
      <c r="B1013" t="s">
        <v>916</v>
      </c>
      <c r="C1013" t="s">
        <v>1079</v>
      </c>
      <c r="D1013" s="16">
        <v>895</v>
      </c>
      <c r="F1013">
        <v>0</v>
      </c>
    </row>
    <row r="1014" spans="1:6" x14ac:dyDescent="0.25">
      <c r="A1014" t="s">
        <v>73</v>
      </c>
      <c r="B1014" t="s">
        <v>916</v>
      </c>
      <c r="C1014" t="s">
        <v>1087</v>
      </c>
      <c r="D1014" s="16">
        <v>1099</v>
      </c>
      <c r="F1014">
        <v>0</v>
      </c>
    </row>
    <row r="1015" spans="1:6" x14ac:dyDescent="0.25">
      <c r="A1015" t="s">
        <v>73</v>
      </c>
      <c r="B1015" t="s">
        <v>978</v>
      </c>
      <c r="C1015" t="s">
        <v>1043</v>
      </c>
      <c r="D1015" s="16">
        <v>1799</v>
      </c>
      <c r="F1015">
        <v>0</v>
      </c>
    </row>
    <row r="1016" spans="1:6" x14ac:dyDescent="0.25">
      <c r="A1016" t="s">
        <v>73</v>
      </c>
      <c r="B1016" t="s">
        <v>949</v>
      </c>
      <c r="C1016" t="s">
        <v>1035</v>
      </c>
      <c r="D1016" s="16">
        <v>1488.99</v>
      </c>
      <c r="F1016">
        <v>0</v>
      </c>
    </row>
    <row r="1017" spans="1:6" x14ac:dyDescent="0.25">
      <c r="A1017" t="s">
        <v>73</v>
      </c>
      <c r="B1017" t="s">
        <v>949</v>
      </c>
      <c r="C1017" t="s">
        <v>1035</v>
      </c>
      <c r="D1017" s="16">
        <v>1499</v>
      </c>
      <c r="F1017">
        <v>0</v>
      </c>
    </row>
    <row r="1018" spans="1:6" x14ac:dyDescent="0.25">
      <c r="A1018" t="s">
        <v>73</v>
      </c>
      <c r="B1018" t="s">
        <v>949</v>
      </c>
      <c r="C1018" t="s">
        <v>1035</v>
      </c>
      <c r="D1018" s="16">
        <v>1529</v>
      </c>
      <c r="F1018">
        <v>0</v>
      </c>
    </row>
    <row r="1019" spans="1:6" x14ac:dyDescent="0.25">
      <c r="A1019" t="s">
        <v>73</v>
      </c>
      <c r="B1019" t="s">
        <v>949</v>
      </c>
      <c r="C1019" t="s">
        <v>1035</v>
      </c>
      <c r="D1019" s="16">
        <v>1673</v>
      </c>
      <c r="F1019">
        <v>0</v>
      </c>
    </row>
    <row r="1020" spans="1:6" x14ac:dyDescent="0.25">
      <c r="A1020" t="s">
        <v>73</v>
      </c>
      <c r="B1020" t="s">
        <v>949</v>
      </c>
      <c r="C1020" t="s">
        <v>1035</v>
      </c>
      <c r="D1020" s="16">
        <v>1858</v>
      </c>
      <c r="F1020">
        <v>0</v>
      </c>
    </row>
    <row r="1021" spans="1:6" x14ac:dyDescent="0.25">
      <c r="A1021" t="s">
        <v>73</v>
      </c>
      <c r="B1021" t="s">
        <v>949</v>
      </c>
      <c r="C1021" t="s">
        <v>1035</v>
      </c>
      <c r="D1021" s="16">
        <v>2099</v>
      </c>
      <c r="F1021">
        <v>0</v>
      </c>
    </row>
    <row r="1022" spans="1:6" x14ac:dyDescent="0.25">
      <c r="A1022" t="s">
        <v>73</v>
      </c>
      <c r="B1022" t="s">
        <v>949</v>
      </c>
      <c r="C1022" t="s">
        <v>1035</v>
      </c>
      <c r="D1022" s="16">
        <v>2299</v>
      </c>
      <c r="F1022">
        <v>0</v>
      </c>
    </row>
    <row r="1023" spans="1:6" x14ac:dyDescent="0.25">
      <c r="A1023" t="s">
        <v>73</v>
      </c>
      <c r="B1023" t="s">
        <v>949</v>
      </c>
      <c r="C1023" t="s">
        <v>1035</v>
      </c>
      <c r="D1023" s="16">
        <v>2440</v>
      </c>
      <c r="F1023">
        <v>0</v>
      </c>
    </row>
    <row r="1024" spans="1:6" x14ac:dyDescent="0.25">
      <c r="A1024" t="s">
        <v>73</v>
      </c>
      <c r="B1024" t="s">
        <v>949</v>
      </c>
      <c r="C1024" t="s">
        <v>1035</v>
      </c>
      <c r="D1024" s="16">
        <v>2499</v>
      </c>
      <c r="F1024">
        <v>0</v>
      </c>
    </row>
    <row r="1025" spans="1:6" x14ac:dyDescent="0.25">
      <c r="A1025" t="s">
        <v>73</v>
      </c>
      <c r="B1025" t="s">
        <v>949</v>
      </c>
      <c r="C1025" t="s">
        <v>1035</v>
      </c>
      <c r="D1025" s="16">
        <v>2620</v>
      </c>
      <c r="F1025">
        <v>0</v>
      </c>
    </row>
    <row r="1026" spans="1:6" x14ac:dyDescent="0.25">
      <c r="A1026" t="s">
        <v>73</v>
      </c>
      <c r="B1026" t="s">
        <v>949</v>
      </c>
      <c r="C1026" t="s">
        <v>1056</v>
      </c>
      <c r="D1026" s="16">
        <v>2050.38</v>
      </c>
      <c r="F1026">
        <v>0</v>
      </c>
    </row>
    <row r="1027" spans="1:6" x14ac:dyDescent="0.25">
      <c r="A1027" t="s">
        <v>73</v>
      </c>
      <c r="B1027" t="s">
        <v>917</v>
      </c>
      <c r="C1027" t="s">
        <v>1014</v>
      </c>
      <c r="D1027" s="16">
        <v>1196</v>
      </c>
      <c r="F1027">
        <v>0</v>
      </c>
    </row>
    <row r="1028" spans="1:6" x14ac:dyDescent="0.25">
      <c r="A1028" t="s">
        <v>73</v>
      </c>
      <c r="B1028" t="s">
        <v>917</v>
      </c>
      <c r="C1028" t="s">
        <v>1014</v>
      </c>
      <c r="D1028" s="16">
        <v>1305</v>
      </c>
      <c r="F1028">
        <v>0</v>
      </c>
    </row>
    <row r="1029" spans="1:6" x14ac:dyDescent="0.25">
      <c r="A1029" t="s">
        <v>73</v>
      </c>
      <c r="B1029" t="s">
        <v>917</v>
      </c>
      <c r="C1029" t="s">
        <v>1015</v>
      </c>
      <c r="D1029" s="16">
        <v>1272</v>
      </c>
      <c r="F1029">
        <v>0</v>
      </c>
    </row>
    <row r="1030" spans="1:6" x14ac:dyDescent="0.25">
      <c r="A1030" t="s">
        <v>73</v>
      </c>
      <c r="B1030" t="s">
        <v>917</v>
      </c>
      <c r="C1030" t="s">
        <v>1016</v>
      </c>
      <c r="D1030" s="16">
        <v>899</v>
      </c>
      <c r="F1030">
        <v>0</v>
      </c>
    </row>
    <row r="1031" spans="1:6" x14ac:dyDescent="0.25">
      <c r="A1031" t="s">
        <v>73</v>
      </c>
      <c r="B1031" t="s">
        <v>917</v>
      </c>
      <c r="C1031" t="s">
        <v>1016</v>
      </c>
      <c r="D1031" s="16">
        <v>1029</v>
      </c>
      <c r="F1031">
        <v>0</v>
      </c>
    </row>
    <row r="1032" spans="1:6" x14ac:dyDescent="0.25">
      <c r="A1032" t="s">
        <v>73</v>
      </c>
      <c r="B1032" t="s">
        <v>917</v>
      </c>
      <c r="C1032" t="s">
        <v>1020</v>
      </c>
      <c r="D1032" s="16">
        <v>2289.9899999999998</v>
      </c>
      <c r="F1032">
        <v>0</v>
      </c>
    </row>
    <row r="1033" spans="1:6" x14ac:dyDescent="0.25">
      <c r="A1033" t="s">
        <v>73</v>
      </c>
      <c r="B1033" t="s">
        <v>931</v>
      </c>
      <c r="C1033" t="s">
        <v>1007</v>
      </c>
      <c r="D1033" s="16">
        <v>2663</v>
      </c>
      <c r="F1033">
        <v>0</v>
      </c>
    </row>
    <row r="1034" spans="1:6" x14ac:dyDescent="0.25">
      <c r="A1034" t="s">
        <v>73</v>
      </c>
      <c r="B1034" t="s">
        <v>931</v>
      </c>
      <c r="C1034" t="s">
        <v>1020</v>
      </c>
      <c r="D1034" s="16">
        <v>2749.99</v>
      </c>
      <c r="F1034">
        <v>0</v>
      </c>
    </row>
    <row r="1035" spans="1:6" x14ac:dyDescent="0.25">
      <c r="A1035" t="s">
        <v>73</v>
      </c>
      <c r="B1035" t="s">
        <v>931</v>
      </c>
      <c r="C1035" t="s">
        <v>1020</v>
      </c>
      <c r="D1035" s="16">
        <v>3240</v>
      </c>
      <c r="F1035">
        <v>0</v>
      </c>
    </row>
    <row r="1036" spans="1:6" x14ac:dyDescent="0.25">
      <c r="A1036" t="s">
        <v>73</v>
      </c>
      <c r="B1036" t="s">
        <v>950</v>
      </c>
      <c r="C1036" t="s">
        <v>1049</v>
      </c>
      <c r="D1036" s="16">
        <v>2968</v>
      </c>
      <c r="F1036">
        <v>0</v>
      </c>
    </row>
    <row r="1037" spans="1:6" x14ac:dyDescent="0.25">
      <c r="A1037" t="s">
        <v>73</v>
      </c>
      <c r="B1037" t="s">
        <v>950</v>
      </c>
      <c r="C1037" t="s">
        <v>1052</v>
      </c>
      <c r="D1037" s="16">
        <v>2370</v>
      </c>
      <c r="F1037">
        <v>0</v>
      </c>
    </row>
    <row r="1038" spans="1:6" x14ac:dyDescent="0.25">
      <c r="A1038" t="s">
        <v>73</v>
      </c>
      <c r="B1038" t="s">
        <v>918</v>
      </c>
      <c r="C1038" t="s">
        <v>994</v>
      </c>
      <c r="D1038" s="16">
        <v>831</v>
      </c>
      <c r="F1038">
        <v>0</v>
      </c>
    </row>
    <row r="1039" spans="1:6" x14ac:dyDescent="0.25">
      <c r="A1039" t="s">
        <v>73</v>
      </c>
      <c r="B1039" t="s">
        <v>918</v>
      </c>
      <c r="C1039" t="s">
        <v>995</v>
      </c>
      <c r="D1039" s="16">
        <v>685</v>
      </c>
      <c r="F1039">
        <v>0</v>
      </c>
    </row>
    <row r="1040" spans="1:6" x14ac:dyDescent="0.25">
      <c r="A1040" t="s">
        <v>73</v>
      </c>
      <c r="B1040" t="s">
        <v>918</v>
      </c>
      <c r="C1040" t="s">
        <v>995</v>
      </c>
      <c r="D1040" s="16">
        <v>799</v>
      </c>
      <c r="F1040">
        <v>0</v>
      </c>
    </row>
    <row r="1041" spans="1:6" x14ac:dyDescent="0.25">
      <c r="A1041" t="s">
        <v>73</v>
      </c>
      <c r="B1041" t="s">
        <v>918</v>
      </c>
      <c r="C1041" t="s">
        <v>995</v>
      </c>
      <c r="D1041" s="16">
        <v>899</v>
      </c>
      <c r="F1041">
        <v>0</v>
      </c>
    </row>
    <row r="1042" spans="1:6" x14ac:dyDescent="0.25">
      <c r="A1042" t="s">
        <v>73</v>
      </c>
      <c r="B1042" t="s">
        <v>918</v>
      </c>
      <c r="C1042" t="s">
        <v>999</v>
      </c>
      <c r="D1042" s="16">
        <v>659.01</v>
      </c>
      <c r="F1042">
        <v>0</v>
      </c>
    </row>
    <row r="1043" spans="1:6" x14ac:dyDescent="0.25">
      <c r="A1043" t="s">
        <v>73</v>
      </c>
      <c r="B1043" t="s">
        <v>918</v>
      </c>
      <c r="C1043" t="s">
        <v>999</v>
      </c>
      <c r="D1043" s="16">
        <v>709</v>
      </c>
      <c r="F1043">
        <v>0</v>
      </c>
    </row>
    <row r="1044" spans="1:6" x14ac:dyDescent="0.25">
      <c r="A1044" t="s">
        <v>73</v>
      </c>
      <c r="B1044" t="s">
        <v>918</v>
      </c>
      <c r="C1044" t="s">
        <v>999</v>
      </c>
      <c r="D1044" s="16">
        <v>789</v>
      </c>
      <c r="F1044">
        <v>0</v>
      </c>
    </row>
    <row r="1045" spans="1:6" x14ac:dyDescent="0.25">
      <c r="A1045" t="s">
        <v>73</v>
      </c>
      <c r="B1045" t="s">
        <v>918</v>
      </c>
      <c r="C1045" t="s">
        <v>999</v>
      </c>
      <c r="D1045" s="16">
        <v>859</v>
      </c>
      <c r="F1045">
        <v>0</v>
      </c>
    </row>
    <row r="1046" spans="1:6" x14ac:dyDescent="0.25">
      <c r="A1046" t="s">
        <v>73</v>
      </c>
      <c r="B1046" t="s">
        <v>918</v>
      </c>
      <c r="C1046" t="s">
        <v>999</v>
      </c>
      <c r="D1046" s="16">
        <v>949</v>
      </c>
      <c r="F1046">
        <v>0</v>
      </c>
    </row>
    <row r="1047" spans="1:6" x14ac:dyDescent="0.25">
      <c r="A1047" t="s">
        <v>73</v>
      </c>
      <c r="B1047" t="s">
        <v>918</v>
      </c>
      <c r="C1047" t="s">
        <v>1041</v>
      </c>
      <c r="D1047" s="16">
        <v>779</v>
      </c>
      <c r="F1047">
        <v>0</v>
      </c>
    </row>
    <row r="1048" spans="1:6" x14ac:dyDescent="0.25">
      <c r="A1048" t="s">
        <v>73</v>
      </c>
      <c r="B1048" t="s">
        <v>918</v>
      </c>
      <c r="C1048" t="s">
        <v>1041</v>
      </c>
      <c r="D1048" s="16">
        <v>1010</v>
      </c>
      <c r="F1048">
        <v>0</v>
      </c>
    </row>
    <row r="1049" spans="1:6" x14ac:dyDescent="0.25">
      <c r="A1049" t="s">
        <v>73</v>
      </c>
      <c r="B1049" t="s">
        <v>918</v>
      </c>
      <c r="C1049" t="s">
        <v>1041</v>
      </c>
      <c r="D1049" s="16">
        <v>1079</v>
      </c>
      <c r="F1049">
        <v>0</v>
      </c>
    </row>
    <row r="1050" spans="1:6" x14ac:dyDescent="0.25">
      <c r="A1050" t="s">
        <v>73</v>
      </c>
      <c r="B1050" t="s">
        <v>918</v>
      </c>
      <c r="C1050" t="s">
        <v>1041</v>
      </c>
      <c r="D1050" s="16">
        <v>1349</v>
      </c>
      <c r="F1050">
        <v>0</v>
      </c>
    </row>
    <row r="1051" spans="1:6" x14ac:dyDescent="0.25">
      <c r="A1051" t="s">
        <v>73</v>
      </c>
      <c r="B1051" t="s">
        <v>918</v>
      </c>
      <c r="C1051" t="s">
        <v>1041</v>
      </c>
      <c r="D1051" s="16">
        <v>1480</v>
      </c>
      <c r="F1051">
        <v>0</v>
      </c>
    </row>
    <row r="1052" spans="1:6" x14ac:dyDescent="0.25">
      <c r="A1052" t="s">
        <v>73</v>
      </c>
      <c r="B1052" t="s">
        <v>918</v>
      </c>
      <c r="C1052" t="s">
        <v>1041</v>
      </c>
      <c r="D1052" s="16">
        <v>1499</v>
      </c>
      <c r="F1052">
        <v>0</v>
      </c>
    </row>
    <row r="1053" spans="1:6" x14ac:dyDescent="0.25">
      <c r="A1053" t="s">
        <v>73</v>
      </c>
      <c r="B1053" t="s">
        <v>918</v>
      </c>
      <c r="C1053" t="s">
        <v>1041</v>
      </c>
      <c r="D1053" s="16">
        <v>1584</v>
      </c>
      <c r="F1053">
        <v>0</v>
      </c>
    </row>
    <row r="1054" spans="1:6" x14ac:dyDescent="0.25">
      <c r="A1054" t="s">
        <v>73</v>
      </c>
      <c r="B1054" t="s">
        <v>918</v>
      </c>
      <c r="C1054" t="s">
        <v>1041</v>
      </c>
      <c r="D1054" s="16">
        <v>1650</v>
      </c>
      <c r="F1054">
        <v>0</v>
      </c>
    </row>
    <row r="1055" spans="1:6" x14ac:dyDescent="0.25">
      <c r="A1055" t="s">
        <v>73</v>
      </c>
      <c r="B1055" t="s">
        <v>918</v>
      </c>
      <c r="C1055" t="s">
        <v>1041</v>
      </c>
      <c r="D1055" s="16">
        <v>1729</v>
      </c>
      <c r="F1055">
        <v>0</v>
      </c>
    </row>
    <row r="1056" spans="1:6" x14ac:dyDescent="0.25">
      <c r="A1056" t="s">
        <v>73</v>
      </c>
      <c r="B1056" t="s">
        <v>918</v>
      </c>
      <c r="C1056" t="s">
        <v>1041</v>
      </c>
      <c r="D1056" s="16">
        <v>1749</v>
      </c>
      <c r="F1056">
        <v>0</v>
      </c>
    </row>
    <row r="1057" spans="1:6" x14ac:dyDescent="0.25">
      <c r="A1057" t="s">
        <v>73</v>
      </c>
      <c r="B1057" t="s">
        <v>918</v>
      </c>
      <c r="C1057" t="s">
        <v>1041</v>
      </c>
      <c r="D1057" s="16">
        <v>1757.42</v>
      </c>
      <c r="F1057">
        <v>0</v>
      </c>
    </row>
    <row r="1058" spans="1:6" x14ac:dyDescent="0.25">
      <c r="A1058" t="s">
        <v>73</v>
      </c>
      <c r="B1058" t="s">
        <v>918</v>
      </c>
      <c r="C1058" t="s">
        <v>1041</v>
      </c>
      <c r="D1058" s="16">
        <v>1798</v>
      </c>
      <c r="F1058">
        <v>0</v>
      </c>
    </row>
    <row r="1059" spans="1:6" x14ac:dyDescent="0.25">
      <c r="A1059" t="s">
        <v>73</v>
      </c>
      <c r="B1059" t="s">
        <v>918</v>
      </c>
      <c r="C1059" t="s">
        <v>1041</v>
      </c>
      <c r="D1059" s="16">
        <v>1859</v>
      </c>
      <c r="F1059">
        <v>0</v>
      </c>
    </row>
    <row r="1060" spans="1:6" x14ac:dyDescent="0.25">
      <c r="A1060" t="s">
        <v>73</v>
      </c>
      <c r="B1060" t="s">
        <v>918</v>
      </c>
      <c r="C1060" t="s">
        <v>1041</v>
      </c>
      <c r="D1060" s="16">
        <v>1950</v>
      </c>
      <c r="F1060">
        <v>0</v>
      </c>
    </row>
    <row r="1061" spans="1:6" x14ac:dyDescent="0.25">
      <c r="A1061" t="s">
        <v>73</v>
      </c>
      <c r="B1061" t="s">
        <v>918</v>
      </c>
      <c r="C1061" t="s">
        <v>1041</v>
      </c>
      <c r="D1061" s="16">
        <v>1970</v>
      </c>
      <c r="F1061">
        <v>0</v>
      </c>
    </row>
    <row r="1062" spans="1:6" x14ac:dyDescent="0.25">
      <c r="A1062" t="s">
        <v>73</v>
      </c>
      <c r="B1062" t="s">
        <v>918</v>
      </c>
      <c r="C1062" t="s">
        <v>1041</v>
      </c>
      <c r="D1062" s="16">
        <v>2025</v>
      </c>
      <c r="F1062">
        <v>0</v>
      </c>
    </row>
    <row r="1063" spans="1:6" x14ac:dyDescent="0.25">
      <c r="A1063" t="s">
        <v>73</v>
      </c>
      <c r="B1063" t="s">
        <v>918</v>
      </c>
      <c r="C1063" t="s">
        <v>1041</v>
      </c>
      <c r="D1063" s="16">
        <v>2049</v>
      </c>
      <c r="F1063">
        <v>0</v>
      </c>
    </row>
    <row r="1064" spans="1:6" x14ac:dyDescent="0.25">
      <c r="A1064" t="s">
        <v>73</v>
      </c>
      <c r="B1064" t="s">
        <v>918</v>
      </c>
      <c r="C1064" t="s">
        <v>1041</v>
      </c>
      <c r="D1064" s="16">
        <v>2282</v>
      </c>
      <c r="F1064">
        <v>0</v>
      </c>
    </row>
    <row r="1065" spans="1:6" x14ac:dyDescent="0.25">
      <c r="A1065" t="s">
        <v>73</v>
      </c>
      <c r="B1065" t="s">
        <v>918</v>
      </c>
      <c r="C1065" t="s">
        <v>1041</v>
      </c>
      <c r="D1065" s="16">
        <v>2299</v>
      </c>
      <c r="F1065">
        <v>0</v>
      </c>
    </row>
    <row r="1066" spans="1:6" x14ac:dyDescent="0.25">
      <c r="A1066" t="s">
        <v>73</v>
      </c>
      <c r="B1066" t="s">
        <v>918</v>
      </c>
      <c r="C1066" t="s">
        <v>1041</v>
      </c>
      <c r="D1066" s="16">
        <v>2382</v>
      </c>
      <c r="F1066">
        <v>0</v>
      </c>
    </row>
    <row r="1067" spans="1:6" x14ac:dyDescent="0.25">
      <c r="A1067" t="s">
        <v>73</v>
      </c>
      <c r="B1067" t="s">
        <v>918</v>
      </c>
      <c r="C1067" t="s">
        <v>1041</v>
      </c>
      <c r="D1067" s="16">
        <v>2450</v>
      </c>
      <c r="F1067">
        <v>0</v>
      </c>
    </row>
    <row r="1068" spans="1:6" x14ac:dyDescent="0.25">
      <c r="A1068" t="s">
        <v>73</v>
      </c>
      <c r="B1068" t="s">
        <v>918</v>
      </c>
      <c r="C1068" t="s">
        <v>1041</v>
      </c>
      <c r="D1068" s="16">
        <v>2499</v>
      </c>
      <c r="F1068">
        <v>0</v>
      </c>
    </row>
    <row r="1069" spans="1:6" x14ac:dyDescent="0.25">
      <c r="A1069" t="s">
        <v>73</v>
      </c>
      <c r="B1069" t="s">
        <v>918</v>
      </c>
      <c r="C1069" t="s">
        <v>1041</v>
      </c>
      <c r="D1069" s="16">
        <v>2509</v>
      </c>
      <c r="F1069">
        <v>0</v>
      </c>
    </row>
    <row r="1070" spans="1:6" x14ac:dyDescent="0.25">
      <c r="A1070" t="s">
        <v>73</v>
      </c>
      <c r="B1070" t="s">
        <v>918</v>
      </c>
      <c r="C1070" t="s">
        <v>1041</v>
      </c>
      <c r="D1070" s="16">
        <v>2590</v>
      </c>
      <c r="F1070">
        <v>0</v>
      </c>
    </row>
    <row r="1071" spans="1:6" x14ac:dyDescent="0.25">
      <c r="A1071" t="s">
        <v>73</v>
      </c>
      <c r="B1071" t="s">
        <v>918</v>
      </c>
      <c r="C1071" t="s">
        <v>1041</v>
      </c>
      <c r="D1071" s="16">
        <v>2625</v>
      </c>
      <c r="F1071">
        <v>0</v>
      </c>
    </row>
    <row r="1072" spans="1:6" x14ac:dyDescent="0.25">
      <c r="A1072" t="s">
        <v>73</v>
      </c>
      <c r="B1072" t="s">
        <v>918</v>
      </c>
      <c r="C1072" t="s">
        <v>1041</v>
      </c>
      <c r="D1072" s="16">
        <v>2824</v>
      </c>
      <c r="F1072">
        <v>0</v>
      </c>
    </row>
    <row r="1073" spans="1:6" x14ac:dyDescent="0.25">
      <c r="A1073" t="s">
        <v>73</v>
      </c>
      <c r="B1073" t="s">
        <v>918</v>
      </c>
      <c r="C1073" t="s">
        <v>1042</v>
      </c>
      <c r="D1073" s="16">
        <v>1097</v>
      </c>
      <c r="F1073">
        <v>0</v>
      </c>
    </row>
    <row r="1074" spans="1:6" x14ac:dyDescent="0.25">
      <c r="A1074" t="s">
        <v>73</v>
      </c>
      <c r="B1074" t="s">
        <v>918</v>
      </c>
      <c r="C1074" t="s">
        <v>1092</v>
      </c>
      <c r="D1074" s="16">
        <v>799</v>
      </c>
      <c r="F1074">
        <v>0</v>
      </c>
    </row>
    <row r="1075" spans="1:6" x14ac:dyDescent="0.25">
      <c r="A1075" t="s">
        <v>73</v>
      </c>
      <c r="B1075" t="s">
        <v>952</v>
      </c>
      <c r="C1075" t="s">
        <v>999</v>
      </c>
      <c r="D1075" s="16">
        <v>2445</v>
      </c>
      <c r="F1075">
        <v>0</v>
      </c>
    </row>
    <row r="1076" spans="1:6" x14ac:dyDescent="0.25">
      <c r="A1076" t="s">
        <v>73</v>
      </c>
      <c r="B1076" t="s">
        <v>952</v>
      </c>
      <c r="C1076" t="s">
        <v>1057</v>
      </c>
      <c r="D1076" s="16">
        <v>3299</v>
      </c>
      <c r="F1076">
        <v>0</v>
      </c>
    </row>
    <row r="1077" spans="1:6" x14ac:dyDescent="0.25">
      <c r="A1077" t="s">
        <v>73</v>
      </c>
      <c r="B1077" t="s">
        <v>919</v>
      </c>
      <c r="C1077" t="s">
        <v>1001</v>
      </c>
      <c r="D1077" s="16">
        <v>1903</v>
      </c>
      <c r="F1077">
        <v>0</v>
      </c>
    </row>
    <row r="1078" spans="1:6" x14ac:dyDescent="0.25">
      <c r="A1078" t="s">
        <v>73</v>
      </c>
      <c r="B1078" t="s">
        <v>919</v>
      </c>
      <c r="C1078" t="s">
        <v>1001</v>
      </c>
      <c r="D1078" s="16">
        <v>1943</v>
      </c>
      <c r="F1078">
        <v>0</v>
      </c>
    </row>
    <row r="1079" spans="1:6" x14ac:dyDescent="0.25">
      <c r="A1079" t="s">
        <v>73</v>
      </c>
      <c r="B1079" t="s">
        <v>919</v>
      </c>
      <c r="C1079" t="s">
        <v>1002</v>
      </c>
      <c r="D1079" s="16">
        <v>999</v>
      </c>
      <c r="F1079">
        <v>0</v>
      </c>
    </row>
    <row r="1080" spans="1:6" x14ac:dyDescent="0.25">
      <c r="A1080" t="s">
        <v>73</v>
      </c>
      <c r="B1080" t="s">
        <v>919</v>
      </c>
      <c r="C1080" t="s">
        <v>1002</v>
      </c>
      <c r="D1080" s="16">
        <v>1048</v>
      </c>
      <c r="F1080">
        <v>0</v>
      </c>
    </row>
    <row r="1081" spans="1:6" x14ac:dyDescent="0.25">
      <c r="A1081" t="s">
        <v>73</v>
      </c>
      <c r="B1081" t="s">
        <v>919</v>
      </c>
      <c r="C1081" t="s">
        <v>1002</v>
      </c>
      <c r="D1081" s="16">
        <v>1899</v>
      </c>
      <c r="F1081">
        <v>0</v>
      </c>
    </row>
    <row r="1082" spans="1:6" x14ac:dyDescent="0.25">
      <c r="A1082" t="s">
        <v>73</v>
      </c>
      <c r="B1082" t="s">
        <v>919</v>
      </c>
      <c r="C1082" t="s">
        <v>1003</v>
      </c>
      <c r="D1082" s="16">
        <v>1079</v>
      </c>
      <c r="F1082">
        <v>0</v>
      </c>
    </row>
    <row r="1083" spans="1:6" x14ac:dyDescent="0.25">
      <c r="A1083" t="s">
        <v>73</v>
      </c>
      <c r="B1083" t="s">
        <v>919</v>
      </c>
      <c r="C1083" t="s">
        <v>1003</v>
      </c>
      <c r="D1083" s="16">
        <v>1129</v>
      </c>
      <c r="F1083">
        <v>0</v>
      </c>
    </row>
    <row r="1084" spans="1:6" x14ac:dyDescent="0.25">
      <c r="A1084" t="s">
        <v>73</v>
      </c>
      <c r="B1084" t="s">
        <v>919</v>
      </c>
      <c r="C1084" t="s">
        <v>1003</v>
      </c>
      <c r="D1084" s="16">
        <v>1179</v>
      </c>
      <c r="F1084">
        <v>0</v>
      </c>
    </row>
    <row r="1085" spans="1:6" x14ac:dyDescent="0.25">
      <c r="A1085" t="s">
        <v>73</v>
      </c>
      <c r="B1085" t="s">
        <v>919</v>
      </c>
      <c r="C1085" t="s">
        <v>1003</v>
      </c>
      <c r="D1085" s="16">
        <v>1199</v>
      </c>
      <c r="F1085">
        <v>0</v>
      </c>
    </row>
    <row r="1086" spans="1:6" x14ac:dyDescent="0.25">
      <c r="A1086" t="s">
        <v>73</v>
      </c>
      <c r="B1086" t="s">
        <v>919</v>
      </c>
      <c r="C1086" t="s">
        <v>1003</v>
      </c>
      <c r="D1086" s="16">
        <v>1249</v>
      </c>
      <c r="F1086">
        <v>0</v>
      </c>
    </row>
    <row r="1087" spans="1:6" x14ac:dyDescent="0.25">
      <c r="A1087" t="s">
        <v>73</v>
      </c>
      <c r="B1087" t="s">
        <v>919</v>
      </c>
      <c r="C1087" t="s">
        <v>1004</v>
      </c>
      <c r="D1087" s="16">
        <v>869</v>
      </c>
      <c r="F1087">
        <v>0</v>
      </c>
    </row>
    <row r="1088" spans="1:6" x14ac:dyDescent="0.25">
      <c r="A1088" t="s">
        <v>73</v>
      </c>
      <c r="B1088" t="s">
        <v>919</v>
      </c>
      <c r="C1088" t="s">
        <v>1004</v>
      </c>
      <c r="D1088" s="16">
        <v>1109</v>
      </c>
      <c r="F1088">
        <v>0</v>
      </c>
    </row>
    <row r="1089" spans="1:6" x14ac:dyDescent="0.25">
      <c r="A1089" t="s">
        <v>73</v>
      </c>
      <c r="B1089" t="s">
        <v>919</v>
      </c>
      <c r="C1089" t="s">
        <v>1004</v>
      </c>
      <c r="D1089" s="16">
        <v>1699</v>
      </c>
      <c r="F1089">
        <v>0</v>
      </c>
    </row>
    <row r="1090" spans="1:6" x14ac:dyDescent="0.25">
      <c r="A1090" t="s">
        <v>73</v>
      </c>
      <c r="B1090" t="s">
        <v>919</v>
      </c>
      <c r="C1090" t="s">
        <v>1006</v>
      </c>
      <c r="D1090" s="16">
        <v>1149</v>
      </c>
      <c r="F1090">
        <v>0</v>
      </c>
    </row>
    <row r="1091" spans="1:6" x14ac:dyDescent="0.25">
      <c r="A1091" t="s">
        <v>73</v>
      </c>
      <c r="B1091" t="s">
        <v>919</v>
      </c>
      <c r="C1091" t="s">
        <v>1006</v>
      </c>
      <c r="D1091" s="16">
        <v>1189</v>
      </c>
      <c r="F1091">
        <v>0</v>
      </c>
    </row>
    <row r="1092" spans="1:6" x14ac:dyDescent="0.25">
      <c r="A1092" t="s">
        <v>73</v>
      </c>
      <c r="B1092" t="s">
        <v>919</v>
      </c>
      <c r="C1092" t="s">
        <v>1006</v>
      </c>
      <c r="D1092" s="16">
        <v>1299</v>
      </c>
      <c r="F1092">
        <v>0</v>
      </c>
    </row>
    <row r="1093" spans="1:6" x14ac:dyDescent="0.25">
      <c r="A1093" t="s">
        <v>73</v>
      </c>
      <c r="B1093" t="s">
        <v>919</v>
      </c>
      <c r="C1093" t="s">
        <v>1006</v>
      </c>
      <c r="D1093" s="16">
        <v>1398</v>
      </c>
      <c r="F1093">
        <v>0</v>
      </c>
    </row>
    <row r="1094" spans="1:6" x14ac:dyDescent="0.25">
      <c r="A1094" t="s">
        <v>73</v>
      </c>
      <c r="B1094" t="s">
        <v>919</v>
      </c>
      <c r="C1094" t="s">
        <v>1006</v>
      </c>
      <c r="D1094" s="16">
        <v>1399</v>
      </c>
      <c r="F1094">
        <v>0</v>
      </c>
    </row>
    <row r="1095" spans="1:6" x14ac:dyDescent="0.25">
      <c r="A1095" t="s">
        <v>73</v>
      </c>
      <c r="B1095" t="s">
        <v>919</v>
      </c>
      <c r="C1095" t="s">
        <v>1006</v>
      </c>
      <c r="D1095" s="16">
        <v>1499</v>
      </c>
      <c r="F1095">
        <v>0</v>
      </c>
    </row>
    <row r="1096" spans="1:6" x14ac:dyDescent="0.25">
      <c r="A1096" t="s">
        <v>73</v>
      </c>
      <c r="B1096" t="s">
        <v>919</v>
      </c>
      <c r="C1096" t="s">
        <v>1006</v>
      </c>
      <c r="D1096" s="16">
        <v>1749</v>
      </c>
      <c r="F1096">
        <v>0</v>
      </c>
    </row>
    <row r="1097" spans="1:6" x14ac:dyDescent="0.25">
      <c r="A1097" t="s">
        <v>73</v>
      </c>
      <c r="B1097" t="s">
        <v>919</v>
      </c>
      <c r="C1097" t="s">
        <v>1042</v>
      </c>
      <c r="D1097" s="16">
        <v>1299</v>
      </c>
      <c r="F1097">
        <v>0</v>
      </c>
    </row>
    <row r="1098" spans="1:6" x14ac:dyDescent="0.25">
      <c r="A1098" t="s">
        <v>73</v>
      </c>
      <c r="B1098" t="s">
        <v>919</v>
      </c>
      <c r="C1098" t="s">
        <v>1051</v>
      </c>
      <c r="D1098" s="16">
        <v>1925</v>
      </c>
      <c r="F1098">
        <v>0</v>
      </c>
    </row>
    <row r="1099" spans="1:6" x14ac:dyDescent="0.25">
      <c r="A1099" t="s">
        <v>73</v>
      </c>
      <c r="B1099" t="s">
        <v>919</v>
      </c>
      <c r="C1099" t="s">
        <v>1059</v>
      </c>
      <c r="D1099" s="16">
        <v>2999</v>
      </c>
      <c r="F1099">
        <v>0</v>
      </c>
    </row>
    <row r="1100" spans="1:6" x14ac:dyDescent="0.25">
      <c r="A1100" t="s">
        <v>73</v>
      </c>
      <c r="B1100" t="s">
        <v>954</v>
      </c>
      <c r="C1100" t="s">
        <v>1054</v>
      </c>
      <c r="D1100" s="16">
        <v>2090</v>
      </c>
      <c r="F1100">
        <v>0</v>
      </c>
    </row>
    <row r="1101" spans="1:6" x14ac:dyDescent="0.25">
      <c r="A1101" t="s">
        <v>73</v>
      </c>
      <c r="B1101" t="s">
        <v>954</v>
      </c>
      <c r="C1101" t="s">
        <v>1054</v>
      </c>
      <c r="D1101" s="16">
        <v>2449</v>
      </c>
      <c r="F1101">
        <v>0</v>
      </c>
    </row>
    <row r="1102" spans="1:6" x14ac:dyDescent="0.25">
      <c r="A1102" t="s">
        <v>73</v>
      </c>
      <c r="B1102" t="s">
        <v>921</v>
      </c>
      <c r="C1102" t="s">
        <v>1025</v>
      </c>
      <c r="D1102" s="16">
        <v>849</v>
      </c>
      <c r="F1102">
        <v>0</v>
      </c>
    </row>
    <row r="1103" spans="1:6" x14ac:dyDescent="0.25">
      <c r="A1103" t="s">
        <v>73</v>
      </c>
      <c r="B1103" t="s">
        <v>921</v>
      </c>
      <c r="C1103" t="s">
        <v>1041</v>
      </c>
      <c r="D1103" s="16">
        <v>609</v>
      </c>
      <c r="F1103">
        <v>0</v>
      </c>
    </row>
    <row r="1104" spans="1:6" x14ac:dyDescent="0.25">
      <c r="A1104" t="s">
        <v>73</v>
      </c>
      <c r="B1104" t="s">
        <v>921</v>
      </c>
      <c r="C1104" t="s">
        <v>1096</v>
      </c>
      <c r="D1104" s="16">
        <v>1215.3800000000001</v>
      </c>
      <c r="F1104">
        <v>0</v>
      </c>
    </row>
    <row r="1105" spans="1:6" x14ac:dyDescent="0.25">
      <c r="A1105" t="s">
        <v>73</v>
      </c>
      <c r="B1105" t="s">
        <v>921</v>
      </c>
      <c r="C1105" t="s">
        <v>1096</v>
      </c>
      <c r="D1105" s="16">
        <v>1229.56</v>
      </c>
      <c r="F1105">
        <v>0</v>
      </c>
    </row>
    <row r="1106" spans="1:6" x14ac:dyDescent="0.25">
      <c r="A1106" t="s">
        <v>73</v>
      </c>
      <c r="B1106" t="s">
        <v>921</v>
      </c>
      <c r="C1106" t="s">
        <v>1100</v>
      </c>
      <c r="D1106" s="16">
        <v>880</v>
      </c>
      <c r="F1106">
        <v>0</v>
      </c>
    </row>
    <row r="1107" spans="1:6" x14ac:dyDescent="0.25">
      <c r="A1107" t="s">
        <v>73</v>
      </c>
      <c r="B1107" t="s">
        <v>921</v>
      </c>
      <c r="C1107" t="s">
        <v>1100</v>
      </c>
      <c r="D1107" s="16">
        <v>898.9</v>
      </c>
      <c r="F1107">
        <v>0</v>
      </c>
    </row>
    <row r="1108" spans="1:6" x14ac:dyDescent="0.25">
      <c r="A1108" t="s">
        <v>73</v>
      </c>
      <c r="B1108" t="s">
        <v>921</v>
      </c>
      <c r="C1108" t="s">
        <v>1100</v>
      </c>
      <c r="D1108" s="16">
        <v>1499</v>
      </c>
      <c r="F1108">
        <v>0</v>
      </c>
    </row>
    <row r="1109" spans="1:6" x14ac:dyDescent="0.25">
      <c r="A1109" t="s">
        <v>73</v>
      </c>
      <c r="B1109" t="s">
        <v>921</v>
      </c>
      <c r="C1109" t="s">
        <v>1100</v>
      </c>
      <c r="D1109" s="16">
        <v>1849</v>
      </c>
      <c r="F1109">
        <v>0</v>
      </c>
    </row>
    <row r="1110" spans="1:6" x14ac:dyDescent="0.25">
      <c r="A1110" t="s">
        <v>73</v>
      </c>
      <c r="B1110" t="s">
        <v>921</v>
      </c>
      <c r="C1110" t="s">
        <v>1100</v>
      </c>
      <c r="D1110" s="16">
        <v>2099</v>
      </c>
      <c r="F1110">
        <v>0</v>
      </c>
    </row>
    <row r="1111" spans="1:6" x14ac:dyDescent="0.25">
      <c r="A1111" t="s">
        <v>73</v>
      </c>
      <c r="B1111" t="s">
        <v>968</v>
      </c>
      <c r="C1111" t="s">
        <v>1034</v>
      </c>
      <c r="D1111" s="16">
        <v>1399</v>
      </c>
      <c r="F1111">
        <v>0</v>
      </c>
    </row>
    <row r="1112" spans="1:6" x14ac:dyDescent="0.25">
      <c r="A1112" t="s">
        <v>73</v>
      </c>
      <c r="B1112" t="s">
        <v>935</v>
      </c>
      <c r="C1112" t="s">
        <v>1034</v>
      </c>
      <c r="D1112" s="16">
        <v>1299</v>
      </c>
      <c r="F1112">
        <v>0</v>
      </c>
    </row>
    <row r="1113" spans="1:6" x14ac:dyDescent="0.25">
      <c r="A1113" t="s">
        <v>73</v>
      </c>
      <c r="B1113" t="s">
        <v>923</v>
      </c>
      <c r="C1113" t="s">
        <v>1032</v>
      </c>
      <c r="D1113" s="16">
        <v>309</v>
      </c>
      <c r="F1113">
        <v>0</v>
      </c>
    </row>
    <row r="1114" spans="1:6" x14ac:dyDescent="0.25">
      <c r="A1114" t="s">
        <v>73</v>
      </c>
      <c r="B1114" t="s">
        <v>923</v>
      </c>
      <c r="C1114" t="s">
        <v>1032</v>
      </c>
      <c r="D1114" s="16">
        <v>344</v>
      </c>
      <c r="F1114">
        <v>0</v>
      </c>
    </row>
    <row r="1115" spans="1:6" x14ac:dyDescent="0.25">
      <c r="A1115" t="s">
        <v>73</v>
      </c>
      <c r="B1115" t="s">
        <v>923</v>
      </c>
      <c r="C1115" t="s">
        <v>1032</v>
      </c>
      <c r="D1115" s="16">
        <v>349</v>
      </c>
      <c r="F1115">
        <v>0</v>
      </c>
    </row>
    <row r="1116" spans="1:6" x14ac:dyDescent="0.25">
      <c r="A1116" t="s">
        <v>73</v>
      </c>
      <c r="B1116" t="s">
        <v>923</v>
      </c>
      <c r="C1116" t="s">
        <v>1032</v>
      </c>
      <c r="D1116" s="16">
        <v>359.99</v>
      </c>
      <c r="F1116">
        <v>0</v>
      </c>
    </row>
    <row r="1117" spans="1:6" x14ac:dyDescent="0.25">
      <c r="A1117" t="s">
        <v>73</v>
      </c>
      <c r="B1117" t="s">
        <v>982</v>
      </c>
      <c r="C1117" t="s">
        <v>1054</v>
      </c>
      <c r="D1117" s="16">
        <v>4899</v>
      </c>
      <c r="F1117">
        <v>0</v>
      </c>
    </row>
    <row r="1118" spans="1:6" x14ac:dyDescent="0.25">
      <c r="A1118" t="s">
        <v>575</v>
      </c>
      <c r="B1118" t="s">
        <v>918</v>
      </c>
      <c r="C1118" t="s">
        <v>1041</v>
      </c>
      <c r="D1118" s="16">
        <v>1899</v>
      </c>
      <c r="F1118">
        <v>0</v>
      </c>
    </row>
    <row r="1119" spans="1:6" x14ac:dyDescent="0.25">
      <c r="A1119" t="s">
        <v>575</v>
      </c>
      <c r="B1119" t="s">
        <v>918</v>
      </c>
      <c r="C1119" t="s">
        <v>1041</v>
      </c>
      <c r="D1119" s="16">
        <v>2099</v>
      </c>
      <c r="F1119">
        <v>0</v>
      </c>
    </row>
    <row r="1120" spans="1:6" x14ac:dyDescent="0.25">
      <c r="A1120" t="s">
        <v>575</v>
      </c>
      <c r="B1120" t="s">
        <v>921</v>
      </c>
      <c r="C1120" t="s">
        <v>1041</v>
      </c>
      <c r="D1120" s="16">
        <v>2299</v>
      </c>
      <c r="F1120">
        <v>0</v>
      </c>
    </row>
    <row r="1121" spans="1:6" x14ac:dyDescent="0.25">
      <c r="A1121" t="s">
        <v>411</v>
      </c>
      <c r="B1121" t="s">
        <v>929</v>
      </c>
      <c r="C1121" t="s">
        <v>1028</v>
      </c>
      <c r="D1121" s="16">
        <v>239</v>
      </c>
      <c r="F1121">
        <v>0</v>
      </c>
    </row>
    <row r="1122" spans="1:6" x14ac:dyDescent="0.25">
      <c r="A1122" t="s">
        <v>411</v>
      </c>
      <c r="B1122" t="s">
        <v>929</v>
      </c>
      <c r="C1122" t="s">
        <v>1028</v>
      </c>
      <c r="D1122" s="16">
        <v>249</v>
      </c>
      <c r="F1122">
        <v>0</v>
      </c>
    </row>
    <row r="1123" spans="1:6" x14ac:dyDescent="0.25">
      <c r="A1123" t="s">
        <v>411</v>
      </c>
      <c r="B1123" t="s">
        <v>929</v>
      </c>
      <c r="C1123" t="s">
        <v>1028</v>
      </c>
      <c r="D1123" s="16">
        <v>255</v>
      </c>
      <c r="F1123">
        <v>0</v>
      </c>
    </row>
    <row r="1124" spans="1:6" x14ac:dyDescent="0.25">
      <c r="A1124" t="s">
        <v>411</v>
      </c>
      <c r="B1124" t="s">
        <v>983</v>
      </c>
      <c r="C1124" t="s">
        <v>1029</v>
      </c>
      <c r="D1124" s="16">
        <v>265</v>
      </c>
      <c r="F1124">
        <v>0</v>
      </c>
    </row>
    <row r="1125" spans="1:6" x14ac:dyDescent="0.25">
      <c r="A1125" t="s">
        <v>411</v>
      </c>
      <c r="B1125" t="s">
        <v>905</v>
      </c>
      <c r="C1125" t="s">
        <v>1031</v>
      </c>
      <c r="D1125" s="16">
        <v>299</v>
      </c>
      <c r="F1125">
        <v>0</v>
      </c>
    </row>
    <row r="1126" spans="1:6" x14ac:dyDescent="0.25">
      <c r="A1126" t="s">
        <v>411</v>
      </c>
      <c r="B1126" t="s">
        <v>907</v>
      </c>
      <c r="C1126" t="s">
        <v>1031</v>
      </c>
      <c r="D1126" s="16">
        <v>369</v>
      </c>
      <c r="F1126">
        <v>0</v>
      </c>
    </row>
    <row r="1127" spans="1:6" x14ac:dyDescent="0.25">
      <c r="A1127" t="s">
        <v>411</v>
      </c>
      <c r="B1127" t="s">
        <v>907</v>
      </c>
      <c r="C1127" t="s">
        <v>1031</v>
      </c>
      <c r="D1127" s="16">
        <v>389</v>
      </c>
      <c r="F1127">
        <v>0</v>
      </c>
    </row>
    <row r="1128" spans="1:6" x14ac:dyDescent="0.25">
      <c r="A1128" t="s">
        <v>154</v>
      </c>
      <c r="B1128" t="s">
        <v>912</v>
      </c>
      <c r="C1128" t="s">
        <v>1041</v>
      </c>
      <c r="D1128" s="16">
        <v>1089</v>
      </c>
      <c r="F1128">
        <v>0</v>
      </c>
    </row>
    <row r="1129" spans="1:6" x14ac:dyDescent="0.25">
      <c r="A1129" t="s">
        <v>154</v>
      </c>
      <c r="B1129" t="s">
        <v>912</v>
      </c>
      <c r="C1129" t="s">
        <v>1041</v>
      </c>
      <c r="D1129" s="16">
        <v>1340</v>
      </c>
      <c r="F1129">
        <v>0</v>
      </c>
    </row>
    <row r="1130" spans="1:6" x14ac:dyDescent="0.25">
      <c r="A1130" t="s">
        <v>154</v>
      </c>
      <c r="B1130" t="s">
        <v>952</v>
      </c>
      <c r="C1130" t="s">
        <v>1045</v>
      </c>
      <c r="D1130" s="16">
        <v>1867.85</v>
      </c>
      <c r="F1130">
        <v>0</v>
      </c>
    </row>
    <row r="1131" spans="1:6" x14ac:dyDescent="0.25">
      <c r="A1131" t="s">
        <v>154</v>
      </c>
      <c r="B1131" t="s">
        <v>953</v>
      </c>
      <c r="C1131" t="s">
        <v>1045</v>
      </c>
      <c r="D1131" s="16">
        <v>1799</v>
      </c>
      <c r="F1131">
        <v>0</v>
      </c>
    </row>
    <row r="1132" spans="1:6" x14ac:dyDescent="0.25">
      <c r="A1132" t="s">
        <v>154</v>
      </c>
      <c r="B1132" t="s">
        <v>953</v>
      </c>
      <c r="C1132" t="s">
        <v>1045</v>
      </c>
      <c r="D1132" s="16">
        <v>2589</v>
      </c>
      <c r="F1132">
        <v>0</v>
      </c>
    </row>
    <row r="1133" spans="1:6" x14ac:dyDescent="0.25">
      <c r="A1133" t="s">
        <v>154</v>
      </c>
      <c r="B1133" t="s">
        <v>984</v>
      </c>
      <c r="C1133" t="s">
        <v>1040</v>
      </c>
      <c r="D1133" s="16">
        <v>989</v>
      </c>
      <c r="F1133">
        <v>0</v>
      </c>
    </row>
    <row r="1134" spans="1:6" x14ac:dyDescent="0.25">
      <c r="A1134" t="s">
        <v>141</v>
      </c>
      <c r="B1134" t="s">
        <v>913</v>
      </c>
      <c r="C1134" t="s">
        <v>1002</v>
      </c>
      <c r="D1134" s="16">
        <v>997.9</v>
      </c>
      <c r="F1134">
        <v>1</v>
      </c>
    </row>
    <row r="1135" spans="1:6" x14ac:dyDescent="0.25">
      <c r="A1135" t="s">
        <v>141</v>
      </c>
      <c r="B1135" t="s">
        <v>913</v>
      </c>
      <c r="C1135" t="s">
        <v>1002</v>
      </c>
      <c r="D1135" s="16">
        <v>1027.74</v>
      </c>
      <c r="F1135">
        <v>1</v>
      </c>
    </row>
    <row r="1136" spans="1:6" x14ac:dyDescent="0.25">
      <c r="A1136" t="s">
        <v>141</v>
      </c>
      <c r="B1136" t="s">
        <v>913</v>
      </c>
      <c r="C1136" t="s">
        <v>1002</v>
      </c>
      <c r="D1136" s="16">
        <v>1089</v>
      </c>
      <c r="F1136">
        <v>1</v>
      </c>
    </row>
    <row r="1137" spans="1:6" x14ac:dyDescent="0.25">
      <c r="A1137" t="s">
        <v>141</v>
      </c>
      <c r="B1137" t="s">
        <v>913</v>
      </c>
      <c r="C1137" t="s">
        <v>1002</v>
      </c>
      <c r="D1137" s="16">
        <v>1095</v>
      </c>
      <c r="F1137">
        <v>1</v>
      </c>
    </row>
    <row r="1138" spans="1:6" x14ac:dyDescent="0.25">
      <c r="A1138" t="s">
        <v>141</v>
      </c>
      <c r="B1138" t="s">
        <v>913</v>
      </c>
      <c r="C1138" t="s">
        <v>1002</v>
      </c>
      <c r="D1138" s="16">
        <v>1119.9100000000001</v>
      </c>
      <c r="F1138">
        <v>1</v>
      </c>
    </row>
    <row r="1139" spans="1:6" x14ac:dyDescent="0.25">
      <c r="A1139" t="s">
        <v>141</v>
      </c>
      <c r="B1139" t="s">
        <v>913</v>
      </c>
      <c r="C1139" t="s">
        <v>1002</v>
      </c>
      <c r="D1139" s="16">
        <v>1199</v>
      </c>
      <c r="F1139">
        <v>1</v>
      </c>
    </row>
    <row r="1140" spans="1:6" x14ac:dyDescent="0.25">
      <c r="A1140" t="s">
        <v>141</v>
      </c>
      <c r="B1140" t="s">
        <v>917</v>
      </c>
      <c r="C1140" t="s">
        <v>1006</v>
      </c>
      <c r="D1140" s="16">
        <v>1476.11</v>
      </c>
      <c r="F1140">
        <v>1</v>
      </c>
    </row>
    <row r="1141" spans="1:6" x14ac:dyDescent="0.25">
      <c r="A1141" t="s">
        <v>141</v>
      </c>
      <c r="B1141" t="s">
        <v>917</v>
      </c>
      <c r="C1141" t="s">
        <v>1006</v>
      </c>
      <c r="D1141" s="16">
        <v>1819</v>
      </c>
      <c r="F1141">
        <v>1</v>
      </c>
    </row>
    <row r="1142" spans="1:6" x14ac:dyDescent="0.25">
      <c r="A1142" t="s">
        <v>141</v>
      </c>
      <c r="B1142" t="s">
        <v>917</v>
      </c>
      <c r="C1142" t="s">
        <v>1006</v>
      </c>
      <c r="D1142" s="16">
        <v>1929</v>
      </c>
      <c r="F1142">
        <v>1</v>
      </c>
    </row>
    <row r="1143" spans="1:6" x14ac:dyDescent="0.25">
      <c r="A1143" t="s">
        <v>141</v>
      </c>
      <c r="B1143" t="s">
        <v>917</v>
      </c>
      <c r="C1143" t="s">
        <v>1006</v>
      </c>
      <c r="D1143" s="16">
        <v>1948.99</v>
      </c>
      <c r="F1143">
        <v>1</v>
      </c>
    </row>
    <row r="1144" spans="1:6" x14ac:dyDescent="0.25">
      <c r="A1144" t="s">
        <v>141</v>
      </c>
      <c r="B1144" t="s">
        <v>917</v>
      </c>
      <c r="C1144" t="s">
        <v>1006</v>
      </c>
      <c r="D1144" s="16">
        <v>2649</v>
      </c>
      <c r="F1144">
        <v>1</v>
      </c>
    </row>
    <row r="1145" spans="1:6" x14ac:dyDescent="0.25">
      <c r="A1145" t="s">
        <v>141</v>
      </c>
      <c r="B1145" t="s">
        <v>917</v>
      </c>
      <c r="C1145" t="s">
        <v>1016</v>
      </c>
      <c r="D1145" s="16">
        <v>1169</v>
      </c>
      <c r="F1145">
        <v>1</v>
      </c>
    </row>
    <row r="1146" spans="1:6" x14ac:dyDescent="0.25">
      <c r="A1146" t="s">
        <v>141</v>
      </c>
      <c r="B1146" t="s">
        <v>917</v>
      </c>
      <c r="C1146" t="s">
        <v>1016</v>
      </c>
      <c r="D1146" s="16">
        <v>1229</v>
      </c>
      <c r="F1146">
        <v>1</v>
      </c>
    </row>
    <row r="1147" spans="1:6" x14ac:dyDescent="0.25">
      <c r="A1147" t="s">
        <v>141</v>
      </c>
      <c r="B1147" t="s">
        <v>917</v>
      </c>
      <c r="C1147" t="s">
        <v>1016</v>
      </c>
      <c r="D1147" s="16">
        <v>1511.19</v>
      </c>
      <c r="F1147">
        <v>1</v>
      </c>
    </row>
    <row r="1148" spans="1:6" x14ac:dyDescent="0.25">
      <c r="A1148" t="s">
        <v>141</v>
      </c>
      <c r="B1148" t="s">
        <v>917</v>
      </c>
      <c r="C1148" t="s">
        <v>1017</v>
      </c>
      <c r="D1148" s="16">
        <v>1599</v>
      </c>
      <c r="F1148">
        <v>1</v>
      </c>
    </row>
    <row r="1149" spans="1:6" x14ac:dyDescent="0.25">
      <c r="A1149" t="s">
        <v>141</v>
      </c>
      <c r="B1149" t="s">
        <v>917</v>
      </c>
      <c r="C1149" t="s">
        <v>1018</v>
      </c>
      <c r="D1149" s="16">
        <v>1769</v>
      </c>
      <c r="F1149">
        <v>1</v>
      </c>
    </row>
    <row r="1150" spans="1:6" x14ac:dyDescent="0.25">
      <c r="A1150" t="s">
        <v>141</v>
      </c>
      <c r="B1150" t="s">
        <v>917</v>
      </c>
      <c r="C1150" t="s">
        <v>1018</v>
      </c>
      <c r="D1150" s="16">
        <v>2153.37</v>
      </c>
      <c r="F1150">
        <v>1</v>
      </c>
    </row>
    <row r="1151" spans="1:6" x14ac:dyDescent="0.25">
      <c r="A1151" t="s">
        <v>141</v>
      </c>
      <c r="B1151" t="s">
        <v>931</v>
      </c>
      <c r="C1151" t="s">
        <v>1018</v>
      </c>
      <c r="D1151" s="16">
        <v>2199</v>
      </c>
      <c r="F1151">
        <v>1</v>
      </c>
    </row>
    <row r="1152" spans="1:6" x14ac:dyDescent="0.25">
      <c r="A1152" t="s">
        <v>141</v>
      </c>
      <c r="B1152" t="s">
        <v>931</v>
      </c>
      <c r="C1152" t="s">
        <v>1020</v>
      </c>
      <c r="D1152" s="16">
        <v>1545.64</v>
      </c>
      <c r="F1152">
        <v>1</v>
      </c>
    </row>
    <row r="1153" spans="1:6" x14ac:dyDescent="0.25">
      <c r="A1153" t="s">
        <v>141</v>
      </c>
      <c r="B1153" t="s">
        <v>931</v>
      </c>
      <c r="C1153" t="s">
        <v>1020</v>
      </c>
      <c r="D1153" s="16">
        <v>2349</v>
      </c>
      <c r="F1153">
        <v>1</v>
      </c>
    </row>
    <row r="1154" spans="1:6" x14ac:dyDescent="0.25">
      <c r="A1154" t="s">
        <v>141</v>
      </c>
      <c r="B1154" t="s">
        <v>950</v>
      </c>
      <c r="C1154" t="s">
        <v>1020</v>
      </c>
      <c r="D1154" s="16">
        <v>2399</v>
      </c>
      <c r="F1154">
        <v>1</v>
      </c>
    </row>
    <row r="1155" spans="1:6" x14ac:dyDescent="0.25">
      <c r="A1155" t="s">
        <v>141</v>
      </c>
      <c r="B1155" t="s">
        <v>985</v>
      </c>
      <c r="C1155" t="s">
        <v>1027</v>
      </c>
      <c r="D1155" s="16">
        <v>2799</v>
      </c>
      <c r="F1155">
        <v>1</v>
      </c>
    </row>
    <row r="1156" spans="1:6" x14ac:dyDescent="0.25">
      <c r="A1156" t="s">
        <v>141</v>
      </c>
      <c r="B1156" t="s">
        <v>918</v>
      </c>
      <c r="C1156" t="s">
        <v>1002</v>
      </c>
      <c r="D1156" s="16">
        <v>839</v>
      </c>
      <c r="F1156">
        <v>1</v>
      </c>
    </row>
    <row r="1157" spans="1:6" x14ac:dyDescent="0.25">
      <c r="A1157" t="s">
        <v>141</v>
      </c>
      <c r="B1157" t="s">
        <v>919</v>
      </c>
      <c r="C1157" t="s">
        <v>1002</v>
      </c>
      <c r="D1157" s="16">
        <v>1142.8</v>
      </c>
      <c r="F1157">
        <v>1</v>
      </c>
    </row>
    <row r="1158" spans="1:6" x14ac:dyDescent="0.25">
      <c r="A1158" t="s">
        <v>141</v>
      </c>
      <c r="B1158" t="s">
        <v>919</v>
      </c>
      <c r="C1158" t="s">
        <v>1002</v>
      </c>
      <c r="D1158" s="16">
        <v>1149</v>
      </c>
      <c r="F1158">
        <v>1</v>
      </c>
    </row>
    <row r="1159" spans="1:6" x14ac:dyDescent="0.25">
      <c r="A1159" t="s">
        <v>141</v>
      </c>
      <c r="B1159" t="s">
        <v>919</v>
      </c>
      <c r="C1159" t="s">
        <v>1002</v>
      </c>
      <c r="D1159" s="16">
        <v>1191.8</v>
      </c>
      <c r="F1159">
        <v>1</v>
      </c>
    </row>
    <row r="1160" spans="1:6" x14ac:dyDescent="0.25">
      <c r="A1160" t="s">
        <v>141</v>
      </c>
      <c r="B1160" t="s">
        <v>919</v>
      </c>
      <c r="C1160" t="s">
        <v>1002</v>
      </c>
      <c r="D1160" s="16">
        <v>1199</v>
      </c>
      <c r="F1160">
        <v>1</v>
      </c>
    </row>
    <row r="1161" spans="1:6" x14ac:dyDescent="0.25">
      <c r="A1161" t="s">
        <v>141</v>
      </c>
      <c r="B1161" t="s">
        <v>919</v>
      </c>
      <c r="C1161" t="s">
        <v>1002</v>
      </c>
      <c r="D1161" s="16">
        <v>1294</v>
      </c>
      <c r="F1161">
        <v>1</v>
      </c>
    </row>
    <row r="1162" spans="1:6" x14ac:dyDescent="0.25">
      <c r="A1162" t="s">
        <v>141</v>
      </c>
      <c r="B1162" t="s">
        <v>919</v>
      </c>
      <c r="C1162" t="s">
        <v>1003</v>
      </c>
      <c r="D1162" s="16">
        <v>1191.8</v>
      </c>
      <c r="F1162">
        <v>1</v>
      </c>
    </row>
    <row r="1163" spans="1:6" x14ac:dyDescent="0.25">
      <c r="A1163" t="s">
        <v>141</v>
      </c>
      <c r="B1163" t="s">
        <v>919</v>
      </c>
      <c r="C1163" t="s">
        <v>1003</v>
      </c>
      <c r="D1163" s="16">
        <v>1199</v>
      </c>
      <c r="F1163">
        <v>1</v>
      </c>
    </row>
    <row r="1164" spans="1:6" x14ac:dyDescent="0.25">
      <c r="A1164" t="s">
        <v>141</v>
      </c>
      <c r="B1164" t="s">
        <v>919</v>
      </c>
      <c r="C1164" t="s">
        <v>1003</v>
      </c>
      <c r="D1164" s="16">
        <v>1299</v>
      </c>
      <c r="F1164">
        <v>1</v>
      </c>
    </row>
    <row r="1165" spans="1:6" x14ac:dyDescent="0.25">
      <c r="A1165" t="s">
        <v>141</v>
      </c>
      <c r="B1165" t="s">
        <v>919</v>
      </c>
      <c r="C1165" t="s">
        <v>1003</v>
      </c>
      <c r="D1165" s="16">
        <v>1348.48</v>
      </c>
      <c r="F1165">
        <v>1</v>
      </c>
    </row>
    <row r="1166" spans="1:6" x14ac:dyDescent="0.25">
      <c r="A1166" t="s">
        <v>141</v>
      </c>
      <c r="B1166" t="s">
        <v>919</v>
      </c>
      <c r="C1166" t="s">
        <v>1003</v>
      </c>
      <c r="D1166" s="16">
        <v>1349</v>
      </c>
      <c r="F1166">
        <v>1</v>
      </c>
    </row>
    <row r="1167" spans="1:6" x14ac:dyDescent="0.25">
      <c r="A1167" t="s">
        <v>141</v>
      </c>
      <c r="B1167" t="s">
        <v>919</v>
      </c>
      <c r="C1167" t="s">
        <v>1003</v>
      </c>
      <c r="D1167" s="16">
        <v>1492.8</v>
      </c>
      <c r="F1167">
        <v>1</v>
      </c>
    </row>
    <row r="1168" spans="1:6" x14ac:dyDescent="0.25">
      <c r="A1168" t="s">
        <v>141</v>
      </c>
      <c r="B1168" t="s">
        <v>919</v>
      </c>
      <c r="C1168" t="s">
        <v>1003</v>
      </c>
      <c r="D1168" s="16">
        <v>1599</v>
      </c>
      <c r="F1168">
        <v>1</v>
      </c>
    </row>
    <row r="1169" spans="1:6" x14ac:dyDescent="0.25">
      <c r="A1169" t="s">
        <v>141</v>
      </c>
      <c r="B1169" t="s">
        <v>919</v>
      </c>
      <c r="C1169" t="s">
        <v>1006</v>
      </c>
      <c r="D1169" s="16">
        <v>1409</v>
      </c>
      <c r="F1169">
        <v>1</v>
      </c>
    </row>
    <row r="1170" spans="1:6" x14ac:dyDescent="0.25">
      <c r="A1170" t="s">
        <v>141</v>
      </c>
      <c r="B1170" t="s">
        <v>919</v>
      </c>
      <c r="C1170" t="s">
        <v>1006</v>
      </c>
      <c r="D1170" s="16">
        <v>1486.77</v>
      </c>
      <c r="F1170">
        <v>1</v>
      </c>
    </row>
    <row r="1171" spans="1:6" x14ac:dyDescent="0.25">
      <c r="A1171" t="s">
        <v>141</v>
      </c>
      <c r="B1171" t="s">
        <v>919</v>
      </c>
      <c r="C1171" t="s">
        <v>1006</v>
      </c>
      <c r="D1171" s="16">
        <v>1598</v>
      </c>
      <c r="F1171">
        <v>1</v>
      </c>
    </row>
    <row r="1172" spans="1:6" x14ac:dyDescent="0.25">
      <c r="A1172" t="s">
        <v>141</v>
      </c>
      <c r="B1172" t="s">
        <v>919</v>
      </c>
      <c r="C1172" t="s">
        <v>1006</v>
      </c>
      <c r="D1172" s="16">
        <v>1799</v>
      </c>
      <c r="F1172">
        <v>1</v>
      </c>
    </row>
    <row r="1173" spans="1:6" x14ac:dyDescent="0.25">
      <c r="A1173" t="s">
        <v>141</v>
      </c>
      <c r="B1173" t="s">
        <v>919</v>
      </c>
      <c r="C1173" t="s">
        <v>1006</v>
      </c>
      <c r="D1173" s="16">
        <v>1890</v>
      </c>
      <c r="F1173">
        <v>1</v>
      </c>
    </row>
    <row r="1174" spans="1:6" x14ac:dyDescent="0.25">
      <c r="A1174" t="s">
        <v>141</v>
      </c>
      <c r="B1174" t="s">
        <v>919</v>
      </c>
      <c r="C1174" t="s">
        <v>1006</v>
      </c>
      <c r="D1174" s="16">
        <v>1891</v>
      </c>
      <c r="F1174">
        <v>1</v>
      </c>
    </row>
    <row r="1175" spans="1:6" x14ac:dyDescent="0.25">
      <c r="A1175" t="s">
        <v>141</v>
      </c>
      <c r="B1175" t="s">
        <v>919</v>
      </c>
      <c r="C1175" t="s">
        <v>1006</v>
      </c>
      <c r="D1175" s="16">
        <v>2048.9</v>
      </c>
      <c r="F1175">
        <v>1</v>
      </c>
    </row>
    <row r="1176" spans="1:6" x14ac:dyDescent="0.25">
      <c r="A1176" t="s">
        <v>141</v>
      </c>
      <c r="B1176" t="s">
        <v>919</v>
      </c>
      <c r="C1176" t="s">
        <v>1006</v>
      </c>
      <c r="D1176" s="16">
        <v>2094.48</v>
      </c>
      <c r="F1176">
        <v>1</v>
      </c>
    </row>
    <row r="1177" spans="1:6" x14ac:dyDescent="0.25">
      <c r="A1177" t="s">
        <v>141</v>
      </c>
      <c r="B1177" t="s">
        <v>919</v>
      </c>
      <c r="C1177" t="s">
        <v>1006</v>
      </c>
      <c r="D1177" s="16">
        <v>2299</v>
      </c>
      <c r="F1177">
        <v>1</v>
      </c>
    </row>
    <row r="1178" spans="1:6" x14ac:dyDescent="0.25">
      <c r="A1178" t="s">
        <v>141</v>
      </c>
      <c r="B1178" t="s">
        <v>919</v>
      </c>
      <c r="C1178" t="s">
        <v>1007</v>
      </c>
      <c r="D1178" s="16">
        <v>2029</v>
      </c>
      <c r="F1178">
        <v>1</v>
      </c>
    </row>
    <row r="1179" spans="1:6" x14ac:dyDescent="0.25">
      <c r="A1179" t="s">
        <v>141</v>
      </c>
      <c r="B1179" t="s">
        <v>919</v>
      </c>
      <c r="C1179" t="s">
        <v>1007</v>
      </c>
      <c r="D1179" s="16">
        <v>2099</v>
      </c>
      <c r="F1179">
        <v>1</v>
      </c>
    </row>
    <row r="1180" spans="1:6" x14ac:dyDescent="0.25">
      <c r="A1180" t="s">
        <v>141</v>
      </c>
      <c r="B1180" t="s">
        <v>919</v>
      </c>
      <c r="C1180" t="s">
        <v>1007</v>
      </c>
      <c r="D1180" s="16">
        <v>2241.5</v>
      </c>
      <c r="F1180">
        <v>1</v>
      </c>
    </row>
    <row r="1181" spans="1:6" x14ac:dyDescent="0.25">
      <c r="A1181" t="s">
        <v>141</v>
      </c>
      <c r="B1181" t="s">
        <v>919</v>
      </c>
      <c r="C1181" t="s">
        <v>1007</v>
      </c>
      <c r="D1181" s="16">
        <v>2249</v>
      </c>
      <c r="F1181">
        <v>1</v>
      </c>
    </row>
    <row r="1182" spans="1:6" x14ac:dyDescent="0.25">
      <c r="A1182" t="s">
        <v>141</v>
      </c>
      <c r="B1182" t="s">
        <v>919</v>
      </c>
      <c r="C1182" t="s">
        <v>1007</v>
      </c>
      <c r="D1182" s="16">
        <v>2267.86</v>
      </c>
      <c r="F1182">
        <v>1</v>
      </c>
    </row>
    <row r="1183" spans="1:6" x14ac:dyDescent="0.25">
      <c r="A1183" t="s">
        <v>141</v>
      </c>
      <c r="B1183" t="s">
        <v>919</v>
      </c>
      <c r="C1183" t="s">
        <v>1007</v>
      </c>
      <c r="D1183" s="16">
        <v>2415</v>
      </c>
      <c r="F1183">
        <v>1</v>
      </c>
    </row>
    <row r="1184" spans="1:6" x14ac:dyDescent="0.25">
      <c r="A1184" t="s">
        <v>141</v>
      </c>
      <c r="B1184" t="s">
        <v>919</v>
      </c>
      <c r="C1184" t="s">
        <v>1007</v>
      </c>
      <c r="D1184" s="16">
        <v>2449</v>
      </c>
      <c r="F1184">
        <v>1</v>
      </c>
    </row>
    <row r="1185" spans="1:6" x14ac:dyDescent="0.25">
      <c r="A1185" t="s">
        <v>141</v>
      </c>
      <c r="B1185" t="s">
        <v>919</v>
      </c>
      <c r="C1185" t="s">
        <v>1007</v>
      </c>
      <c r="D1185" s="16">
        <v>2499</v>
      </c>
      <c r="F1185">
        <v>1</v>
      </c>
    </row>
    <row r="1186" spans="1:6" x14ac:dyDescent="0.25">
      <c r="A1186" t="s">
        <v>141</v>
      </c>
      <c r="B1186" t="s">
        <v>932</v>
      </c>
      <c r="C1186" t="s">
        <v>1007</v>
      </c>
      <c r="D1186" s="16">
        <v>2729</v>
      </c>
      <c r="F1186">
        <v>1</v>
      </c>
    </row>
    <row r="1187" spans="1:6" x14ac:dyDescent="0.25">
      <c r="A1187" t="s">
        <v>256</v>
      </c>
      <c r="B1187" t="s">
        <v>916</v>
      </c>
      <c r="C1187" t="s">
        <v>1035</v>
      </c>
      <c r="D1187" s="16">
        <v>1029</v>
      </c>
      <c r="F1187">
        <v>0</v>
      </c>
    </row>
    <row r="1188" spans="1:6" x14ac:dyDescent="0.25">
      <c r="A1188" t="s">
        <v>256</v>
      </c>
      <c r="B1188" t="s">
        <v>918</v>
      </c>
      <c r="C1188" t="s">
        <v>1041</v>
      </c>
      <c r="D1188" s="16">
        <v>1799</v>
      </c>
      <c r="F1188">
        <v>0</v>
      </c>
    </row>
    <row r="1189" spans="1:6" x14ac:dyDescent="0.25">
      <c r="A1189" t="s">
        <v>256</v>
      </c>
      <c r="B1189" t="s">
        <v>919</v>
      </c>
      <c r="C1189" t="s">
        <v>1006</v>
      </c>
      <c r="D1189" s="16">
        <v>2599</v>
      </c>
      <c r="F1189">
        <v>0</v>
      </c>
    </row>
    <row r="1190" spans="1:6" x14ac:dyDescent="0.25">
      <c r="A1190" t="s">
        <v>256</v>
      </c>
      <c r="B1190" t="s">
        <v>919</v>
      </c>
      <c r="C1190" t="s">
        <v>1006</v>
      </c>
      <c r="D1190" s="16">
        <v>2899</v>
      </c>
      <c r="F1190">
        <v>0</v>
      </c>
    </row>
    <row r="1191" spans="1:6" x14ac:dyDescent="0.25">
      <c r="A1191" t="s">
        <v>256</v>
      </c>
      <c r="B1191" t="s">
        <v>919</v>
      </c>
      <c r="C1191" t="s">
        <v>1006</v>
      </c>
      <c r="D1191" s="16">
        <v>3499</v>
      </c>
      <c r="F1191">
        <v>0</v>
      </c>
    </row>
    <row r="1192" spans="1:6" x14ac:dyDescent="0.25">
      <c r="A1192" t="s">
        <v>256</v>
      </c>
      <c r="B1192" t="s">
        <v>932</v>
      </c>
      <c r="C1192" t="s">
        <v>1009</v>
      </c>
      <c r="D1192" s="16">
        <v>5499</v>
      </c>
      <c r="F1192">
        <v>0</v>
      </c>
    </row>
    <row r="1193" spans="1:6" x14ac:dyDescent="0.25">
      <c r="A1193" t="s">
        <v>256</v>
      </c>
      <c r="B1193" t="s">
        <v>932</v>
      </c>
      <c r="C1193" t="s">
        <v>1009</v>
      </c>
      <c r="D1193" s="16">
        <v>6099</v>
      </c>
      <c r="F1193">
        <v>0</v>
      </c>
    </row>
    <row r="1194" spans="1:6" x14ac:dyDescent="0.25">
      <c r="A1194" t="s">
        <v>413</v>
      </c>
      <c r="B1194" t="s">
        <v>904</v>
      </c>
      <c r="C1194" t="s">
        <v>1029</v>
      </c>
      <c r="D1194" s="16">
        <v>269</v>
      </c>
      <c r="F1194">
        <v>0</v>
      </c>
    </row>
    <row r="1195" spans="1:6" x14ac:dyDescent="0.25">
      <c r="A1195" t="s">
        <v>413</v>
      </c>
      <c r="B1195" t="s">
        <v>912</v>
      </c>
      <c r="C1195" t="s">
        <v>1041</v>
      </c>
      <c r="D1195" s="16">
        <v>1499</v>
      </c>
      <c r="F1195">
        <v>0</v>
      </c>
    </row>
    <row r="1196" spans="1:6" x14ac:dyDescent="0.25">
      <c r="A1196" t="s">
        <v>413</v>
      </c>
      <c r="B1196" t="s">
        <v>918</v>
      </c>
      <c r="C1196" t="s">
        <v>999</v>
      </c>
      <c r="D1196" s="16">
        <v>1849</v>
      </c>
      <c r="F1196">
        <v>0</v>
      </c>
    </row>
    <row r="1197" spans="1:6" x14ac:dyDescent="0.25">
      <c r="A1197" t="s">
        <v>413</v>
      </c>
      <c r="B1197" t="s">
        <v>918</v>
      </c>
      <c r="C1197" t="s">
        <v>1041</v>
      </c>
      <c r="D1197" s="16">
        <v>1599</v>
      </c>
      <c r="F1197">
        <v>0</v>
      </c>
    </row>
    <row r="1198" spans="1:6" x14ac:dyDescent="0.25">
      <c r="A1198" t="s">
        <v>413</v>
      </c>
      <c r="B1198" t="s">
        <v>918</v>
      </c>
      <c r="C1198" t="s">
        <v>1041</v>
      </c>
      <c r="D1198" s="16">
        <v>1649</v>
      </c>
      <c r="F1198">
        <v>0</v>
      </c>
    </row>
    <row r="1199" spans="1:6" x14ac:dyDescent="0.25">
      <c r="A1199" t="s">
        <v>413</v>
      </c>
      <c r="B1199" t="s">
        <v>918</v>
      </c>
      <c r="C1199" t="s">
        <v>1041</v>
      </c>
      <c r="D1199" s="16">
        <v>1699</v>
      </c>
      <c r="F1199">
        <v>0</v>
      </c>
    </row>
    <row r="1200" spans="1:6" x14ac:dyDescent="0.25">
      <c r="A1200" t="s">
        <v>413</v>
      </c>
      <c r="B1200" t="s">
        <v>918</v>
      </c>
      <c r="C1200" t="s">
        <v>1066</v>
      </c>
      <c r="D1200" s="16">
        <v>1799</v>
      </c>
      <c r="F1200">
        <v>0</v>
      </c>
    </row>
    <row r="1201" spans="1:6" x14ac:dyDescent="0.25">
      <c r="A1201" t="s">
        <v>413</v>
      </c>
      <c r="B1201" t="s">
        <v>919</v>
      </c>
      <c r="C1201" t="s">
        <v>1002</v>
      </c>
      <c r="D1201" s="16">
        <v>1699</v>
      </c>
      <c r="F1201">
        <v>0</v>
      </c>
    </row>
    <row r="1202" spans="1:6" x14ac:dyDescent="0.25">
      <c r="A1202" t="s">
        <v>413</v>
      </c>
      <c r="B1202" t="s">
        <v>986</v>
      </c>
      <c r="C1202" t="s">
        <v>1048</v>
      </c>
      <c r="D1202" s="16">
        <v>659</v>
      </c>
      <c r="F1202">
        <v>0</v>
      </c>
    </row>
    <row r="1203" spans="1:6" x14ac:dyDescent="0.25">
      <c r="A1203" t="s">
        <v>210</v>
      </c>
      <c r="B1203" t="s">
        <v>908</v>
      </c>
      <c r="C1203" t="s">
        <v>1035</v>
      </c>
      <c r="D1203" s="16">
        <v>447</v>
      </c>
      <c r="F1203">
        <v>0</v>
      </c>
    </row>
    <row r="1204" spans="1:6" x14ac:dyDescent="0.25">
      <c r="A1204" t="s">
        <v>210</v>
      </c>
      <c r="B1204" t="s">
        <v>944</v>
      </c>
      <c r="C1204" t="s">
        <v>1035</v>
      </c>
      <c r="D1204" s="16">
        <v>498</v>
      </c>
      <c r="F1204">
        <v>0</v>
      </c>
    </row>
    <row r="1205" spans="1:6" x14ac:dyDescent="0.25">
      <c r="A1205" t="s">
        <v>210</v>
      </c>
      <c r="B1205" t="s">
        <v>909</v>
      </c>
      <c r="C1205" t="s">
        <v>1041</v>
      </c>
      <c r="D1205" s="16">
        <v>489</v>
      </c>
      <c r="F1205">
        <v>0</v>
      </c>
    </row>
    <row r="1206" spans="1:6" x14ac:dyDescent="0.25">
      <c r="A1206" t="s">
        <v>210</v>
      </c>
      <c r="B1206" t="s">
        <v>909</v>
      </c>
      <c r="C1206" t="s">
        <v>1041</v>
      </c>
      <c r="D1206" s="16">
        <v>669</v>
      </c>
      <c r="F1206">
        <v>0</v>
      </c>
    </row>
    <row r="1207" spans="1:6" x14ac:dyDescent="0.25">
      <c r="A1207" t="s">
        <v>210</v>
      </c>
      <c r="B1207" t="s">
        <v>911</v>
      </c>
      <c r="C1207" t="s">
        <v>1035</v>
      </c>
      <c r="D1207" s="16">
        <v>602</v>
      </c>
      <c r="F1207">
        <v>0</v>
      </c>
    </row>
    <row r="1208" spans="1:6" x14ac:dyDescent="0.25">
      <c r="A1208" t="s">
        <v>210</v>
      </c>
      <c r="B1208" t="s">
        <v>911</v>
      </c>
      <c r="C1208" t="s">
        <v>1035</v>
      </c>
      <c r="D1208" s="16">
        <v>780</v>
      </c>
      <c r="F1208">
        <v>0</v>
      </c>
    </row>
    <row r="1209" spans="1:6" x14ac:dyDescent="0.25">
      <c r="A1209" t="s">
        <v>210</v>
      </c>
      <c r="B1209" t="s">
        <v>911</v>
      </c>
      <c r="C1209" t="s">
        <v>1035</v>
      </c>
      <c r="D1209" s="16">
        <v>915</v>
      </c>
      <c r="F1209">
        <v>0</v>
      </c>
    </row>
    <row r="1210" spans="1:6" x14ac:dyDescent="0.25">
      <c r="A1210" t="s">
        <v>210</v>
      </c>
      <c r="B1210" t="s">
        <v>911</v>
      </c>
      <c r="C1210" t="s">
        <v>1035</v>
      </c>
      <c r="D1210" s="16">
        <v>1020</v>
      </c>
      <c r="F1210">
        <v>0</v>
      </c>
    </row>
    <row r="1211" spans="1:6" x14ac:dyDescent="0.25">
      <c r="A1211" t="s">
        <v>210</v>
      </c>
      <c r="B1211" t="s">
        <v>911</v>
      </c>
      <c r="C1211" t="s">
        <v>1035</v>
      </c>
      <c r="D1211" s="16">
        <v>1095</v>
      </c>
      <c r="F1211">
        <v>0</v>
      </c>
    </row>
    <row r="1212" spans="1:6" x14ac:dyDescent="0.25">
      <c r="A1212" t="s">
        <v>210</v>
      </c>
      <c r="B1212" t="s">
        <v>911</v>
      </c>
      <c r="C1212" t="s">
        <v>1035</v>
      </c>
      <c r="D1212" s="16">
        <v>1105</v>
      </c>
      <c r="F1212">
        <v>0</v>
      </c>
    </row>
    <row r="1213" spans="1:6" x14ac:dyDescent="0.25">
      <c r="A1213" t="s">
        <v>210</v>
      </c>
      <c r="B1213" t="s">
        <v>911</v>
      </c>
      <c r="C1213" t="s">
        <v>1035</v>
      </c>
      <c r="D1213" s="16">
        <v>1119</v>
      </c>
      <c r="F1213">
        <v>0</v>
      </c>
    </row>
    <row r="1214" spans="1:6" x14ac:dyDescent="0.25">
      <c r="A1214" t="s">
        <v>210</v>
      </c>
      <c r="B1214" t="s">
        <v>911</v>
      </c>
      <c r="C1214" t="s">
        <v>1035</v>
      </c>
      <c r="D1214" s="16">
        <v>1180</v>
      </c>
      <c r="F1214">
        <v>0</v>
      </c>
    </row>
    <row r="1215" spans="1:6" x14ac:dyDescent="0.25">
      <c r="A1215" t="s">
        <v>210</v>
      </c>
      <c r="B1215" t="s">
        <v>911</v>
      </c>
      <c r="C1215" t="s">
        <v>1035</v>
      </c>
      <c r="D1215" s="16">
        <v>1195</v>
      </c>
      <c r="F1215">
        <v>0</v>
      </c>
    </row>
    <row r="1216" spans="1:6" x14ac:dyDescent="0.25">
      <c r="A1216" t="s">
        <v>210</v>
      </c>
      <c r="B1216" t="s">
        <v>911</v>
      </c>
      <c r="C1216" t="s">
        <v>1035</v>
      </c>
      <c r="D1216" s="16">
        <v>1210</v>
      </c>
      <c r="F1216">
        <v>0</v>
      </c>
    </row>
    <row r="1217" spans="1:6" x14ac:dyDescent="0.25">
      <c r="A1217" t="s">
        <v>210</v>
      </c>
      <c r="B1217" t="s">
        <v>911</v>
      </c>
      <c r="C1217" t="s">
        <v>1035</v>
      </c>
      <c r="D1217" s="16">
        <v>1213</v>
      </c>
      <c r="F1217">
        <v>0</v>
      </c>
    </row>
    <row r="1218" spans="1:6" x14ac:dyDescent="0.25">
      <c r="A1218" t="s">
        <v>210</v>
      </c>
      <c r="B1218" t="s">
        <v>911</v>
      </c>
      <c r="C1218" t="s">
        <v>1035</v>
      </c>
      <c r="D1218" s="16">
        <v>1460</v>
      </c>
      <c r="F1218">
        <v>0</v>
      </c>
    </row>
    <row r="1219" spans="1:6" x14ac:dyDescent="0.25">
      <c r="A1219" t="s">
        <v>210</v>
      </c>
      <c r="B1219" t="s">
        <v>911</v>
      </c>
      <c r="C1219" t="s">
        <v>1035</v>
      </c>
      <c r="D1219" s="16">
        <v>1490</v>
      </c>
      <c r="F1219">
        <v>0</v>
      </c>
    </row>
    <row r="1220" spans="1:6" x14ac:dyDescent="0.25">
      <c r="A1220" t="s">
        <v>210</v>
      </c>
      <c r="B1220" t="s">
        <v>911</v>
      </c>
      <c r="C1220" t="s">
        <v>1035</v>
      </c>
      <c r="D1220" s="16">
        <v>1590</v>
      </c>
      <c r="F1220">
        <v>0</v>
      </c>
    </row>
    <row r="1221" spans="1:6" x14ac:dyDescent="0.25">
      <c r="A1221" t="s">
        <v>210</v>
      </c>
      <c r="B1221" t="s">
        <v>945</v>
      </c>
      <c r="C1221" t="s">
        <v>1035</v>
      </c>
      <c r="D1221" s="16">
        <v>1535</v>
      </c>
      <c r="F1221">
        <v>0</v>
      </c>
    </row>
    <row r="1222" spans="1:6" x14ac:dyDescent="0.25">
      <c r="A1222" t="s">
        <v>210</v>
      </c>
      <c r="B1222" t="s">
        <v>912</v>
      </c>
      <c r="C1222" t="s">
        <v>1041</v>
      </c>
      <c r="D1222" s="16">
        <v>793</v>
      </c>
      <c r="F1222">
        <v>0</v>
      </c>
    </row>
    <row r="1223" spans="1:6" x14ac:dyDescent="0.25">
      <c r="A1223" t="s">
        <v>210</v>
      </c>
      <c r="B1223" t="s">
        <v>912</v>
      </c>
      <c r="C1223" t="s">
        <v>1041</v>
      </c>
      <c r="D1223" s="16">
        <v>860</v>
      </c>
      <c r="F1223">
        <v>0</v>
      </c>
    </row>
    <row r="1224" spans="1:6" x14ac:dyDescent="0.25">
      <c r="A1224" t="s">
        <v>210</v>
      </c>
      <c r="B1224" t="s">
        <v>912</v>
      </c>
      <c r="C1224" t="s">
        <v>1041</v>
      </c>
      <c r="D1224" s="16">
        <v>943</v>
      </c>
      <c r="F1224">
        <v>0</v>
      </c>
    </row>
    <row r="1225" spans="1:6" x14ac:dyDescent="0.25">
      <c r="A1225" t="s">
        <v>210</v>
      </c>
      <c r="B1225" t="s">
        <v>912</v>
      </c>
      <c r="C1225" t="s">
        <v>1041</v>
      </c>
      <c r="D1225" s="16">
        <v>973</v>
      </c>
      <c r="F1225">
        <v>0</v>
      </c>
    </row>
    <row r="1226" spans="1:6" x14ac:dyDescent="0.25">
      <c r="A1226" t="s">
        <v>210</v>
      </c>
      <c r="B1226" t="s">
        <v>912</v>
      </c>
      <c r="C1226" t="s">
        <v>1041</v>
      </c>
      <c r="D1226" s="16">
        <v>1064</v>
      </c>
      <c r="F1226">
        <v>0</v>
      </c>
    </row>
    <row r="1227" spans="1:6" x14ac:dyDescent="0.25">
      <c r="A1227" t="s">
        <v>210</v>
      </c>
      <c r="B1227" t="s">
        <v>912</v>
      </c>
      <c r="C1227" t="s">
        <v>1041</v>
      </c>
      <c r="D1227" s="16">
        <v>1090</v>
      </c>
      <c r="F1227">
        <v>0</v>
      </c>
    </row>
    <row r="1228" spans="1:6" x14ac:dyDescent="0.25">
      <c r="A1228" t="s">
        <v>210</v>
      </c>
      <c r="B1228" t="s">
        <v>912</v>
      </c>
      <c r="C1228" t="s">
        <v>1041</v>
      </c>
      <c r="D1228" s="16">
        <v>1258</v>
      </c>
      <c r="F1228">
        <v>0</v>
      </c>
    </row>
    <row r="1229" spans="1:6" x14ac:dyDescent="0.25">
      <c r="A1229" t="s">
        <v>210</v>
      </c>
      <c r="B1229" t="s">
        <v>912</v>
      </c>
      <c r="C1229" t="s">
        <v>1041</v>
      </c>
      <c r="D1229" s="16">
        <v>1285</v>
      </c>
      <c r="F1229">
        <v>0</v>
      </c>
    </row>
    <row r="1230" spans="1:6" x14ac:dyDescent="0.25">
      <c r="A1230" t="s">
        <v>210</v>
      </c>
      <c r="B1230" t="s">
        <v>912</v>
      </c>
      <c r="C1230" t="s">
        <v>1041</v>
      </c>
      <c r="D1230" s="16">
        <v>1475</v>
      </c>
      <c r="F1230">
        <v>0</v>
      </c>
    </row>
    <row r="1231" spans="1:6" x14ac:dyDescent="0.25">
      <c r="A1231" t="s">
        <v>210</v>
      </c>
      <c r="B1231" t="s">
        <v>912</v>
      </c>
      <c r="C1231" t="s">
        <v>1041</v>
      </c>
      <c r="D1231" s="16">
        <v>1535</v>
      </c>
      <c r="F1231">
        <v>0</v>
      </c>
    </row>
    <row r="1232" spans="1:6" x14ac:dyDescent="0.25">
      <c r="A1232" t="s">
        <v>210</v>
      </c>
      <c r="B1232" t="s">
        <v>912</v>
      </c>
      <c r="C1232" t="s">
        <v>1041</v>
      </c>
      <c r="D1232" s="16">
        <v>1672</v>
      </c>
      <c r="F1232">
        <v>0</v>
      </c>
    </row>
    <row r="1233" spans="1:6" x14ac:dyDescent="0.25">
      <c r="A1233" t="s">
        <v>210</v>
      </c>
      <c r="B1233" t="s">
        <v>916</v>
      </c>
      <c r="C1233" t="s">
        <v>996</v>
      </c>
      <c r="D1233" s="16">
        <v>812</v>
      </c>
      <c r="F1233">
        <v>0</v>
      </c>
    </row>
    <row r="1234" spans="1:6" x14ac:dyDescent="0.25">
      <c r="A1234" t="s">
        <v>210</v>
      </c>
      <c r="B1234" t="s">
        <v>916</v>
      </c>
      <c r="C1234" t="s">
        <v>996</v>
      </c>
      <c r="D1234" s="16">
        <v>1043</v>
      </c>
      <c r="F1234">
        <v>0</v>
      </c>
    </row>
    <row r="1235" spans="1:6" x14ac:dyDescent="0.25">
      <c r="A1235" t="s">
        <v>210</v>
      </c>
      <c r="B1235" t="s">
        <v>916</v>
      </c>
      <c r="C1235" t="s">
        <v>996</v>
      </c>
      <c r="D1235" s="16">
        <v>1403</v>
      </c>
      <c r="F1235">
        <v>0</v>
      </c>
    </row>
    <row r="1236" spans="1:6" x14ac:dyDescent="0.25">
      <c r="A1236" t="s">
        <v>210</v>
      </c>
      <c r="B1236" t="s">
        <v>916</v>
      </c>
      <c r="C1236" t="s">
        <v>996</v>
      </c>
      <c r="D1236" s="16">
        <v>1425</v>
      </c>
      <c r="F1236">
        <v>0</v>
      </c>
    </row>
    <row r="1237" spans="1:6" x14ac:dyDescent="0.25">
      <c r="A1237" t="s">
        <v>210</v>
      </c>
      <c r="B1237" t="s">
        <v>916</v>
      </c>
      <c r="C1237" t="s">
        <v>1035</v>
      </c>
      <c r="D1237" s="16">
        <v>1363</v>
      </c>
      <c r="F1237">
        <v>0</v>
      </c>
    </row>
    <row r="1238" spans="1:6" x14ac:dyDescent="0.25">
      <c r="A1238" t="s">
        <v>210</v>
      </c>
      <c r="B1238" t="s">
        <v>916</v>
      </c>
      <c r="C1238" t="s">
        <v>1035</v>
      </c>
      <c r="D1238" s="16">
        <v>1399</v>
      </c>
      <c r="F1238">
        <v>0</v>
      </c>
    </row>
    <row r="1239" spans="1:6" x14ac:dyDescent="0.25">
      <c r="A1239" t="s">
        <v>210</v>
      </c>
      <c r="B1239" t="s">
        <v>916</v>
      </c>
      <c r="C1239" t="s">
        <v>1035</v>
      </c>
      <c r="D1239" s="16">
        <v>1747</v>
      </c>
      <c r="F1239">
        <v>0</v>
      </c>
    </row>
    <row r="1240" spans="1:6" x14ac:dyDescent="0.25">
      <c r="A1240" t="s">
        <v>210</v>
      </c>
      <c r="B1240" t="s">
        <v>916</v>
      </c>
      <c r="C1240" t="s">
        <v>1035</v>
      </c>
      <c r="D1240" s="16">
        <v>1877</v>
      </c>
      <c r="F1240">
        <v>0</v>
      </c>
    </row>
    <row r="1241" spans="1:6" x14ac:dyDescent="0.25">
      <c r="A1241" t="s">
        <v>210</v>
      </c>
      <c r="B1241" t="s">
        <v>949</v>
      </c>
      <c r="C1241" t="s">
        <v>996</v>
      </c>
      <c r="D1241" s="16">
        <v>1764</v>
      </c>
      <c r="F1241">
        <v>0</v>
      </c>
    </row>
    <row r="1242" spans="1:6" x14ac:dyDescent="0.25">
      <c r="A1242" t="s">
        <v>210</v>
      </c>
      <c r="B1242" t="s">
        <v>949</v>
      </c>
      <c r="C1242" t="s">
        <v>996</v>
      </c>
      <c r="D1242" s="16">
        <v>1975</v>
      </c>
      <c r="F1242">
        <v>0</v>
      </c>
    </row>
    <row r="1243" spans="1:6" x14ac:dyDescent="0.25">
      <c r="A1243" t="s">
        <v>210</v>
      </c>
      <c r="B1243" t="s">
        <v>949</v>
      </c>
      <c r="C1243" t="s">
        <v>1035</v>
      </c>
      <c r="D1243" s="16">
        <v>1725</v>
      </c>
      <c r="F1243">
        <v>0</v>
      </c>
    </row>
    <row r="1244" spans="1:6" x14ac:dyDescent="0.25">
      <c r="A1244" t="s">
        <v>210</v>
      </c>
      <c r="B1244" t="s">
        <v>918</v>
      </c>
      <c r="C1244" t="s">
        <v>1041</v>
      </c>
      <c r="D1244" s="16">
        <v>1388</v>
      </c>
      <c r="F1244">
        <v>0</v>
      </c>
    </row>
    <row r="1245" spans="1:6" x14ac:dyDescent="0.25">
      <c r="A1245" t="s">
        <v>210</v>
      </c>
      <c r="B1245" t="s">
        <v>918</v>
      </c>
      <c r="C1245" t="s">
        <v>1041</v>
      </c>
      <c r="D1245" s="16">
        <v>1790</v>
      </c>
      <c r="F1245">
        <v>0</v>
      </c>
    </row>
    <row r="1246" spans="1:6" x14ac:dyDescent="0.25">
      <c r="A1246" t="s">
        <v>210</v>
      </c>
      <c r="B1246" t="s">
        <v>918</v>
      </c>
      <c r="C1246" t="s">
        <v>1041</v>
      </c>
      <c r="D1246" s="16">
        <v>1865</v>
      </c>
      <c r="F1246">
        <v>0</v>
      </c>
    </row>
    <row r="1247" spans="1:6" x14ac:dyDescent="0.25">
      <c r="A1247" t="s">
        <v>210</v>
      </c>
      <c r="B1247" t="s">
        <v>918</v>
      </c>
      <c r="C1247" t="s">
        <v>1041</v>
      </c>
      <c r="D1247" s="16">
        <v>2226</v>
      </c>
      <c r="F1247">
        <v>0</v>
      </c>
    </row>
    <row r="1248" spans="1:6" x14ac:dyDescent="0.25">
      <c r="A1248" t="s">
        <v>210</v>
      </c>
      <c r="B1248" t="s">
        <v>918</v>
      </c>
      <c r="C1248" t="s">
        <v>1041</v>
      </c>
      <c r="D1248" s="16">
        <v>2799</v>
      </c>
      <c r="F1248">
        <v>0</v>
      </c>
    </row>
    <row r="1249" spans="1:6" x14ac:dyDescent="0.25">
      <c r="A1249" t="s">
        <v>210</v>
      </c>
      <c r="B1249" t="s">
        <v>987</v>
      </c>
      <c r="C1249" t="s">
        <v>1033</v>
      </c>
      <c r="D1249" s="16">
        <v>499</v>
      </c>
      <c r="F1249">
        <v>0</v>
      </c>
    </row>
    <row r="1250" spans="1:6" x14ac:dyDescent="0.25">
      <c r="A1250" t="s">
        <v>253</v>
      </c>
      <c r="B1250" t="s">
        <v>929</v>
      </c>
      <c r="C1250" t="s">
        <v>1029</v>
      </c>
      <c r="D1250" s="16">
        <v>196</v>
      </c>
      <c r="F1250">
        <v>0</v>
      </c>
    </row>
    <row r="1251" spans="1:6" x14ac:dyDescent="0.25">
      <c r="A1251" t="s">
        <v>253</v>
      </c>
      <c r="B1251" t="s">
        <v>929</v>
      </c>
      <c r="C1251" t="s">
        <v>1029</v>
      </c>
      <c r="D1251" s="16">
        <v>210.8</v>
      </c>
      <c r="F1251">
        <v>0</v>
      </c>
    </row>
    <row r="1252" spans="1:6" x14ac:dyDescent="0.25">
      <c r="A1252" t="s">
        <v>253</v>
      </c>
      <c r="B1252" t="s">
        <v>905</v>
      </c>
      <c r="C1252" t="s">
        <v>1031</v>
      </c>
      <c r="D1252" s="16">
        <v>202.9</v>
      </c>
      <c r="F1252">
        <v>0</v>
      </c>
    </row>
    <row r="1253" spans="1:6" x14ac:dyDescent="0.25">
      <c r="A1253" t="s">
        <v>253</v>
      </c>
      <c r="B1253" t="s">
        <v>905</v>
      </c>
      <c r="C1253" t="s">
        <v>1031</v>
      </c>
      <c r="D1253" s="16">
        <v>260</v>
      </c>
      <c r="F1253">
        <v>0</v>
      </c>
    </row>
    <row r="1254" spans="1:6" x14ac:dyDescent="0.25">
      <c r="A1254" t="s">
        <v>247</v>
      </c>
      <c r="B1254" t="s">
        <v>911</v>
      </c>
      <c r="C1254" t="s">
        <v>999</v>
      </c>
      <c r="D1254" s="16">
        <v>935</v>
      </c>
      <c r="F1254">
        <v>0</v>
      </c>
    </row>
    <row r="1255" spans="1:6" x14ac:dyDescent="0.25">
      <c r="A1255" t="s">
        <v>247</v>
      </c>
      <c r="B1255" t="s">
        <v>912</v>
      </c>
      <c r="C1255" t="s">
        <v>1025</v>
      </c>
      <c r="D1255" s="16">
        <v>999.9</v>
      </c>
      <c r="F1255">
        <v>0</v>
      </c>
    </row>
    <row r="1256" spans="1:6" x14ac:dyDescent="0.25">
      <c r="A1256" t="s">
        <v>247</v>
      </c>
      <c r="B1256" t="s">
        <v>915</v>
      </c>
      <c r="C1256" t="s">
        <v>1025</v>
      </c>
      <c r="D1256" s="16">
        <v>1199</v>
      </c>
      <c r="F1256">
        <v>0</v>
      </c>
    </row>
    <row r="1257" spans="1:6" x14ac:dyDescent="0.25">
      <c r="A1257" t="s">
        <v>247</v>
      </c>
      <c r="B1257" t="s">
        <v>921</v>
      </c>
      <c r="C1257" t="s">
        <v>1025</v>
      </c>
      <c r="D1257" s="16">
        <v>1399.95</v>
      </c>
      <c r="F1257">
        <v>0</v>
      </c>
    </row>
    <row r="1258" spans="1:6" x14ac:dyDescent="0.25">
      <c r="A1258" s="16" t="s">
        <v>893</v>
      </c>
      <c r="B1258" s="16"/>
      <c r="C1258" s="1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BB36D-F46F-473A-875D-7DAC5FAD349C}">
  <dimension ref="A1:B21"/>
  <sheetViews>
    <sheetView zoomScale="115" zoomScaleNormal="115" workbookViewId="0">
      <selection activeCell="T29" sqref="T29"/>
    </sheetView>
  </sheetViews>
  <sheetFormatPr defaultRowHeight="15" x14ac:dyDescent="0.25"/>
  <cols>
    <col min="1" max="1" width="13.140625" bestFit="1" customWidth="1"/>
    <col min="2" max="2" width="12.7109375" bestFit="1" customWidth="1"/>
  </cols>
  <sheetData>
    <row r="1" spans="1:2" x14ac:dyDescent="0.25">
      <c r="A1" s="1" t="s">
        <v>892</v>
      </c>
      <c r="B1" t="s">
        <v>894</v>
      </c>
    </row>
    <row r="2" spans="1:2" x14ac:dyDescent="0.25">
      <c r="A2" s="2" t="s">
        <v>253</v>
      </c>
      <c r="B2" s="16">
        <v>206.85000000000002</v>
      </c>
    </row>
    <row r="3" spans="1:2" x14ac:dyDescent="0.25">
      <c r="A3" s="2" t="s">
        <v>99</v>
      </c>
      <c r="B3" s="16">
        <v>248.9</v>
      </c>
    </row>
    <row r="4" spans="1:2" x14ac:dyDescent="0.25">
      <c r="A4" s="2" t="s">
        <v>411</v>
      </c>
      <c r="B4" s="16">
        <v>265</v>
      </c>
    </row>
    <row r="5" spans="1:2" x14ac:dyDescent="0.25">
      <c r="A5" s="2" t="s">
        <v>46</v>
      </c>
      <c r="B5" s="16">
        <v>572</v>
      </c>
    </row>
    <row r="6" spans="1:2" x14ac:dyDescent="0.25">
      <c r="A6" s="2" t="s">
        <v>504</v>
      </c>
      <c r="B6" s="16">
        <v>739</v>
      </c>
    </row>
    <row r="7" spans="1:2" x14ac:dyDescent="0.25">
      <c r="A7" s="2" t="s">
        <v>73</v>
      </c>
      <c r="B7" s="16">
        <v>899</v>
      </c>
    </row>
    <row r="8" spans="1:2" x14ac:dyDescent="0.25">
      <c r="A8" s="2" t="s">
        <v>36</v>
      </c>
      <c r="B8" s="16">
        <v>979</v>
      </c>
    </row>
    <row r="9" spans="1:2" x14ac:dyDescent="0.25">
      <c r="A9" s="2" t="s">
        <v>65</v>
      </c>
      <c r="B9" s="16">
        <v>999</v>
      </c>
    </row>
    <row r="10" spans="1:2" x14ac:dyDescent="0.25">
      <c r="A10" s="2" t="s">
        <v>55</v>
      </c>
      <c r="B10" s="16">
        <v>1049.45</v>
      </c>
    </row>
    <row r="11" spans="1:2" x14ac:dyDescent="0.25">
      <c r="A11" s="2" t="s">
        <v>247</v>
      </c>
      <c r="B11" s="16">
        <v>1099.45</v>
      </c>
    </row>
    <row r="12" spans="1:2" x14ac:dyDescent="0.25">
      <c r="A12" s="2" t="s">
        <v>210</v>
      </c>
      <c r="B12" s="16">
        <v>1211.5</v>
      </c>
    </row>
    <row r="13" spans="1:2" x14ac:dyDescent="0.25">
      <c r="A13" s="2" t="s">
        <v>22</v>
      </c>
      <c r="B13" s="16">
        <v>1339.69</v>
      </c>
    </row>
    <row r="14" spans="1:2" x14ac:dyDescent="0.25">
      <c r="A14" s="2" t="s">
        <v>238</v>
      </c>
      <c r="B14" s="16">
        <v>1424</v>
      </c>
    </row>
    <row r="15" spans="1:2" x14ac:dyDescent="0.25">
      <c r="A15" s="2" t="s">
        <v>421</v>
      </c>
      <c r="B15" s="16">
        <v>1559</v>
      </c>
    </row>
    <row r="16" spans="1:2" x14ac:dyDescent="0.25">
      <c r="A16" s="2" t="s">
        <v>154</v>
      </c>
      <c r="B16" s="16">
        <v>1569.5</v>
      </c>
    </row>
    <row r="17" spans="1:2" x14ac:dyDescent="0.25">
      <c r="A17" s="2" t="s">
        <v>141</v>
      </c>
      <c r="B17" s="16">
        <v>1599</v>
      </c>
    </row>
    <row r="18" spans="1:2" x14ac:dyDescent="0.25">
      <c r="A18" s="2" t="s">
        <v>413</v>
      </c>
      <c r="B18" s="16">
        <v>1649</v>
      </c>
    </row>
    <row r="19" spans="1:2" x14ac:dyDescent="0.25">
      <c r="A19" s="2" t="s">
        <v>575</v>
      </c>
      <c r="B19" s="16">
        <v>2099</v>
      </c>
    </row>
    <row r="20" spans="1:2" x14ac:dyDescent="0.25">
      <c r="A20" s="2" t="s">
        <v>256</v>
      </c>
      <c r="B20" s="16">
        <v>2899</v>
      </c>
    </row>
    <row r="21" spans="1:2" x14ac:dyDescent="0.25">
      <c r="A21" s="2" t="s">
        <v>893</v>
      </c>
      <c r="B21" s="16">
        <v>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285F92C0-E062-4EA6-858E-8880DEF741BF}">
  <ds:schemaRefs/>
</ds:datastoreItem>
</file>

<file path=customXml/itemProps2.xml><?xml version="1.0" encoding="utf-8"?>
<ds:datastoreItem xmlns:ds="http://schemas.openxmlformats.org/officeDocument/2006/customXml" ds:itemID="{958792B0-9E1D-469E-8091-829693A7B8FB}">
  <ds:schemaRefs/>
</ds:datastoreItem>
</file>

<file path=customXml/itemProps3.xml><?xml version="1.0" encoding="utf-8"?>
<ds:datastoreItem xmlns:ds="http://schemas.openxmlformats.org/officeDocument/2006/customXml" ds:itemID="{11F923B1-F8E1-48C6-A214-78FDB21E682E}">
  <ds:schemaRefs/>
</ds:datastoreItem>
</file>

<file path=customXml/itemProps4.xml><?xml version="1.0" encoding="utf-8"?>
<ds:datastoreItem xmlns:ds="http://schemas.openxmlformats.org/officeDocument/2006/customXml" ds:itemID="{F1B58620-3CD0-47F8-872D-1239AB2A5B98}">
  <ds:schemaRefs/>
</ds:datastoreItem>
</file>

<file path=customXml/itemProps5.xml><?xml version="1.0" encoding="utf-8"?>
<ds:datastoreItem xmlns:ds="http://schemas.openxmlformats.org/officeDocument/2006/customXml" ds:itemID="{29772C54-D29A-4E22-9761-5009B138CE61}">
  <ds:schemaRefs/>
</ds:datastoreItem>
</file>

<file path=customXml/itemProps6.xml><?xml version="1.0" encoding="utf-8"?>
<ds:datastoreItem xmlns:ds="http://schemas.openxmlformats.org/officeDocument/2006/customXml" ds:itemID="{72E263ED-ADE6-4692-9487-51F5F3EFAA58}">
  <ds:schemaRefs/>
</ds:datastoreItem>
</file>

<file path=customXml/itemProps7.xml><?xml version="1.0" encoding="utf-8"?>
<ds:datastoreItem xmlns:ds="http://schemas.openxmlformats.org/officeDocument/2006/customXml" ds:itemID="{5DB503EF-DC98-4705-8EA6-DA5F7684E089}">
  <ds:schemaRefs/>
</ds:datastoreItem>
</file>

<file path=customXml/itemProps8.xml><?xml version="1.0" encoding="utf-8"?>
<ds:datastoreItem xmlns:ds="http://schemas.openxmlformats.org/officeDocument/2006/customXml" ds:itemID="{81F9AAE9-117E-41C8-9467-8A7B6FBC2F01}">
  <ds:schemaRefs/>
</ds:datastoreItem>
</file>

<file path=customXml/itemProps9.xml><?xml version="1.0" encoding="utf-8"?>
<ds:datastoreItem xmlns:ds="http://schemas.openxmlformats.org/officeDocument/2006/customXml" ds:itemID="{C6252614-C2E9-4D74-BA82-24486ED1D6EA}">
  <ds:schemaRefs/>
</ds:datastoreItem>
</file>

<file path=customXml/itemProps10.xml><?xml version="1.0" encoding="utf-8"?>
<ds:datastoreItem xmlns:ds="http://schemas.openxmlformats.org/officeDocument/2006/customXml" ds:itemID="{5E76FD79-BD99-4551-A7CE-16C2E44AB11B}">
  <ds:schemaRefs/>
</ds:datastoreItem>
</file>

<file path=customXml/itemProps11.xml><?xml version="1.0" encoding="utf-8"?>
<ds:datastoreItem xmlns:ds="http://schemas.openxmlformats.org/officeDocument/2006/customXml" ds:itemID="{4D31C240-12E4-4972-8169-69383C4FD3F8}">
  <ds:schemaRefs/>
</ds:datastoreItem>
</file>

<file path=customXml/itemProps12.xml><?xml version="1.0" encoding="utf-8"?>
<ds:datastoreItem xmlns:ds="http://schemas.openxmlformats.org/officeDocument/2006/customXml" ds:itemID="{018386C4-2934-48B2-8C9D-5656B00DD602}">
  <ds:schemaRefs>
    <ds:schemaRef ds:uri="http://schemas.microsoft.com/DataMashup"/>
  </ds:schemaRefs>
</ds:datastoreItem>
</file>

<file path=customXml/itemProps13.xml><?xml version="1.0" encoding="utf-8"?>
<ds:datastoreItem xmlns:ds="http://schemas.openxmlformats.org/officeDocument/2006/customXml" ds:itemID="{B16AC39A-C967-4A0C-B5C6-7B0501E7947B}">
  <ds:schemaRefs/>
</ds:datastoreItem>
</file>

<file path=customXml/itemProps14.xml><?xml version="1.0" encoding="utf-8"?>
<ds:datastoreItem xmlns:ds="http://schemas.openxmlformats.org/officeDocument/2006/customXml" ds:itemID="{5F25F369-8AC2-4C19-B13E-B483332AFC20}">
  <ds:schemaRefs/>
</ds:datastoreItem>
</file>

<file path=customXml/itemProps15.xml><?xml version="1.0" encoding="utf-8"?>
<ds:datastoreItem xmlns:ds="http://schemas.openxmlformats.org/officeDocument/2006/customXml" ds:itemID="{632BA764-2095-481D-94E7-27C0187214D0}">
  <ds:schemaRefs/>
</ds:datastoreItem>
</file>

<file path=customXml/itemProps16.xml><?xml version="1.0" encoding="utf-8"?>
<ds:datastoreItem xmlns:ds="http://schemas.openxmlformats.org/officeDocument/2006/customXml" ds:itemID="{AE993207-EBDE-46E1-8F5E-7D03F108F4DD}">
  <ds:schemaRefs/>
</ds:datastoreItem>
</file>

<file path=customXml/itemProps17.xml><?xml version="1.0" encoding="utf-8"?>
<ds:datastoreItem xmlns:ds="http://schemas.openxmlformats.org/officeDocument/2006/customXml" ds:itemID="{5A385080-2DDB-464C-9ABD-2AAA8562C493}">
  <ds:schemaRefs/>
</ds:datastoreItem>
</file>

<file path=customXml/itemProps18.xml><?xml version="1.0" encoding="utf-8"?>
<ds:datastoreItem xmlns:ds="http://schemas.openxmlformats.org/officeDocument/2006/customXml" ds:itemID="{C67C617E-E427-459C-A09D-591B47BD4D4D}">
  <ds:schemaRefs/>
</ds:datastoreItem>
</file>

<file path=customXml/itemProps19.xml><?xml version="1.0" encoding="utf-8"?>
<ds:datastoreItem xmlns:ds="http://schemas.openxmlformats.org/officeDocument/2006/customXml" ds:itemID="{4B35807B-E1DD-4569-B485-63628761E5AD}">
  <ds:schemaRefs/>
</ds:datastoreItem>
</file>

<file path=customXml/itemProps20.xml><?xml version="1.0" encoding="utf-8"?>
<ds:datastoreItem xmlns:ds="http://schemas.openxmlformats.org/officeDocument/2006/customXml" ds:itemID="{A85515FB-A090-4DC0-9980-BD7F16D1DD7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Dashboard</vt:lpstr>
      <vt:lpstr>laptop_prices_table</vt:lpstr>
      <vt:lpstr>Data Validation</vt:lpstr>
      <vt:lpstr>Filtering</vt:lpstr>
      <vt:lpstr>Median_Price_Analysis</vt:lpstr>
      <vt:lpstr>brand</vt:lpstr>
      <vt:lpstr>cpu</vt:lpstr>
      <vt:lpstr>gpu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Chin, KhaiX Foong</dc:creator>
  <cp:lastModifiedBy>Khai Foong</cp:lastModifiedBy>
  <dcterms:created xsi:type="dcterms:W3CDTF">2015-06-05T18:17:20Z</dcterms:created>
  <dcterms:modified xsi:type="dcterms:W3CDTF">2026-01-26T05:03:05Z</dcterms:modified>
</cp:coreProperties>
</file>